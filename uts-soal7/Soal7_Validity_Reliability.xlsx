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Validity_Test" sheetId="2" state="visible" r:id="rId4"/>
    <sheet name="Reliability_Test" sheetId="3" state="visible" r:id="rId5"/>
    <sheet name="Interpretation" sheetId="4" state="visible" r:id="rId6"/>
    <sheet name="Data_Check" sheetId="5" state="visible" r:id="rId7"/>
    <sheet name="Scores" sheetId="6" state="visible" r:id="rId8"/>
    <sheet name="Codeboo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<sst xmlns="http://schemas.openxmlformats.org/spreadsheetml/2006/main" count="350" uniqueCount="228">
  <si>
    <t xml:space="preserve">ID</t>
  </si>
  <si>
    <t xml:space="preserve">EA_Q1_Pre</t>
  </si>
  <si>
    <t xml:space="preserve">EA_Q2_Pre</t>
  </si>
  <si>
    <t xml:space="preserve">EA_Q3_Pre</t>
  </si>
  <si>
    <t xml:space="preserve">ELT_Q1_Pre</t>
  </si>
  <si>
    <t xml:space="preserve">ELT_Q2_Pre</t>
  </si>
  <si>
    <t xml:space="preserve">ELT_Q3_Pre</t>
  </si>
  <si>
    <t xml:space="preserve">TSE_Q1_Pre</t>
  </si>
  <si>
    <t xml:space="preserve">TSE_Q2_Pre</t>
  </si>
  <si>
    <t xml:space="preserve">TSE_Q3_Pre</t>
  </si>
  <si>
    <t xml:space="preserve">TS_Q1_Pre</t>
  </si>
  <si>
    <t xml:space="preserve">TS_Q2_Pre</t>
  </si>
  <si>
    <t xml:space="preserve">TS_Q3_Pre</t>
  </si>
  <si>
    <t xml:space="preserve">EA_Q1_Post</t>
  </si>
  <si>
    <t xml:space="preserve">EA_Q2_Post</t>
  </si>
  <si>
    <t xml:space="preserve">EA_Q3_Post</t>
  </si>
  <si>
    <t xml:space="preserve">ELT_Q1_Post</t>
  </si>
  <si>
    <t xml:space="preserve">ELT_Q2_Post</t>
  </si>
  <si>
    <t xml:space="preserve">ELT_Q3_Post</t>
  </si>
  <si>
    <t xml:space="preserve">TSE_Q1_Post</t>
  </si>
  <si>
    <t xml:space="preserve">TSE_Q2_Post</t>
  </si>
  <si>
    <t xml:space="preserve">TSE_Q3_Post</t>
  </si>
  <si>
    <t xml:space="preserve">TS_Q1_Post</t>
  </si>
  <si>
    <t xml:space="preserve">TS_Q2_Post</t>
  </si>
  <si>
    <t xml:space="preserve">TS_Q3_Post</t>
  </si>
  <si>
    <t xml:space="preserve">Note</t>
  </si>
  <si>
    <t xml:space="preserve">P01</t>
  </si>
  <si>
    <t xml:space="preserve">Data copied unchanged from Likert Scale Responses.xlsx (sheet Questionnaire_Data). Do not edit; all other sheets reference A1:Y18.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</si>
  <si>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</si>
  <si>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</si>
  <si>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</si>
  <si>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</si>
  <si>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</si>
  <si>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</si>
  <si>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</si>
  <si>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</si>
  <si>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</si>
  <si>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</si>
  <si>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</si>
  <si>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</si>
  <si>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</si>
  <si>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</si>
  <si>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</si>
  <si>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</si>
  <si>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Item validity: Pearson item-total correlation (construct total = sum of 3 items)</t>
  </si>
  <si>
    <t xml:space="preserve">n</t>
  </si>
  <si>
    <t xml:space="preserve">alpha (two-tailed)</t>
  </si>
  <si>
    <t xml:space="preserve">Assumption (no lecturer instruction available): alpha = 0.05, two-tailed.</t>
  </si>
  <si>
    <t xml:space="preserve">df = n - 2</t>
  </si>
  <si>
    <t xml:space="preserve">t critical</t>
  </si>
  <si>
    <t xml:space="preserve">r table (critical r)</t>
  </si>
  <si>
    <t xml:space="preserve">Decision rule: item meets criterion if corrected r &gt;= r table (equivalent to p &lt; alpha with r &gt; 0).</t>
  </si>
  <si>
    <t xml:space="preserve">Time</t>
  </si>
  <si>
    <t xml:space="preserve">Construct</t>
  </si>
  <si>
    <t xml:space="preserve">Item</t>
  </si>
  <si>
    <t xml:space="preserve">Statement (English)</t>
  </si>
  <si>
    <t xml:space="preserve">Mean</t>
  </si>
  <si>
    <t xml:space="preserve">SD</t>
  </si>
  <si>
    <t xml:space="preserve">r item-total (uncorrected)</t>
  </si>
  <si>
    <t xml:space="preserve">p (uncorrected)</t>
  </si>
  <si>
    <t xml:space="preserve">r corrected item-total (CITC)</t>
  </si>
  <si>
    <t xml:space="preserve">t (CITC)</t>
  </si>
  <si>
    <t xml:space="preserve">p (CITC, two-tailed)</t>
  </si>
  <si>
    <t xml:space="preserve">r table</t>
  </si>
  <si>
    <t xml:space="preserve">Decision (CITC vs r table)</t>
  </si>
  <si>
    <t xml:space="preserve">Uncorrected r vs r table (reference only)</t>
  </si>
  <si>
    <t xml:space="preserve">Pre</t>
  </si>
  <si>
    <t xml:space="preserve">Environmental Awareness</t>
  </si>
  <si>
    <t xml:space="preserve">I am aware that marine waste such as fishing nets is a significant environmental problem in the Mediterranean.</t>
  </si>
  <si>
    <t xml:space="preserve">I feel personally concerned about the impact of marine plastic waste on ecosystems.</t>
  </si>
  <si>
    <t xml:space="preserve">I believe schools should play an active role in addressing environmental challenges.</t>
  </si>
  <si>
    <t xml:space="preserve">Environmental Pedagogy in Language Education</t>
  </si>
  <si>
    <t xml:space="preserve">Environmental topics can be meaningfully integrated into English lessons in primary school.</t>
  </si>
  <si>
    <t xml:space="preserve">Creative approaches such as theatre or puppetry can help children engage with environmental issues.</t>
  </si>
  <si>
    <t xml:space="preserve">In CLIL contexts, environmental topics can make language learning more meaningful for pupils.</t>
  </si>
  <si>
    <t xml:space="preserve">Teacher Self-Efficacy</t>
  </si>
  <si>
    <t xml:space="preserve">I feel confident designing activities that connect environmental topics with English learning.</t>
  </si>
  <si>
    <t xml:space="preserve">I feel capable of using creative materials to teach environmental issues in the classroom.</t>
  </si>
  <si>
    <t xml:space="preserve">I feel prepared to discuss environmental problems with primary school pupils.</t>
  </si>
  <si>
    <t xml:space="preserve">Transformation and Sustainability</t>
  </si>
  <si>
    <t xml:space="preserve">Reusing discarded materials can be a meaningful way to teach environmental responsibility.</t>
  </si>
  <si>
    <t xml:space="preserve">Artistic practices can help transform environmental waste into educational resources.</t>
  </si>
  <si>
    <t xml:space="preserve">Education can empower children to take action on environmental problems.</t>
  </si>
  <si>
    <t xml:space="preserve">Post</t>
  </si>
  <si>
    <t xml:space="preserve">After the project, I am more aware of the environmental impact of waste such as fishing nets in the Mediterranean.*</t>
  </si>
  <si>
    <t xml:space="preserve">The experience increased my concern about problems related to marine pollution.*</t>
  </si>
  <si>
    <t xml:space="preserve">The project helped me reflect on the importance of addressing environmental problems at school.*</t>
  </si>
  <si>
    <t xml:space="preserve">After the project, I consider that environmental topics can be effectively integrated into English classes.*</t>
  </si>
  <si>
    <t xml:space="preserve">The experience helped me understand the educational potential of theatre, puppets and other creative resources for environmental issues.*</t>
  </si>
  <si>
    <t xml:space="preserve">English learning can be more meaningful when connected to real problems such as sustainability or marine pollution.*</t>
  </si>
  <si>
    <t xml:space="preserve">After this experience, I feel more able to design activities that connect sustainability and English teaching.*</t>
  </si>
  <si>
    <t xml:space="preserve">I feel better prepared to use creative and reused materials in the classroom.*</t>
  </si>
  <si>
    <t xml:space="preserve">The experience increased my confidence to talk about environmental problems with primary pupils.*</t>
  </si>
  <si>
    <t xml:space="preserve">Working with reused materials helped me better understand the educational value of reuse.*</t>
  </si>
  <si>
    <t xml:space="preserve">The project made me reflect on how waste can be transformed into educational and artistic resources.*</t>
  </si>
  <si>
    <t xml:space="preserve">Creative experiences like this can help children become more involved in environmental problems.*</t>
  </si>
  <si>
    <t xml:space="preserve">* Post-test statements are the author's own English translation of the Spanish-only post-test questionnaire.</t>
  </si>
  <si>
    <t xml:space="preserve">Uncorrected r includes the item in its own total (1/3 of the total with 3 items), so it is inflated; it is shown only for comparison.</t>
  </si>
  <si>
    <t xml:space="preserve">Summary</t>
  </si>
  <si>
    <t xml:space="preserve">Pre: items meeting criterion (CITC)</t>
  </si>
  <si>
    <t xml:space="preserve">Post: items meeting criterion (CITC)</t>
  </si>
  <si>
    <t xml:space="preserve">Pre: uncorrected r &gt;= r table</t>
  </si>
  <si>
    <t xml:space="preserve">Post: uncorrected r &gt;= r table</t>
  </si>
  <si>
    <t xml:space="preserve">Reliability: Cronbach's alpha per construct (sample variances, n-1)</t>
  </si>
  <si>
    <t xml:space="preserve">CI level</t>
  </si>
  <si>
    <t xml:space="preserve">Feldt (1965) confidence interval for alpha.</t>
  </si>
  <si>
    <t xml:space="preserve">k</t>
  </si>
  <si>
    <t xml:space="preserve">Var item 1</t>
  </si>
  <si>
    <t xml:space="preserve">Var item 2</t>
  </si>
  <si>
    <t xml:space="preserve">Var item 3</t>
  </si>
  <si>
    <t xml:space="preserve">Sum of item variances</t>
  </si>
  <si>
    <t xml:space="preserve">Variance of total</t>
  </si>
  <si>
    <t xml:space="preserve">Cronbach alpha</t>
  </si>
  <si>
    <t xml:space="preserve">95% CI lower (Feldt)</t>
  </si>
  <si>
    <t xml:space="preserve">95% CI upper (Feldt)</t>
  </si>
  <si>
    <t xml:space="preserve">r(Q1,Q2)</t>
  </si>
  <si>
    <t xml:space="preserve">r(Q1,Q3)</t>
  </si>
  <si>
    <t xml:space="preserve">r(Q2,Q3)</t>
  </si>
  <si>
    <t xml:space="preserve">Mean inter-item r</t>
  </si>
  <si>
    <t xml:space="preserve">Alpha if Q1 deleted</t>
  </si>
  <si>
    <t xml:space="preserve">Alpha if Q2 deleted</t>
  </si>
  <si>
    <t xml:space="preserve">Alpha if Q3 deleted</t>
  </si>
  <si>
    <t xml:space="preserve">Decision (&gt;= 0.70 acceptable; 0.60-0.69 marginal; &lt; 0.60 inadequate)</t>
  </si>
  <si>
    <t xml:space="preserve">Supplementary: all 12 items as one scale (not the main analysis; the 12 items span 4 different constructs)</t>
  </si>
  <si>
    <t xml:space="preserve">Scale</t>
  </si>
  <si>
    <t xml:space="preserve">Sum of 12 item variances</t>
  </si>
  <si>
    <t xml:space="preserve">Variance of 12-item total</t>
  </si>
  <si>
    <t xml:space="preserve">All 12 items</t>
  </si>
  <si>
    <t xml:space="preserve">Formula: alpha = k/(k-1) * (1 - sum of item variances / variance of total score).</t>
  </si>
  <si>
    <t xml:space="preserve">Alpha if item deleted (k = 3 -&gt; 2 items left) = 2 * (1 - (var a + var b) / var(a + b)); the 'Rest' column in Scores holds a + b.</t>
  </si>
  <si>
    <t xml:space="preserve">Feldt CI: lower = 1-(1-alpha)*F(0.975; n-1, (n-1)(k-1)), upper = 1-(1-alpha)*F(0.025; n-1, (n-1)(k-1)).</t>
  </si>
  <si>
    <t xml:space="preserve">A negative alpha-if-deleted means the two remaining items are negatively correlated.</t>
  </si>
  <si>
    <t xml:space="preserve">Interpretation summary (numbers link to Validity_Test and Reliability_Test)</t>
  </si>
  <si>
    <t xml:space="preserve">95% CI lower</t>
  </si>
  <si>
    <t xml:space="preserve">95% CI upper</t>
  </si>
  <si>
    <t xml:space="preserve">Alpha decision</t>
  </si>
  <si>
    <t xml:space="preserve">Items meeting CITC &gt;= r table</t>
  </si>
  <si>
    <t xml:space="preserve">Interpretation</t>
  </si>
  <si>
    <t xml:space="preserve">Inadequate. Q1 and Q3 fail CITC; Q1 and Q3 correlate negatively (see Reliability_Test). Q3 has a ceiling (15 of 17 answered 5). Items do not behave as one scale at pre-test.</t>
  </si>
  <si>
    <t xml:space="preserve">Meets 0.70 only narrowly and the CI reaches down to about 0.33. Q3 (CLIL item) fails CITC; deleting it raises alpha (see 'Alpha if Q3 deleted'). Treat as tentative.</t>
  </si>
  <si>
    <t xml:space="preserve">Just below 0.70 (marginal). Q2 fails CITC; deleting it raises alpha. Usable only for exploratory purposes.</t>
  </si>
  <si>
    <t xml:space="preserve">Inadequate. None of the 3 items meets CITC. Q2 has a strong ceiling (14 of 17 answered 5).</t>
  </si>
  <si>
    <t xml:space="preserve">Acceptable. Q3 fails CITC and has a ceiling (15 of 17 answered 5); deleting Q3 raises alpha. Q1 and Q2 carry the scale.</t>
  </si>
  <si>
    <t xml:space="preserve">Good. All 3 items meet CITC; the only construct whose CI lower bound is above 0.70. Caution: Q3 has 15 of 17 answering 5, so its correlation rests on 2 respondents.</t>
  </si>
  <si>
    <t xml:space="preserve">Marginal. Q1 and Q3 fail CITC. Usable only for exploratory purposes.</t>
  </si>
  <si>
    <t xml:space="preserve">Inadequate. Only Q1 meets CITC; Q1 and Q3 are almost uncorrelated.</t>
  </si>
  <si>
    <t xml:space="preserve">Overall</t>
  </si>
  <si>
    <t xml:space="preserve">Pre-test: items meeting CITC criterion</t>
  </si>
  <si>
    <t xml:space="preserve">Post-test: items meeting CITC criterion</t>
  </si>
  <si>
    <t xml:space="preserve">Constructs with alpha &gt;= 0.70 (pre)</t>
  </si>
  <si>
    <t xml:space="preserve">Constructs with alpha &gt;= 0.70 (post)</t>
  </si>
  <si>
    <t xml:space="preserve">Assumptions</t>
  </si>
  <si>
    <t xml:space="preserve">No official lecturer instruction was provided. Validity = corrected item-total Pearson r (item vs sum of the other 2 items of the same construct), compared with r table at alpha 0.05 two-tailed, df = 15.</t>
  </si>
  <si>
    <t xml:space="preserve">Reliability = Cronbach's alpha per construct; &gt;= 0.70 acceptable, 0.60-0.69 marginal, &lt; 0.60 inadequate. Pre-test and post-test analysed separately because item wording differs between the two questionnaires.</t>
  </si>
  <si>
    <t xml:space="preserve">Limitations</t>
  </si>
  <si>
    <t xml:space="preserve">n = 17: r table is high (0.482) and every correlation has a wide CI; one respondent can change a decision. Alpha CIs (Feldt) are wide, e.g. several include values below 0.60.</t>
  </si>
  <si>
    <t xml:space="preserve">Ceiling effect: 6 of 24 items have &gt;= 80% of respondents at 5 (see Data_Check), which restricts variance and lowers correlations.</t>
  </si>
  <si>
    <t xml:space="preserve">Only 3 items per construct: alpha is depressed by short scales; alpha if item deleted leaves a 2-item scale.</t>
  </si>
  <si>
    <t xml:space="preserve">Item-total correlation is internal-consistency evidence only; construct validity (factor analysis) is not testable with n = 17. Likert data are ordinal; Pearson r treats them as interval.</t>
  </si>
  <si>
    <t xml:space="preserve">Data screening per item (all values computed from Raw_Data)</t>
  </si>
  <si>
    <t xml:space="preserve">N valid</t>
  </si>
  <si>
    <t xml:space="preserve">Missing</t>
  </si>
  <si>
    <t xml:space="preserve">Min</t>
  </si>
  <si>
    <t xml:space="preserve">Max</t>
  </si>
  <si>
    <t xml:space="preserve">Out of range (not 1-5)</t>
  </si>
  <si>
    <t xml:space="preserve">n = 5</t>
  </si>
  <si>
    <t xml:space="preserve">% = 5</t>
  </si>
  <si>
    <t xml:space="preserve">Respondents (IDs)</t>
  </si>
  <si>
    <t xml:space="preserve">Duplicate IDs</t>
  </si>
  <si>
    <t xml:space="preserve">Total missing cells</t>
  </si>
  <si>
    <t xml:space="preserve">Total out-of-range cells</t>
  </si>
  <si>
    <t xml:space="preserve">Items with &gt;= 80% answering 5 (ceiling)</t>
  </si>
  <si>
    <t xml:space="preserve">EA_Total_Pre</t>
  </si>
  <si>
    <t xml:space="preserve">EA_Q1_Pre_Rest</t>
  </si>
  <si>
    <t xml:space="preserve">EA_Q2_Pre_Rest</t>
  </si>
  <si>
    <t xml:space="preserve">EA_Q3_Pre_Rest</t>
  </si>
  <si>
    <t xml:space="preserve">ELT_Total_Pre</t>
  </si>
  <si>
    <t xml:space="preserve">ELT_Q1_Pre_Rest</t>
  </si>
  <si>
    <t xml:space="preserve">ELT_Q2_Pre_Rest</t>
  </si>
  <si>
    <t xml:space="preserve">ELT_Q3_Pre_Rest</t>
  </si>
  <si>
    <t xml:space="preserve">TSE_Total_Pre</t>
  </si>
  <si>
    <t xml:space="preserve">TSE_Q1_Pre_Rest</t>
  </si>
  <si>
    <t xml:space="preserve">TSE_Q2_Pre_Rest</t>
  </si>
  <si>
    <t xml:space="preserve">TSE_Q3_Pre_Rest</t>
  </si>
  <si>
    <t xml:space="preserve">TS_Total_Pre</t>
  </si>
  <si>
    <t xml:space="preserve">TS_Q1_Pre_Rest</t>
  </si>
  <si>
    <t xml:space="preserve">TS_Q2_Pre_Rest</t>
  </si>
  <si>
    <t xml:space="preserve">TS_Q3_Pre_Rest</t>
  </si>
  <si>
    <t xml:space="preserve">All12_Total_Pre</t>
  </si>
  <si>
    <t xml:space="preserve">EA_Total_Post</t>
  </si>
  <si>
    <t xml:space="preserve">EA_Q1_Post_Rest</t>
  </si>
  <si>
    <t xml:space="preserve">EA_Q2_Post_Rest</t>
  </si>
  <si>
    <t xml:space="preserve">EA_Q3_Post_Rest</t>
  </si>
  <si>
    <t xml:space="preserve">ELT_Total_Post</t>
  </si>
  <si>
    <t xml:space="preserve">ELT_Q1_Post_Rest</t>
  </si>
  <si>
    <t xml:space="preserve">ELT_Q2_Post_Rest</t>
  </si>
  <si>
    <t xml:space="preserve">ELT_Q3_Post_Rest</t>
  </si>
  <si>
    <t xml:space="preserve">TSE_Total_Post</t>
  </si>
  <si>
    <t xml:space="preserve">TSE_Q1_Post_Rest</t>
  </si>
  <si>
    <t xml:space="preserve">TSE_Q2_Post_Rest</t>
  </si>
  <si>
    <t xml:space="preserve">TSE_Q3_Post_Rest</t>
  </si>
  <si>
    <t xml:space="preserve">TS_Total_Post</t>
  </si>
  <si>
    <t xml:space="preserve">TS_Q1_Post_Rest</t>
  </si>
  <si>
    <t xml:space="preserve">TS_Q2_Post_Rest</t>
  </si>
  <si>
    <t xml:space="preserve">TS_Q3_Post_Rest</t>
  </si>
  <si>
    <t xml:space="preserve">All12_Total_Post</t>
  </si>
  <si>
    <t xml:space="preserve">Total = sum of the 3 items of the construct. Rest = total minus the item itself (used for corrected item-total r and alpha-if-item-deleted).</t>
  </si>
  <si>
    <t xml:space="preserve">Abbreviation</t>
  </si>
  <si>
    <t xml:space="preserve">Meaning</t>
  </si>
  <si>
    <t xml:space="preserve">EA</t>
  </si>
  <si>
    <t xml:space="preserve">Environmental awareness</t>
  </si>
  <si>
    <t xml:space="preserve">ELT</t>
  </si>
  <si>
    <t xml:space="preserve">Environmental pedagogy in English language teaching</t>
  </si>
  <si>
    <t xml:space="preserve">TSE</t>
  </si>
  <si>
    <t xml:space="preserve">Teacher self-efficacy</t>
  </si>
  <si>
    <t xml:space="preserve">TS</t>
  </si>
  <si>
    <t xml:space="preserve">Transformation and sustainability</t>
  </si>
  <si>
    <t xml:space="preserve">Likert coding</t>
  </si>
  <si>
    <t xml:space="preserve">1</t>
  </si>
  <si>
    <t xml:space="preserve">Strongly disagree</t>
  </si>
  <si>
    <t xml:space="preserve">2</t>
  </si>
  <si>
    <t xml:space="preserve">Disagree</t>
  </si>
  <si>
    <t xml:space="preserve">3</t>
  </si>
  <si>
    <t xml:space="preserve">Neutral</t>
  </si>
  <si>
    <t xml:space="preserve">4</t>
  </si>
  <si>
    <t xml:space="preserve">Agree</t>
  </si>
  <si>
    <t xml:space="preserve">5</t>
  </si>
  <si>
    <t xml:space="preserve">Strongly agree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</si>
</sst>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5" min="1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AA1" s="3" t="s">
        <v>25</v>
      </c>
    </row>
    <row r="2" customFormat="false" ht="15" hidden="false" customHeight="true" outlineLevel="0" collapsed="false">
      <c r="A2" s="4" t="s">
        <v>26</v>
      </c>
      <c r="B2" s="4" t="n">
        <v>5</v>
      </c>
      <c r="C2" s="4" t="n">
        <v>5</v>
      </c>
      <c r="D2" s="4" t="n">
        <v>5</v>
      </c>
      <c r="E2" s="4" t="n">
        <v>5</v>
      </c>
      <c r="F2" s="4" t="n">
        <v>5</v>
      </c>
      <c r="G2" s="4" t="n">
        <v>4</v>
      </c>
      <c r="H2" s="4" t="n">
        <v>4</v>
      </c>
      <c r="I2" s="4" t="n">
        <v>5</v>
      </c>
      <c r="J2" s="4" t="n">
        <v>4</v>
      </c>
      <c r="K2" s="4" t="n">
        <v>5</v>
      </c>
      <c r="L2" s="4" t="n">
        <v>5</v>
      </c>
      <c r="M2" s="4" t="n">
        <v>5</v>
      </c>
      <c r="N2" s="4" t="n">
        <v>5</v>
      </c>
      <c r="O2" s="4" t="n">
        <v>4</v>
      </c>
      <c r="P2" s="4" t="n">
        <v>5</v>
      </c>
      <c r="Q2" s="4" t="n">
        <v>5</v>
      </c>
      <c r="R2" s="4" t="n">
        <v>5</v>
      </c>
      <c r="S2" s="4" t="n">
        <v>5</v>
      </c>
      <c r="T2" s="4" t="n">
        <v>4</v>
      </c>
      <c r="U2" s="4" t="n">
        <v>4</v>
      </c>
      <c r="V2" s="4" t="n">
        <v>4</v>
      </c>
      <c r="W2" s="4" t="n">
        <v>4</v>
      </c>
      <c r="X2" s="4" t="n">
        <v>4</v>
      </c>
      <c r="Y2" s="4" t="n">
        <v>5</v>
      </c>
      <c r="AA2" s="5" t="s">
        <v>27</v>
      </c>
    </row>
    <row r="3" customFormat="false" ht="15" hidden="false" customHeight="true" outlineLevel="0" collapsed="false">
      <c r="A3" s="4" t="s">
        <v>28</v>
      </c>
      <c r="B3" s="4" t="n">
        <v>5</v>
      </c>
      <c r="C3" s="4" t="n">
        <v>4</v>
      </c>
      <c r="D3" s="4" t="n">
        <v>5</v>
      </c>
      <c r="E3" s="4" t="n">
        <v>4</v>
      </c>
      <c r="F3" s="4" t="n">
        <v>5</v>
      </c>
      <c r="G3" s="4" t="n">
        <v>4</v>
      </c>
      <c r="H3" s="4" t="n">
        <v>3</v>
      </c>
      <c r="I3" s="4" t="n">
        <v>4</v>
      </c>
      <c r="J3" s="4" t="n">
        <v>3</v>
      </c>
      <c r="K3" s="4" t="n">
        <v>4</v>
      </c>
      <c r="L3" s="4" t="n">
        <v>5</v>
      </c>
      <c r="M3" s="4" t="n">
        <v>4</v>
      </c>
      <c r="N3" s="4" t="n">
        <v>4</v>
      </c>
      <c r="O3" s="4" t="n">
        <v>3</v>
      </c>
      <c r="P3" s="4" t="n">
        <v>4</v>
      </c>
      <c r="Q3" s="4" t="n">
        <v>4</v>
      </c>
      <c r="R3" s="4" t="n">
        <v>4</v>
      </c>
      <c r="S3" s="4" t="n">
        <v>4</v>
      </c>
      <c r="T3" s="4" t="n">
        <v>3</v>
      </c>
      <c r="U3" s="4" t="n">
        <v>3</v>
      </c>
      <c r="V3" s="4" t="n">
        <v>4</v>
      </c>
      <c r="W3" s="4" t="n">
        <v>4</v>
      </c>
      <c r="X3" s="4" t="n">
        <v>4</v>
      </c>
      <c r="Y3" s="4" t="n">
        <v>4</v>
      </c>
    </row>
    <row r="4" customFormat="false" ht="15" hidden="false" customHeight="true" outlineLevel="0" collapsed="false">
      <c r="A4" s="4" t="s">
        <v>29</v>
      </c>
      <c r="B4" s="4" t="n">
        <v>5</v>
      </c>
      <c r="C4" s="4" t="n">
        <v>4</v>
      </c>
      <c r="D4" s="4" t="n">
        <v>4</v>
      </c>
      <c r="E4" s="4" t="n">
        <v>5</v>
      </c>
      <c r="F4" s="4" t="n">
        <v>5</v>
      </c>
      <c r="G4" s="4" t="n">
        <v>4</v>
      </c>
      <c r="H4" s="4" t="n">
        <v>5</v>
      </c>
      <c r="I4" s="4" t="n">
        <v>4</v>
      </c>
      <c r="J4" s="4" t="n">
        <v>5</v>
      </c>
      <c r="K4" s="4" t="n">
        <v>3</v>
      </c>
      <c r="L4" s="4" t="n">
        <v>4</v>
      </c>
      <c r="M4" s="4" t="n">
        <v>5</v>
      </c>
      <c r="N4" s="4" t="n">
        <v>5</v>
      </c>
      <c r="O4" s="4" t="n">
        <v>5</v>
      </c>
      <c r="P4" s="4" t="n">
        <v>5</v>
      </c>
      <c r="Q4" s="4" t="n">
        <v>5</v>
      </c>
      <c r="R4" s="4" t="n">
        <v>5</v>
      </c>
      <c r="S4" s="4" t="n">
        <v>5</v>
      </c>
      <c r="T4" s="4" t="n">
        <v>5</v>
      </c>
      <c r="U4" s="4" t="n">
        <v>5</v>
      </c>
      <c r="V4" s="4" t="n">
        <v>5</v>
      </c>
      <c r="W4" s="4" t="n">
        <v>5</v>
      </c>
      <c r="X4" s="4" t="n">
        <v>5</v>
      </c>
      <c r="Y4" s="4" t="n">
        <v>5</v>
      </c>
    </row>
    <row r="5" customFormat="false" ht="15" hidden="false" customHeight="true" outlineLevel="0" collapsed="false">
      <c r="A5" s="4" t="s">
        <v>30</v>
      </c>
      <c r="B5" s="4" t="n">
        <v>5</v>
      </c>
      <c r="C5" s="4" t="n">
        <v>4</v>
      </c>
      <c r="D5" s="4" t="n">
        <v>5</v>
      </c>
      <c r="E5" s="4" t="n">
        <v>5</v>
      </c>
      <c r="F5" s="4" t="n">
        <v>4</v>
      </c>
      <c r="G5" s="4" t="n">
        <v>4</v>
      </c>
      <c r="H5" s="4" t="n">
        <v>4</v>
      </c>
      <c r="I5" s="4" t="n">
        <v>5</v>
      </c>
      <c r="J5" s="4" t="n">
        <v>5</v>
      </c>
      <c r="K5" s="4" t="n">
        <v>5</v>
      </c>
      <c r="L5" s="4" t="n">
        <v>5</v>
      </c>
      <c r="M5" s="4" t="n">
        <v>5</v>
      </c>
      <c r="N5" s="4" t="n">
        <v>5</v>
      </c>
      <c r="O5" s="4" t="n">
        <v>5</v>
      </c>
      <c r="P5" s="4" t="n">
        <v>5</v>
      </c>
      <c r="Q5" s="4" t="n">
        <v>5</v>
      </c>
      <c r="R5" s="4" t="n">
        <v>5</v>
      </c>
      <c r="S5" s="4" t="n">
        <v>5</v>
      </c>
      <c r="T5" s="4" t="n">
        <v>4</v>
      </c>
      <c r="U5" s="4" t="n">
        <v>5</v>
      </c>
      <c r="V5" s="4" t="n">
        <v>5</v>
      </c>
      <c r="W5" s="4" t="n">
        <v>5</v>
      </c>
      <c r="X5" s="4" t="n">
        <v>5</v>
      </c>
      <c r="Y5" s="4" t="n">
        <v>5</v>
      </c>
    </row>
    <row r="6" customFormat="false" ht="15" hidden="false" customHeight="true" outlineLevel="0" collapsed="false">
      <c r="A6" s="4" t="s">
        <v>31</v>
      </c>
      <c r="B6" s="4" t="n">
        <v>5</v>
      </c>
      <c r="C6" s="4" t="n">
        <v>5</v>
      </c>
      <c r="D6" s="4" t="n">
        <v>5</v>
      </c>
      <c r="E6" s="4" t="n">
        <v>5</v>
      </c>
      <c r="F6" s="4" t="n">
        <v>5</v>
      </c>
      <c r="G6" s="4" t="n">
        <v>4</v>
      </c>
      <c r="H6" s="4" t="n">
        <v>4</v>
      </c>
      <c r="I6" s="4" t="n">
        <v>4</v>
      </c>
      <c r="J6" s="4" t="n">
        <v>4</v>
      </c>
      <c r="K6" s="4" t="n">
        <v>5</v>
      </c>
      <c r="L6" s="4" t="n">
        <v>5</v>
      </c>
      <c r="M6" s="4" t="n">
        <v>4</v>
      </c>
      <c r="N6" s="4" t="n">
        <v>5</v>
      </c>
      <c r="O6" s="4" t="n">
        <v>5</v>
      </c>
      <c r="P6" s="4" t="n">
        <v>5</v>
      </c>
      <c r="Q6" s="4" t="n">
        <v>5</v>
      </c>
      <c r="R6" s="4" t="n">
        <v>5</v>
      </c>
      <c r="S6" s="4" t="n">
        <v>5</v>
      </c>
      <c r="T6" s="4" t="n">
        <v>5</v>
      </c>
      <c r="U6" s="4" t="n">
        <v>5</v>
      </c>
      <c r="V6" s="4" t="n">
        <v>5</v>
      </c>
      <c r="W6" s="4" t="n">
        <v>5</v>
      </c>
      <c r="X6" s="4" t="n">
        <v>5</v>
      </c>
      <c r="Y6" s="4" t="n">
        <v>5</v>
      </c>
    </row>
    <row r="7" customFormat="false" ht="15" hidden="false" customHeight="true" outlineLevel="0" collapsed="false">
      <c r="A7" s="4" t="s">
        <v>32</v>
      </c>
      <c r="B7" s="4" t="n">
        <v>5</v>
      </c>
      <c r="C7" s="4" t="n">
        <v>5</v>
      </c>
      <c r="D7" s="4" t="n">
        <v>5</v>
      </c>
      <c r="E7" s="4" t="n">
        <v>5</v>
      </c>
      <c r="F7" s="4" t="n">
        <v>5</v>
      </c>
      <c r="G7" s="4" t="n">
        <v>4</v>
      </c>
      <c r="H7" s="4" t="n">
        <v>4</v>
      </c>
      <c r="I7" s="4" t="n">
        <v>5</v>
      </c>
      <c r="J7" s="4" t="n">
        <v>4</v>
      </c>
      <c r="K7" s="4" t="n">
        <v>5</v>
      </c>
      <c r="L7" s="4" t="n">
        <v>4</v>
      </c>
      <c r="M7" s="4" t="n">
        <v>4</v>
      </c>
      <c r="N7" s="4" t="n">
        <v>5</v>
      </c>
      <c r="O7" s="4" t="n">
        <v>5</v>
      </c>
      <c r="P7" s="4" t="n">
        <v>5</v>
      </c>
      <c r="Q7" s="4" t="n">
        <v>4</v>
      </c>
      <c r="R7" s="4" t="n">
        <v>4</v>
      </c>
      <c r="S7" s="4" t="n">
        <v>4</v>
      </c>
      <c r="T7" s="4" t="n">
        <v>5</v>
      </c>
      <c r="U7" s="4" t="n">
        <v>5</v>
      </c>
      <c r="V7" s="4" t="n">
        <v>5</v>
      </c>
      <c r="W7" s="4" t="n">
        <v>5</v>
      </c>
      <c r="X7" s="4" t="n">
        <v>5</v>
      </c>
      <c r="Y7" s="4" t="n">
        <v>5</v>
      </c>
    </row>
    <row r="8" customFormat="false" ht="15" hidden="false" customHeight="true" outlineLevel="0" collapsed="false">
      <c r="A8" s="4" t="s">
        <v>33</v>
      </c>
      <c r="B8" s="4" t="n">
        <v>5</v>
      </c>
      <c r="C8" s="4" t="n">
        <v>5</v>
      </c>
      <c r="D8" s="4" t="n">
        <v>5</v>
      </c>
      <c r="E8" s="4" t="n">
        <v>4</v>
      </c>
      <c r="F8" s="4" t="n">
        <v>4</v>
      </c>
      <c r="G8" s="4" t="n">
        <v>5</v>
      </c>
      <c r="H8" s="4" t="n">
        <v>4</v>
      </c>
      <c r="I8" s="4" t="n">
        <v>3</v>
      </c>
      <c r="J8" s="4" t="n">
        <v>5</v>
      </c>
      <c r="K8" s="4" t="n">
        <v>4</v>
      </c>
      <c r="L8" s="4" t="n">
        <v>5</v>
      </c>
      <c r="M8" s="4" t="n">
        <v>5</v>
      </c>
      <c r="N8" s="4" t="n">
        <v>4</v>
      </c>
      <c r="O8" s="4" t="n">
        <v>3</v>
      </c>
      <c r="P8" s="4" t="n">
        <v>5</v>
      </c>
      <c r="Q8" s="4" t="n">
        <v>5</v>
      </c>
      <c r="R8" s="4" t="n">
        <v>5</v>
      </c>
      <c r="S8" s="4" t="n">
        <v>5</v>
      </c>
      <c r="T8" s="4" t="n">
        <v>4</v>
      </c>
      <c r="U8" s="4" t="n">
        <v>4</v>
      </c>
      <c r="V8" s="4" t="n">
        <v>4</v>
      </c>
      <c r="W8" s="4" t="n">
        <v>5</v>
      </c>
      <c r="X8" s="4" t="n">
        <v>4</v>
      </c>
      <c r="Y8" s="4" t="n">
        <v>5</v>
      </c>
    </row>
    <row r="9" customFormat="false" ht="15" hidden="false" customHeight="true" outlineLevel="0" collapsed="false">
      <c r="A9" s="4" t="s">
        <v>34</v>
      </c>
      <c r="B9" s="4" t="n">
        <v>5</v>
      </c>
      <c r="C9" s="4" t="n">
        <v>5</v>
      </c>
      <c r="D9" s="4" t="n">
        <v>5</v>
      </c>
      <c r="E9" s="4" t="n">
        <v>5</v>
      </c>
      <c r="F9" s="4" t="n">
        <v>5</v>
      </c>
      <c r="G9" s="4" t="n">
        <v>5</v>
      </c>
      <c r="H9" s="4" t="n">
        <v>4</v>
      </c>
      <c r="I9" s="4" t="n">
        <v>4</v>
      </c>
      <c r="J9" s="4" t="n">
        <v>3</v>
      </c>
      <c r="K9" s="4" t="n">
        <v>5</v>
      </c>
      <c r="L9" s="4" t="n">
        <v>5</v>
      </c>
      <c r="M9" s="4" t="n">
        <v>5</v>
      </c>
      <c r="N9" s="4" t="n">
        <v>5</v>
      </c>
      <c r="O9" s="4" t="n">
        <v>5</v>
      </c>
      <c r="P9" s="4" t="n">
        <v>5</v>
      </c>
      <c r="Q9" s="4" t="n">
        <v>5</v>
      </c>
      <c r="R9" s="4" t="n">
        <v>5</v>
      </c>
      <c r="S9" s="4" t="n">
        <v>5</v>
      </c>
      <c r="T9" s="4" t="n">
        <v>4</v>
      </c>
      <c r="U9" s="4" t="n">
        <v>4</v>
      </c>
      <c r="V9" s="4" t="n">
        <v>5</v>
      </c>
      <c r="W9" s="4" t="n">
        <v>4</v>
      </c>
      <c r="X9" s="4" t="n">
        <v>4</v>
      </c>
      <c r="Y9" s="4" t="n">
        <v>5</v>
      </c>
    </row>
    <row r="10" customFormat="false" ht="15" hidden="false" customHeight="true" outlineLevel="0" collapsed="false">
      <c r="A10" s="4" t="s">
        <v>35</v>
      </c>
      <c r="B10" s="4" t="n">
        <v>5</v>
      </c>
      <c r="C10" s="4" t="n">
        <v>5</v>
      </c>
      <c r="D10" s="4" t="n">
        <v>5</v>
      </c>
      <c r="E10" s="4" t="n">
        <v>5</v>
      </c>
      <c r="F10" s="4" t="n">
        <v>5</v>
      </c>
      <c r="G10" s="4" t="n">
        <v>5</v>
      </c>
      <c r="H10" s="4" t="n">
        <v>5</v>
      </c>
      <c r="I10" s="4" t="n">
        <v>5</v>
      </c>
      <c r="J10" s="4" t="n">
        <v>5</v>
      </c>
      <c r="K10" s="4" t="n">
        <v>5</v>
      </c>
      <c r="L10" s="4" t="n">
        <v>5</v>
      </c>
      <c r="M10" s="4" t="n">
        <v>5</v>
      </c>
      <c r="N10" s="4" t="n">
        <v>3</v>
      </c>
      <c r="O10" s="4" t="n">
        <v>3</v>
      </c>
      <c r="P10" s="4" t="n">
        <v>5</v>
      </c>
      <c r="Q10" s="4" t="n">
        <v>5</v>
      </c>
      <c r="R10" s="4" t="n">
        <v>5</v>
      </c>
      <c r="S10" s="4" t="n">
        <v>5</v>
      </c>
      <c r="T10" s="4" t="n">
        <v>5</v>
      </c>
      <c r="U10" s="4" t="n">
        <v>5</v>
      </c>
      <c r="V10" s="4" t="n">
        <v>5</v>
      </c>
      <c r="W10" s="4" t="n">
        <v>5</v>
      </c>
      <c r="X10" s="4" t="n">
        <v>5</v>
      </c>
      <c r="Y10" s="4" t="n">
        <v>5</v>
      </c>
    </row>
    <row r="11" customFormat="false" ht="15" hidden="false" customHeight="true" outlineLevel="0" collapsed="false">
      <c r="A11" s="4" t="s">
        <v>36</v>
      </c>
      <c r="B11" s="4" t="n">
        <v>4</v>
      </c>
      <c r="C11" s="4" t="n">
        <v>4</v>
      </c>
      <c r="D11" s="4" t="n">
        <v>5</v>
      </c>
      <c r="E11" s="4" t="n">
        <v>3</v>
      </c>
      <c r="F11" s="4" t="n">
        <v>2</v>
      </c>
      <c r="G11" s="4" t="n">
        <v>4</v>
      </c>
      <c r="H11" s="4" t="n">
        <v>4</v>
      </c>
      <c r="I11" s="4" t="n">
        <v>3</v>
      </c>
      <c r="J11" s="4" t="n">
        <v>5</v>
      </c>
      <c r="K11" s="4" t="n">
        <v>4</v>
      </c>
      <c r="L11" s="4" t="n">
        <v>4</v>
      </c>
      <c r="M11" s="4" t="n">
        <v>4</v>
      </c>
      <c r="N11" s="4" t="n">
        <v>3</v>
      </c>
      <c r="O11" s="4" t="n">
        <v>3</v>
      </c>
      <c r="P11" s="4" t="n">
        <v>5</v>
      </c>
      <c r="Q11" s="4" t="n">
        <v>5</v>
      </c>
      <c r="R11" s="4" t="n">
        <v>5</v>
      </c>
      <c r="S11" s="4" t="n">
        <v>5</v>
      </c>
      <c r="T11" s="4" t="n">
        <v>4</v>
      </c>
      <c r="U11" s="4" t="n">
        <v>4</v>
      </c>
      <c r="V11" s="4" t="n">
        <v>4</v>
      </c>
      <c r="W11" s="4" t="n">
        <v>4</v>
      </c>
      <c r="X11" s="4" t="n">
        <v>4</v>
      </c>
      <c r="Y11" s="4" t="n">
        <v>5</v>
      </c>
    </row>
    <row r="12" customFormat="false" ht="15" hidden="false" customHeight="true" outlineLevel="0" collapsed="false">
      <c r="A12" s="4" t="s">
        <v>37</v>
      </c>
      <c r="B12" s="4" t="n">
        <v>4</v>
      </c>
      <c r="C12" s="4" t="n">
        <v>5</v>
      </c>
      <c r="D12" s="4" t="n">
        <v>5</v>
      </c>
      <c r="E12" s="4" t="n">
        <v>5</v>
      </c>
      <c r="F12" s="4" t="n">
        <v>5</v>
      </c>
      <c r="G12" s="4" t="n">
        <v>5</v>
      </c>
      <c r="H12" s="4" t="n">
        <v>4</v>
      </c>
      <c r="I12" s="4" t="n">
        <v>5</v>
      </c>
      <c r="J12" s="4" t="n">
        <v>5</v>
      </c>
      <c r="K12" s="4" t="n">
        <v>5</v>
      </c>
      <c r="L12" s="4" t="n">
        <v>5</v>
      </c>
      <c r="M12" s="4" t="n">
        <v>5</v>
      </c>
      <c r="N12" s="4" t="n">
        <v>4</v>
      </c>
      <c r="O12" s="4" t="n">
        <v>4</v>
      </c>
      <c r="P12" s="4" t="n">
        <v>5</v>
      </c>
      <c r="Q12" s="4" t="n">
        <v>5</v>
      </c>
      <c r="R12" s="4" t="n">
        <v>5</v>
      </c>
      <c r="S12" s="4" t="n">
        <v>5</v>
      </c>
      <c r="T12" s="4" t="n">
        <v>4</v>
      </c>
      <c r="U12" s="4" t="n">
        <v>5</v>
      </c>
      <c r="V12" s="4" t="n">
        <v>3</v>
      </c>
      <c r="W12" s="4" t="n">
        <v>4</v>
      </c>
      <c r="X12" s="4" t="n">
        <v>5</v>
      </c>
      <c r="Y12" s="4" t="n">
        <v>5</v>
      </c>
    </row>
    <row r="13" customFormat="false" ht="15" hidden="false" customHeight="true" outlineLevel="0" collapsed="false">
      <c r="A13" s="4" t="s">
        <v>38</v>
      </c>
      <c r="B13" s="4" t="n">
        <v>3</v>
      </c>
      <c r="C13" s="4" t="n">
        <v>4</v>
      </c>
      <c r="D13" s="4" t="n">
        <v>5</v>
      </c>
      <c r="E13" s="4" t="n">
        <v>5</v>
      </c>
      <c r="F13" s="4" t="n">
        <v>5</v>
      </c>
      <c r="G13" s="4" t="n">
        <v>5</v>
      </c>
      <c r="H13" s="4" t="n">
        <v>4</v>
      </c>
      <c r="I13" s="4" t="n">
        <v>4</v>
      </c>
      <c r="J13" s="4" t="n">
        <v>4</v>
      </c>
      <c r="K13" s="4" t="n">
        <v>5</v>
      </c>
      <c r="L13" s="4" t="n">
        <v>5</v>
      </c>
      <c r="M13" s="4" t="n">
        <v>5</v>
      </c>
      <c r="N13" s="4" t="n">
        <v>5</v>
      </c>
      <c r="O13" s="4" t="n">
        <v>5</v>
      </c>
      <c r="P13" s="4" t="n">
        <v>5</v>
      </c>
      <c r="Q13" s="4" t="n">
        <v>5</v>
      </c>
      <c r="R13" s="4" t="n">
        <v>5</v>
      </c>
      <c r="S13" s="4" t="n">
        <v>5</v>
      </c>
      <c r="T13" s="4" t="n">
        <v>4</v>
      </c>
      <c r="U13" s="4" t="n">
        <v>5</v>
      </c>
      <c r="V13" s="4" t="n">
        <v>5</v>
      </c>
      <c r="W13" s="4" t="n">
        <v>5</v>
      </c>
      <c r="X13" s="4" t="n">
        <v>5</v>
      </c>
      <c r="Y13" s="4" t="n">
        <v>5</v>
      </c>
    </row>
    <row r="14" customFormat="false" ht="15" hidden="false" customHeight="true" outlineLevel="0" collapsed="false">
      <c r="A14" s="4" t="s">
        <v>39</v>
      </c>
      <c r="B14" s="4" t="n">
        <v>4</v>
      </c>
      <c r="C14" s="4" t="n">
        <v>4</v>
      </c>
      <c r="D14" s="4" t="n">
        <v>5</v>
      </c>
      <c r="E14" s="4" t="n">
        <v>4</v>
      </c>
      <c r="F14" s="4" t="n">
        <v>5</v>
      </c>
      <c r="G14" s="4" t="n">
        <v>4</v>
      </c>
      <c r="H14" s="4" t="n">
        <v>4</v>
      </c>
      <c r="I14" s="4" t="n">
        <v>4</v>
      </c>
      <c r="J14" s="4" t="n">
        <v>4</v>
      </c>
      <c r="K14" s="4" t="n">
        <v>4</v>
      </c>
      <c r="L14" s="4" t="n">
        <v>5</v>
      </c>
      <c r="M14" s="4" t="n">
        <v>4</v>
      </c>
      <c r="N14" s="4" t="n">
        <v>5</v>
      </c>
      <c r="O14" s="4" t="n">
        <v>4</v>
      </c>
      <c r="P14" s="4" t="n">
        <v>5</v>
      </c>
      <c r="Q14" s="4" t="n">
        <v>5</v>
      </c>
      <c r="R14" s="4" t="n">
        <v>5</v>
      </c>
      <c r="S14" s="4" t="n">
        <v>5</v>
      </c>
      <c r="T14" s="4" t="n">
        <v>4</v>
      </c>
      <c r="U14" s="4" t="n">
        <v>5</v>
      </c>
      <c r="V14" s="4" t="n">
        <v>5</v>
      </c>
      <c r="W14" s="4" t="n">
        <v>5</v>
      </c>
      <c r="X14" s="4" t="n">
        <v>5</v>
      </c>
      <c r="Y14" s="4" t="n">
        <v>5</v>
      </c>
    </row>
    <row r="15" customFormat="false" ht="15" hidden="false" customHeight="true" outlineLevel="0" collapsed="false">
      <c r="A15" s="4" t="s">
        <v>40</v>
      </c>
      <c r="B15" s="4" t="n">
        <v>4</v>
      </c>
      <c r="C15" s="4" t="n">
        <v>4</v>
      </c>
      <c r="D15" s="4" t="n">
        <v>5</v>
      </c>
      <c r="E15" s="4" t="n">
        <v>4</v>
      </c>
      <c r="F15" s="4" t="n">
        <v>4</v>
      </c>
      <c r="G15" s="4" t="n">
        <v>4</v>
      </c>
      <c r="H15" s="4" t="n">
        <v>4</v>
      </c>
      <c r="I15" s="4" t="n">
        <v>4</v>
      </c>
      <c r="J15" s="4" t="n">
        <v>4</v>
      </c>
      <c r="K15" s="4" t="n">
        <v>5</v>
      </c>
      <c r="L15" s="4" t="n">
        <v>5</v>
      </c>
      <c r="M15" s="4" t="n">
        <v>4</v>
      </c>
      <c r="N15" s="4" t="n">
        <v>5</v>
      </c>
      <c r="O15" s="4" t="n">
        <v>5</v>
      </c>
      <c r="P15" s="4" t="n">
        <v>5</v>
      </c>
      <c r="Q15" s="4" t="n">
        <v>4</v>
      </c>
      <c r="R15" s="4" t="n">
        <v>4</v>
      </c>
      <c r="S15" s="4" t="n">
        <v>5</v>
      </c>
      <c r="T15" s="4" t="n">
        <v>4</v>
      </c>
      <c r="U15" s="4" t="n">
        <v>5</v>
      </c>
      <c r="V15" s="4" t="n">
        <v>4</v>
      </c>
      <c r="W15" s="4" t="n">
        <v>5</v>
      </c>
      <c r="X15" s="4" t="n">
        <v>5</v>
      </c>
      <c r="Y15" s="4" t="n">
        <v>5</v>
      </c>
    </row>
    <row r="16" customFormat="false" ht="15" hidden="false" customHeight="true" outlineLevel="0" collapsed="false">
      <c r="A16" s="4" t="s">
        <v>41</v>
      </c>
      <c r="B16" s="4" t="n">
        <v>5</v>
      </c>
      <c r="C16" s="4" t="n">
        <v>4</v>
      </c>
      <c r="D16" s="4" t="n">
        <v>4</v>
      </c>
      <c r="E16" s="4" t="n">
        <v>3</v>
      </c>
      <c r="F16" s="4" t="n">
        <v>4</v>
      </c>
      <c r="G16" s="4" t="n">
        <v>4</v>
      </c>
      <c r="H16" s="4" t="n">
        <v>3</v>
      </c>
      <c r="I16" s="4" t="n">
        <v>3</v>
      </c>
      <c r="J16" s="4" t="n">
        <v>4</v>
      </c>
      <c r="K16" s="4" t="n">
        <v>4</v>
      </c>
      <c r="L16" s="4" t="n">
        <v>5</v>
      </c>
      <c r="M16" s="4" t="n">
        <v>4</v>
      </c>
      <c r="N16" s="4" t="n">
        <v>5</v>
      </c>
      <c r="O16" s="4" t="n">
        <v>5</v>
      </c>
      <c r="P16" s="4" t="n">
        <v>5</v>
      </c>
      <c r="Q16" s="4" t="n">
        <v>5</v>
      </c>
      <c r="R16" s="4" t="n">
        <v>4</v>
      </c>
      <c r="S16" s="4" t="n">
        <v>5</v>
      </c>
      <c r="T16" s="4" t="n">
        <v>4</v>
      </c>
      <c r="U16" s="4" t="n">
        <v>5</v>
      </c>
      <c r="V16" s="4" t="n">
        <v>4</v>
      </c>
      <c r="W16" s="4" t="n">
        <v>5</v>
      </c>
      <c r="X16" s="4" t="n">
        <v>4</v>
      </c>
      <c r="Y16" s="4" t="n">
        <v>5</v>
      </c>
    </row>
    <row r="17" customFormat="false" ht="15" hidden="false" customHeight="true" outlineLevel="0" collapsed="false">
      <c r="A17" s="4" t="s">
        <v>42</v>
      </c>
      <c r="B17" s="4" t="n">
        <v>5</v>
      </c>
      <c r="C17" s="4" t="n">
        <v>5</v>
      </c>
      <c r="D17" s="4" t="n">
        <v>5</v>
      </c>
      <c r="E17" s="4" t="n">
        <v>5</v>
      </c>
      <c r="F17" s="4" t="n">
        <v>5</v>
      </c>
      <c r="G17" s="4" t="n">
        <v>5</v>
      </c>
      <c r="H17" s="4" t="n">
        <v>4</v>
      </c>
      <c r="I17" s="4" t="n">
        <v>4</v>
      </c>
      <c r="J17" s="4" t="n">
        <v>4</v>
      </c>
      <c r="K17" s="4" t="n">
        <v>5</v>
      </c>
      <c r="L17" s="4" t="n">
        <v>5</v>
      </c>
      <c r="M17" s="4" t="n">
        <v>5</v>
      </c>
      <c r="N17" s="4" t="n">
        <v>4</v>
      </c>
      <c r="O17" s="4" t="n">
        <v>3</v>
      </c>
      <c r="P17" s="4" t="n">
        <v>4</v>
      </c>
      <c r="Q17" s="4" t="n">
        <v>5</v>
      </c>
      <c r="R17" s="4" t="n">
        <v>5</v>
      </c>
      <c r="S17" s="4" t="n">
        <v>5</v>
      </c>
      <c r="T17" s="4" t="n">
        <v>4</v>
      </c>
      <c r="U17" s="4" t="n">
        <v>4</v>
      </c>
      <c r="V17" s="4" t="n">
        <v>4</v>
      </c>
      <c r="W17" s="4" t="n">
        <v>5</v>
      </c>
      <c r="X17" s="4" t="n">
        <v>4</v>
      </c>
      <c r="Y17" s="4" t="n">
        <v>5</v>
      </c>
    </row>
    <row r="18" customFormat="false" ht="15" hidden="false" customHeight="true" outlineLevel="0" collapsed="false">
      <c r="A18" s="4" t="s">
        <v>43</v>
      </c>
      <c r="B18" s="4" t="n">
        <v>4</v>
      </c>
      <c r="C18" s="4" t="n">
        <v>5</v>
      </c>
      <c r="D18" s="4" t="n">
        <v>5</v>
      </c>
      <c r="E18" s="4" t="n">
        <v>5</v>
      </c>
      <c r="F18" s="4" t="n">
        <v>4</v>
      </c>
      <c r="G18" s="4" t="n">
        <v>4</v>
      </c>
      <c r="H18" s="4" t="n">
        <v>3</v>
      </c>
      <c r="I18" s="4" t="n">
        <v>3</v>
      </c>
      <c r="J18" s="4" t="n">
        <v>2</v>
      </c>
      <c r="K18" s="4" t="n">
        <v>5</v>
      </c>
      <c r="L18" s="4" t="n">
        <v>5</v>
      </c>
      <c r="M18" s="4" t="n">
        <v>5</v>
      </c>
      <c r="N18" s="4" t="n">
        <v>5</v>
      </c>
      <c r="O18" s="4" t="n">
        <v>4</v>
      </c>
      <c r="P18" s="4" t="n">
        <v>5</v>
      </c>
      <c r="Q18" s="4" t="n">
        <v>5</v>
      </c>
      <c r="R18" s="4" t="n">
        <v>5</v>
      </c>
      <c r="S18" s="4" t="n">
        <v>5</v>
      </c>
      <c r="T18" s="4" t="n">
        <v>5</v>
      </c>
      <c r="U18" s="4" t="n">
        <v>4</v>
      </c>
      <c r="V18" s="4" t="n">
        <v>3</v>
      </c>
      <c r="W18" s="4" t="n">
        <v>4</v>
      </c>
      <c r="X18" s="4" t="n">
        <v>5</v>
      </c>
      <c r="Y18" s="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4" min="4" style="1" width="60"/>
    <col collapsed="false" customWidth="true" hidden="false" outlineLevel="0" max="6" min="5" style="1" width="8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2" min="12" style="1" width="9"/>
    <col collapsed="false" customWidth="true" hidden="false" outlineLevel="0" max="14" min="13" style="1" width="17"/>
  </cols>
  <sheetData>
    <row r="1" customFormat="false" ht="15" hidden="false" customHeight="true" outlineLevel="0" collapsed="false">
      <c r="A1" s="6" t="s">
        <v>44</v>
      </c>
    </row>
    <row r="3" customFormat="false" ht="15" hidden="false" customHeight="true" outlineLevel="0" collapsed="false">
      <c r="A3" s="3" t="s">
        <v>45</v>
      </c>
      <c r="B3" s="1" t="n">
        <f aca="false">COUNT(Raw_Data!B2:B18)</f>
        <v>17</v>
      </c>
    </row>
    <row r="4" customFormat="false" ht="15" hidden="false" customHeight="true" outlineLevel="0" collapsed="false">
      <c r="A4" s="3" t="s">
        <v>46</v>
      </c>
      <c r="B4" s="7" t="n">
        <v>0.05</v>
      </c>
      <c r="C4" s="1" t="s">
        <v>47</v>
      </c>
    </row>
    <row r="5" customFormat="false" ht="15" hidden="false" customHeight="true" outlineLevel="0" collapsed="false">
      <c r="A5" s="3" t="s">
        <v>48</v>
      </c>
      <c r="B5" s="1" t="n">
        <f aca="false">B3-2</f>
        <v>15</v>
      </c>
    </row>
    <row r="6" customFormat="false" ht="15" hidden="false" customHeight="true" outlineLevel="0" collapsed="false">
      <c r="A6" s="3" t="s">
        <v>49</v>
      </c>
      <c r="B6" s="8" t="n">
        <f aca="false">TINV(B4,B5)</f>
        <v>2.13144954555977</v>
      </c>
    </row>
    <row r="7" customFormat="false" ht="15" hidden="false" customHeight="true" outlineLevel="0" collapsed="false">
      <c r="A7" s="3" t="s">
        <v>50</v>
      </c>
      <c r="B7" s="8" t="n">
        <f aca="false">B6/SQRT(B6^2+B5)</f>
        <v>0.482146016900332</v>
      </c>
      <c r="C7" s="1" t="s">
        <v>51</v>
      </c>
    </row>
    <row r="9" customFormat="false" ht="34.5" hidden="false" customHeight="true" outlineLevel="0" collapsed="false">
      <c r="A9" s="9" t="s">
        <v>52</v>
      </c>
      <c r="B9" s="9" t="s">
        <v>53</v>
      </c>
      <c r="C9" s="9" t="s">
        <v>54</v>
      </c>
      <c r="D9" s="9" t="s">
        <v>55</v>
      </c>
      <c r="E9" s="9" t="s">
        <v>56</v>
      </c>
      <c r="F9" s="9" t="s">
        <v>57</v>
      </c>
      <c r="G9" s="9" t="s">
        <v>58</v>
      </c>
      <c r="H9" s="9" t="s">
        <v>59</v>
      </c>
      <c r="I9" s="9" t="s">
        <v>60</v>
      </c>
      <c r="J9" s="9" t="s">
        <v>61</v>
      </c>
      <c r="K9" s="9" t="s">
        <v>62</v>
      </c>
      <c r="L9" s="9" t="s">
        <v>63</v>
      </c>
      <c r="M9" s="9" t="s">
        <v>64</v>
      </c>
      <c r="N9" s="9" t="s">
        <v>65</v>
      </c>
    </row>
    <row r="10" customFormat="false" ht="27.75" hidden="false" customHeight="true" outlineLevel="0" collapsed="false">
      <c r="A10" s="10" t="s">
        <v>66</v>
      </c>
      <c r="B10" s="10" t="s">
        <v>67</v>
      </c>
      <c r="C10" s="10" t="s">
        <v>1</v>
      </c>
      <c r="D10" s="11" t="s">
        <v>68</v>
      </c>
      <c r="E10" s="12" t="n">
        <f aca="false">AVERAGE(Raw_Data!$B$2:$B$18)</f>
        <v>4.58823529411765</v>
      </c>
      <c r="F10" s="12" t="n">
        <f aca="false">STDEV(Raw_Data!$B$2:$B$18)</f>
        <v>0.618346942400842</v>
      </c>
      <c r="G10" s="12" t="n">
        <f aca="false">CORREL(Raw_Data!$B$2:$B$18,Scores!$B$2:$B$18)</f>
        <v>0.70753159755481</v>
      </c>
      <c r="H10" s="13" t="n">
        <f aca="false">TDIST(ABS(G10)*SQRT($B$5/(1-G10^2)),$B$5,2)</f>
        <v>0.00148756454944018</v>
      </c>
      <c r="I10" s="12" t="n">
        <f aca="false">CORREL(Raw_Data!$B$2:$B$18,Scores!$C$2:$C$18)</f>
        <v>0.125208855617658</v>
      </c>
      <c r="J10" s="12" t="n">
        <f aca="false">I10*SQRT($B$5/(1-I10^2))</f>
        <v>0.488778299385629</v>
      </c>
      <c r="K10" s="13" t="n">
        <f aca="false">TDIST(ABS(J10),$B$5,2)</f>
        <v>0.632067723130986</v>
      </c>
      <c r="L10" s="12" t="n">
        <f aca="false">$B$7</f>
        <v>0.482146016900332</v>
      </c>
      <c r="M10" s="10" t="str">
        <f aca="false">IF(I10&gt;=L10,"Meets criterion","Does not meet")</f>
        <v>Does not meet</v>
      </c>
      <c r="N10" s="10" t="str">
        <f aca="false">IF(G10&gt;=L10,"Meets","Does not meet")</f>
        <v>Meets</v>
      </c>
    </row>
    <row r="11" customFormat="false" ht="27.75" hidden="false" customHeight="true" outlineLevel="0" collapsed="false">
      <c r="A11" s="10" t="s">
        <v>66</v>
      </c>
      <c r="B11" s="10" t="s">
        <v>67</v>
      </c>
      <c r="C11" s="10" t="s">
        <v>2</v>
      </c>
      <c r="D11" s="11" t="s">
        <v>69</v>
      </c>
      <c r="E11" s="12" t="n">
        <f aca="false">AVERAGE(Raw_Data!$C$2:$C$18)</f>
        <v>4.52941176470588</v>
      </c>
      <c r="F11" s="12" t="n">
        <f aca="false">STDEV(Raw_Data!$C$2:$C$18)</f>
        <v>0.514495755427527</v>
      </c>
      <c r="G11" s="12" t="n">
        <f aca="false">CORREL(Raw_Data!$C$2:$C$18,Scores!$B$2:$B$18)</f>
        <v>0.850347151331606</v>
      </c>
      <c r="H11" s="13" t="n">
        <f aca="false">TDIST(ABS(G11)*SQRT($B$5/(1-G11^2)),$B$5,2)</f>
        <v>1.53201151251321E-005</v>
      </c>
      <c r="I11" s="12" t="n">
        <f aca="false">CORREL(Raw_Data!$C$2:$C$18,Scores!$D$2:$D$18)</f>
        <v>0.537995542132365</v>
      </c>
      <c r="J11" s="12" t="n">
        <f aca="false">I11*SQRT($B$5/(1-I11^2))</f>
        <v>2.47185894983836</v>
      </c>
      <c r="K11" s="13" t="n">
        <f aca="false">TDIST(ABS(J11),$B$5,2)</f>
        <v>0.0259035911474867</v>
      </c>
      <c r="L11" s="12" t="n">
        <f aca="false">$B$7</f>
        <v>0.482146016900332</v>
      </c>
      <c r="M11" s="10" t="str">
        <f aca="false">IF(I11&gt;=L11,"Meets criterion","Does not meet")</f>
        <v>Meets criterion</v>
      </c>
      <c r="N11" s="10" t="str">
        <f aca="false">IF(G11&gt;=L11,"Meets","Does not meet")</f>
        <v>Meets</v>
      </c>
    </row>
    <row r="12" customFormat="false" ht="27.75" hidden="false" customHeight="true" outlineLevel="0" collapsed="false">
      <c r="A12" s="10" t="s">
        <v>66</v>
      </c>
      <c r="B12" s="10" t="s">
        <v>67</v>
      </c>
      <c r="C12" s="10" t="s">
        <v>3</v>
      </c>
      <c r="D12" s="11" t="s">
        <v>70</v>
      </c>
      <c r="E12" s="12" t="n">
        <f aca="false">AVERAGE(Raw_Data!$D$2:$D$18)</f>
        <v>4.88235294117647</v>
      </c>
      <c r="F12" s="12" t="n">
        <f aca="false">STDEV(Raw_Data!$D$2:$D$18)</f>
        <v>0.332105582077536</v>
      </c>
      <c r="G12" s="12" t="n">
        <f aca="false">CORREL(Raw_Data!$D$2:$D$18,Scores!$B$2:$B$18)</f>
        <v>0.376386326354541</v>
      </c>
      <c r="H12" s="13" t="n">
        <f aca="false">TDIST(ABS(G12)*SQRT($B$5/(1-G12^2)),$B$5,2)</f>
        <v>0.136467744576227</v>
      </c>
      <c r="I12" s="12" t="n">
        <f aca="false">CORREL(Raw_Data!$D$2:$D$18,Scores!$E$2:$E$18)</f>
        <v>0.0477409916026288</v>
      </c>
      <c r="J12" s="12" t="n">
        <f aca="false">I12*SQRT($B$5/(1-I12^2))</f>
        <v>0.185111138611163</v>
      </c>
      <c r="K12" s="13" t="n">
        <f aca="false">TDIST(ABS(J12),$B$5,2)</f>
        <v>0.855621566019676</v>
      </c>
      <c r="L12" s="12" t="n">
        <f aca="false">$B$7</f>
        <v>0.482146016900332</v>
      </c>
      <c r="M12" s="10" t="str">
        <f aca="false">IF(I12&gt;=L12,"Meets criterion","Does not meet")</f>
        <v>Does not meet</v>
      </c>
      <c r="N12" s="10" t="str">
        <f aca="false">IF(G12&gt;=L12,"Meets","Does not meet")</f>
        <v>Does not meet</v>
      </c>
    </row>
    <row r="13" customFormat="false" ht="27.75" hidden="false" customHeight="true" outlineLevel="0" collapsed="false">
      <c r="A13" s="10" t="s">
        <v>66</v>
      </c>
      <c r="B13" s="10" t="s">
        <v>71</v>
      </c>
      <c r="C13" s="10" t="s">
        <v>4</v>
      </c>
      <c r="D13" s="11" t="s">
        <v>72</v>
      </c>
      <c r="E13" s="12" t="n">
        <f aca="false">AVERAGE(Raw_Data!$E$2:$E$18)</f>
        <v>4.52941176470588</v>
      </c>
      <c r="F13" s="12" t="n">
        <f aca="false">STDEV(Raw_Data!$E$2:$E$18)</f>
        <v>0.717430053979439</v>
      </c>
      <c r="G13" s="12" t="n">
        <f aca="false">CORREL(Raw_Data!$E$2:$E$18,Scores!$F$2:$F$18)</f>
        <v>0.874901659050192</v>
      </c>
      <c r="H13" s="13" t="n">
        <f aca="false">TDIST(ABS(G13)*SQRT($B$5/(1-G13^2)),$B$5,2)</f>
        <v>4.30415627827616E-006</v>
      </c>
      <c r="I13" s="12" t="n">
        <f aca="false">CORREL(Raw_Data!$E$2:$E$18,Scores!$G$2:$G$18)</f>
        <v>0.666274324790561</v>
      </c>
      <c r="J13" s="12" t="n">
        <f aca="false">I13*SQRT($B$5/(1-I13^2))</f>
        <v>3.4604346013862</v>
      </c>
      <c r="K13" s="13" t="n">
        <f aca="false">TDIST(ABS(J13),$B$5,2)</f>
        <v>0.00349617073827275</v>
      </c>
      <c r="L13" s="12" t="n">
        <f aca="false">$B$7</f>
        <v>0.482146016900332</v>
      </c>
      <c r="M13" s="10" t="str">
        <f aca="false">IF(I13&gt;=L13,"Meets criterion","Does not meet")</f>
        <v>Meets criterion</v>
      </c>
      <c r="N13" s="10" t="str">
        <f aca="false">IF(G13&gt;=L13,"Meets","Does not meet")</f>
        <v>Meets</v>
      </c>
    </row>
    <row r="14" customFormat="false" ht="27.75" hidden="false" customHeight="true" outlineLevel="0" collapsed="false">
      <c r="A14" s="10" t="s">
        <v>66</v>
      </c>
      <c r="B14" s="10" t="s">
        <v>71</v>
      </c>
      <c r="C14" s="10" t="s">
        <v>5</v>
      </c>
      <c r="D14" s="11" t="s">
        <v>73</v>
      </c>
      <c r="E14" s="12" t="n">
        <f aca="false">AVERAGE(Raw_Data!$F$2:$F$18)</f>
        <v>4.52941176470588</v>
      </c>
      <c r="F14" s="12" t="n">
        <f aca="false">STDEV(Raw_Data!$F$2:$F$18)</f>
        <v>0.799816155346303</v>
      </c>
      <c r="G14" s="12" t="n">
        <f aca="false">CORREL(Raw_Data!$F$2:$F$18,Scores!$F$2:$F$18)</f>
        <v>0.881108221759649</v>
      </c>
      <c r="H14" s="13" t="n">
        <f aca="false">TDIST(ABS(G14)*SQRT($B$5/(1-G14^2)),$B$5,2)</f>
        <v>2.99413056964189E-006</v>
      </c>
      <c r="I14" s="12" t="n">
        <f aca="false">CORREL(Raw_Data!$F$2:$F$18,Scores!$H$2:$H$18)</f>
        <v>0.634422454748711</v>
      </c>
      <c r="J14" s="12" t="n">
        <f aca="false">I14*SQRT($B$5/(1-I14^2))</f>
        <v>3.17871988855914</v>
      </c>
      <c r="K14" s="13" t="n">
        <f aca="false">TDIST(ABS(J14),$B$5,2)</f>
        <v>0.00622936998395798</v>
      </c>
      <c r="L14" s="12" t="n">
        <f aca="false">$B$7</f>
        <v>0.482146016900332</v>
      </c>
      <c r="M14" s="10" t="str">
        <f aca="false">IF(I14&gt;=L14,"Meets criterion","Does not meet")</f>
        <v>Meets criterion</v>
      </c>
      <c r="N14" s="10" t="str">
        <f aca="false">IF(G14&gt;=L14,"Meets","Does not meet")</f>
        <v>Meets</v>
      </c>
    </row>
    <row r="15" customFormat="false" ht="27.75" hidden="false" customHeight="true" outlineLevel="0" collapsed="false">
      <c r="A15" s="10" t="s">
        <v>66</v>
      </c>
      <c r="B15" s="10" t="s">
        <v>71</v>
      </c>
      <c r="C15" s="10" t="s">
        <v>6</v>
      </c>
      <c r="D15" s="11" t="s">
        <v>74</v>
      </c>
      <c r="E15" s="12" t="n">
        <f aca="false">AVERAGE(Raw_Data!$G$2:$G$18)</f>
        <v>4.35294117647059</v>
      </c>
      <c r="F15" s="12" t="n">
        <f aca="false">STDEV(Raw_Data!$G$2:$G$18)</f>
        <v>0.492592183071889</v>
      </c>
      <c r="G15" s="12" t="n">
        <f aca="false">CORREL(Raw_Data!$G$2:$G$18,Scores!$F$2:$F$18)</f>
        <v>0.588818559853515</v>
      </c>
      <c r="H15" s="13" t="n">
        <f aca="false">TDIST(ABS(G15)*SQRT($B$5/(1-G15^2)),$B$5,2)</f>
        <v>0.012889174857882</v>
      </c>
      <c r="I15" s="12" t="n">
        <f aca="false">CORREL(Raw_Data!$G$2:$G$18,Scores!$I$2:$I$18)</f>
        <v>0.332756731390933</v>
      </c>
      <c r="J15" s="12" t="n">
        <f aca="false">I15*SQRT($B$5/(1-I15^2))</f>
        <v>1.3666425437715</v>
      </c>
      <c r="K15" s="13" t="n">
        <f aca="false">TDIST(ABS(J15),$B$5,2)</f>
        <v>0.191873735238177</v>
      </c>
      <c r="L15" s="12" t="n">
        <f aca="false">$B$7</f>
        <v>0.482146016900332</v>
      </c>
      <c r="M15" s="10" t="str">
        <f aca="false">IF(I15&gt;=L15,"Meets criterion","Does not meet")</f>
        <v>Does not meet</v>
      </c>
      <c r="N15" s="10" t="str">
        <f aca="false">IF(G15&gt;=L15,"Meets","Does not meet")</f>
        <v>Meets</v>
      </c>
    </row>
    <row r="16" customFormat="false" ht="27.75" hidden="false" customHeight="true" outlineLevel="0" collapsed="false">
      <c r="A16" s="10" t="s">
        <v>66</v>
      </c>
      <c r="B16" s="10" t="s">
        <v>75</v>
      </c>
      <c r="C16" s="10" t="s">
        <v>7</v>
      </c>
      <c r="D16" s="11" t="s">
        <v>76</v>
      </c>
      <c r="E16" s="12" t="n">
        <f aca="false">AVERAGE(Raw_Data!$H$2:$H$18)</f>
        <v>3.94117647058824</v>
      </c>
      <c r="F16" s="12" t="n">
        <f aca="false">STDEV(Raw_Data!$H$2:$H$18)</f>
        <v>0.555718930226211</v>
      </c>
      <c r="G16" s="12" t="n">
        <f aca="false">CORREL(Raw_Data!$H$2:$H$18,Scores!$J$2:$J$18)</f>
        <v>0.853861054531529</v>
      </c>
      <c r="H16" s="13" t="n">
        <f aca="false">TDIST(ABS(G16)*SQRT($B$5/(1-G16^2)),$B$5,2)</f>
        <v>1.29575653767582E-005</v>
      </c>
      <c r="I16" s="12" t="n">
        <f aca="false">CORREL(Raw_Data!$H$2:$H$18,Scores!$K$2:$K$18)</f>
        <v>0.714938854824359</v>
      </c>
      <c r="J16" s="12" t="n">
        <f aca="false">I16*SQRT($B$5/(1-I16^2))</f>
        <v>3.96023718269641</v>
      </c>
      <c r="K16" s="13" t="n">
        <f aca="false">TDIST(ABS(J16),$B$5,2)</f>
        <v>0.00125703390908658</v>
      </c>
      <c r="L16" s="12" t="n">
        <f aca="false">$B$7</f>
        <v>0.482146016900332</v>
      </c>
      <c r="M16" s="10" t="str">
        <f aca="false">IF(I16&gt;=L16,"Meets criterion","Does not meet")</f>
        <v>Meets criterion</v>
      </c>
      <c r="N16" s="10" t="str">
        <f aca="false">IF(G16&gt;=L16,"Meets","Does not meet")</f>
        <v>Meets</v>
      </c>
    </row>
    <row r="17" customFormat="false" ht="27.75" hidden="false" customHeight="true" outlineLevel="0" collapsed="false">
      <c r="A17" s="10" t="s">
        <v>66</v>
      </c>
      <c r="B17" s="10" t="s">
        <v>75</v>
      </c>
      <c r="C17" s="10" t="s">
        <v>8</v>
      </c>
      <c r="D17" s="11" t="s">
        <v>77</v>
      </c>
      <c r="E17" s="12" t="n">
        <f aca="false">AVERAGE(Raw_Data!$I$2:$I$18)</f>
        <v>4.05882352941176</v>
      </c>
      <c r="F17" s="12" t="n">
        <f aca="false">STDEV(Raw_Data!$I$2:$I$18)</f>
        <v>0.747545001596402</v>
      </c>
      <c r="G17" s="12" t="n">
        <f aca="false">CORREL(Raw_Data!$I$2:$I$18,Scores!$J$2:$J$18)</f>
        <v>0.720146264995367</v>
      </c>
      <c r="H17" s="13" t="n">
        <f aca="false">TDIST(ABS(G17)*SQRT($B$5/(1-G17^2)),$B$5,2)</f>
        <v>0.00111328375224367</v>
      </c>
      <c r="I17" s="12" t="n">
        <f aca="false">CORREL(Raw_Data!$I$2:$I$18,Scores!$L$2:$L$18)</f>
        <v>0.382795515051273</v>
      </c>
      <c r="J17" s="12" t="n">
        <f aca="false">I17*SQRT($B$5/(1-I17^2))</f>
        <v>1.60479274600709</v>
      </c>
      <c r="K17" s="13" t="n">
        <f aca="false">TDIST(ABS(J17),$B$5,2)</f>
        <v>0.129382570449651</v>
      </c>
      <c r="L17" s="12" t="n">
        <f aca="false">$B$7</f>
        <v>0.482146016900332</v>
      </c>
      <c r="M17" s="10" t="str">
        <f aca="false">IF(I17&gt;=L17,"Meets criterion","Does not meet")</f>
        <v>Does not meet</v>
      </c>
      <c r="N17" s="10" t="str">
        <f aca="false">IF(G17&gt;=L17,"Meets","Does not meet")</f>
        <v>Meets</v>
      </c>
    </row>
    <row r="18" customFormat="false" ht="27.75" hidden="false" customHeight="true" outlineLevel="0" collapsed="false">
      <c r="A18" s="10" t="s">
        <v>66</v>
      </c>
      <c r="B18" s="10" t="s">
        <v>75</v>
      </c>
      <c r="C18" s="10" t="s">
        <v>9</v>
      </c>
      <c r="D18" s="11" t="s">
        <v>78</v>
      </c>
      <c r="E18" s="12" t="n">
        <f aca="false">AVERAGE(Raw_Data!$J$2:$J$18)</f>
        <v>4.11764705882353</v>
      </c>
      <c r="F18" s="12" t="n">
        <f aca="false">STDEV(Raw_Data!$J$2:$J$18)</f>
        <v>0.857492925712544</v>
      </c>
      <c r="G18" s="12" t="n">
        <f aca="false">CORREL(Raw_Data!$J$2:$J$18,Scores!$J$2:$J$18)</f>
        <v>0.833770000535581</v>
      </c>
      <c r="H18" s="13" t="n">
        <f aca="false">TDIST(ABS(G18)*SQRT($B$5/(1-G18^2)),$B$5,2)</f>
        <v>3.20180750890807E-005</v>
      </c>
      <c r="I18" s="12" t="n">
        <f aca="false">CORREL(Raw_Data!$J$2:$J$18,Scores!$M$2:$M$18)</f>
        <v>0.521536192416212</v>
      </c>
      <c r="J18" s="12" t="n">
        <f aca="false">I18*SQRT($B$5/(1-I18^2))</f>
        <v>2.36736047200159</v>
      </c>
      <c r="K18" s="13" t="n">
        <f aca="false">TDIST(ABS(J18),$B$5,2)</f>
        <v>0.0317860810882833</v>
      </c>
      <c r="L18" s="12" t="n">
        <f aca="false">$B$7</f>
        <v>0.482146016900332</v>
      </c>
      <c r="M18" s="10" t="str">
        <f aca="false">IF(I18&gt;=L18,"Meets criterion","Does not meet")</f>
        <v>Meets criterion</v>
      </c>
      <c r="N18" s="10" t="str">
        <f aca="false">IF(G18&gt;=L18,"Meets","Does not meet")</f>
        <v>Meets</v>
      </c>
    </row>
    <row r="19" customFormat="false" ht="27.75" hidden="false" customHeight="true" outlineLevel="0" collapsed="false">
      <c r="A19" s="10" t="s">
        <v>66</v>
      </c>
      <c r="B19" s="10" t="s">
        <v>79</v>
      </c>
      <c r="C19" s="10" t="s">
        <v>10</v>
      </c>
      <c r="D19" s="11" t="s">
        <v>80</v>
      </c>
      <c r="E19" s="12" t="n">
        <f aca="false">AVERAGE(Raw_Data!$K$2:$K$18)</f>
        <v>4.58823529411765</v>
      </c>
      <c r="F19" s="12" t="n">
        <f aca="false">STDEV(Raw_Data!$K$2:$K$18)</f>
        <v>0.618346942400842</v>
      </c>
      <c r="G19" s="12" t="n">
        <f aca="false">CORREL(Raw_Data!$K$2:$K$18,Scores!$N$2:$N$18)</f>
        <v>0.813645642014526</v>
      </c>
      <c r="H19" s="13" t="n">
        <f aca="false">TDIST(ABS(G19)*SQRT($B$5/(1-G19^2)),$B$5,2)</f>
        <v>7.0899362479275E-005</v>
      </c>
      <c r="I19" s="12" t="n">
        <f aca="false">CORREL(Raw_Data!$K$2:$K$18,Scores!$O$2:$O$18)</f>
        <v>0.409015595017684</v>
      </c>
      <c r="J19" s="12" t="n">
        <f aca="false">I19*SQRT($B$5/(1-I19^2))</f>
        <v>1.73595949002753</v>
      </c>
      <c r="K19" s="13" t="n">
        <f aca="false">TDIST(ABS(J19),$B$5,2)</f>
        <v>0.103059733240263</v>
      </c>
      <c r="L19" s="12" t="n">
        <f aca="false">$B$7</f>
        <v>0.482146016900332</v>
      </c>
      <c r="M19" s="10" t="str">
        <f aca="false">IF(I19&gt;=L19,"Meets criterion","Does not meet")</f>
        <v>Does not meet</v>
      </c>
      <c r="N19" s="10" t="str">
        <f aca="false">IF(G19&gt;=L19,"Meets","Does not meet")</f>
        <v>Meets</v>
      </c>
    </row>
    <row r="20" customFormat="false" ht="27.75" hidden="false" customHeight="true" outlineLevel="0" collapsed="false">
      <c r="A20" s="10" t="s">
        <v>66</v>
      </c>
      <c r="B20" s="10" t="s">
        <v>79</v>
      </c>
      <c r="C20" s="10" t="s">
        <v>11</v>
      </c>
      <c r="D20" s="11" t="s">
        <v>81</v>
      </c>
      <c r="E20" s="12" t="n">
        <f aca="false">AVERAGE(Raw_Data!$L$2:$L$18)</f>
        <v>4.82352941176471</v>
      </c>
      <c r="F20" s="12" t="n">
        <f aca="false">STDEV(Raw_Data!$L$2:$L$18)</f>
        <v>0.392952623996688</v>
      </c>
      <c r="G20" s="12" t="n">
        <f aca="false">CORREL(Raw_Data!$L$2:$L$18,Scores!$N$2:$N$18)</f>
        <v>0.711303297442365</v>
      </c>
      <c r="H20" s="13" t="n">
        <f aca="false">TDIST(ABS(G20)*SQRT($B$5/(1-G20^2)),$B$5,2)</f>
        <v>0.00136619126959007</v>
      </c>
      <c r="I20" s="12" t="n">
        <f aca="false">CORREL(Raw_Data!$L$2:$L$18,Scores!$P$2:$P$18)</f>
        <v>0.455696696154245</v>
      </c>
      <c r="J20" s="12" t="n">
        <f aca="false">I20*SQRT($B$5/(1-I20^2))</f>
        <v>1.9827391229011</v>
      </c>
      <c r="K20" s="13" t="n">
        <f aca="false">TDIST(ABS(J20),$B$5,2)</f>
        <v>0.0660189111550316</v>
      </c>
      <c r="L20" s="12" t="n">
        <f aca="false">$B$7</f>
        <v>0.482146016900332</v>
      </c>
      <c r="M20" s="10" t="str">
        <f aca="false">IF(I20&gt;=L20,"Meets criterion","Does not meet")</f>
        <v>Does not meet</v>
      </c>
      <c r="N20" s="10" t="str">
        <f aca="false">IF(G20&gt;=L20,"Meets","Does not meet")</f>
        <v>Meets</v>
      </c>
    </row>
    <row r="21" customFormat="false" ht="27.75" hidden="false" customHeight="true" outlineLevel="0" collapsed="false">
      <c r="A21" s="10" t="s">
        <v>66</v>
      </c>
      <c r="B21" s="10" t="s">
        <v>79</v>
      </c>
      <c r="C21" s="10" t="s">
        <v>12</v>
      </c>
      <c r="D21" s="11" t="s">
        <v>82</v>
      </c>
      <c r="E21" s="12" t="n">
        <f aca="false">AVERAGE(Raw_Data!$M$2:$M$18)</f>
        <v>4.58823529411765</v>
      </c>
      <c r="F21" s="12" t="n">
        <f aca="false">STDEV(Raw_Data!$M$2:$M$18)</f>
        <v>0.507299656195892</v>
      </c>
      <c r="G21" s="12" t="n">
        <f aca="false">CORREL(Raw_Data!$M$2:$M$18,Scores!$N$2:$N$18)</f>
        <v>0.661167798023208</v>
      </c>
      <c r="H21" s="13" t="n">
        <f aca="false">TDIST(ABS(G21)*SQRT($B$5/(1-G21^2)),$B$5,2)</f>
        <v>0.00385223925527248</v>
      </c>
      <c r="I21" s="12" t="n">
        <f aca="false">CORREL(Raw_Data!$M$2:$M$18,Scores!$Q$2:$Q$18)</f>
        <v>0.266481674159722</v>
      </c>
      <c r="J21" s="12" t="n">
        <f aca="false">I21*SQRT($B$5/(1-I21^2))</f>
        <v>1.07079920089409</v>
      </c>
      <c r="K21" s="13" t="n">
        <f aca="false">TDIST(ABS(J21),$B$5,2)</f>
        <v>0.301187593994749</v>
      </c>
      <c r="L21" s="12" t="n">
        <f aca="false">$B$7</f>
        <v>0.482146016900332</v>
      </c>
      <c r="M21" s="10" t="str">
        <f aca="false">IF(I21&gt;=L21,"Meets criterion","Does not meet")</f>
        <v>Does not meet</v>
      </c>
      <c r="N21" s="10" t="str">
        <f aca="false">IF(G21&gt;=L21,"Meets","Does not meet")</f>
        <v>Meets</v>
      </c>
    </row>
    <row r="22" customFormat="false" ht="27.75" hidden="false" customHeight="true" outlineLevel="0" collapsed="false">
      <c r="A22" s="10" t="s">
        <v>83</v>
      </c>
      <c r="B22" s="10" t="s">
        <v>67</v>
      </c>
      <c r="C22" s="10" t="s">
        <v>13</v>
      </c>
      <c r="D22" s="11" t="s">
        <v>84</v>
      </c>
      <c r="E22" s="12" t="n">
        <f aca="false">AVERAGE(Raw_Data!$N$2:$N$18)</f>
        <v>4.52941176470588</v>
      </c>
      <c r="F22" s="12" t="n">
        <f aca="false">STDEV(Raw_Data!$N$2:$N$18)</f>
        <v>0.717430053979439</v>
      </c>
      <c r="G22" s="12" t="n">
        <f aca="false">CORREL(Raw_Data!$N$2:$N$18,Scores!$S$2:$S$18)</f>
        <v>0.908540823833155</v>
      </c>
      <c r="H22" s="13" t="n">
        <f aca="false">TDIST(ABS(G22)*SQRT($B$5/(1-G22^2)),$B$5,2)</f>
        <v>4.54485939117255E-007</v>
      </c>
      <c r="I22" s="12" t="n">
        <f aca="false">CORREL(Raw_Data!$N$2:$N$18,Scores!$T$2:$T$18)</f>
        <v>0.758287544405155</v>
      </c>
      <c r="J22" s="12" t="n">
        <f aca="false">I22*SQRT($B$5/(1-I22^2))</f>
        <v>4.50489929377548</v>
      </c>
      <c r="K22" s="13" t="n">
        <f aca="false">TDIST(ABS(J22),$B$5,2)</f>
        <v>0.000419185073054781</v>
      </c>
      <c r="L22" s="12" t="n">
        <f aca="false">$B$7</f>
        <v>0.482146016900332</v>
      </c>
      <c r="M22" s="10" t="str">
        <f aca="false">IF(I22&gt;=L22,"Meets criterion","Does not meet")</f>
        <v>Meets criterion</v>
      </c>
      <c r="N22" s="10" t="str">
        <f aca="false">IF(G22&gt;=L22,"Meets","Does not meet")</f>
        <v>Meets</v>
      </c>
    </row>
    <row r="23" customFormat="false" ht="27.75" hidden="false" customHeight="true" outlineLevel="0" collapsed="false">
      <c r="A23" s="10" t="s">
        <v>83</v>
      </c>
      <c r="B23" s="10" t="s">
        <v>67</v>
      </c>
      <c r="C23" s="10" t="s">
        <v>14</v>
      </c>
      <c r="D23" s="11" t="s">
        <v>85</v>
      </c>
      <c r="E23" s="12" t="n">
        <f aca="false">AVERAGE(Raw_Data!$O$2:$O$18)</f>
        <v>4.17647058823529</v>
      </c>
      <c r="F23" s="12" t="n">
        <f aca="false">STDEV(Raw_Data!$O$2:$O$18)</f>
        <v>0.88284300116492</v>
      </c>
      <c r="G23" s="12" t="n">
        <f aca="false">CORREL(Raw_Data!$O$2:$O$18,Scores!$S$2:$S$18)</f>
        <v>0.968882549280931</v>
      </c>
      <c r="H23" s="13" t="n">
        <f aca="false">TDIST(ABS(G23)*SQRT($B$5/(1-G23^2)),$B$5,2)</f>
        <v>1.67076552427414E-010</v>
      </c>
      <c r="I23" s="12" t="n">
        <f aca="false">CORREL(Raw_Data!$O$2:$O$18,Scores!$U$2:$U$18)</f>
        <v>0.875688303847615</v>
      </c>
      <c r="J23" s="12" t="n">
        <f aca="false">I23*SQRT($B$5/(1-I23^2))</f>
        <v>7.02358507629625</v>
      </c>
      <c r="K23" s="13" t="n">
        <f aca="false">TDIST(ABS(J23),$B$5,2)</f>
        <v>4.11503031001368E-006</v>
      </c>
      <c r="L23" s="12" t="n">
        <f aca="false">$B$7</f>
        <v>0.482146016900332</v>
      </c>
      <c r="M23" s="10" t="str">
        <f aca="false">IF(I23&gt;=L23,"Meets criterion","Does not meet")</f>
        <v>Meets criterion</v>
      </c>
      <c r="N23" s="10" t="str">
        <f aca="false">IF(G23&gt;=L23,"Meets","Does not meet")</f>
        <v>Meets</v>
      </c>
    </row>
    <row r="24" customFormat="false" ht="27.75" hidden="false" customHeight="true" outlineLevel="0" collapsed="false">
      <c r="A24" s="10" t="s">
        <v>83</v>
      </c>
      <c r="B24" s="10" t="s">
        <v>67</v>
      </c>
      <c r="C24" s="10" t="s">
        <v>15</v>
      </c>
      <c r="D24" s="11" t="s">
        <v>86</v>
      </c>
      <c r="E24" s="12" t="n">
        <f aca="false">AVERAGE(Raw_Data!$P$2:$P$18)</f>
        <v>4.88235294117647</v>
      </c>
      <c r="F24" s="12" t="n">
        <f aca="false">STDEV(Raw_Data!$P$2:$P$18)</f>
        <v>0.332105582077536</v>
      </c>
      <c r="G24" s="12" t="n">
        <f aca="false">CORREL(Raw_Data!$P$2:$P$18,Scores!$S$2:$S$18)</f>
        <v>0.573804584053031</v>
      </c>
      <c r="H24" s="13" t="n">
        <f aca="false">TDIST(ABS(G24)*SQRT($B$5/(1-G24^2)),$B$5,2)</f>
        <v>0.0160190177336323</v>
      </c>
      <c r="I24" s="12" t="n">
        <f aca="false">CORREL(Raw_Data!$P$2:$P$18,Scores!$V$2:$V$18)</f>
        <v>0.419234511649</v>
      </c>
      <c r="J24" s="12" t="n">
        <f aca="false">I24*SQRT($B$5/(1-I24^2))</f>
        <v>1.78844329285687</v>
      </c>
      <c r="K24" s="13" t="n">
        <f aca="false">TDIST(ABS(J24),$B$5,2)</f>
        <v>0.0939165308912372</v>
      </c>
      <c r="L24" s="12" t="n">
        <f aca="false">$B$7</f>
        <v>0.482146016900332</v>
      </c>
      <c r="M24" s="10" t="str">
        <f aca="false">IF(I24&gt;=L24,"Meets criterion","Does not meet")</f>
        <v>Does not meet</v>
      </c>
      <c r="N24" s="10" t="str">
        <f aca="false">IF(G24&gt;=L24,"Meets","Does not meet")</f>
        <v>Meets</v>
      </c>
    </row>
    <row r="25" customFormat="false" ht="27.75" hidden="false" customHeight="true" outlineLevel="0" collapsed="false">
      <c r="A25" s="10" t="s">
        <v>83</v>
      </c>
      <c r="B25" s="10" t="s">
        <v>71</v>
      </c>
      <c r="C25" s="10" t="s">
        <v>16</v>
      </c>
      <c r="D25" s="11" t="s">
        <v>87</v>
      </c>
      <c r="E25" s="12" t="n">
        <f aca="false">AVERAGE(Raw_Data!$Q$2:$Q$18)</f>
        <v>4.82352941176471</v>
      </c>
      <c r="F25" s="12" t="n">
        <f aca="false">STDEV(Raw_Data!$Q$2:$Q$18)</f>
        <v>0.392952623996688</v>
      </c>
      <c r="G25" s="12" t="n">
        <f aca="false">CORREL(Raw_Data!$Q$2:$Q$18,Scores!$W$2:$W$18)</f>
        <v>0.955258709056808</v>
      </c>
      <c r="H25" s="13" t="n">
        <f aca="false">TDIST(ABS(G25)*SQRT($B$5/(1-G25^2)),$B$5,2)</f>
        <v>2.4460565393082E-009</v>
      </c>
      <c r="I25" s="12" t="n">
        <f aca="false">CORREL(Raw_Data!$Q$2:$Q$18,Scores!$X$2:$X$18)</f>
        <v>0.893095206357669</v>
      </c>
      <c r="J25" s="12" t="n">
        <f aca="false">I25*SQRT($B$5/(1-I25^2))</f>
        <v>7.68880010527153</v>
      </c>
      <c r="K25" s="13" t="n">
        <f aca="false">TDIST(ABS(J25),$B$5,2)</f>
        <v>1.39879450128222E-006</v>
      </c>
      <c r="L25" s="12" t="n">
        <f aca="false">$B$7</f>
        <v>0.482146016900332</v>
      </c>
      <c r="M25" s="10" t="str">
        <f aca="false">IF(I25&gt;=L25,"Meets criterion","Does not meet")</f>
        <v>Meets criterion</v>
      </c>
      <c r="N25" s="10" t="str">
        <f aca="false">IF(G25&gt;=L25,"Meets","Does not meet")</f>
        <v>Meets</v>
      </c>
    </row>
    <row r="26" customFormat="false" ht="41.25" hidden="false" customHeight="true" outlineLevel="0" collapsed="false">
      <c r="A26" s="10" t="s">
        <v>83</v>
      </c>
      <c r="B26" s="10" t="s">
        <v>71</v>
      </c>
      <c r="C26" s="10" t="s">
        <v>17</v>
      </c>
      <c r="D26" s="11" t="s">
        <v>88</v>
      </c>
      <c r="E26" s="12" t="n">
        <f aca="false">AVERAGE(Raw_Data!$R$2:$R$18)</f>
        <v>4.76470588235294</v>
      </c>
      <c r="F26" s="12" t="n">
        <f aca="false">STDEV(Raw_Data!$R$2:$R$18)</f>
        <v>0.437237316097603</v>
      </c>
      <c r="G26" s="12" t="n">
        <f aca="false">CORREL(Raw_Data!$R$2:$R$18,Scores!$W$2:$W$18)</f>
        <v>0.921516982147967</v>
      </c>
      <c r="H26" s="13" t="n">
        <f aca="false">TDIST(ABS(G26)*SQRT($B$5/(1-G26^2)),$B$5,2)</f>
        <v>1.49923708903807E-007</v>
      </c>
      <c r="I26" s="12" t="n">
        <f aca="false">CORREL(Raw_Data!$R$2:$R$18,Scores!$Y$2:$Y$18)</f>
        <v>0.796721798998873</v>
      </c>
      <c r="J26" s="12" t="n">
        <f aca="false">I26*SQRT($B$5/(1-I26^2))</f>
        <v>5.10583183395003</v>
      </c>
      <c r="K26" s="13" t="n">
        <f aca="false">TDIST(ABS(J26),$B$5,2)</f>
        <v>0.000129094329655371</v>
      </c>
      <c r="L26" s="12" t="n">
        <f aca="false">$B$7</f>
        <v>0.482146016900332</v>
      </c>
      <c r="M26" s="10" t="str">
        <f aca="false">IF(I26&gt;=L26,"Meets criterion","Does not meet")</f>
        <v>Meets criterion</v>
      </c>
      <c r="N26" s="10" t="str">
        <f aca="false">IF(G26&gt;=L26,"Meets","Does not meet")</f>
        <v>Meets</v>
      </c>
    </row>
    <row r="27" customFormat="false" ht="27.75" hidden="false" customHeight="true" outlineLevel="0" collapsed="false">
      <c r="A27" s="10" t="s">
        <v>83</v>
      </c>
      <c r="B27" s="10" t="s">
        <v>71</v>
      </c>
      <c r="C27" s="10" t="s">
        <v>18</v>
      </c>
      <c r="D27" s="11" t="s">
        <v>89</v>
      </c>
      <c r="E27" s="12" t="n">
        <f aca="false">AVERAGE(Raw_Data!$S$2:$S$18)</f>
        <v>4.88235294117647</v>
      </c>
      <c r="F27" s="12" t="n">
        <f aca="false">STDEV(Raw_Data!$S$2:$S$18)</f>
        <v>0.332105582077536</v>
      </c>
      <c r="G27" s="12" t="n">
        <f aca="false">CORREL(Raw_Data!$S$2:$S$18,Scores!$W$2:$W$18)</f>
        <v>0.871039423573557</v>
      </c>
      <c r="H27" s="13" t="n">
        <f aca="false">TDIST(ABS(G27)*SQRT($B$5/(1-G27^2)),$B$5,2)</f>
        <v>5.34389990492411E-006</v>
      </c>
      <c r="I27" s="12" t="n">
        <f aca="false">CORREL(Raw_Data!$S$2:$S$18,Scores!$Z$2:$Z$18)</f>
        <v>0.751742162626101</v>
      </c>
      <c r="J27" s="12" t="n">
        <f aca="false">I27*SQRT($B$5/(1-I27^2))</f>
        <v>4.41497209613217</v>
      </c>
      <c r="K27" s="13" t="n">
        <f aca="false">TDIST(ABS(J27),$B$5,2)</f>
        <v>0.000501644376077254</v>
      </c>
      <c r="L27" s="12" t="n">
        <f aca="false">$B$7</f>
        <v>0.482146016900332</v>
      </c>
      <c r="M27" s="10" t="str">
        <f aca="false">IF(I27&gt;=L27,"Meets criterion","Does not meet")</f>
        <v>Meets criterion</v>
      </c>
      <c r="N27" s="10" t="str">
        <f aca="false">IF(G27&gt;=L27,"Meets","Does not meet")</f>
        <v>Meets</v>
      </c>
    </row>
    <row r="28" customFormat="false" ht="27.75" hidden="false" customHeight="true" outlineLevel="0" collapsed="false">
      <c r="A28" s="10" t="s">
        <v>83</v>
      </c>
      <c r="B28" s="10" t="s">
        <v>75</v>
      </c>
      <c r="C28" s="10" t="s">
        <v>19</v>
      </c>
      <c r="D28" s="11" t="s">
        <v>90</v>
      </c>
      <c r="E28" s="12" t="n">
        <f aca="false">AVERAGE(Raw_Data!$T$2:$T$18)</f>
        <v>4.23529411764706</v>
      </c>
      <c r="F28" s="12" t="n">
        <f aca="false">STDEV(Raw_Data!$T$2:$T$18)</f>
        <v>0.562295714538387</v>
      </c>
      <c r="G28" s="12" t="n">
        <f aca="false">CORREL(Raw_Data!$T$2:$T$18,Scores!$AA$2:$AA$18)</f>
        <v>0.729138184780265</v>
      </c>
      <c r="H28" s="13" t="n">
        <f aca="false">TDIST(ABS(G28)*SQRT($B$5/(1-G28^2)),$B$5,2)</f>
        <v>0.000897047536464178</v>
      </c>
      <c r="I28" s="12" t="n">
        <f aca="false">CORREL(Raw_Data!$T$2:$T$18,Scores!$AB$2:$AB$18)</f>
        <v>0.447089765068261</v>
      </c>
      <c r="J28" s="12" t="n">
        <f aca="false">I28*SQRT($B$5/(1-I28^2))</f>
        <v>1.93582149081227</v>
      </c>
      <c r="K28" s="13" t="n">
        <f aca="false">TDIST(ABS(J28),$B$5,2)</f>
        <v>0.0719678771271963</v>
      </c>
      <c r="L28" s="12" t="n">
        <f aca="false">$B$7</f>
        <v>0.482146016900332</v>
      </c>
      <c r="M28" s="10" t="str">
        <f aca="false">IF(I28&gt;=L28,"Meets criterion","Does not meet")</f>
        <v>Does not meet</v>
      </c>
      <c r="N28" s="10" t="str">
        <f aca="false">IF(G28&gt;=L28,"Meets","Does not meet")</f>
        <v>Meets</v>
      </c>
    </row>
    <row r="29" customFormat="false" ht="27.75" hidden="false" customHeight="true" outlineLevel="0" collapsed="false">
      <c r="A29" s="10" t="s">
        <v>83</v>
      </c>
      <c r="B29" s="10" t="s">
        <v>75</v>
      </c>
      <c r="C29" s="10" t="s">
        <v>20</v>
      </c>
      <c r="D29" s="11" t="s">
        <v>91</v>
      </c>
      <c r="E29" s="12" t="n">
        <f aca="false">AVERAGE(Raw_Data!$U$2:$U$18)</f>
        <v>4.52941176470588</v>
      </c>
      <c r="F29" s="12" t="n">
        <f aca="false">STDEV(Raw_Data!$U$2:$U$18)</f>
        <v>0.624264272846798</v>
      </c>
      <c r="G29" s="12" t="n">
        <f aca="false">CORREL(Raw_Data!$U$2:$U$18,Scores!$AA$2:$AA$18)</f>
        <v>0.822975978734411</v>
      </c>
      <c r="H29" s="13" t="n">
        <f aca="false">TDIST(ABS(G29)*SQRT($B$5/(1-G29^2)),$B$5,2)</f>
        <v>4.96448852972443E-005</v>
      </c>
      <c r="I29" s="12" t="n">
        <f aca="false">CORREL(Raw_Data!$U$2:$U$18,Scores!$AC$2:$AC$18)</f>
        <v>0.569171990937598</v>
      </c>
      <c r="J29" s="12" t="n">
        <f aca="false">I29*SQRT($B$5/(1-I29^2))</f>
        <v>2.68103146519049</v>
      </c>
      <c r="K29" s="13" t="n">
        <f aca="false">TDIST(ABS(J29),$B$5,2)</f>
        <v>0.0170964486529086</v>
      </c>
      <c r="L29" s="12" t="n">
        <f aca="false">$B$7</f>
        <v>0.482146016900332</v>
      </c>
      <c r="M29" s="10" t="str">
        <f aca="false">IF(I29&gt;=L29,"Meets criterion","Does not meet")</f>
        <v>Meets criterion</v>
      </c>
      <c r="N29" s="10" t="str">
        <f aca="false">IF(G29&gt;=L29,"Meets","Does not meet")</f>
        <v>Meets</v>
      </c>
    </row>
    <row r="30" customFormat="false" ht="27.75" hidden="false" customHeight="true" outlineLevel="0" collapsed="false">
      <c r="A30" s="10" t="s">
        <v>83</v>
      </c>
      <c r="B30" s="10" t="s">
        <v>75</v>
      </c>
      <c r="C30" s="10" t="s">
        <v>21</v>
      </c>
      <c r="D30" s="11" t="s">
        <v>92</v>
      </c>
      <c r="E30" s="12" t="n">
        <f aca="false">AVERAGE(Raw_Data!$V$2:$V$18)</f>
        <v>4.35294117647059</v>
      </c>
      <c r="F30" s="12" t="n">
        <f aca="false">STDEV(Raw_Data!$V$2:$V$18)</f>
        <v>0.701888209634219</v>
      </c>
      <c r="G30" s="12" t="n">
        <f aca="false">CORREL(Raw_Data!$V$2:$V$18,Scores!$AA$2:$AA$18)</f>
        <v>0.75359488273392</v>
      </c>
      <c r="H30" s="13" t="n">
        <f aca="false">TDIST(ABS(G30)*SQRT($B$5/(1-G30^2)),$B$5,2)</f>
        <v>0.000477043409384182</v>
      </c>
      <c r="I30" s="12" t="n">
        <f aca="false">CORREL(Raw_Data!$V$2:$V$18,Scores!$AD$2:$AD$18)</f>
        <v>0.380460754876281</v>
      </c>
      <c r="J30" s="12" t="n">
        <f aca="false">I30*SQRT($B$5/(1-I30^2))</f>
        <v>1.593342173194</v>
      </c>
      <c r="K30" s="13" t="n">
        <f aca="false">TDIST(ABS(J30),$B$5,2)</f>
        <v>0.131933286758376</v>
      </c>
      <c r="L30" s="12" t="n">
        <f aca="false">$B$7</f>
        <v>0.482146016900332</v>
      </c>
      <c r="M30" s="10" t="str">
        <f aca="false">IF(I30&gt;=L30,"Meets criterion","Does not meet")</f>
        <v>Does not meet</v>
      </c>
      <c r="N30" s="10" t="str">
        <f aca="false">IF(G30&gt;=L30,"Meets","Does not meet")</f>
        <v>Meets</v>
      </c>
    </row>
    <row r="31" customFormat="false" ht="27.75" hidden="false" customHeight="true" outlineLevel="0" collapsed="false">
      <c r="A31" s="10" t="s">
        <v>83</v>
      </c>
      <c r="B31" s="10" t="s">
        <v>79</v>
      </c>
      <c r="C31" s="10" t="s">
        <v>22</v>
      </c>
      <c r="D31" s="11" t="s">
        <v>93</v>
      </c>
      <c r="E31" s="12" t="n">
        <f aca="false">AVERAGE(Raw_Data!$W$2:$W$18)</f>
        <v>4.64705882352941</v>
      </c>
      <c r="F31" s="12" t="n">
        <f aca="false">STDEV(Raw_Data!$W$2:$W$18)</f>
        <v>0.492592183071889</v>
      </c>
      <c r="G31" s="12" t="n">
        <f aca="false">CORREL(Raw_Data!$W$2:$W$18,Scores!$AE$2:$AE$18)</f>
        <v>0.857167086302252</v>
      </c>
      <c r="H31" s="13" t="n">
        <f aca="false">TDIST(ABS(G31)*SQRT($B$5/(1-G31^2)),$B$5,2)</f>
        <v>1.10246096729148E-005</v>
      </c>
      <c r="I31" s="12" t="n">
        <f aca="false">CORREL(Raw_Data!$W$2:$W$18,Scores!$AF$2:$AF$18)</f>
        <v>0.573873719830572</v>
      </c>
      <c r="J31" s="12" t="n">
        <f aca="false">I31*SQRT($B$5/(1-I31^2))</f>
        <v>2.7139876381914</v>
      </c>
      <c r="K31" s="13" t="n">
        <f aca="false">TDIST(ABS(J31),$B$5,2)</f>
        <v>0.016003352894253</v>
      </c>
      <c r="L31" s="12" t="n">
        <f aca="false">$B$7</f>
        <v>0.482146016900332</v>
      </c>
      <c r="M31" s="10" t="str">
        <f aca="false">IF(I31&gt;=L31,"Meets criterion","Does not meet")</f>
        <v>Meets criterion</v>
      </c>
      <c r="N31" s="10" t="str">
        <f aca="false">IF(G31&gt;=L31,"Meets","Does not meet")</f>
        <v>Meets</v>
      </c>
    </row>
    <row r="32" customFormat="false" ht="27.75" hidden="false" customHeight="true" outlineLevel="0" collapsed="false">
      <c r="A32" s="10" t="s">
        <v>83</v>
      </c>
      <c r="B32" s="10" t="s">
        <v>79</v>
      </c>
      <c r="C32" s="10" t="s">
        <v>23</v>
      </c>
      <c r="D32" s="11" t="s">
        <v>94</v>
      </c>
      <c r="E32" s="12" t="n">
        <f aca="false">AVERAGE(Raw_Data!$X$2:$X$18)</f>
        <v>4.58823529411765</v>
      </c>
      <c r="F32" s="12" t="n">
        <f aca="false">STDEV(Raw_Data!$X$2:$X$18)</f>
        <v>0.507299656195892</v>
      </c>
      <c r="G32" s="12" t="n">
        <f aca="false">CORREL(Raw_Data!$X$2:$X$18,Scores!$AE$2:$AE$18)</f>
        <v>0.722801054651654</v>
      </c>
      <c r="H32" s="13" t="n">
        <f aca="false">TDIST(ABS(G32)*SQRT($B$5/(1-G32^2)),$B$5,2)</f>
        <v>0.00104539403681495</v>
      </c>
      <c r="I32" s="12" t="n">
        <f aca="false">CORREL(Raw_Data!$X$2:$X$18,Scores!$AG$2:$AG$18)</f>
        <v>0.292944237920141</v>
      </c>
      <c r="J32" s="12" t="n">
        <f aca="false">I32*SQRT($B$5/(1-I32^2))</f>
        <v>1.18662599797455</v>
      </c>
      <c r="K32" s="13" t="n">
        <f aca="false">TDIST(ABS(J32),$B$5,2)</f>
        <v>0.253829858034793</v>
      </c>
      <c r="L32" s="12" t="n">
        <f aca="false">$B$7</f>
        <v>0.482146016900332</v>
      </c>
      <c r="M32" s="10" t="str">
        <f aca="false">IF(I32&gt;=L32,"Meets criterion","Does not meet")</f>
        <v>Does not meet</v>
      </c>
      <c r="N32" s="10" t="str">
        <f aca="false">IF(G32&gt;=L32,"Meets","Does not meet")</f>
        <v>Meets</v>
      </c>
    </row>
    <row r="33" customFormat="false" ht="27.75" hidden="false" customHeight="true" outlineLevel="0" collapsed="false">
      <c r="A33" s="10" t="s">
        <v>83</v>
      </c>
      <c r="B33" s="10" t="s">
        <v>79</v>
      </c>
      <c r="C33" s="10" t="s">
        <v>24</v>
      </c>
      <c r="D33" s="11" t="s">
        <v>95</v>
      </c>
      <c r="E33" s="12" t="n">
        <f aca="false">AVERAGE(Raw_Data!$Y$2:$Y$18)</f>
        <v>4.88235294117647</v>
      </c>
      <c r="F33" s="12" t="n">
        <f aca="false">STDEV(Raw_Data!$Y$2:$Y$18)</f>
        <v>0.332105582077536</v>
      </c>
      <c r="G33" s="12" t="n">
        <f aca="false">CORREL(Raw_Data!$Y$2:$Y$18,Scores!$AE$2:$AE$18)</f>
        <v>0.613387138025022</v>
      </c>
      <c r="H33" s="13" t="n">
        <f aca="false">TDIST(ABS(G33)*SQRT($B$5/(1-G33^2)),$B$5,2)</f>
        <v>0.00882835827828234</v>
      </c>
      <c r="I33" s="12" t="n">
        <f aca="false">CORREL(Raw_Data!$Y$2:$Y$18,Scores!$AH$2:$AH$18)</f>
        <v>0.332889775807067</v>
      </c>
      <c r="J33" s="12" t="n">
        <f aca="false">I33*SQRT($B$5/(1-I33^2))</f>
        <v>1.36725704405807</v>
      </c>
      <c r="K33" s="13" t="n">
        <f aca="false">TDIST(ABS(J33),$B$5,2)</f>
        <v>0.191685224131999</v>
      </c>
      <c r="L33" s="12" t="n">
        <f aca="false">$B$7</f>
        <v>0.482146016900332</v>
      </c>
      <c r="M33" s="10" t="str">
        <f aca="false">IF(I33&gt;=L33,"Meets criterion","Does not meet")</f>
        <v>Does not meet</v>
      </c>
      <c r="N33" s="10" t="str">
        <f aca="false">IF(G33&gt;=L33,"Meets","Does not meet")</f>
        <v>Meets</v>
      </c>
    </row>
    <row r="35" customFormat="false" ht="15" hidden="false" customHeight="true" outlineLevel="0" collapsed="false">
      <c r="A35" s="5" t="s">
        <v>96</v>
      </c>
    </row>
    <row r="36" customFormat="false" ht="15" hidden="false" customHeight="true" outlineLevel="0" collapsed="false">
      <c r="A36" s="5" t="s">
        <v>97</v>
      </c>
    </row>
    <row r="37" customFormat="false" ht="15" hidden="false" customHeight="true" outlineLevel="0" collapsed="false">
      <c r="A37" s="3" t="s">
        <v>98</v>
      </c>
    </row>
    <row r="38" customFormat="false" ht="15" hidden="false" customHeight="true" outlineLevel="0" collapsed="false">
      <c r="A38" s="1" t="s">
        <v>99</v>
      </c>
      <c r="D38" s="1" t="str">
        <f aca="false">COUNTIFS(A10:A33,"Pre",M10:M33,"Meets criterion")&amp;" of "&amp;COUNTIF(A10:A33,"Pre")</f>
        <v>5 of 12</v>
      </c>
    </row>
    <row r="39" customFormat="false" ht="15" hidden="false" customHeight="true" outlineLevel="0" collapsed="false">
      <c r="A39" s="1" t="s">
        <v>100</v>
      </c>
      <c r="D39" s="1" t="str">
        <f aca="false">COUNTIFS(A10:A33,"Post",M10:M33,"Meets criterion")&amp;" of "&amp;COUNTIF(A10:A33,"Post")</f>
        <v>7 of 12</v>
      </c>
    </row>
    <row r="40" customFormat="false" ht="15" hidden="false" customHeight="true" outlineLevel="0" collapsed="false">
      <c r="A40" s="1" t="s">
        <v>101</v>
      </c>
      <c r="D40" s="1" t="str">
        <f aca="false">COUNTIFS(A10:A33,"Pre",N10:N33,"Meets")&amp;" of "&amp;COUNTIF(A10:A33,"Pre")</f>
        <v>11 of 12</v>
      </c>
    </row>
    <row r="41" customFormat="false" ht="15" hidden="false" customHeight="true" outlineLevel="0" collapsed="false">
      <c r="A41" s="1" t="s">
        <v>102</v>
      </c>
      <c r="D41" s="1" t="str">
        <f aca="false">COUNTIFS(A10:A33,"Post",N10:N33,"Meets")&amp;" of "&amp;COUNTIF(A10:A33,"Post")</f>
        <v>12 of 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3" min="3" style="1" width="5"/>
    <col collapsed="false" customWidth="true" hidden="false" outlineLevel="0" max="6" min="4" style="1" width="9"/>
    <col collapsed="false" customWidth="true" hidden="false" outlineLevel="0" max="7" min="7" style="1" width="11"/>
    <col collapsed="false" customWidth="true" hidden="false" outlineLevel="0" max="9" min="8" style="1" width="10"/>
    <col collapsed="false" customWidth="true" hidden="false" outlineLevel="0" max="11" min="10" style="1" width="11"/>
    <col collapsed="false" customWidth="true" hidden="false" outlineLevel="0" max="14" min="12" style="1" width="9"/>
    <col collapsed="false" customWidth="true" hidden="false" outlineLevel="0" max="18" min="15" style="1" width="10"/>
    <col collapsed="false" customWidth="true" hidden="false" outlineLevel="0" max="19" min="19" style="1" width="24"/>
  </cols>
  <sheetData>
    <row r="1" customFormat="false" ht="15" hidden="false" customHeight="true" outlineLevel="0" collapsed="false">
      <c r="A1" s="6" t="s">
        <v>103</v>
      </c>
    </row>
    <row r="3" customFormat="false" ht="15" hidden="false" customHeight="true" outlineLevel="0" collapsed="false">
      <c r="A3" s="3" t="s">
        <v>104</v>
      </c>
      <c r="B3" s="7" t="n">
        <v>0.95</v>
      </c>
      <c r="C3" s="1" t="s">
        <v>105</v>
      </c>
    </row>
    <row r="4" customFormat="false" ht="15" hidden="false" customHeight="true" outlineLevel="0" collapsed="false">
      <c r="A4" s="3" t="s">
        <v>45</v>
      </c>
      <c r="B4" s="1" t="n">
        <f aca="false">COUNT(Raw_Data!B2:B18)</f>
        <v>17</v>
      </c>
    </row>
    <row r="6" customFormat="false" ht="45.75" hidden="false" customHeight="true" outlineLevel="0" collapsed="false">
      <c r="A6" s="9" t="s">
        <v>52</v>
      </c>
      <c r="B6" s="9" t="s">
        <v>53</v>
      </c>
      <c r="C6" s="9" t="s">
        <v>106</v>
      </c>
      <c r="D6" s="9" t="s">
        <v>107</v>
      </c>
      <c r="E6" s="9" t="s">
        <v>108</v>
      </c>
      <c r="F6" s="9" t="s">
        <v>109</v>
      </c>
      <c r="G6" s="9" t="s">
        <v>110</v>
      </c>
      <c r="H6" s="9" t="s">
        <v>111</v>
      </c>
      <c r="I6" s="9" t="s">
        <v>112</v>
      </c>
      <c r="J6" s="9" t="s">
        <v>113</v>
      </c>
      <c r="K6" s="9" t="s">
        <v>114</v>
      </c>
      <c r="L6" s="9" t="s">
        <v>115</v>
      </c>
      <c r="M6" s="9" t="s">
        <v>116</v>
      </c>
      <c r="N6" s="9" t="s">
        <v>117</v>
      </c>
      <c r="O6" s="9" t="s">
        <v>118</v>
      </c>
      <c r="P6" s="9" t="s">
        <v>119</v>
      </c>
      <c r="Q6" s="9" t="s">
        <v>120</v>
      </c>
      <c r="R6" s="9" t="s">
        <v>121</v>
      </c>
      <c r="S6" s="9" t="s">
        <v>122</v>
      </c>
    </row>
    <row r="7" customFormat="false" ht="15" hidden="false" customHeight="true" outlineLevel="0" collapsed="false">
      <c r="A7" s="14" t="s">
        <v>66</v>
      </c>
      <c r="B7" s="14" t="s">
        <v>67</v>
      </c>
      <c r="C7" s="14" t="n">
        <v>3</v>
      </c>
      <c r="D7" s="15" t="n">
        <f aca="false">VAR(Raw_Data!$B$2:$B$18)</f>
        <v>0.382352941176471</v>
      </c>
      <c r="E7" s="15" t="n">
        <f aca="false">VAR(Raw_Data!$C$2:$C$18)</f>
        <v>0.264705882352941</v>
      </c>
      <c r="F7" s="15" t="n">
        <f aca="false">VAR(Raw_Data!$D$2:$D$18)</f>
        <v>0.110294117647059</v>
      </c>
      <c r="G7" s="15" t="n">
        <f aca="false">SUM(D7:F7)</f>
        <v>0.757352941176471</v>
      </c>
      <c r="H7" s="15" t="n">
        <f aca="false">VAR(Scores!$B$2:$B$18)</f>
        <v>1</v>
      </c>
      <c r="I7" s="15" t="n">
        <f aca="false">(C7/(C7-1))*(1-G7/H7)</f>
        <v>0.363970588235294</v>
      </c>
      <c r="J7" s="15" t="n">
        <f aca="false">1-(1-I7)*FINV((1-$B$3)/2,$B$4-1,($B$4-1)*(C7-1))</f>
        <v>-0.429802489640112</v>
      </c>
      <c r="K7" s="15" t="n">
        <f aca="false">1-(1-I7)*FINV(1-(1-$B$3)/2,$B$4-1,($B$4-1)*(C7-1))</f>
        <v>0.750887512333879</v>
      </c>
      <c r="L7" s="15" t="n">
        <f aca="false">CORREL(Raw_Data!$B$2:$B$18,Raw_Data!$C$2:$C$18)</f>
        <v>0.335131368552743</v>
      </c>
      <c r="M7" s="15" t="n">
        <f aca="false">CORREL(Raw_Data!$B$2:$B$18,Raw_Data!$D$2:$D$18)</f>
        <v>-0.250640205913802</v>
      </c>
      <c r="N7" s="15" t="n">
        <f aca="false">CORREL(Raw_Data!$C$2:$C$18,Raw_Data!$D$2:$D$18)</f>
        <v>0.387298334620742</v>
      </c>
      <c r="O7" s="15" t="n">
        <f aca="false">AVERAGE(L7:N7)</f>
        <v>0.157263165753228</v>
      </c>
      <c r="P7" s="15" t="n">
        <f aca="false">2*(1-(E7+F7)/VAR(Scores!$C$2:$C$18))</f>
        <v>0.521739130434783</v>
      </c>
      <c r="Q7" s="15" t="n">
        <f aca="false">2*(1-(D7+F7)/VAR(Scores!$D$2:$D$18))</f>
        <v>-0.528301886792454</v>
      </c>
      <c r="R7" s="15" t="n">
        <f aca="false">2*(1-(D7+E7)/VAR(Scores!$E$2:$E$18))</f>
        <v>0.495726495726495</v>
      </c>
      <c r="S7" s="14" t="str">
        <f aca="false">IF(I7&gt;=0.7,"Acceptable",IF(I7&gt;=0.6,"Marginal","Inadequate"))</f>
        <v>Inadequate</v>
      </c>
    </row>
    <row r="8" customFormat="false" ht="15" hidden="false" customHeight="true" outlineLevel="0" collapsed="false">
      <c r="A8" s="14" t="s">
        <v>66</v>
      </c>
      <c r="B8" s="14" t="s">
        <v>71</v>
      </c>
      <c r="C8" s="14" t="n">
        <v>3</v>
      </c>
      <c r="D8" s="15" t="n">
        <f aca="false">VAR(Raw_Data!$E$2:$E$18)</f>
        <v>0.514705882352941</v>
      </c>
      <c r="E8" s="15" t="n">
        <f aca="false">VAR(Raw_Data!$F$2:$F$18)</f>
        <v>0.639705882352941</v>
      </c>
      <c r="F8" s="15" t="n">
        <f aca="false">VAR(Raw_Data!$G$2:$G$18)</f>
        <v>0.242647058823529</v>
      </c>
      <c r="G8" s="15" t="n">
        <f aca="false">SUM(D8:F8)</f>
        <v>1.39705882352941</v>
      </c>
      <c r="H8" s="15" t="n">
        <f aca="false">VAR(Scores!$F$2:$F$18)</f>
        <v>2.63235294117647</v>
      </c>
      <c r="I8" s="15" t="n">
        <f aca="false">(C8/(C8-1))*(1-G8/H8)</f>
        <v>0.70391061452514</v>
      </c>
      <c r="J8" s="15" t="n">
        <f aca="false">1-(1-I8)*FINV((1-$B$3)/2,$B$4-1,($B$4-1)*(C8-1))</f>
        <v>0.33438716405684</v>
      </c>
      <c r="K8" s="15" t="n">
        <f aca="false">1-(1-I8)*FINV(1-(1-$B$3)/2,$B$4-1,($B$4-1)*(C8-1))</f>
        <v>0.88403120669762</v>
      </c>
      <c r="L8" s="15" t="n">
        <f aca="false">CORREL(Raw_Data!$E$2:$E$18,Raw_Data!$F$2:$F$18)</f>
        <v>0.679152374253999</v>
      </c>
      <c r="M8" s="15" t="n">
        <f aca="false">CORREL(Raw_Data!$E$2:$E$18,Raw_Data!$G$2:$G$18)</f>
        <v>0.322497021698386</v>
      </c>
      <c r="N8" s="15" t="n">
        <f aca="false">CORREL(Raw_Data!$F$2:$F$18,Raw_Data!$G$2:$G$18)</f>
        <v>0.289277797327191</v>
      </c>
      <c r="O8" s="15" t="n">
        <f aca="false">AVERAGE(L8:N8)</f>
        <v>0.430309064426525</v>
      </c>
      <c r="P8" s="15" t="n">
        <f aca="false">2*(1-(E8+F8)/VAR(Scores!$G$2:$G$18))</f>
        <v>0.410596026490066</v>
      </c>
      <c r="Q8" s="15" t="n">
        <f aca="false">2*(1-(D8+F8)/VAR(Scores!$H$2:$H$18))</f>
        <v>0.462686567164179</v>
      </c>
      <c r="R8" s="15" t="n">
        <f aca="false">2*(1-(D8+E8)/VAR(Scores!$I$2:$I$18))</f>
        <v>0.806083650190114</v>
      </c>
      <c r="S8" s="14" t="str">
        <f aca="false">IF(I8&gt;=0.7,"Acceptable",IF(I8&gt;=0.6,"Marginal","Inadequate"))</f>
        <v>Acceptable</v>
      </c>
    </row>
    <row r="9" customFormat="false" ht="15" hidden="false" customHeight="true" outlineLevel="0" collapsed="false">
      <c r="A9" s="14" t="s">
        <v>66</v>
      </c>
      <c r="B9" s="14" t="s">
        <v>75</v>
      </c>
      <c r="C9" s="14" t="n">
        <v>3</v>
      </c>
      <c r="D9" s="15" t="n">
        <f aca="false">VAR(Raw_Data!$H$2:$H$18)</f>
        <v>0.308823529411765</v>
      </c>
      <c r="E9" s="15" t="n">
        <f aca="false">VAR(Raw_Data!$I$2:$I$18)</f>
        <v>0.558823529411765</v>
      </c>
      <c r="F9" s="15" t="n">
        <f aca="false">VAR(Raw_Data!$J$2:$J$18)</f>
        <v>0.735294117647059</v>
      </c>
      <c r="G9" s="15" t="n">
        <f aca="false">SUM(D9:F9)</f>
        <v>1.60294117647059</v>
      </c>
      <c r="H9" s="15" t="n">
        <f aca="false">VAR(Scores!$J$2:$J$18)</f>
        <v>2.98529411764706</v>
      </c>
      <c r="I9" s="15" t="n">
        <f aca="false">(C9/(C9-1))*(1-G9/H9)</f>
        <v>0.694581280788177</v>
      </c>
      <c r="J9" s="15" t="n">
        <f aca="false">1-(1-I9)*FINV((1-$B$3)/2,$B$4-1,($B$4-1)*(C9-1))</f>
        <v>0.313414699015039</v>
      </c>
      <c r="K9" s="15" t="n">
        <f aca="false">1-(1-I9)*FINV(1-(1-$B$3)/2,$B$4-1,($B$4-1)*(C9-1))</f>
        <v>0.880377203451082</v>
      </c>
      <c r="L9" s="15" t="n">
        <f aca="false">CORREL(Raw_Data!$H$2:$H$18,Raw_Data!$I$2:$I$18)</f>
        <v>0.460195011513113</v>
      </c>
      <c r="M9" s="15" t="n">
        <f aca="false">CORREL(Raw_Data!$H$2:$H$18,Raw_Data!$J$2:$J$18)</f>
        <v>0.6712195723351</v>
      </c>
      <c r="N9" s="15" t="n">
        <f aca="false">CORREL(Raw_Data!$I$2:$I$18,Raw_Data!$J$2:$J$18)</f>
        <v>0.281034273991438</v>
      </c>
      <c r="O9" s="15" t="n">
        <f aca="false">AVERAGE(L9:N9)</f>
        <v>0.47081628594655</v>
      </c>
      <c r="P9" s="15" t="n">
        <f aca="false">2*(1-(E9+F9)/VAR(Scores!$K$2:$K$18))</f>
        <v>0.435555555555556</v>
      </c>
      <c r="Q9" s="15" t="n">
        <f aca="false">2*(1-(D9+F9)/VAR(Scores!$L$2:$L$18))</f>
        <v>0.759825327510917</v>
      </c>
      <c r="R9" s="15" t="n">
        <f aca="false">2*(1-(D9+E9)/VAR(Scores!$M$2:$M$18))</f>
        <v>0.611764705882353</v>
      </c>
      <c r="S9" s="14" t="str">
        <f aca="false">IF(I9&gt;=0.7,"Acceptable",IF(I9&gt;=0.6,"Marginal","Inadequate"))</f>
        <v>Marginal</v>
      </c>
    </row>
    <row r="10" customFormat="false" ht="15" hidden="false" customHeight="true" outlineLevel="0" collapsed="false">
      <c r="A10" s="14" t="s">
        <v>66</v>
      </c>
      <c r="B10" s="14" t="s">
        <v>79</v>
      </c>
      <c r="C10" s="14" t="n">
        <v>3</v>
      </c>
      <c r="D10" s="15" t="n">
        <f aca="false">VAR(Raw_Data!$K$2:$K$18)</f>
        <v>0.382352941176471</v>
      </c>
      <c r="E10" s="15" t="n">
        <f aca="false">VAR(Raw_Data!$L$2:$L$18)</f>
        <v>0.154411764705882</v>
      </c>
      <c r="F10" s="15" t="n">
        <f aca="false">VAR(Raw_Data!$M$2:$M$18)</f>
        <v>0.257352941176471</v>
      </c>
      <c r="G10" s="15" t="n">
        <f aca="false">SUM(D10:F10)</f>
        <v>0.794117647058824</v>
      </c>
      <c r="H10" s="15" t="n">
        <f aca="false">VAR(Scores!$N$2:$N$18)</f>
        <v>1.25</v>
      </c>
      <c r="I10" s="15" t="n">
        <f aca="false">(C10/(C10-1))*(1-G10/H10)</f>
        <v>0.547058823529412</v>
      </c>
      <c r="J10" s="15" t="n">
        <f aca="false">1-(1-I10)*FINV((1-$B$3)/2,$B$4-1,($B$4-1)*(C10-1))</f>
        <v>-0.0182177267263688</v>
      </c>
      <c r="K10" s="15" t="n">
        <f aca="false">1-(1-I10)*FINV(1-(1-$B$3)/2,$B$4-1,($B$4-1)*(C10-1))</f>
        <v>0.822597349823895</v>
      </c>
      <c r="L10" s="15" t="n">
        <f aca="false">CORREL(Raw_Data!$K$2:$K$18,Raw_Data!$L$2:$L$18)</f>
        <v>0.453920649501602</v>
      </c>
      <c r="M10" s="15" t="n">
        <f aca="false">CORREL(Raw_Data!$K$2:$K$18,Raw_Data!$M$2:$M$18)</f>
        <v>0.222683434695785</v>
      </c>
      <c r="N10" s="15" t="n">
        <f aca="false">CORREL(Raw_Data!$L$2:$L$18,Raw_Data!$M$2:$M$18)</f>
        <v>0.239756111908078</v>
      </c>
      <c r="O10" s="15" t="n">
        <f aca="false">AVERAGE(L10:N10)</f>
        <v>0.305453398701822</v>
      </c>
      <c r="P10" s="15" t="n">
        <f aca="false">2*(1-(E10+F10)/VAR(Scores!$O$2:$O$18))</f>
        <v>0.376811594202899</v>
      </c>
      <c r="Q10" s="15" t="n">
        <f aca="false">2*(1-(D10+F10)/VAR(Scores!$P$2:$P$18))</f>
        <v>0.358490566037735</v>
      </c>
      <c r="R10" s="15" t="n">
        <f aca="false">2*(1-(D10+E10)/VAR(Scores!$Q$2:$Q$18))</f>
        <v>0.582524271844659</v>
      </c>
      <c r="S10" s="14" t="str">
        <f aca="false">IF(I10&gt;=0.7,"Acceptable",IF(I10&gt;=0.6,"Marginal","Inadequate"))</f>
        <v>Inadequate</v>
      </c>
    </row>
    <row r="11" customFormat="false" ht="15" hidden="false" customHeight="true" outlineLevel="0" collapsed="false">
      <c r="A11" s="14" t="s">
        <v>83</v>
      </c>
      <c r="B11" s="14" t="s">
        <v>67</v>
      </c>
      <c r="C11" s="14" t="n">
        <v>3</v>
      </c>
      <c r="D11" s="15" t="n">
        <f aca="false">VAR(Raw_Data!$N$2:$N$18)</f>
        <v>0.514705882352941</v>
      </c>
      <c r="E11" s="15" t="n">
        <f aca="false">VAR(Raw_Data!$O$2:$O$18)</f>
        <v>0.779411764705882</v>
      </c>
      <c r="F11" s="15" t="n">
        <f aca="false">VAR(Raw_Data!$P$2:$P$18)</f>
        <v>0.110294117647059</v>
      </c>
      <c r="G11" s="15" t="n">
        <f aca="false">SUM(D11:F11)</f>
        <v>1.40441176470588</v>
      </c>
      <c r="H11" s="15" t="n">
        <f aca="false">VAR(Scores!$S$2:$S$18)</f>
        <v>2.88235294117647</v>
      </c>
      <c r="I11" s="15" t="n">
        <f aca="false">(C11/(C11-1))*(1-G11/H11)</f>
        <v>0.769132653061225</v>
      </c>
      <c r="J11" s="15" t="n">
        <f aca="false">1-(1-I11)*FINV((1-$B$3)/2,$B$4-1,($B$4-1)*(C11-1))</f>
        <v>0.481007165197284</v>
      </c>
      <c r="K11" s="15" t="n">
        <f aca="false">1-(1-I11)*FINV(1-(1-$B$3)/2,$B$4-1,($B$4-1)*(C11-1))</f>
        <v>0.909576604394402</v>
      </c>
      <c r="L11" s="15" t="n">
        <f aca="false">CORREL(Raw_Data!$N$2:$N$18,Raw_Data!$O$2:$O$18)</f>
        <v>0.830049685129973</v>
      </c>
      <c r="M11" s="15" t="n">
        <f aca="false">CORREL(Raw_Data!$N$2:$N$18,Raw_Data!$P$2:$P$18)</f>
        <v>0.277746029931765</v>
      </c>
      <c r="N11" s="15" t="n">
        <f aca="false">CORREL(Raw_Data!$O$2:$O$18,Raw_Data!$P$2:$P$18)</f>
        <v>0.501569862575519</v>
      </c>
      <c r="O11" s="15" t="n">
        <f aca="false">AVERAGE(L11:N11)</f>
        <v>0.536455192545752</v>
      </c>
      <c r="P11" s="15" t="n">
        <f aca="false">2*(1-(E11+F11)/VAR(Scores!$T$2:$T$18))</f>
        <v>0.496894409937889</v>
      </c>
      <c r="Q11" s="15" t="n">
        <f aca="false">2*(1-(D11+F11)/VAR(Scores!$U$2:$U$18))</f>
        <v>0.349514563106796</v>
      </c>
      <c r="R11" s="15" t="n">
        <f aca="false">2*(1-(D11+E11)/VAR(Scores!$V$2:$V$18))</f>
        <v>0.896551724137932</v>
      </c>
      <c r="S11" s="14" t="str">
        <f aca="false">IF(I11&gt;=0.7,"Acceptable",IF(I11&gt;=0.6,"Marginal","Inadequate"))</f>
        <v>Acceptable</v>
      </c>
    </row>
    <row r="12" customFormat="false" ht="15" hidden="false" customHeight="true" outlineLevel="0" collapsed="false">
      <c r="A12" s="14" t="s">
        <v>83</v>
      </c>
      <c r="B12" s="14" t="s">
        <v>71</v>
      </c>
      <c r="C12" s="14" t="n">
        <v>3</v>
      </c>
      <c r="D12" s="15" t="n">
        <f aca="false">VAR(Raw_Data!$Q$2:$Q$18)</f>
        <v>0.154411764705882</v>
      </c>
      <c r="E12" s="15" t="n">
        <f aca="false">VAR(Raw_Data!$R$2:$R$18)</f>
        <v>0.191176470588235</v>
      </c>
      <c r="F12" s="15" t="n">
        <f aca="false">VAR(Raw_Data!$S$2:$S$18)</f>
        <v>0.110294117647059</v>
      </c>
      <c r="G12" s="15" t="n">
        <f aca="false">SUM(D12:F12)</f>
        <v>0.455882352941177</v>
      </c>
      <c r="H12" s="15" t="n">
        <f aca="false">VAR(Scores!$W$2:$W$18)</f>
        <v>1.13970588235294</v>
      </c>
      <c r="I12" s="15" t="n">
        <f aca="false">(C12/(C12-1))*(1-G12/H12)</f>
        <v>0.9</v>
      </c>
      <c r="J12" s="15" t="n">
        <f aca="false">1-(1-I12)*FINV((1-$B$3)/2,$B$4-1,($B$4-1)*(C12-1))</f>
        <v>0.775198683709762</v>
      </c>
      <c r="K12" s="15" t="n">
        <f aca="false">1-(1-I12)*FINV(1-(1-$B$3)/2,$B$4-1,($B$4-1)*(C12-1))</f>
        <v>0.960833181129951</v>
      </c>
      <c r="L12" s="15" t="n">
        <f aca="false">CORREL(Raw_Data!$Q$2:$Q$18,Raw_Data!$R$2:$R$18)</f>
        <v>0.83452296039628</v>
      </c>
      <c r="M12" s="15" t="n">
        <f aca="false">CORREL(Raw_Data!$Q$2:$Q$18,Raw_Data!$S$2:$S$18)</f>
        <v>0.788810637746615</v>
      </c>
      <c r="N12" s="15" t="n">
        <f aca="false">CORREL(Raw_Data!$R$2:$R$18,Raw_Data!$S$2:$S$18)</f>
        <v>0.658280588604383</v>
      </c>
      <c r="O12" s="15" t="n">
        <f aca="false">AVERAGE(L12:N12)</f>
        <v>0.760538062249093</v>
      </c>
      <c r="P12" s="15" t="n">
        <f aca="false">2*(1-(E12+F12)/VAR(Scores!$X$2:$X$18))</f>
        <v>0.776119402985074</v>
      </c>
      <c r="Q12" s="15" t="n">
        <f aca="false">2*(1-(D12+F12)/VAR(Scores!$Y$2:$Y$18))</f>
        <v>0.874999999999999</v>
      </c>
      <c r="R12" s="15" t="n">
        <f aca="false">2*(1-(D12+E12)/VAR(Scores!$Z$2:$Z$18))</f>
        <v>0.906976744186047</v>
      </c>
      <c r="S12" s="14" t="str">
        <f aca="false">IF(I12&gt;=0.7,"Acceptable",IF(I12&gt;=0.6,"Marginal","Inadequate"))</f>
        <v>Acceptable</v>
      </c>
    </row>
    <row r="13" customFormat="false" ht="15" hidden="false" customHeight="true" outlineLevel="0" collapsed="false">
      <c r="A13" s="14" t="s">
        <v>83</v>
      </c>
      <c r="B13" s="14" t="s">
        <v>75</v>
      </c>
      <c r="C13" s="14" t="n">
        <v>3</v>
      </c>
      <c r="D13" s="15" t="n">
        <f aca="false">VAR(Raw_Data!$T$2:$T$18)</f>
        <v>0.316176470588235</v>
      </c>
      <c r="E13" s="15" t="n">
        <f aca="false">VAR(Raw_Data!$U$2:$U$18)</f>
        <v>0.389705882352941</v>
      </c>
      <c r="F13" s="15" t="n">
        <f aca="false">VAR(Raw_Data!$V$2:$V$18)</f>
        <v>0.49264705882353</v>
      </c>
      <c r="G13" s="15" t="n">
        <f aca="false">SUM(D13:F13)</f>
        <v>1.19852941176471</v>
      </c>
      <c r="H13" s="15" t="n">
        <f aca="false">VAR(Scores!$AA$2:$AA$18)</f>
        <v>2.11029411764706</v>
      </c>
      <c r="I13" s="15" t="n">
        <f aca="false">(C13/(C13-1))*(1-G13/H13)</f>
        <v>0.64808362369338</v>
      </c>
      <c r="J13" s="15" t="n">
        <f aca="false">1-(1-I13)*FINV((1-$B$3)/2,$B$4-1,($B$4-1)*(C13-1))</f>
        <v>0.208887353821813</v>
      </c>
      <c r="K13" s="15" t="n">
        <f aca="false">1-(1-I13)*FINV(1-(1-$B$3)/2,$B$4-1,($B$4-1)*(C13-1))</f>
        <v>0.862165550317946</v>
      </c>
      <c r="L13" s="15" t="n">
        <f aca="false">CORREL(Raw_Data!$T$2:$T$18,Raw_Data!$U$2:$U$18)</f>
        <v>0.513208595745257</v>
      </c>
      <c r="M13" s="15" t="n">
        <f aca="false">CORREL(Raw_Data!$T$2:$T$18,Raw_Data!$V$2:$V$18)</f>
        <v>0.251513985635981</v>
      </c>
      <c r="N13" s="15" t="n">
        <f aca="false">CORREL(Raw_Data!$U$2:$U$18,Raw_Data!$V$2:$V$18)</f>
        <v>0.402750330577922</v>
      </c>
      <c r="O13" s="15" t="n">
        <f aca="false">AVERAGE(L13:N13)</f>
        <v>0.38915763731972</v>
      </c>
      <c r="P13" s="15" t="n">
        <f aca="false">2*(1-(E13+F13)/VAR(Scores!$AB$2:$AB$18))</f>
        <v>0.571428571428571</v>
      </c>
      <c r="Q13" s="15" t="n">
        <f aca="false">2*(1-(D13+F13)/VAR(Scores!$AC$2:$AC$18))</f>
        <v>0.394160583941605</v>
      </c>
      <c r="R13" s="15" t="n">
        <f aca="false">2*(1-(D13+E13)/VAR(Scores!$AD$2:$AD$18))</f>
        <v>0.675862068965518</v>
      </c>
      <c r="S13" s="14" t="str">
        <f aca="false">IF(I13&gt;=0.7,"Acceptable",IF(I13&gt;=0.6,"Marginal","Inadequate"))</f>
        <v>Marginal</v>
      </c>
    </row>
    <row r="14" customFormat="false" ht="15" hidden="false" customHeight="true" outlineLevel="0" collapsed="false">
      <c r="A14" s="14" t="s">
        <v>83</v>
      </c>
      <c r="B14" s="14" t="s">
        <v>79</v>
      </c>
      <c r="C14" s="14" t="n">
        <v>3</v>
      </c>
      <c r="D14" s="15" t="n">
        <f aca="false">VAR(Raw_Data!$W$2:$W$18)</f>
        <v>0.242647058823529</v>
      </c>
      <c r="E14" s="15" t="n">
        <f aca="false">VAR(Raw_Data!$X$2:$X$18)</f>
        <v>0.257352941176471</v>
      </c>
      <c r="F14" s="15" t="n">
        <f aca="false">VAR(Raw_Data!$Y$2:$Y$18)</f>
        <v>0.110294117647059</v>
      </c>
      <c r="G14" s="15" t="n">
        <f aca="false">SUM(D14:F14)</f>
        <v>0.610294117647059</v>
      </c>
      <c r="H14" s="15" t="n">
        <f aca="false">VAR(Scores!$AE$2:$AE$18)</f>
        <v>0.985294117647058</v>
      </c>
      <c r="I14" s="15" t="n">
        <f aca="false">(C14/(C14-1))*(1-G14/H14)</f>
        <v>0.57089552238806</v>
      </c>
      <c r="J14" s="15" t="n">
        <f aca="false">1-(1-I14)*FINV((1-$B$3)/2,$B$4-1,($B$4-1)*(C14-1))</f>
        <v>0.0353674860680119</v>
      </c>
      <c r="K14" s="15" t="n">
        <f aca="false">1-(1-I14)*FINV(1-(1-$B$3)/2,$B$4-1,($B$4-1)*(C14-1))</f>
        <v>0.831933426490461</v>
      </c>
      <c r="L14" s="15" t="n">
        <f aca="false">CORREL(Raw_Data!$W$2:$W$18,Raw_Data!$X$2:$X$18)</f>
        <v>0.382518426118725</v>
      </c>
      <c r="M14" s="15" t="n">
        <f aca="false">CORREL(Raw_Data!$W$2:$W$18,Raw_Data!$Y$2:$Y$18)</f>
        <v>0.494413232473044</v>
      </c>
      <c r="N14" s="15" t="n">
        <f aca="false">CORREL(Raw_Data!$X$2:$X$18,Raw_Data!$Y$2:$Y$18)</f>
        <v>0.0654653670707977</v>
      </c>
      <c r="O14" s="15" t="n">
        <f aca="false">AVERAGE(L14:N14)</f>
        <v>0.314132341887522</v>
      </c>
      <c r="P14" s="15" t="n">
        <f aca="false">2*(1-(E14+F14)/VAR(Scores!$AF$2:$AF$18))</f>
        <v>0.113207547169812</v>
      </c>
      <c r="Q14" s="15" t="n">
        <f aca="false">2*(1-(D14+F14)/VAR(Scores!$AG$2:$AG$18))</f>
        <v>0.628571428571429</v>
      </c>
      <c r="R14" s="15" t="n">
        <f aca="false">2*(1-(D14+E14)/VAR(Scores!$AH$2:$AH$18))</f>
        <v>0.553191489361702</v>
      </c>
      <c r="S14" s="14" t="str">
        <f aca="false">IF(I14&gt;=0.7,"Acceptable",IF(I14&gt;=0.6,"Marginal","Inadequate"))</f>
        <v>Inadequate</v>
      </c>
    </row>
    <row r="16" customFormat="false" ht="15" hidden="false" customHeight="true" outlineLevel="0" collapsed="false">
      <c r="A16" s="3" t="s">
        <v>123</v>
      </c>
    </row>
    <row r="17" customFormat="false" ht="34.5" hidden="false" customHeight="true" outlineLevel="0" collapsed="false">
      <c r="A17" s="9" t="s">
        <v>52</v>
      </c>
      <c r="B17" s="9" t="s">
        <v>124</v>
      </c>
      <c r="C17" s="9" t="s">
        <v>106</v>
      </c>
      <c r="D17" s="9" t="s">
        <v>125</v>
      </c>
      <c r="E17" s="9" t="s">
        <v>126</v>
      </c>
      <c r="F17" s="9" t="s">
        <v>112</v>
      </c>
    </row>
    <row r="18" customFormat="false" ht="15" hidden="false" customHeight="true" outlineLevel="0" collapsed="false">
      <c r="A18" s="14" t="s">
        <v>66</v>
      </c>
      <c r="B18" s="14" t="s">
        <v>127</v>
      </c>
      <c r="C18" s="14" t="n">
        <v>12</v>
      </c>
      <c r="D18" s="15" t="n">
        <f aca="false">VAR(Raw_Data!$B$2:$B$18)+VAR(Raw_Data!$C$2:$C$18)+VAR(Raw_Data!$D$2:$D$18)+VAR(Raw_Data!$E$2:$E$18)+VAR(Raw_Data!$F$2:$F$18)+VAR(Raw_Data!$G$2:$G$18)+VAR(Raw_Data!$H$2:$H$18)+VAR(Raw_Data!$I$2:$I$18)+VAR(Raw_Data!$J$2:$J$18)+VAR(Raw_Data!$K$2:$K$18)+VAR(Raw_Data!$L$2:$L$18)+VAR(Raw_Data!$M$2:$M$18)</f>
        <v>4.55147058823529</v>
      </c>
      <c r="E18" s="15" t="n">
        <f aca="false">VAR(Scores!$R$2:$R$18)</f>
        <v>15.0147058823529</v>
      </c>
      <c r="F18" s="15" t="n">
        <f aca="false">(C18/(C18-1))*(1-D18/E18)</f>
        <v>0.760217255809812</v>
      </c>
    </row>
    <row r="19" customFormat="false" ht="15" hidden="false" customHeight="true" outlineLevel="0" collapsed="false">
      <c r="A19" s="14" t="s">
        <v>83</v>
      </c>
      <c r="B19" s="14" t="s">
        <v>127</v>
      </c>
      <c r="C19" s="14" t="n">
        <v>12</v>
      </c>
      <c r="D19" s="15" t="n">
        <f aca="false">VAR(Raw_Data!$N$2:$N$18)+VAR(Raw_Data!$O$2:$O$18)+VAR(Raw_Data!$P$2:$P$18)+VAR(Raw_Data!$Q$2:$Q$18)+VAR(Raw_Data!$R$2:$R$18)+VAR(Raw_Data!$S$2:$S$18)+VAR(Raw_Data!$T$2:$T$18)+VAR(Raw_Data!$U$2:$U$18)+VAR(Raw_Data!$V$2:$V$18)+VAR(Raw_Data!$W$2:$W$18)+VAR(Raw_Data!$X$2:$X$18)+VAR(Raw_Data!$Y$2:$Y$18)</f>
        <v>3.66911764705882</v>
      </c>
      <c r="E19" s="15" t="n">
        <f aca="false">VAR(Scores!$AI$2:$AI$18)</f>
        <v>14.3455882352941</v>
      </c>
      <c r="F19" s="15" t="n">
        <f aca="false">(C19/(C19-1))*(1-D19/E19)</f>
        <v>0.8118913377755</v>
      </c>
    </row>
    <row r="21" customFormat="false" ht="15" hidden="false" customHeight="true" outlineLevel="0" collapsed="false">
      <c r="A21" s="5" t="s">
        <v>128</v>
      </c>
    </row>
    <row r="22" customFormat="false" ht="15" hidden="false" customHeight="true" outlineLevel="0" collapsed="false">
      <c r="A22" s="5" t="s">
        <v>129</v>
      </c>
    </row>
    <row r="23" customFormat="false" ht="15" hidden="false" customHeight="true" outlineLevel="0" collapsed="false">
      <c r="A23" s="5" t="s">
        <v>130</v>
      </c>
    </row>
    <row r="24" customFormat="false" ht="15" hidden="false" customHeight="true" outlineLevel="0" collapsed="false">
      <c r="A24" s="5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5" min="3" style="1" width="10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80"/>
  </cols>
  <sheetData>
    <row r="1" customFormat="false" ht="15" hidden="false" customHeight="true" outlineLevel="0" collapsed="false">
      <c r="A1" s="6" t="s">
        <v>132</v>
      </c>
    </row>
    <row r="3" customFormat="false" ht="23.25" hidden="false" customHeight="true" outlineLevel="0" collapsed="false">
      <c r="A3" s="9" t="s">
        <v>52</v>
      </c>
      <c r="B3" s="9" t="s">
        <v>53</v>
      </c>
      <c r="C3" s="9" t="s">
        <v>112</v>
      </c>
      <c r="D3" s="9" t="s">
        <v>133</v>
      </c>
      <c r="E3" s="9" t="s">
        <v>134</v>
      </c>
      <c r="F3" s="9" t="s">
        <v>135</v>
      </c>
      <c r="G3" s="9" t="s">
        <v>136</v>
      </c>
      <c r="H3" s="9" t="s">
        <v>137</v>
      </c>
    </row>
    <row r="4" customFormat="false" ht="23.25" hidden="false" customHeight="true" outlineLevel="0" collapsed="false">
      <c r="A4" s="16" t="str">
        <f aca="false">Reliability_Test!A7</f>
        <v>Pre</v>
      </c>
      <c r="B4" s="16" t="str">
        <f aca="false">Reliability_Test!B7</f>
        <v>Environmental Awareness</v>
      </c>
      <c r="C4" s="17" t="n">
        <f aca="false">Reliability_Test!I7</f>
        <v>0.363970588235294</v>
      </c>
      <c r="D4" s="17" t="n">
        <f aca="false">Reliability_Test!J7</f>
        <v>-0.429802489640112</v>
      </c>
      <c r="E4" s="17" t="n">
        <f aca="false">Reliability_Test!K7</f>
        <v>0.750887512333879</v>
      </c>
      <c r="F4" s="16" t="str">
        <f aca="false">Reliability_Test!S7</f>
        <v>Inadequate</v>
      </c>
      <c r="G4" s="16" t="str">
        <f aca="false">COUNTIFS(Validity_Test!$A$10:$A$33,A4,Validity_Test!$B$10:$B$33,B4,Validity_Test!$M$10:$M$33,"Meets criterion")&amp;" of 3"</f>
        <v>1 of 3</v>
      </c>
      <c r="H4" s="16" t="s">
        <v>138</v>
      </c>
    </row>
    <row r="5" customFormat="false" ht="23.25" hidden="false" customHeight="true" outlineLevel="0" collapsed="false">
      <c r="A5" s="16" t="str">
        <f aca="false">Reliability_Test!A8</f>
        <v>Pre</v>
      </c>
      <c r="B5" s="16" t="str">
        <f aca="false">Reliability_Test!B8</f>
        <v>Environmental Pedagogy in Language Education</v>
      </c>
      <c r="C5" s="17" t="n">
        <f aca="false">Reliability_Test!I8</f>
        <v>0.70391061452514</v>
      </c>
      <c r="D5" s="17" t="n">
        <f aca="false">Reliability_Test!J8</f>
        <v>0.33438716405684</v>
      </c>
      <c r="E5" s="17" t="n">
        <f aca="false">Reliability_Test!K8</f>
        <v>0.88403120669762</v>
      </c>
      <c r="F5" s="16" t="str">
        <f aca="false">Reliability_Test!S8</f>
        <v>Acceptable</v>
      </c>
      <c r="G5" s="16" t="str">
        <f aca="false">COUNTIFS(Validity_Test!$A$10:$A$33,A5,Validity_Test!$B$10:$B$33,B5,Validity_Test!$M$10:$M$33,"Meets criterion")&amp;" of 3"</f>
        <v>2 of 3</v>
      </c>
      <c r="H5" s="16" t="s">
        <v>139</v>
      </c>
    </row>
    <row r="6" customFormat="false" ht="23.25" hidden="false" customHeight="true" outlineLevel="0" collapsed="false">
      <c r="A6" s="16" t="str">
        <f aca="false">Reliability_Test!A9</f>
        <v>Pre</v>
      </c>
      <c r="B6" s="16" t="str">
        <f aca="false">Reliability_Test!B9</f>
        <v>Teacher Self-Efficacy</v>
      </c>
      <c r="C6" s="17" t="n">
        <f aca="false">Reliability_Test!I9</f>
        <v>0.694581280788177</v>
      </c>
      <c r="D6" s="17" t="n">
        <f aca="false">Reliability_Test!J9</f>
        <v>0.313414699015039</v>
      </c>
      <c r="E6" s="17" t="n">
        <f aca="false">Reliability_Test!K9</f>
        <v>0.880377203451082</v>
      </c>
      <c r="F6" s="16" t="str">
        <f aca="false">Reliability_Test!S9</f>
        <v>Marginal</v>
      </c>
      <c r="G6" s="16" t="str">
        <f aca="false">COUNTIFS(Validity_Test!$A$10:$A$33,A6,Validity_Test!$B$10:$B$33,B6,Validity_Test!$M$10:$M$33,"Meets criterion")&amp;" of 3"</f>
        <v>2 of 3</v>
      </c>
      <c r="H6" s="16" t="s">
        <v>140</v>
      </c>
    </row>
    <row r="7" customFormat="false" ht="15" hidden="false" customHeight="true" outlineLevel="0" collapsed="false">
      <c r="A7" s="16" t="str">
        <f aca="false">Reliability_Test!A10</f>
        <v>Pre</v>
      </c>
      <c r="B7" s="16" t="str">
        <f aca="false">Reliability_Test!B10</f>
        <v>Transformation and Sustainability</v>
      </c>
      <c r="C7" s="17" t="n">
        <f aca="false">Reliability_Test!I10</f>
        <v>0.547058823529412</v>
      </c>
      <c r="D7" s="17" t="n">
        <f aca="false">Reliability_Test!J10</f>
        <v>-0.0182177267263688</v>
      </c>
      <c r="E7" s="17" t="n">
        <f aca="false">Reliability_Test!K10</f>
        <v>0.822597349823895</v>
      </c>
      <c r="F7" s="16" t="str">
        <f aca="false">Reliability_Test!S10</f>
        <v>Inadequate</v>
      </c>
      <c r="G7" s="16" t="str">
        <f aca="false">COUNTIFS(Validity_Test!$A$10:$A$33,A7,Validity_Test!$B$10:$B$33,B7,Validity_Test!$M$10:$M$33,"Meets criterion")&amp;" of 3"</f>
        <v>0 of 3</v>
      </c>
      <c r="H7" s="16" t="s">
        <v>141</v>
      </c>
    </row>
    <row r="8" customFormat="false" ht="23.25" hidden="false" customHeight="true" outlineLevel="0" collapsed="false">
      <c r="A8" s="16" t="str">
        <f aca="false">Reliability_Test!A11</f>
        <v>Post</v>
      </c>
      <c r="B8" s="16" t="str">
        <f aca="false">Reliability_Test!B11</f>
        <v>Environmental Awareness</v>
      </c>
      <c r="C8" s="17" t="n">
        <f aca="false">Reliability_Test!I11</f>
        <v>0.769132653061225</v>
      </c>
      <c r="D8" s="17" t="n">
        <f aca="false">Reliability_Test!J11</f>
        <v>0.481007165197284</v>
      </c>
      <c r="E8" s="17" t="n">
        <f aca="false">Reliability_Test!K11</f>
        <v>0.909576604394402</v>
      </c>
      <c r="F8" s="16" t="str">
        <f aca="false">Reliability_Test!S11</f>
        <v>Acceptable</v>
      </c>
      <c r="G8" s="16" t="str">
        <f aca="false">COUNTIFS(Validity_Test!$A$10:$A$33,A8,Validity_Test!$B$10:$B$33,B8,Validity_Test!$M$10:$M$33,"Meets criterion")&amp;" of 3"</f>
        <v>2 of 3</v>
      </c>
      <c r="H8" s="16" t="s">
        <v>142</v>
      </c>
    </row>
    <row r="9" customFormat="false" ht="23.25" hidden="false" customHeight="true" outlineLevel="0" collapsed="false">
      <c r="A9" s="16" t="str">
        <f aca="false">Reliability_Test!A12</f>
        <v>Post</v>
      </c>
      <c r="B9" s="16" t="str">
        <f aca="false">Reliability_Test!B12</f>
        <v>Environmental Pedagogy in Language Education</v>
      </c>
      <c r="C9" s="17" t="n">
        <f aca="false">Reliability_Test!I12</f>
        <v>0.9</v>
      </c>
      <c r="D9" s="17" t="n">
        <f aca="false">Reliability_Test!J12</f>
        <v>0.775198683709762</v>
      </c>
      <c r="E9" s="17" t="n">
        <f aca="false">Reliability_Test!K12</f>
        <v>0.960833181129951</v>
      </c>
      <c r="F9" s="16" t="str">
        <f aca="false">Reliability_Test!S12</f>
        <v>Acceptable</v>
      </c>
      <c r="G9" s="16" t="str">
        <f aca="false">COUNTIFS(Validity_Test!$A$10:$A$33,A9,Validity_Test!$B$10:$B$33,B9,Validity_Test!$M$10:$M$33,"Meets criterion")&amp;" of 3"</f>
        <v>3 of 3</v>
      </c>
      <c r="H9" s="16" t="s">
        <v>143</v>
      </c>
    </row>
    <row r="10" customFormat="false" ht="15" hidden="false" customHeight="true" outlineLevel="0" collapsed="false">
      <c r="A10" s="16" t="str">
        <f aca="false">Reliability_Test!A13</f>
        <v>Post</v>
      </c>
      <c r="B10" s="16" t="str">
        <f aca="false">Reliability_Test!B13</f>
        <v>Teacher Self-Efficacy</v>
      </c>
      <c r="C10" s="17" t="n">
        <f aca="false">Reliability_Test!I13</f>
        <v>0.64808362369338</v>
      </c>
      <c r="D10" s="17" t="n">
        <f aca="false">Reliability_Test!J13</f>
        <v>0.208887353821813</v>
      </c>
      <c r="E10" s="17" t="n">
        <f aca="false">Reliability_Test!K13</f>
        <v>0.862165550317946</v>
      </c>
      <c r="F10" s="16" t="str">
        <f aca="false">Reliability_Test!S13</f>
        <v>Marginal</v>
      </c>
      <c r="G10" s="16" t="str">
        <f aca="false">COUNTIFS(Validity_Test!$A$10:$A$33,A10,Validity_Test!$B$10:$B$33,B10,Validity_Test!$M$10:$M$33,"Meets criterion")&amp;" of 3"</f>
        <v>1 of 3</v>
      </c>
      <c r="H10" s="16" t="s">
        <v>144</v>
      </c>
    </row>
    <row r="11" customFormat="false" ht="15" hidden="false" customHeight="true" outlineLevel="0" collapsed="false">
      <c r="A11" s="16" t="str">
        <f aca="false">Reliability_Test!A14</f>
        <v>Post</v>
      </c>
      <c r="B11" s="16" t="str">
        <f aca="false">Reliability_Test!B14</f>
        <v>Transformation and Sustainability</v>
      </c>
      <c r="C11" s="17" t="n">
        <f aca="false">Reliability_Test!I14</f>
        <v>0.57089552238806</v>
      </c>
      <c r="D11" s="17" t="n">
        <f aca="false">Reliability_Test!J14</f>
        <v>0.0353674860680119</v>
      </c>
      <c r="E11" s="17" t="n">
        <f aca="false">Reliability_Test!K14</f>
        <v>0.831933426490461</v>
      </c>
      <c r="F11" s="16" t="str">
        <f aca="false">Reliability_Test!S14</f>
        <v>Inadequate</v>
      </c>
      <c r="G11" s="16" t="str">
        <f aca="false">COUNTIFS(Validity_Test!$A$10:$A$33,A11,Validity_Test!$B$10:$B$33,B11,Validity_Test!$M$10:$M$33,"Meets criterion")&amp;" of 3"</f>
        <v>1 of 3</v>
      </c>
      <c r="H11" s="16" t="s">
        <v>145</v>
      </c>
    </row>
    <row r="13" customFormat="false" ht="15" hidden="false" customHeight="true" outlineLevel="0" collapsed="false">
      <c r="A13" s="3" t="s">
        <v>146</v>
      </c>
    </row>
    <row r="14" customFormat="false" ht="15" hidden="false" customHeight="true" outlineLevel="0" collapsed="false">
      <c r="A14" s="4" t="s">
        <v>147</v>
      </c>
      <c r="D14" s="4" t="str">
        <f aca="false">Validity_Test!D38</f>
        <v>5 of 12</v>
      </c>
    </row>
    <row r="15" customFormat="false" ht="15" hidden="false" customHeight="true" outlineLevel="0" collapsed="false">
      <c r="A15" s="4" t="s">
        <v>148</v>
      </c>
      <c r="D15" s="4" t="str">
        <f aca="false">Validity_Test!D39</f>
        <v>7 of 12</v>
      </c>
    </row>
    <row r="16" customFormat="false" ht="15" hidden="false" customHeight="true" outlineLevel="0" collapsed="false">
      <c r="A16" s="4" t="s">
        <v>149</v>
      </c>
      <c r="D16" s="4" t="str">
        <f aca="false">COUNTIFS(A4:A11,"Pre",C4:C11,"&gt;=0.7")&amp;" of 4"</f>
        <v>1 of 4</v>
      </c>
    </row>
    <row r="17" customFormat="false" ht="15" hidden="false" customHeight="true" outlineLevel="0" collapsed="false">
      <c r="A17" s="4" t="s">
        <v>150</v>
      </c>
      <c r="D17" s="4" t="str">
        <f aca="false">COUNTIFS(A4:A11,"Post",C4:C11,"&gt;=0.7")&amp;" of 4"</f>
        <v>2 of 4</v>
      </c>
    </row>
    <row r="18" customFormat="false" ht="15" hidden="false" customHeight="true" outlineLevel="0" collapsed="false">
      <c r="A18" s="3" t="s">
        <v>151</v>
      </c>
    </row>
    <row r="19" customFormat="false" ht="27.75" hidden="false" customHeight="true" outlineLevel="0" collapsed="false">
      <c r="A19" s="18" t="s">
        <v>152</v>
      </c>
      <c r="B19" s="18"/>
      <c r="C19" s="18"/>
      <c r="D19" s="18"/>
      <c r="E19" s="18"/>
      <c r="F19" s="18"/>
      <c r="G19" s="18"/>
      <c r="H19" s="18"/>
    </row>
    <row r="20" customFormat="false" ht="27.75" hidden="false" customHeight="true" outlineLevel="0" collapsed="false">
      <c r="A20" s="18" t="s">
        <v>153</v>
      </c>
      <c r="B20" s="18"/>
      <c r="C20" s="18"/>
      <c r="D20" s="18"/>
      <c r="E20" s="18"/>
      <c r="F20" s="18"/>
      <c r="G20" s="18"/>
      <c r="H20" s="18"/>
    </row>
    <row r="21" customFormat="false" ht="15" hidden="false" customHeight="true" outlineLevel="0" collapsed="false">
      <c r="A21" s="3" t="s">
        <v>154</v>
      </c>
    </row>
    <row r="22" customFormat="false" ht="27.75" hidden="false" customHeight="true" outlineLevel="0" collapsed="false">
      <c r="A22" s="18" t="s">
        <v>155</v>
      </c>
      <c r="B22" s="18"/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A23" s="18" t="s">
        <v>156</v>
      </c>
      <c r="B23" s="18"/>
      <c r="C23" s="18"/>
      <c r="D23" s="18"/>
      <c r="E23" s="18"/>
      <c r="F23" s="18"/>
      <c r="G23" s="18"/>
      <c r="H23" s="18"/>
    </row>
    <row r="24" customFormat="false" ht="27.75" hidden="false" customHeight="true" outlineLevel="0" collapsed="false">
      <c r="A24" s="18" t="s">
        <v>157</v>
      </c>
      <c r="B24" s="18"/>
      <c r="C24" s="18"/>
      <c r="D24" s="18"/>
      <c r="E24" s="18"/>
      <c r="F24" s="18"/>
      <c r="G24" s="18"/>
      <c r="H24" s="18"/>
    </row>
    <row r="25" customFormat="false" ht="27.75" hidden="false" customHeight="true" outlineLevel="0" collapsed="false">
      <c r="A25" s="18" t="s">
        <v>158</v>
      </c>
      <c r="B25" s="18"/>
      <c r="C25" s="18"/>
      <c r="D25" s="18"/>
      <c r="E25" s="18"/>
      <c r="F25" s="18"/>
      <c r="G25" s="18"/>
      <c r="H25" s="18"/>
    </row>
  </sheetData>
  <mergeCells count="6">
    <mergeCell ref="A19:H19"/>
    <mergeCell ref="A20:H20"/>
    <mergeCell ref="A22:H22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0" min="2" style="1" width="11"/>
  </cols>
  <sheetData>
    <row r="1" customFormat="false" ht="15" hidden="false" customHeight="true" outlineLevel="0" collapsed="false">
      <c r="A1" s="6" t="s">
        <v>159</v>
      </c>
    </row>
    <row r="3" customFormat="false" ht="34.5" hidden="false" customHeight="true" outlineLevel="0" collapsed="false">
      <c r="A3" s="9" t="s">
        <v>54</v>
      </c>
      <c r="B3" s="9" t="s">
        <v>160</v>
      </c>
      <c r="C3" s="9" t="s">
        <v>161</v>
      </c>
      <c r="D3" s="9" t="s">
        <v>162</v>
      </c>
      <c r="E3" s="9" t="s">
        <v>163</v>
      </c>
      <c r="F3" s="9" t="s">
        <v>164</v>
      </c>
      <c r="G3" s="9" t="s">
        <v>56</v>
      </c>
      <c r="H3" s="9" t="s">
        <v>57</v>
      </c>
      <c r="I3" s="9" t="s">
        <v>165</v>
      </c>
      <c r="J3" s="9" t="s">
        <v>166</v>
      </c>
    </row>
    <row r="4" customFormat="false" ht="15" hidden="false" customHeight="true" outlineLevel="0" collapsed="false">
      <c r="A4" s="14" t="s">
        <v>1</v>
      </c>
      <c r="B4" s="14" t="n">
        <f aca="false">COUNT(Raw_Data!$B$2:$B$18)</f>
        <v>17</v>
      </c>
      <c r="C4" s="14" t="n">
        <f aca="false">COUNTBLANK(Raw_Data!$B$2:$B$18)</f>
        <v>0</v>
      </c>
      <c r="D4" s="14" t="n">
        <f aca="false">MIN(Raw_Data!$B$2:$B$18)</f>
        <v>3</v>
      </c>
      <c r="E4" s="14" t="n">
        <f aca="false">MAX(Raw_Data!$B$2:$B$18)</f>
        <v>5</v>
      </c>
      <c r="F4" s="14" t="n">
        <f aca="false">COUNT(Raw_Data!$B$2:$B$18)-COUNTIFS(Raw_Data!$B$2:$B$18,"&gt;=1",Raw_Data!$B$2:$B$18,"&lt;=5")</f>
        <v>0</v>
      </c>
      <c r="G4" s="15" t="n">
        <f aca="false">AVERAGE(Raw_Data!$B$2:$B$18)</f>
        <v>4.58823529411765</v>
      </c>
      <c r="H4" s="15" t="n">
        <f aca="false">STDEV(Raw_Data!$B$2:$B$18)</f>
        <v>0.618346942400842</v>
      </c>
      <c r="I4" s="14" t="n">
        <f aca="false">COUNTIF(Raw_Data!$B$2:$B$18,5)</f>
        <v>11</v>
      </c>
      <c r="J4" s="19" t="n">
        <f aca="false">I4/B4</f>
        <v>0.647058823529412</v>
      </c>
    </row>
    <row r="5" customFormat="false" ht="15" hidden="false" customHeight="true" outlineLevel="0" collapsed="false">
      <c r="A5" s="14" t="s">
        <v>2</v>
      </c>
      <c r="B5" s="14" t="n">
        <f aca="false">COUNT(Raw_Data!$C$2:$C$18)</f>
        <v>17</v>
      </c>
      <c r="C5" s="14" t="n">
        <f aca="false">COUNTBLANK(Raw_Data!$C$2:$C$18)</f>
        <v>0</v>
      </c>
      <c r="D5" s="14" t="n">
        <f aca="false">MIN(Raw_Data!$C$2:$C$18)</f>
        <v>4</v>
      </c>
      <c r="E5" s="14" t="n">
        <f aca="false">MAX(Raw_Data!$C$2:$C$18)</f>
        <v>5</v>
      </c>
      <c r="F5" s="14" t="n">
        <f aca="false">COUNT(Raw_Data!$C$2:$C$18)-COUNTIFS(Raw_Data!$C$2:$C$18,"&gt;=1",Raw_Data!$C$2:$C$18,"&lt;=5")</f>
        <v>0</v>
      </c>
      <c r="G5" s="15" t="n">
        <f aca="false">AVERAGE(Raw_Data!$C$2:$C$18)</f>
        <v>4.52941176470588</v>
      </c>
      <c r="H5" s="15" t="n">
        <f aca="false">STDEV(Raw_Data!$C$2:$C$18)</f>
        <v>0.514495755427527</v>
      </c>
      <c r="I5" s="14" t="n">
        <f aca="false">COUNTIF(Raw_Data!$C$2:$C$18,5)</f>
        <v>9</v>
      </c>
      <c r="J5" s="19" t="n">
        <f aca="false">I5/B5</f>
        <v>0.529411764705882</v>
      </c>
    </row>
    <row r="6" customFormat="false" ht="15" hidden="false" customHeight="true" outlineLevel="0" collapsed="false">
      <c r="A6" s="14" t="s">
        <v>3</v>
      </c>
      <c r="B6" s="14" t="n">
        <f aca="false">COUNT(Raw_Data!$D$2:$D$18)</f>
        <v>17</v>
      </c>
      <c r="C6" s="14" t="n">
        <f aca="false">COUNTBLANK(Raw_Data!$D$2:$D$18)</f>
        <v>0</v>
      </c>
      <c r="D6" s="14" t="n">
        <f aca="false">MIN(Raw_Data!$D$2:$D$18)</f>
        <v>4</v>
      </c>
      <c r="E6" s="14" t="n">
        <f aca="false">MAX(Raw_Data!$D$2:$D$18)</f>
        <v>5</v>
      </c>
      <c r="F6" s="14" t="n">
        <f aca="false">COUNT(Raw_Data!$D$2:$D$18)-COUNTIFS(Raw_Data!$D$2:$D$18,"&gt;=1",Raw_Data!$D$2:$D$18,"&lt;=5")</f>
        <v>0</v>
      </c>
      <c r="G6" s="15" t="n">
        <f aca="false">AVERAGE(Raw_Data!$D$2:$D$18)</f>
        <v>4.88235294117647</v>
      </c>
      <c r="H6" s="15" t="n">
        <f aca="false">STDEV(Raw_Data!$D$2:$D$18)</f>
        <v>0.332105582077536</v>
      </c>
      <c r="I6" s="14" t="n">
        <f aca="false">COUNTIF(Raw_Data!$D$2:$D$18,5)</f>
        <v>15</v>
      </c>
      <c r="J6" s="19" t="n">
        <f aca="false">I6/B6</f>
        <v>0.882352941176471</v>
      </c>
    </row>
    <row r="7" customFormat="false" ht="15" hidden="false" customHeight="true" outlineLevel="0" collapsed="false">
      <c r="A7" s="14" t="s">
        <v>4</v>
      </c>
      <c r="B7" s="14" t="n">
        <f aca="false">COUNT(Raw_Data!$E$2:$E$18)</f>
        <v>17</v>
      </c>
      <c r="C7" s="14" t="n">
        <f aca="false">COUNTBLANK(Raw_Data!$E$2:$E$18)</f>
        <v>0</v>
      </c>
      <c r="D7" s="14" t="n">
        <f aca="false">MIN(Raw_Data!$E$2:$E$18)</f>
        <v>3</v>
      </c>
      <c r="E7" s="14" t="n">
        <f aca="false">MAX(Raw_Data!$E$2:$E$18)</f>
        <v>5</v>
      </c>
      <c r="F7" s="14" t="n">
        <f aca="false">COUNT(Raw_Data!$E$2:$E$18)-COUNTIFS(Raw_Data!$E$2:$E$18,"&gt;=1",Raw_Data!$E$2:$E$18,"&lt;=5")</f>
        <v>0</v>
      </c>
      <c r="G7" s="15" t="n">
        <f aca="false">AVERAGE(Raw_Data!$E$2:$E$18)</f>
        <v>4.52941176470588</v>
      </c>
      <c r="H7" s="15" t="n">
        <f aca="false">STDEV(Raw_Data!$E$2:$E$18)</f>
        <v>0.717430053979439</v>
      </c>
      <c r="I7" s="14" t="n">
        <f aca="false">COUNTIF(Raw_Data!$E$2:$E$18,5)</f>
        <v>11</v>
      </c>
      <c r="J7" s="19" t="n">
        <f aca="false">I7/B7</f>
        <v>0.647058823529412</v>
      </c>
    </row>
    <row r="8" customFormat="false" ht="15" hidden="false" customHeight="true" outlineLevel="0" collapsed="false">
      <c r="A8" s="14" t="s">
        <v>5</v>
      </c>
      <c r="B8" s="14" t="n">
        <f aca="false">COUNT(Raw_Data!$F$2:$F$18)</f>
        <v>17</v>
      </c>
      <c r="C8" s="14" t="n">
        <f aca="false">COUNTBLANK(Raw_Data!$F$2:$F$18)</f>
        <v>0</v>
      </c>
      <c r="D8" s="14" t="n">
        <f aca="false">MIN(Raw_Data!$F$2:$F$18)</f>
        <v>2</v>
      </c>
      <c r="E8" s="14" t="n">
        <f aca="false">MAX(Raw_Data!$F$2:$F$18)</f>
        <v>5</v>
      </c>
      <c r="F8" s="14" t="n">
        <f aca="false">COUNT(Raw_Data!$F$2:$F$18)-COUNTIFS(Raw_Data!$F$2:$F$18,"&gt;=1",Raw_Data!$F$2:$F$18,"&lt;=5")</f>
        <v>0</v>
      </c>
      <c r="G8" s="15" t="n">
        <f aca="false">AVERAGE(Raw_Data!$F$2:$F$18)</f>
        <v>4.52941176470588</v>
      </c>
      <c r="H8" s="15" t="n">
        <f aca="false">STDEV(Raw_Data!$F$2:$F$18)</f>
        <v>0.799816155346303</v>
      </c>
      <c r="I8" s="14" t="n">
        <f aca="false">COUNTIF(Raw_Data!$F$2:$F$18,5)</f>
        <v>11</v>
      </c>
      <c r="J8" s="19" t="n">
        <f aca="false">I8/B8</f>
        <v>0.647058823529412</v>
      </c>
    </row>
    <row r="9" customFormat="false" ht="15" hidden="false" customHeight="true" outlineLevel="0" collapsed="false">
      <c r="A9" s="14" t="s">
        <v>6</v>
      </c>
      <c r="B9" s="14" t="n">
        <f aca="false">COUNT(Raw_Data!$G$2:$G$18)</f>
        <v>17</v>
      </c>
      <c r="C9" s="14" t="n">
        <f aca="false">COUNTBLANK(Raw_Data!$G$2:$G$18)</f>
        <v>0</v>
      </c>
      <c r="D9" s="14" t="n">
        <f aca="false">MIN(Raw_Data!$G$2:$G$18)</f>
        <v>4</v>
      </c>
      <c r="E9" s="14" t="n">
        <f aca="false">MAX(Raw_Data!$G$2:$G$18)</f>
        <v>5</v>
      </c>
      <c r="F9" s="14" t="n">
        <f aca="false">COUNT(Raw_Data!$G$2:$G$18)-COUNTIFS(Raw_Data!$G$2:$G$18,"&gt;=1",Raw_Data!$G$2:$G$18,"&lt;=5")</f>
        <v>0</v>
      </c>
      <c r="G9" s="15" t="n">
        <f aca="false">AVERAGE(Raw_Data!$G$2:$G$18)</f>
        <v>4.35294117647059</v>
      </c>
      <c r="H9" s="15" t="n">
        <f aca="false">STDEV(Raw_Data!$G$2:$G$18)</f>
        <v>0.492592183071889</v>
      </c>
      <c r="I9" s="14" t="n">
        <f aca="false">COUNTIF(Raw_Data!$G$2:$G$18,5)</f>
        <v>6</v>
      </c>
      <c r="J9" s="19" t="n">
        <f aca="false">I9/B9</f>
        <v>0.352941176470588</v>
      </c>
    </row>
    <row r="10" customFormat="false" ht="15" hidden="false" customHeight="true" outlineLevel="0" collapsed="false">
      <c r="A10" s="14" t="s">
        <v>7</v>
      </c>
      <c r="B10" s="14" t="n">
        <f aca="false">COUNT(Raw_Data!$H$2:$H$18)</f>
        <v>17</v>
      </c>
      <c r="C10" s="14" t="n">
        <f aca="false">COUNTBLANK(Raw_Data!$H$2:$H$18)</f>
        <v>0</v>
      </c>
      <c r="D10" s="14" t="n">
        <f aca="false">MIN(Raw_Data!$H$2:$H$18)</f>
        <v>3</v>
      </c>
      <c r="E10" s="14" t="n">
        <f aca="false">MAX(Raw_Data!$H$2:$H$18)</f>
        <v>5</v>
      </c>
      <c r="F10" s="14" t="n">
        <f aca="false">COUNT(Raw_Data!$H$2:$H$18)-COUNTIFS(Raw_Data!$H$2:$H$18,"&gt;=1",Raw_Data!$H$2:$H$18,"&lt;=5")</f>
        <v>0</v>
      </c>
      <c r="G10" s="15" t="n">
        <f aca="false">AVERAGE(Raw_Data!$H$2:$H$18)</f>
        <v>3.94117647058824</v>
      </c>
      <c r="H10" s="15" t="n">
        <f aca="false">STDEV(Raw_Data!$H$2:$H$18)</f>
        <v>0.555718930226211</v>
      </c>
      <c r="I10" s="14" t="n">
        <f aca="false">COUNTIF(Raw_Data!$H$2:$H$18,5)</f>
        <v>2</v>
      </c>
      <c r="J10" s="19" t="n">
        <f aca="false">I10/B10</f>
        <v>0.117647058823529</v>
      </c>
    </row>
    <row r="11" customFormat="false" ht="15" hidden="false" customHeight="true" outlineLevel="0" collapsed="false">
      <c r="A11" s="14" t="s">
        <v>8</v>
      </c>
      <c r="B11" s="14" t="n">
        <f aca="false">COUNT(Raw_Data!$I$2:$I$18)</f>
        <v>17</v>
      </c>
      <c r="C11" s="14" t="n">
        <f aca="false">COUNTBLANK(Raw_Data!$I$2:$I$18)</f>
        <v>0</v>
      </c>
      <c r="D11" s="14" t="n">
        <f aca="false">MIN(Raw_Data!$I$2:$I$18)</f>
        <v>3</v>
      </c>
      <c r="E11" s="14" t="n">
        <f aca="false">MAX(Raw_Data!$I$2:$I$18)</f>
        <v>5</v>
      </c>
      <c r="F11" s="14" t="n">
        <f aca="false">COUNT(Raw_Data!$I$2:$I$18)-COUNTIFS(Raw_Data!$I$2:$I$18,"&gt;=1",Raw_Data!$I$2:$I$18,"&lt;=5")</f>
        <v>0</v>
      </c>
      <c r="G11" s="15" t="n">
        <f aca="false">AVERAGE(Raw_Data!$I$2:$I$18)</f>
        <v>4.05882352941176</v>
      </c>
      <c r="H11" s="15" t="n">
        <f aca="false">STDEV(Raw_Data!$I$2:$I$18)</f>
        <v>0.747545001596402</v>
      </c>
      <c r="I11" s="14" t="n">
        <f aca="false">COUNTIF(Raw_Data!$I$2:$I$18,5)</f>
        <v>5</v>
      </c>
      <c r="J11" s="19" t="n">
        <f aca="false">I11/B11</f>
        <v>0.294117647058824</v>
      </c>
    </row>
    <row r="12" customFormat="false" ht="15" hidden="false" customHeight="true" outlineLevel="0" collapsed="false">
      <c r="A12" s="14" t="s">
        <v>9</v>
      </c>
      <c r="B12" s="14" t="n">
        <f aca="false">COUNT(Raw_Data!$J$2:$J$18)</f>
        <v>17</v>
      </c>
      <c r="C12" s="14" t="n">
        <f aca="false">COUNTBLANK(Raw_Data!$J$2:$J$18)</f>
        <v>0</v>
      </c>
      <c r="D12" s="14" t="n">
        <f aca="false">MIN(Raw_Data!$J$2:$J$18)</f>
        <v>2</v>
      </c>
      <c r="E12" s="14" t="n">
        <f aca="false">MAX(Raw_Data!$J$2:$J$18)</f>
        <v>5</v>
      </c>
      <c r="F12" s="14" t="n">
        <f aca="false">COUNT(Raw_Data!$J$2:$J$18)-COUNTIFS(Raw_Data!$J$2:$J$18,"&gt;=1",Raw_Data!$J$2:$J$18,"&lt;=5")</f>
        <v>0</v>
      </c>
      <c r="G12" s="15" t="n">
        <f aca="false">AVERAGE(Raw_Data!$J$2:$J$18)</f>
        <v>4.11764705882353</v>
      </c>
      <c r="H12" s="15" t="n">
        <f aca="false">STDEV(Raw_Data!$J$2:$J$18)</f>
        <v>0.857492925712544</v>
      </c>
      <c r="I12" s="14" t="n">
        <f aca="false">COUNTIF(Raw_Data!$J$2:$J$18,5)</f>
        <v>6</v>
      </c>
      <c r="J12" s="19" t="n">
        <f aca="false">I12/B12</f>
        <v>0.352941176470588</v>
      </c>
    </row>
    <row r="13" customFormat="false" ht="15" hidden="false" customHeight="true" outlineLevel="0" collapsed="false">
      <c r="A13" s="14" t="s">
        <v>10</v>
      </c>
      <c r="B13" s="14" t="n">
        <f aca="false">COUNT(Raw_Data!$K$2:$K$18)</f>
        <v>17</v>
      </c>
      <c r="C13" s="14" t="n">
        <f aca="false">COUNTBLANK(Raw_Data!$K$2:$K$18)</f>
        <v>0</v>
      </c>
      <c r="D13" s="14" t="n">
        <f aca="false">MIN(Raw_Data!$K$2:$K$18)</f>
        <v>3</v>
      </c>
      <c r="E13" s="14" t="n">
        <f aca="false">MAX(Raw_Data!$K$2:$K$18)</f>
        <v>5</v>
      </c>
      <c r="F13" s="14" t="n">
        <f aca="false">COUNT(Raw_Data!$K$2:$K$18)-COUNTIFS(Raw_Data!$K$2:$K$18,"&gt;=1",Raw_Data!$K$2:$K$18,"&lt;=5")</f>
        <v>0</v>
      </c>
      <c r="G13" s="15" t="n">
        <f aca="false">AVERAGE(Raw_Data!$K$2:$K$18)</f>
        <v>4.58823529411765</v>
      </c>
      <c r="H13" s="15" t="n">
        <f aca="false">STDEV(Raw_Data!$K$2:$K$18)</f>
        <v>0.618346942400842</v>
      </c>
      <c r="I13" s="14" t="n">
        <f aca="false">COUNTIF(Raw_Data!$K$2:$K$18,5)</f>
        <v>11</v>
      </c>
      <c r="J13" s="19" t="n">
        <f aca="false">I13/B13</f>
        <v>0.647058823529412</v>
      </c>
    </row>
    <row r="14" customFormat="false" ht="15" hidden="false" customHeight="true" outlineLevel="0" collapsed="false">
      <c r="A14" s="14" t="s">
        <v>11</v>
      </c>
      <c r="B14" s="14" t="n">
        <f aca="false">COUNT(Raw_Data!$L$2:$L$18)</f>
        <v>17</v>
      </c>
      <c r="C14" s="14" t="n">
        <f aca="false">COUNTBLANK(Raw_Data!$L$2:$L$18)</f>
        <v>0</v>
      </c>
      <c r="D14" s="14" t="n">
        <f aca="false">MIN(Raw_Data!$L$2:$L$18)</f>
        <v>4</v>
      </c>
      <c r="E14" s="14" t="n">
        <f aca="false">MAX(Raw_Data!$L$2:$L$18)</f>
        <v>5</v>
      </c>
      <c r="F14" s="14" t="n">
        <f aca="false">COUNT(Raw_Data!$L$2:$L$18)-COUNTIFS(Raw_Data!$L$2:$L$18,"&gt;=1",Raw_Data!$L$2:$L$18,"&lt;=5")</f>
        <v>0</v>
      </c>
      <c r="G14" s="15" t="n">
        <f aca="false">AVERAGE(Raw_Data!$L$2:$L$18)</f>
        <v>4.82352941176471</v>
      </c>
      <c r="H14" s="15" t="n">
        <f aca="false">STDEV(Raw_Data!$L$2:$L$18)</f>
        <v>0.392952623996688</v>
      </c>
      <c r="I14" s="14" t="n">
        <f aca="false">COUNTIF(Raw_Data!$L$2:$L$18,5)</f>
        <v>14</v>
      </c>
      <c r="J14" s="19" t="n">
        <f aca="false">I14/B14</f>
        <v>0.823529411764706</v>
      </c>
    </row>
    <row r="15" customFormat="false" ht="15" hidden="false" customHeight="true" outlineLevel="0" collapsed="false">
      <c r="A15" s="14" t="s">
        <v>12</v>
      </c>
      <c r="B15" s="14" t="n">
        <f aca="false">COUNT(Raw_Data!$M$2:$M$18)</f>
        <v>17</v>
      </c>
      <c r="C15" s="14" t="n">
        <f aca="false">COUNTBLANK(Raw_Data!$M$2:$M$18)</f>
        <v>0</v>
      </c>
      <c r="D15" s="14" t="n">
        <f aca="false">MIN(Raw_Data!$M$2:$M$18)</f>
        <v>4</v>
      </c>
      <c r="E15" s="14" t="n">
        <f aca="false">MAX(Raw_Data!$M$2:$M$18)</f>
        <v>5</v>
      </c>
      <c r="F15" s="14" t="n">
        <f aca="false">COUNT(Raw_Data!$M$2:$M$18)-COUNTIFS(Raw_Data!$M$2:$M$18,"&gt;=1",Raw_Data!$M$2:$M$18,"&lt;=5")</f>
        <v>0</v>
      </c>
      <c r="G15" s="15" t="n">
        <f aca="false">AVERAGE(Raw_Data!$M$2:$M$18)</f>
        <v>4.58823529411765</v>
      </c>
      <c r="H15" s="15" t="n">
        <f aca="false">STDEV(Raw_Data!$M$2:$M$18)</f>
        <v>0.507299656195892</v>
      </c>
      <c r="I15" s="14" t="n">
        <f aca="false">COUNTIF(Raw_Data!$M$2:$M$18,5)</f>
        <v>10</v>
      </c>
      <c r="J15" s="19" t="n">
        <f aca="false">I15/B15</f>
        <v>0.588235294117647</v>
      </c>
    </row>
    <row r="16" customFormat="false" ht="15" hidden="false" customHeight="true" outlineLevel="0" collapsed="false">
      <c r="A16" s="14" t="s">
        <v>13</v>
      </c>
      <c r="B16" s="14" t="n">
        <f aca="false">COUNT(Raw_Data!$N$2:$N$18)</f>
        <v>17</v>
      </c>
      <c r="C16" s="14" t="n">
        <f aca="false">COUNTBLANK(Raw_Data!$N$2:$N$18)</f>
        <v>0</v>
      </c>
      <c r="D16" s="14" t="n">
        <f aca="false">MIN(Raw_Data!$N$2:$N$18)</f>
        <v>3</v>
      </c>
      <c r="E16" s="14" t="n">
        <f aca="false">MAX(Raw_Data!$N$2:$N$18)</f>
        <v>5</v>
      </c>
      <c r="F16" s="14" t="n">
        <f aca="false">COUNT(Raw_Data!$N$2:$N$18)-COUNTIFS(Raw_Data!$N$2:$N$18,"&gt;=1",Raw_Data!$N$2:$N$18,"&lt;=5")</f>
        <v>0</v>
      </c>
      <c r="G16" s="15" t="n">
        <f aca="false">AVERAGE(Raw_Data!$N$2:$N$18)</f>
        <v>4.52941176470588</v>
      </c>
      <c r="H16" s="15" t="n">
        <f aca="false">STDEV(Raw_Data!$N$2:$N$18)</f>
        <v>0.717430053979439</v>
      </c>
      <c r="I16" s="14" t="n">
        <f aca="false">COUNTIF(Raw_Data!$N$2:$N$18,5)</f>
        <v>11</v>
      </c>
      <c r="J16" s="19" t="n">
        <f aca="false">I16/B16</f>
        <v>0.647058823529412</v>
      </c>
    </row>
    <row r="17" customFormat="false" ht="15" hidden="false" customHeight="true" outlineLevel="0" collapsed="false">
      <c r="A17" s="14" t="s">
        <v>14</v>
      </c>
      <c r="B17" s="14" t="n">
        <f aca="false">COUNT(Raw_Data!$O$2:$O$18)</f>
        <v>17</v>
      </c>
      <c r="C17" s="14" t="n">
        <f aca="false">COUNTBLANK(Raw_Data!$O$2:$O$18)</f>
        <v>0</v>
      </c>
      <c r="D17" s="14" t="n">
        <f aca="false">MIN(Raw_Data!$O$2:$O$18)</f>
        <v>3</v>
      </c>
      <c r="E17" s="14" t="n">
        <f aca="false">MAX(Raw_Data!$O$2:$O$18)</f>
        <v>5</v>
      </c>
      <c r="F17" s="14" t="n">
        <f aca="false">COUNT(Raw_Data!$O$2:$O$18)-COUNTIFS(Raw_Data!$O$2:$O$18,"&gt;=1",Raw_Data!$O$2:$O$18,"&lt;=5")</f>
        <v>0</v>
      </c>
      <c r="G17" s="15" t="n">
        <f aca="false">AVERAGE(Raw_Data!$O$2:$O$18)</f>
        <v>4.17647058823529</v>
      </c>
      <c r="H17" s="15" t="n">
        <f aca="false">STDEV(Raw_Data!$O$2:$O$18)</f>
        <v>0.88284300116492</v>
      </c>
      <c r="I17" s="14" t="n">
        <f aca="false">COUNTIF(Raw_Data!$O$2:$O$18,5)</f>
        <v>8</v>
      </c>
      <c r="J17" s="19" t="n">
        <f aca="false">I17/B17</f>
        <v>0.470588235294118</v>
      </c>
    </row>
    <row r="18" customFormat="false" ht="15" hidden="false" customHeight="true" outlineLevel="0" collapsed="false">
      <c r="A18" s="14" t="s">
        <v>15</v>
      </c>
      <c r="B18" s="14" t="n">
        <f aca="false">COUNT(Raw_Data!$P$2:$P$18)</f>
        <v>17</v>
      </c>
      <c r="C18" s="14" t="n">
        <f aca="false">COUNTBLANK(Raw_Data!$P$2:$P$18)</f>
        <v>0</v>
      </c>
      <c r="D18" s="14" t="n">
        <f aca="false">MIN(Raw_Data!$P$2:$P$18)</f>
        <v>4</v>
      </c>
      <c r="E18" s="14" t="n">
        <f aca="false">MAX(Raw_Data!$P$2:$P$18)</f>
        <v>5</v>
      </c>
      <c r="F18" s="14" t="n">
        <f aca="false">COUNT(Raw_Data!$P$2:$P$18)-COUNTIFS(Raw_Data!$P$2:$P$18,"&gt;=1",Raw_Data!$P$2:$P$18,"&lt;=5")</f>
        <v>0</v>
      </c>
      <c r="G18" s="15" t="n">
        <f aca="false">AVERAGE(Raw_Data!$P$2:$P$18)</f>
        <v>4.88235294117647</v>
      </c>
      <c r="H18" s="15" t="n">
        <f aca="false">STDEV(Raw_Data!$P$2:$P$18)</f>
        <v>0.332105582077536</v>
      </c>
      <c r="I18" s="14" t="n">
        <f aca="false">COUNTIF(Raw_Data!$P$2:$P$18,5)</f>
        <v>15</v>
      </c>
      <c r="J18" s="19" t="n">
        <f aca="false">I18/B18</f>
        <v>0.882352941176471</v>
      </c>
    </row>
    <row r="19" customFormat="false" ht="15" hidden="false" customHeight="true" outlineLevel="0" collapsed="false">
      <c r="A19" s="14" t="s">
        <v>16</v>
      </c>
      <c r="B19" s="14" t="n">
        <f aca="false">COUNT(Raw_Data!$Q$2:$Q$18)</f>
        <v>17</v>
      </c>
      <c r="C19" s="14" t="n">
        <f aca="false">COUNTBLANK(Raw_Data!$Q$2:$Q$18)</f>
        <v>0</v>
      </c>
      <c r="D19" s="14" t="n">
        <f aca="false">MIN(Raw_Data!$Q$2:$Q$18)</f>
        <v>4</v>
      </c>
      <c r="E19" s="14" t="n">
        <f aca="false">MAX(Raw_Data!$Q$2:$Q$18)</f>
        <v>5</v>
      </c>
      <c r="F19" s="14" t="n">
        <f aca="false">COUNT(Raw_Data!$Q$2:$Q$18)-COUNTIFS(Raw_Data!$Q$2:$Q$18,"&gt;=1",Raw_Data!$Q$2:$Q$18,"&lt;=5")</f>
        <v>0</v>
      </c>
      <c r="G19" s="15" t="n">
        <f aca="false">AVERAGE(Raw_Data!$Q$2:$Q$18)</f>
        <v>4.82352941176471</v>
      </c>
      <c r="H19" s="15" t="n">
        <f aca="false">STDEV(Raw_Data!$Q$2:$Q$18)</f>
        <v>0.392952623996688</v>
      </c>
      <c r="I19" s="14" t="n">
        <f aca="false">COUNTIF(Raw_Data!$Q$2:$Q$18,5)</f>
        <v>14</v>
      </c>
      <c r="J19" s="19" t="n">
        <f aca="false">I19/B19</f>
        <v>0.823529411764706</v>
      </c>
    </row>
    <row r="20" customFormat="false" ht="15" hidden="false" customHeight="true" outlineLevel="0" collapsed="false">
      <c r="A20" s="14" t="s">
        <v>17</v>
      </c>
      <c r="B20" s="14" t="n">
        <f aca="false">COUNT(Raw_Data!$R$2:$R$18)</f>
        <v>17</v>
      </c>
      <c r="C20" s="14" t="n">
        <f aca="false">COUNTBLANK(Raw_Data!$R$2:$R$18)</f>
        <v>0</v>
      </c>
      <c r="D20" s="14" t="n">
        <f aca="false">MIN(Raw_Data!$R$2:$R$18)</f>
        <v>4</v>
      </c>
      <c r="E20" s="14" t="n">
        <f aca="false">MAX(Raw_Data!$R$2:$R$18)</f>
        <v>5</v>
      </c>
      <c r="F20" s="14" t="n">
        <f aca="false">COUNT(Raw_Data!$R$2:$R$18)-COUNTIFS(Raw_Data!$R$2:$R$18,"&gt;=1",Raw_Data!$R$2:$R$18,"&lt;=5")</f>
        <v>0</v>
      </c>
      <c r="G20" s="15" t="n">
        <f aca="false">AVERAGE(Raw_Data!$R$2:$R$18)</f>
        <v>4.76470588235294</v>
      </c>
      <c r="H20" s="15" t="n">
        <f aca="false">STDEV(Raw_Data!$R$2:$R$18)</f>
        <v>0.437237316097603</v>
      </c>
      <c r="I20" s="14" t="n">
        <f aca="false">COUNTIF(Raw_Data!$R$2:$R$18,5)</f>
        <v>13</v>
      </c>
      <c r="J20" s="19" t="n">
        <f aca="false">I20/B20</f>
        <v>0.764705882352941</v>
      </c>
    </row>
    <row r="21" customFormat="false" ht="15" hidden="false" customHeight="true" outlineLevel="0" collapsed="false">
      <c r="A21" s="14" t="s">
        <v>18</v>
      </c>
      <c r="B21" s="14" t="n">
        <f aca="false">COUNT(Raw_Data!$S$2:$S$18)</f>
        <v>17</v>
      </c>
      <c r="C21" s="14" t="n">
        <f aca="false">COUNTBLANK(Raw_Data!$S$2:$S$18)</f>
        <v>0</v>
      </c>
      <c r="D21" s="14" t="n">
        <f aca="false">MIN(Raw_Data!$S$2:$S$18)</f>
        <v>4</v>
      </c>
      <c r="E21" s="14" t="n">
        <f aca="false">MAX(Raw_Data!$S$2:$S$18)</f>
        <v>5</v>
      </c>
      <c r="F21" s="14" t="n">
        <f aca="false">COUNT(Raw_Data!$S$2:$S$18)-COUNTIFS(Raw_Data!$S$2:$S$18,"&gt;=1",Raw_Data!$S$2:$S$18,"&lt;=5")</f>
        <v>0</v>
      </c>
      <c r="G21" s="15" t="n">
        <f aca="false">AVERAGE(Raw_Data!$S$2:$S$18)</f>
        <v>4.88235294117647</v>
      </c>
      <c r="H21" s="15" t="n">
        <f aca="false">STDEV(Raw_Data!$S$2:$S$18)</f>
        <v>0.332105582077536</v>
      </c>
      <c r="I21" s="14" t="n">
        <f aca="false">COUNTIF(Raw_Data!$S$2:$S$18,5)</f>
        <v>15</v>
      </c>
      <c r="J21" s="19" t="n">
        <f aca="false">I21/B21</f>
        <v>0.882352941176471</v>
      </c>
    </row>
    <row r="22" customFormat="false" ht="15" hidden="false" customHeight="true" outlineLevel="0" collapsed="false">
      <c r="A22" s="14" t="s">
        <v>19</v>
      </c>
      <c r="B22" s="14" t="n">
        <f aca="false">COUNT(Raw_Data!$T$2:$T$18)</f>
        <v>17</v>
      </c>
      <c r="C22" s="14" t="n">
        <f aca="false">COUNTBLANK(Raw_Data!$T$2:$T$18)</f>
        <v>0</v>
      </c>
      <c r="D22" s="14" t="n">
        <f aca="false">MIN(Raw_Data!$T$2:$T$18)</f>
        <v>3</v>
      </c>
      <c r="E22" s="14" t="n">
        <f aca="false">MAX(Raw_Data!$T$2:$T$18)</f>
        <v>5</v>
      </c>
      <c r="F22" s="14" t="n">
        <f aca="false">COUNT(Raw_Data!$T$2:$T$18)-COUNTIFS(Raw_Data!$T$2:$T$18,"&gt;=1",Raw_Data!$T$2:$T$18,"&lt;=5")</f>
        <v>0</v>
      </c>
      <c r="G22" s="15" t="n">
        <f aca="false">AVERAGE(Raw_Data!$T$2:$T$18)</f>
        <v>4.23529411764706</v>
      </c>
      <c r="H22" s="15" t="n">
        <f aca="false">STDEV(Raw_Data!$T$2:$T$18)</f>
        <v>0.562295714538387</v>
      </c>
      <c r="I22" s="14" t="n">
        <f aca="false">COUNTIF(Raw_Data!$T$2:$T$18,5)</f>
        <v>5</v>
      </c>
      <c r="J22" s="19" t="n">
        <f aca="false">I22/B22</f>
        <v>0.294117647058824</v>
      </c>
    </row>
    <row r="23" customFormat="false" ht="15" hidden="false" customHeight="true" outlineLevel="0" collapsed="false">
      <c r="A23" s="14" t="s">
        <v>20</v>
      </c>
      <c r="B23" s="14" t="n">
        <f aca="false">COUNT(Raw_Data!$U$2:$U$18)</f>
        <v>17</v>
      </c>
      <c r="C23" s="14" t="n">
        <f aca="false">COUNTBLANK(Raw_Data!$U$2:$U$18)</f>
        <v>0</v>
      </c>
      <c r="D23" s="14" t="n">
        <f aca="false">MIN(Raw_Data!$U$2:$U$18)</f>
        <v>3</v>
      </c>
      <c r="E23" s="14" t="n">
        <f aca="false">MAX(Raw_Data!$U$2:$U$18)</f>
        <v>5</v>
      </c>
      <c r="F23" s="14" t="n">
        <f aca="false">COUNT(Raw_Data!$U$2:$U$18)-COUNTIFS(Raw_Data!$U$2:$U$18,"&gt;=1",Raw_Data!$U$2:$U$18,"&lt;=5")</f>
        <v>0</v>
      </c>
      <c r="G23" s="15" t="n">
        <f aca="false">AVERAGE(Raw_Data!$U$2:$U$18)</f>
        <v>4.52941176470588</v>
      </c>
      <c r="H23" s="15" t="n">
        <f aca="false">STDEV(Raw_Data!$U$2:$U$18)</f>
        <v>0.624264272846798</v>
      </c>
      <c r="I23" s="14" t="n">
        <f aca="false">COUNTIF(Raw_Data!$U$2:$U$18,5)</f>
        <v>10</v>
      </c>
      <c r="J23" s="19" t="n">
        <f aca="false">I23/B23</f>
        <v>0.588235294117647</v>
      </c>
    </row>
    <row r="24" customFormat="false" ht="15" hidden="false" customHeight="true" outlineLevel="0" collapsed="false">
      <c r="A24" s="14" t="s">
        <v>21</v>
      </c>
      <c r="B24" s="14" t="n">
        <f aca="false">COUNT(Raw_Data!$V$2:$V$18)</f>
        <v>17</v>
      </c>
      <c r="C24" s="14" t="n">
        <f aca="false">COUNTBLANK(Raw_Data!$V$2:$V$18)</f>
        <v>0</v>
      </c>
      <c r="D24" s="14" t="n">
        <f aca="false">MIN(Raw_Data!$V$2:$V$18)</f>
        <v>3</v>
      </c>
      <c r="E24" s="14" t="n">
        <f aca="false">MAX(Raw_Data!$V$2:$V$18)</f>
        <v>5</v>
      </c>
      <c r="F24" s="14" t="n">
        <f aca="false">COUNT(Raw_Data!$V$2:$V$18)-COUNTIFS(Raw_Data!$V$2:$V$18,"&gt;=1",Raw_Data!$V$2:$V$18,"&lt;=5")</f>
        <v>0</v>
      </c>
      <c r="G24" s="15" t="n">
        <f aca="false">AVERAGE(Raw_Data!$V$2:$V$18)</f>
        <v>4.35294117647059</v>
      </c>
      <c r="H24" s="15" t="n">
        <f aca="false">STDEV(Raw_Data!$V$2:$V$18)</f>
        <v>0.701888209634219</v>
      </c>
      <c r="I24" s="14" t="n">
        <f aca="false">COUNTIF(Raw_Data!$V$2:$V$18,5)</f>
        <v>8</v>
      </c>
      <c r="J24" s="19" t="n">
        <f aca="false">I24/B24</f>
        <v>0.470588235294118</v>
      </c>
    </row>
    <row r="25" customFormat="false" ht="15" hidden="false" customHeight="true" outlineLevel="0" collapsed="false">
      <c r="A25" s="14" t="s">
        <v>22</v>
      </c>
      <c r="B25" s="14" t="n">
        <f aca="false">COUNT(Raw_Data!$W$2:$W$18)</f>
        <v>17</v>
      </c>
      <c r="C25" s="14" t="n">
        <f aca="false">COUNTBLANK(Raw_Data!$W$2:$W$18)</f>
        <v>0</v>
      </c>
      <c r="D25" s="14" t="n">
        <f aca="false">MIN(Raw_Data!$W$2:$W$18)</f>
        <v>4</v>
      </c>
      <c r="E25" s="14" t="n">
        <f aca="false">MAX(Raw_Data!$W$2:$W$18)</f>
        <v>5</v>
      </c>
      <c r="F25" s="14" t="n">
        <f aca="false">COUNT(Raw_Data!$W$2:$W$18)-COUNTIFS(Raw_Data!$W$2:$W$18,"&gt;=1",Raw_Data!$W$2:$W$18,"&lt;=5")</f>
        <v>0</v>
      </c>
      <c r="G25" s="15" t="n">
        <f aca="false">AVERAGE(Raw_Data!$W$2:$W$18)</f>
        <v>4.64705882352941</v>
      </c>
      <c r="H25" s="15" t="n">
        <f aca="false">STDEV(Raw_Data!$W$2:$W$18)</f>
        <v>0.492592183071889</v>
      </c>
      <c r="I25" s="14" t="n">
        <f aca="false">COUNTIF(Raw_Data!$W$2:$W$18,5)</f>
        <v>11</v>
      </c>
      <c r="J25" s="19" t="n">
        <f aca="false">I25/B25</f>
        <v>0.647058823529412</v>
      </c>
    </row>
    <row r="26" customFormat="false" ht="15" hidden="false" customHeight="true" outlineLevel="0" collapsed="false">
      <c r="A26" s="14" t="s">
        <v>23</v>
      </c>
      <c r="B26" s="14" t="n">
        <f aca="false">COUNT(Raw_Data!$X$2:$X$18)</f>
        <v>17</v>
      </c>
      <c r="C26" s="14" t="n">
        <f aca="false">COUNTBLANK(Raw_Data!$X$2:$X$18)</f>
        <v>0</v>
      </c>
      <c r="D26" s="14" t="n">
        <f aca="false">MIN(Raw_Data!$X$2:$X$18)</f>
        <v>4</v>
      </c>
      <c r="E26" s="14" t="n">
        <f aca="false">MAX(Raw_Data!$X$2:$X$18)</f>
        <v>5</v>
      </c>
      <c r="F26" s="14" t="n">
        <f aca="false">COUNT(Raw_Data!$X$2:$X$18)-COUNTIFS(Raw_Data!$X$2:$X$18,"&gt;=1",Raw_Data!$X$2:$X$18,"&lt;=5")</f>
        <v>0</v>
      </c>
      <c r="G26" s="15" t="n">
        <f aca="false">AVERAGE(Raw_Data!$X$2:$X$18)</f>
        <v>4.58823529411765</v>
      </c>
      <c r="H26" s="15" t="n">
        <f aca="false">STDEV(Raw_Data!$X$2:$X$18)</f>
        <v>0.507299656195892</v>
      </c>
      <c r="I26" s="14" t="n">
        <f aca="false">COUNTIF(Raw_Data!$X$2:$X$18,5)</f>
        <v>10</v>
      </c>
      <c r="J26" s="19" t="n">
        <f aca="false">I26/B26</f>
        <v>0.588235294117647</v>
      </c>
    </row>
    <row r="27" customFormat="false" ht="15" hidden="false" customHeight="true" outlineLevel="0" collapsed="false">
      <c r="A27" s="14" t="s">
        <v>24</v>
      </c>
      <c r="B27" s="14" t="n">
        <f aca="false">COUNT(Raw_Data!$Y$2:$Y$18)</f>
        <v>17</v>
      </c>
      <c r="C27" s="14" t="n">
        <f aca="false">COUNTBLANK(Raw_Data!$Y$2:$Y$18)</f>
        <v>0</v>
      </c>
      <c r="D27" s="14" t="n">
        <f aca="false">MIN(Raw_Data!$Y$2:$Y$18)</f>
        <v>4</v>
      </c>
      <c r="E27" s="14" t="n">
        <f aca="false">MAX(Raw_Data!$Y$2:$Y$18)</f>
        <v>5</v>
      </c>
      <c r="F27" s="14" t="n">
        <f aca="false">COUNT(Raw_Data!$Y$2:$Y$18)-COUNTIFS(Raw_Data!$Y$2:$Y$18,"&gt;=1",Raw_Data!$Y$2:$Y$18,"&lt;=5")</f>
        <v>0</v>
      </c>
      <c r="G27" s="15" t="n">
        <f aca="false">AVERAGE(Raw_Data!$Y$2:$Y$18)</f>
        <v>4.88235294117647</v>
      </c>
      <c r="H27" s="15" t="n">
        <f aca="false">STDEV(Raw_Data!$Y$2:$Y$18)</f>
        <v>0.332105582077536</v>
      </c>
      <c r="I27" s="14" t="n">
        <f aca="false">COUNTIF(Raw_Data!$Y$2:$Y$18,5)</f>
        <v>15</v>
      </c>
      <c r="J27" s="19" t="n">
        <f aca="false">I27/B27</f>
        <v>0.882352941176471</v>
      </c>
    </row>
    <row r="29" customFormat="false" ht="15" hidden="false" customHeight="true" outlineLevel="0" collapsed="false">
      <c r="A29" s="3" t="s">
        <v>167</v>
      </c>
      <c r="B29" s="1" t="n">
        <f aca="false">COUNTA(Raw_Data!A2:A18)</f>
        <v>17</v>
      </c>
    </row>
    <row r="30" customFormat="false" ht="15" hidden="false" customHeight="true" outlineLevel="0" collapsed="false">
      <c r="A30" s="3" t="s">
        <v>168</v>
      </c>
      <c r="B30" s="1" t="n">
        <f aca="false">SUMPRODUCT((COUNTIF(Raw_Data!A2:A18,Raw_Data!A2:A18)&gt;1)*1)</f>
        <v>0</v>
      </c>
    </row>
    <row r="31" customFormat="false" ht="15" hidden="false" customHeight="true" outlineLevel="0" collapsed="false">
      <c r="A31" s="3" t="s">
        <v>169</v>
      </c>
      <c r="B31" s="1" t="n">
        <f aca="false">SUM(C4:C27)</f>
        <v>0</v>
      </c>
    </row>
    <row r="32" customFormat="false" ht="15" hidden="false" customHeight="true" outlineLevel="0" collapsed="false">
      <c r="A32" s="3" t="s">
        <v>170</v>
      </c>
      <c r="B32" s="1" t="n">
        <f aca="false">SUM(F4:F27)</f>
        <v>0</v>
      </c>
    </row>
    <row r="33" customFormat="false" ht="15" hidden="false" customHeight="true" outlineLevel="0" collapsed="false">
      <c r="A33" s="3" t="s">
        <v>171</v>
      </c>
      <c r="B33" s="1" t="n">
        <f aca="false">COUNTIF(J4:J27,"&gt;=0.8")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5" min="1" style="1" width="15"/>
  </cols>
  <sheetData>
    <row r="1" customFormat="false" ht="23.25" hidden="false" customHeight="true" outlineLevel="0" collapsed="false">
      <c r="A1" s="9" t="s">
        <v>0</v>
      </c>
      <c r="B1" s="9" t="s">
        <v>172</v>
      </c>
      <c r="C1" s="9" t="s">
        <v>173</v>
      </c>
      <c r="D1" s="9" t="s">
        <v>174</v>
      </c>
      <c r="E1" s="9" t="s">
        <v>175</v>
      </c>
      <c r="F1" s="9" t="s">
        <v>176</v>
      </c>
      <c r="G1" s="9" t="s">
        <v>177</v>
      </c>
      <c r="H1" s="9" t="s">
        <v>178</v>
      </c>
      <c r="I1" s="9" t="s">
        <v>179</v>
      </c>
      <c r="J1" s="9" t="s">
        <v>180</v>
      </c>
      <c r="K1" s="9" t="s">
        <v>181</v>
      </c>
      <c r="L1" s="9" t="s">
        <v>182</v>
      </c>
      <c r="M1" s="9" t="s">
        <v>183</v>
      </c>
      <c r="N1" s="9" t="s">
        <v>184</v>
      </c>
      <c r="O1" s="9" t="s">
        <v>185</v>
      </c>
      <c r="P1" s="9" t="s">
        <v>186</v>
      </c>
      <c r="Q1" s="9" t="s">
        <v>187</v>
      </c>
      <c r="R1" s="9" t="s">
        <v>188</v>
      </c>
      <c r="S1" s="9" t="s">
        <v>189</v>
      </c>
      <c r="T1" s="9" t="s">
        <v>190</v>
      </c>
      <c r="U1" s="9" t="s">
        <v>191</v>
      </c>
      <c r="V1" s="9" t="s">
        <v>192</v>
      </c>
      <c r="W1" s="9" t="s">
        <v>193</v>
      </c>
      <c r="X1" s="9" t="s">
        <v>194</v>
      </c>
      <c r="Y1" s="9" t="s">
        <v>195</v>
      </c>
      <c r="Z1" s="9" t="s">
        <v>196</v>
      </c>
      <c r="AA1" s="9" t="s">
        <v>197</v>
      </c>
      <c r="AB1" s="9" t="s">
        <v>198</v>
      </c>
      <c r="AC1" s="9" t="s">
        <v>199</v>
      </c>
      <c r="AD1" s="9" t="s">
        <v>200</v>
      </c>
      <c r="AE1" s="9" t="s">
        <v>201</v>
      </c>
      <c r="AF1" s="9" t="s">
        <v>202</v>
      </c>
      <c r="AG1" s="9" t="s">
        <v>203</v>
      </c>
      <c r="AH1" s="9" t="s">
        <v>204</v>
      </c>
      <c r="AI1" s="9" t="s">
        <v>205</v>
      </c>
    </row>
    <row r="2" customFormat="false" ht="15" hidden="false" customHeight="true" outlineLevel="0" collapsed="false">
      <c r="A2" s="1" t="str">
        <f aca="false">Raw_Data!A2</f>
        <v>P01</v>
      </c>
      <c r="B2" s="1" t="n">
        <f aca="false">Raw_Data!B2+Raw_Data!C2+Raw_Data!D2</f>
        <v>15</v>
      </c>
      <c r="C2" s="1" t="n">
        <f aca="false">Raw_Data!C2+Raw_Data!D2</f>
        <v>10</v>
      </c>
      <c r="D2" s="1" t="n">
        <f aca="false">Raw_Data!B2+Raw_Data!D2</f>
        <v>10</v>
      </c>
      <c r="E2" s="1" t="n">
        <f aca="false">Raw_Data!B2+Raw_Data!C2</f>
        <v>10</v>
      </c>
      <c r="F2" s="1" t="n">
        <f aca="false">Raw_Data!E2+Raw_Data!F2+Raw_Data!G2</f>
        <v>14</v>
      </c>
      <c r="G2" s="1" t="n">
        <f aca="false">Raw_Data!F2+Raw_Data!G2</f>
        <v>9</v>
      </c>
      <c r="H2" s="1" t="n">
        <f aca="false">Raw_Data!E2+Raw_Data!G2</f>
        <v>9</v>
      </c>
      <c r="I2" s="1" t="n">
        <f aca="false">Raw_Data!E2+Raw_Data!F2</f>
        <v>10</v>
      </c>
      <c r="J2" s="1" t="n">
        <f aca="false">Raw_Data!H2+Raw_Data!I2+Raw_Data!J2</f>
        <v>13</v>
      </c>
      <c r="K2" s="1" t="n">
        <f aca="false">Raw_Data!I2+Raw_Data!J2</f>
        <v>9</v>
      </c>
      <c r="L2" s="1" t="n">
        <f aca="false">Raw_Data!H2+Raw_Data!J2</f>
        <v>8</v>
      </c>
      <c r="M2" s="1" t="n">
        <f aca="false">Raw_Data!H2+Raw_Data!I2</f>
        <v>9</v>
      </c>
      <c r="N2" s="1" t="n">
        <f aca="false">Raw_Data!K2+Raw_Data!L2+Raw_Data!M2</f>
        <v>15</v>
      </c>
      <c r="O2" s="1" t="n">
        <f aca="false">Raw_Data!L2+Raw_Data!M2</f>
        <v>10</v>
      </c>
      <c r="P2" s="1" t="n">
        <f aca="false">Raw_Data!K2+Raw_Data!M2</f>
        <v>10</v>
      </c>
      <c r="Q2" s="1" t="n">
        <f aca="false">Raw_Data!K2+Raw_Data!L2</f>
        <v>10</v>
      </c>
      <c r="R2" s="1" t="n">
        <f aca="false">SUM(Raw_Data!B2:M2)</f>
        <v>57</v>
      </c>
      <c r="S2" s="1" t="n">
        <f aca="false">Raw_Data!N2+Raw_Data!O2+Raw_Data!P2</f>
        <v>14</v>
      </c>
      <c r="T2" s="1" t="n">
        <f aca="false">Raw_Data!O2+Raw_Data!P2</f>
        <v>9</v>
      </c>
      <c r="U2" s="1" t="n">
        <f aca="false">Raw_Data!N2+Raw_Data!P2</f>
        <v>10</v>
      </c>
      <c r="V2" s="1" t="n">
        <f aca="false">Raw_Data!N2+Raw_Data!O2</f>
        <v>9</v>
      </c>
      <c r="W2" s="1" t="n">
        <f aca="false">Raw_Data!Q2+Raw_Data!R2+Raw_Data!S2</f>
        <v>15</v>
      </c>
      <c r="X2" s="1" t="n">
        <f aca="false">Raw_Data!R2+Raw_Data!S2</f>
        <v>10</v>
      </c>
      <c r="Y2" s="1" t="n">
        <f aca="false">Raw_Data!Q2+Raw_Data!S2</f>
        <v>10</v>
      </c>
      <c r="Z2" s="1" t="n">
        <f aca="false">Raw_Data!Q2+Raw_Data!R2</f>
        <v>10</v>
      </c>
      <c r="AA2" s="1" t="n">
        <f aca="false">Raw_Data!T2+Raw_Data!U2+Raw_Data!V2</f>
        <v>12</v>
      </c>
      <c r="AB2" s="1" t="n">
        <f aca="false">Raw_Data!U2+Raw_Data!V2</f>
        <v>8</v>
      </c>
      <c r="AC2" s="1" t="n">
        <f aca="false">Raw_Data!T2+Raw_Data!V2</f>
        <v>8</v>
      </c>
      <c r="AD2" s="1" t="n">
        <f aca="false">Raw_Data!T2+Raw_Data!U2</f>
        <v>8</v>
      </c>
      <c r="AE2" s="1" t="n">
        <f aca="false">Raw_Data!W2+Raw_Data!X2+Raw_Data!Y2</f>
        <v>13</v>
      </c>
      <c r="AF2" s="1" t="n">
        <f aca="false">Raw_Data!X2+Raw_Data!Y2</f>
        <v>9</v>
      </c>
      <c r="AG2" s="1" t="n">
        <f aca="false">Raw_Data!W2+Raw_Data!Y2</f>
        <v>9</v>
      </c>
      <c r="AH2" s="1" t="n">
        <f aca="false">Raw_Data!W2+Raw_Data!X2</f>
        <v>8</v>
      </c>
      <c r="AI2" s="1" t="n">
        <f aca="false">SUM(Raw_Data!N2:Y2)</f>
        <v>54</v>
      </c>
    </row>
    <row r="3" customFormat="false" ht="15" hidden="false" customHeight="true" outlineLevel="0" collapsed="false">
      <c r="A3" s="1" t="str">
        <f aca="false">Raw_Data!A3</f>
        <v>P02</v>
      </c>
      <c r="B3" s="1" t="n">
        <f aca="false">Raw_Data!B3+Raw_Data!C3+Raw_Data!D3</f>
        <v>14</v>
      </c>
      <c r="C3" s="1" t="n">
        <f aca="false">Raw_Data!C3+Raw_Data!D3</f>
        <v>9</v>
      </c>
      <c r="D3" s="1" t="n">
        <f aca="false">Raw_Data!B3+Raw_Data!D3</f>
        <v>10</v>
      </c>
      <c r="E3" s="1" t="n">
        <f aca="false">Raw_Data!B3+Raw_Data!C3</f>
        <v>9</v>
      </c>
      <c r="F3" s="1" t="n">
        <f aca="false">Raw_Data!E3+Raw_Data!F3+Raw_Data!G3</f>
        <v>13</v>
      </c>
      <c r="G3" s="1" t="n">
        <f aca="false">Raw_Data!F3+Raw_Data!G3</f>
        <v>9</v>
      </c>
      <c r="H3" s="1" t="n">
        <f aca="false">Raw_Data!E3+Raw_Data!G3</f>
        <v>8</v>
      </c>
      <c r="I3" s="1" t="n">
        <f aca="false">Raw_Data!E3+Raw_Data!F3</f>
        <v>9</v>
      </c>
      <c r="J3" s="1" t="n">
        <f aca="false">Raw_Data!H3+Raw_Data!I3+Raw_Data!J3</f>
        <v>10</v>
      </c>
      <c r="K3" s="1" t="n">
        <f aca="false">Raw_Data!I3+Raw_Data!J3</f>
        <v>7</v>
      </c>
      <c r="L3" s="1" t="n">
        <f aca="false">Raw_Data!H3+Raw_Data!J3</f>
        <v>6</v>
      </c>
      <c r="M3" s="1" t="n">
        <f aca="false">Raw_Data!H3+Raw_Data!I3</f>
        <v>7</v>
      </c>
      <c r="N3" s="1" t="n">
        <f aca="false">Raw_Data!K3+Raw_Data!L3+Raw_Data!M3</f>
        <v>13</v>
      </c>
      <c r="O3" s="1" t="n">
        <f aca="false">Raw_Data!L3+Raw_Data!M3</f>
        <v>9</v>
      </c>
      <c r="P3" s="1" t="n">
        <f aca="false">Raw_Data!K3+Raw_Data!M3</f>
        <v>8</v>
      </c>
      <c r="Q3" s="1" t="n">
        <f aca="false">Raw_Data!K3+Raw_Data!L3</f>
        <v>9</v>
      </c>
      <c r="R3" s="1" t="n">
        <f aca="false">SUM(Raw_Data!B3:M3)</f>
        <v>50</v>
      </c>
      <c r="S3" s="1" t="n">
        <f aca="false">Raw_Data!N3+Raw_Data!O3+Raw_Data!P3</f>
        <v>11</v>
      </c>
      <c r="T3" s="1" t="n">
        <f aca="false">Raw_Data!O3+Raw_Data!P3</f>
        <v>7</v>
      </c>
      <c r="U3" s="1" t="n">
        <f aca="false">Raw_Data!N3+Raw_Data!P3</f>
        <v>8</v>
      </c>
      <c r="V3" s="1" t="n">
        <f aca="false">Raw_Data!N3+Raw_Data!O3</f>
        <v>7</v>
      </c>
      <c r="W3" s="1" t="n">
        <f aca="false">Raw_Data!Q3+Raw_Data!R3+Raw_Data!S3</f>
        <v>12</v>
      </c>
      <c r="X3" s="1" t="n">
        <f aca="false">Raw_Data!R3+Raw_Data!S3</f>
        <v>8</v>
      </c>
      <c r="Y3" s="1" t="n">
        <f aca="false">Raw_Data!Q3+Raw_Data!S3</f>
        <v>8</v>
      </c>
      <c r="Z3" s="1" t="n">
        <f aca="false">Raw_Data!Q3+Raw_Data!R3</f>
        <v>8</v>
      </c>
      <c r="AA3" s="1" t="n">
        <f aca="false">Raw_Data!T3+Raw_Data!U3+Raw_Data!V3</f>
        <v>10</v>
      </c>
      <c r="AB3" s="1" t="n">
        <f aca="false">Raw_Data!U3+Raw_Data!V3</f>
        <v>7</v>
      </c>
      <c r="AC3" s="1" t="n">
        <f aca="false">Raw_Data!T3+Raw_Data!V3</f>
        <v>7</v>
      </c>
      <c r="AD3" s="1" t="n">
        <f aca="false">Raw_Data!T3+Raw_Data!U3</f>
        <v>6</v>
      </c>
      <c r="AE3" s="1" t="n">
        <f aca="false">Raw_Data!W3+Raw_Data!X3+Raw_Data!Y3</f>
        <v>12</v>
      </c>
      <c r="AF3" s="1" t="n">
        <f aca="false">Raw_Data!X3+Raw_Data!Y3</f>
        <v>8</v>
      </c>
      <c r="AG3" s="1" t="n">
        <f aca="false">Raw_Data!W3+Raw_Data!Y3</f>
        <v>8</v>
      </c>
      <c r="AH3" s="1" t="n">
        <f aca="false">Raw_Data!W3+Raw_Data!X3</f>
        <v>8</v>
      </c>
      <c r="AI3" s="1" t="n">
        <f aca="false">SUM(Raw_Data!N3:Y3)</f>
        <v>45</v>
      </c>
    </row>
    <row r="4" customFormat="false" ht="15" hidden="false" customHeight="true" outlineLevel="0" collapsed="false">
      <c r="A4" s="1" t="str">
        <f aca="false">Raw_Data!A4</f>
        <v>P03</v>
      </c>
      <c r="B4" s="1" t="n">
        <f aca="false">Raw_Data!B4+Raw_Data!C4+Raw_Data!D4</f>
        <v>13</v>
      </c>
      <c r="C4" s="1" t="n">
        <f aca="false">Raw_Data!C4+Raw_Data!D4</f>
        <v>8</v>
      </c>
      <c r="D4" s="1" t="n">
        <f aca="false">Raw_Data!B4+Raw_Data!D4</f>
        <v>9</v>
      </c>
      <c r="E4" s="1" t="n">
        <f aca="false">Raw_Data!B4+Raw_Data!C4</f>
        <v>9</v>
      </c>
      <c r="F4" s="1" t="n">
        <f aca="false">Raw_Data!E4+Raw_Data!F4+Raw_Data!G4</f>
        <v>14</v>
      </c>
      <c r="G4" s="1" t="n">
        <f aca="false">Raw_Data!F4+Raw_Data!G4</f>
        <v>9</v>
      </c>
      <c r="H4" s="1" t="n">
        <f aca="false">Raw_Data!E4+Raw_Data!G4</f>
        <v>9</v>
      </c>
      <c r="I4" s="1" t="n">
        <f aca="false">Raw_Data!E4+Raw_Data!F4</f>
        <v>10</v>
      </c>
      <c r="J4" s="1" t="n">
        <f aca="false">Raw_Data!H4+Raw_Data!I4+Raw_Data!J4</f>
        <v>14</v>
      </c>
      <c r="K4" s="1" t="n">
        <f aca="false">Raw_Data!I4+Raw_Data!J4</f>
        <v>9</v>
      </c>
      <c r="L4" s="1" t="n">
        <f aca="false">Raw_Data!H4+Raw_Data!J4</f>
        <v>10</v>
      </c>
      <c r="M4" s="1" t="n">
        <f aca="false">Raw_Data!H4+Raw_Data!I4</f>
        <v>9</v>
      </c>
      <c r="N4" s="1" t="n">
        <f aca="false">Raw_Data!K4+Raw_Data!L4+Raw_Data!M4</f>
        <v>12</v>
      </c>
      <c r="O4" s="1" t="n">
        <f aca="false">Raw_Data!L4+Raw_Data!M4</f>
        <v>9</v>
      </c>
      <c r="P4" s="1" t="n">
        <f aca="false">Raw_Data!K4+Raw_Data!M4</f>
        <v>8</v>
      </c>
      <c r="Q4" s="1" t="n">
        <f aca="false">Raw_Data!K4+Raw_Data!L4</f>
        <v>7</v>
      </c>
      <c r="R4" s="1" t="n">
        <f aca="false">SUM(Raw_Data!B4:M4)</f>
        <v>53</v>
      </c>
      <c r="S4" s="1" t="n">
        <f aca="false">Raw_Data!N4+Raw_Data!O4+Raw_Data!P4</f>
        <v>15</v>
      </c>
      <c r="T4" s="1" t="n">
        <f aca="false">Raw_Data!O4+Raw_Data!P4</f>
        <v>10</v>
      </c>
      <c r="U4" s="1" t="n">
        <f aca="false">Raw_Data!N4+Raw_Data!P4</f>
        <v>10</v>
      </c>
      <c r="V4" s="1" t="n">
        <f aca="false">Raw_Data!N4+Raw_Data!O4</f>
        <v>10</v>
      </c>
      <c r="W4" s="1" t="n">
        <f aca="false">Raw_Data!Q4+Raw_Data!R4+Raw_Data!S4</f>
        <v>15</v>
      </c>
      <c r="X4" s="1" t="n">
        <f aca="false">Raw_Data!R4+Raw_Data!S4</f>
        <v>10</v>
      </c>
      <c r="Y4" s="1" t="n">
        <f aca="false">Raw_Data!Q4+Raw_Data!S4</f>
        <v>10</v>
      </c>
      <c r="Z4" s="1" t="n">
        <f aca="false">Raw_Data!Q4+Raw_Data!R4</f>
        <v>10</v>
      </c>
      <c r="AA4" s="1" t="n">
        <f aca="false">Raw_Data!T4+Raw_Data!U4+Raw_Data!V4</f>
        <v>15</v>
      </c>
      <c r="AB4" s="1" t="n">
        <f aca="false">Raw_Data!U4+Raw_Data!V4</f>
        <v>10</v>
      </c>
      <c r="AC4" s="1" t="n">
        <f aca="false">Raw_Data!T4+Raw_Data!V4</f>
        <v>10</v>
      </c>
      <c r="AD4" s="1" t="n">
        <f aca="false">Raw_Data!T4+Raw_Data!U4</f>
        <v>10</v>
      </c>
      <c r="AE4" s="1" t="n">
        <f aca="false">Raw_Data!W4+Raw_Data!X4+Raw_Data!Y4</f>
        <v>15</v>
      </c>
      <c r="AF4" s="1" t="n">
        <f aca="false">Raw_Data!X4+Raw_Data!Y4</f>
        <v>10</v>
      </c>
      <c r="AG4" s="1" t="n">
        <f aca="false">Raw_Data!W4+Raw_Data!Y4</f>
        <v>10</v>
      </c>
      <c r="AH4" s="1" t="n">
        <f aca="false">Raw_Data!W4+Raw_Data!X4</f>
        <v>10</v>
      </c>
      <c r="AI4" s="1" t="n">
        <f aca="false">SUM(Raw_Data!N4:Y4)</f>
        <v>60</v>
      </c>
    </row>
    <row r="5" customFormat="false" ht="15" hidden="false" customHeight="true" outlineLevel="0" collapsed="false">
      <c r="A5" s="1" t="str">
        <f aca="false">Raw_Data!A5</f>
        <v>P04</v>
      </c>
      <c r="B5" s="1" t="n">
        <f aca="false">Raw_Data!B5+Raw_Data!C5+Raw_Data!D5</f>
        <v>14</v>
      </c>
      <c r="C5" s="1" t="n">
        <f aca="false">Raw_Data!C5+Raw_Data!D5</f>
        <v>9</v>
      </c>
      <c r="D5" s="1" t="n">
        <f aca="false">Raw_Data!B5+Raw_Data!D5</f>
        <v>10</v>
      </c>
      <c r="E5" s="1" t="n">
        <f aca="false">Raw_Data!B5+Raw_Data!C5</f>
        <v>9</v>
      </c>
      <c r="F5" s="1" t="n">
        <f aca="false">Raw_Data!E5+Raw_Data!F5+Raw_Data!G5</f>
        <v>13</v>
      </c>
      <c r="G5" s="1" t="n">
        <f aca="false">Raw_Data!F5+Raw_Data!G5</f>
        <v>8</v>
      </c>
      <c r="H5" s="1" t="n">
        <f aca="false">Raw_Data!E5+Raw_Data!G5</f>
        <v>9</v>
      </c>
      <c r="I5" s="1" t="n">
        <f aca="false">Raw_Data!E5+Raw_Data!F5</f>
        <v>9</v>
      </c>
      <c r="J5" s="1" t="n">
        <f aca="false">Raw_Data!H5+Raw_Data!I5+Raw_Data!J5</f>
        <v>14</v>
      </c>
      <c r="K5" s="1" t="n">
        <f aca="false">Raw_Data!I5+Raw_Data!J5</f>
        <v>10</v>
      </c>
      <c r="L5" s="1" t="n">
        <f aca="false">Raw_Data!H5+Raw_Data!J5</f>
        <v>9</v>
      </c>
      <c r="M5" s="1" t="n">
        <f aca="false">Raw_Data!H5+Raw_Data!I5</f>
        <v>9</v>
      </c>
      <c r="N5" s="1" t="n">
        <f aca="false">Raw_Data!K5+Raw_Data!L5+Raw_Data!M5</f>
        <v>15</v>
      </c>
      <c r="O5" s="1" t="n">
        <f aca="false">Raw_Data!L5+Raw_Data!M5</f>
        <v>10</v>
      </c>
      <c r="P5" s="1" t="n">
        <f aca="false">Raw_Data!K5+Raw_Data!M5</f>
        <v>10</v>
      </c>
      <c r="Q5" s="1" t="n">
        <f aca="false">Raw_Data!K5+Raw_Data!L5</f>
        <v>10</v>
      </c>
      <c r="R5" s="1" t="n">
        <f aca="false">SUM(Raw_Data!B5:M5)</f>
        <v>56</v>
      </c>
      <c r="S5" s="1" t="n">
        <f aca="false">Raw_Data!N5+Raw_Data!O5+Raw_Data!P5</f>
        <v>15</v>
      </c>
      <c r="T5" s="1" t="n">
        <f aca="false">Raw_Data!O5+Raw_Data!P5</f>
        <v>10</v>
      </c>
      <c r="U5" s="1" t="n">
        <f aca="false">Raw_Data!N5+Raw_Data!P5</f>
        <v>10</v>
      </c>
      <c r="V5" s="1" t="n">
        <f aca="false">Raw_Data!N5+Raw_Data!O5</f>
        <v>10</v>
      </c>
      <c r="W5" s="1" t="n">
        <f aca="false">Raw_Data!Q5+Raw_Data!R5+Raw_Data!S5</f>
        <v>15</v>
      </c>
      <c r="X5" s="1" t="n">
        <f aca="false">Raw_Data!R5+Raw_Data!S5</f>
        <v>10</v>
      </c>
      <c r="Y5" s="1" t="n">
        <f aca="false">Raw_Data!Q5+Raw_Data!S5</f>
        <v>10</v>
      </c>
      <c r="Z5" s="1" t="n">
        <f aca="false">Raw_Data!Q5+Raw_Data!R5</f>
        <v>10</v>
      </c>
      <c r="AA5" s="1" t="n">
        <f aca="false">Raw_Data!T5+Raw_Data!U5+Raw_Data!V5</f>
        <v>14</v>
      </c>
      <c r="AB5" s="1" t="n">
        <f aca="false">Raw_Data!U5+Raw_Data!V5</f>
        <v>10</v>
      </c>
      <c r="AC5" s="1" t="n">
        <f aca="false">Raw_Data!T5+Raw_Data!V5</f>
        <v>9</v>
      </c>
      <c r="AD5" s="1" t="n">
        <f aca="false">Raw_Data!T5+Raw_Data!U5</f>
        <v>9</v>
      </c>
      <c r="AE5" s="1" t="n">
        <f aca="false">Raw_Data!W5+Raw_Data!X5+Raw_Data!Y5</f>
        <v>15</v>
      </c>
      <c r="AF5" s="1" t="n">
        <f aca="false">Raw_Data!X5+Raw_Data!Y5</f>
        <v>10</v>
      </c>
      <c r="AG5" s="1" t="n">
        <f aca="false">Raw_Data!W5+Raw_Data!Y5</f>
        <v>10</v>
      </c>
      <c r="AH5" s="1" t="n">
        <f aca="false">Raw_Data!W5+Raw_Data!X5</f>
        <v>10</v>
      </c>
      <c r="AI5" s="1" t="n">
        <f aca="false">SUM(Raw_Data!N5:Y5)</f>
        <v>59</v>
      </c>
    </row>
    <row r="6" customFormat="false" ht="15" hidden="false" customHeight="true" outlineLevel="0" collapsed="false">
      <c r="A6" s="1" t="str">
        <f aca="false">Raw_Data!A6</f>
        <v>P05</v>
      </c>
      <c r="B6" s="1" t="n">
        <f aca="false">Raw_Data!B6+Raw_Data!C6+Raw_Data!D6</f>
        <v>15</v>
      </c>
      <c r="C6" s="1" t="n">
        <f aca="false">Raw_Data!C6+Raw_Data!D6</f>
        <v>10</v>
      </c>
      <c r="D6" s="1" t="n">
        <f aca="false">Raw_Data!B6+Raw_Data!D6</f>
        <v>10</v>
      </c>
      <c r="E6" s="1" t="n">
        <f aca="false">Raw_Data!B6+Raw_Data!C6</f>
        <v>10</v>
      </c>
      <c r="F6" s="1" t="n">
        <f aca="false">Raw_Data!E6+Raw_Data!F6+Raw_Data!G6</f>
        <v>14</v>
      </c>
      <c r="G6" s="1" t="n">
        <f aca="false">Raw_Data!F6+Raw_Data!G6</f>
        <v>9</v>
      </c>
      <c r="H6" s="1" t="n">
        <f aca="false">Raw_Data!E6+Raw_Data!G6</f>
        <v>9</v>
      </c>
      <c r="I6" s="1" t="n">
        <f aca="false">Raw_Data!E6+Raw_Data!F6</f>
        <v>10</v>
      </c>
      <c r="J6" s="1" t="n">
        <f aca="false">Raw_Data!H6+Raw_Data!I6+Raw_Data!J6</f>
        <v>12</v>
      </c>
      <c r="K6" s="1" t="n">
        <f aca="false">Raw_Data!I6+Raw_Data!J6</f>
        <v>8</v>
      </c>
      <c r="L6" s="1" t="n">
        <f aca="false">Raw_Data!H6+Raw_Data!J6</f>
        <v>8</v>
      </c>
      <c r="M6" s="1" t="n">
        <f aca="false">Raw_Data!H6+Raw_Data!I6</f>
        <v>8</v>
      </c>
      <c r="N6" s="1" t="n">
        <f aca="false">Raw_Data!K6+Raw_Data!L6+Raw_Data!M6</f>
        <v>14</v>
      </c>
      <c r="O6" s="1" t="n">
        <f aca="false">Raw_Data!L6+Raw_Data!M6</f>
        <v>9</v>
      </c>
      <c r="P6" s="1" t="n">
        <f aca="false">Raw_Data!K6+Raw_Data!M6</f>
        <v>9</v>
      </c>
      <c r="Q6" s="1" t="n">
        <f aca="false">Raw_Data!K6+Raw_Data!L6</f>
        <v>10</v>
      </c>
      <c r="R6" s="1" t="n">
        <f aca="false">SUM(Raw_Data!B6:M6)</f>
        <v>55</v>
      </c>
      <c r="S6" s="1" t="n">
        <f aca="false">Raw_Data!N6+Raw_Data!O6+Raw_Data!P6</f>
        <v>15</v>
      </c>
      <c r="T6" s="1" t="n">
        <f aca="false">Raw_Data!O6+Raw_Data!P6</f>
        <v>10</v>
      </c>
      <c r="U6" s="1" t="n">
        <f aca="false">Raw_Data!N6+Raw_Data!P6</f>
        <v>10</v>
      </c>
      <c r="V6" s="1" t="n">
        <f aca="false">Raw_Data!N6+Raw_Data!O6</f>
        <v>10</v>
      </c>
      <c r="W6" s="1" t="n">
        <f aca="false">Raw_Data!Q6+Raw_Data!R6+Raw_Data!S6</f>
        <v>15</v>
      </c>
      <c r="X6" s="1" t="n">
        <f aca="false">Raw_Data!R6+Raw_Data!S6</f>
        <v>10</v>
      </c>
      <c r="Y6" s="1" t="n">
        <f aca="false">Raw_Data!Q6+Raw_Data!S6</f>
        <v>10</v>
      </c>
      <c r="Z6" s="1" t="n">
        <f aca="false">Raw_Data!Q6+Raw_Data!R6</f>
        <v>10</v>
      </c>
      <c r="AA6" s="1" t="n">
        <f aca="false">Raw_Data!T6+Raw_Data!U6+Raw_Data!V6</f>
        <v>15</v>
      </c>
      <c r="AB6" s="1" t="n">
        <f aca="false">Raw_Data!U6+Raw_Data!V6</f>
        <v>10</v>
      </c>
      <c r="AC6" s="1" t="n">
        <f aca="false">Raw_Data!T6+Raw_Data!V6</f>
        <v>10</v>
      </c>
      <c r="AD6" s="1" t="n">
        <f aca="false">Raw_Data!T6+Raw_Data!U6</f>
        <v>10</v>
      </c>
      <c r="AE6" s="1" t="n">
        <f aca="false">Raw_Data!W6+Raw_Data!X6+Raw_Data!Y6</f>
        <v>15</v>
      </c>
      <c r="AF6" s="1" t="n">
        <f aca="false">Raw_Data!X6+Raw_Data!Y6</f>
        <v>10</v>
      </c>
      <c r="AG6" s="1" t="n">
        <f aca="false">Raw_Data!W6+Raw_Data!Y6</f>
        <v>10</v>
      </c>
      <c r="AH6" s="1" t="n">
        <f aca="false">Raw_Data!W6+Raw_Data!X6</f>
        <v>10</v>
      </c>
      <c r="AI6" s="1" t="n">
        <f aca="false">SUM(Raw_Data!N6:Y6)</f>
        <v>60</v>
      </c>
    </row>
    <row r="7" customFormat="false" ht="15" hidden="false" customHeight="true" outlineLevel="0" collapsed="false">
      <c r="A7" s="1" t="str">
        <f aca="false">Raw_Data!A7</f>
        <v>P06</v>
      </c>
      <c r="B7" s="1" t="n">
        <f aca="false">Raw_Data!B7+Raw_Data!C7+Raw_Data!D7</f>
        <v>15</v>
      </c>
      <c r="C7" s="1" t="n">
        <f aca="false">Raw_Data!C7+Raw_Data!D7</f>
        <v>10</v>
      </c>
      <c r="D7" s="1" t="n">
        <f aca="false">Raw_Data!B7+Raw_Data!D7</f>
        <v>10</v>
      </c>
      <c r="E7" s="1" t="n">
        <f aca="false">Raw_Data!B7+Raw_Data!C7</f>
        <v>10</v>
      </c>
      <c r="F7" s="1" t="n">
        <f aca="false">Raw_Data!E7+Raw_Data!F7+Raw_Data!G7</f>
        <v>14</v>
      </c>
      <c r="G7" s="1" t="n">
        <f aca="false">Raw_Data!F7+Raw_Data!G7</f>
        <v>9</v>
      </c>
      <c r="H7" s="1" t="n">
        <f aca="false">Raw_Data!E7+Raw_Data!G7</f>
        <v>9</v>
      </c>
      <c r="I7" s="1" t="n">
        <f aca="false">Raw_Data!E7+Raw_Data!F7</f>
        <v>10</v>
      </c>
      <c r="J7" s="1" t="n">
        <f aca="false">Raw_Data!H7+Raw_Data!I7+Raw_Data!J7</f>
        <v>13</v>
      </c>
      <c r="K7" s="1" t="n">
        <f aca="false">Raw_Data!I7+Raw_Data!J7</f>
        <v>9</v>
      </c>
      <c r="L7" s="1" t="n">
        <f aca="false">Raw_Data!H7+Raw_Data!J7</f>
        <v>8</v>
      </c>
      <c r="M7" s="1" t="n">
        <f aca="false">Raw_Data!H7+Raw_Data!I7</f>
        <v>9</v>
      </c>
      <c r="N7" s="1" t="n">
        <f aca="false">Raw_Data!K7+Raw_Data!L7+Raw_Data!M7</f>
        <v>13</v>
      </c>
      <c r="O7" s="1" t="n">
        <f aca="false">Raw_Data!L7+Raw_Data!M7</f>
        <v>8</v>
      </c>
      <c r="P7" s="1" t="n">
        <f aca="false">Raw_Data!K7+Raw_Data!M7</f>
        <v>9</v>
      </c>
      <c r="Q7" s="1" t="n">
        <f aca="false">Raw_Data!K7+Raw_Data!L7</f>
        <v>9</v>
      </c>
      <c r="R7" s="1" t="n">
        <f aca="false">SUM(Raw_Data!B7:M7)</f>
        <v>55</v>
      </c>
      <c r="S7" s="1" t="n">
        <f aca="false">Raw_Data!N7+Raw_Data!O7+Raw_Data!P7</f>
        <v>15</v>
      </c>
      <c r="T7" s="1" t="n">
        <f aca="false">Raw_Data!O7+Raw_Data!P7</f>
        <v>10</v>
      </c>
      <c r="U7" s="1" t="n">
        <f aca="false">Raw_Data!N7+Raw_Data!P7</f>
        <v>10</v>
      </c>
      <c r="V7" s="1" t="n">
        <f aca="false">Raw_Data!N7+Raw_Data!O7</f>
        <v>10</v>
      </c>
      <c r="W7" s="1" t="n">
        <f aca="false">Raw_Data!Q7+Raw_Data!R7+Raw_Data!S7</f>
        <v>12</v>
      </c>
      <c r="X7" s="1" t="n">
        <f aca="false">Raw_Data!R7+Raw_Data!S7</f>
        <v>8</v>
      </c>
      <c r="Y7" s="1" t="n">
        <f aca="false">Raw_Data!Q7+Raw_Data!S7</f>
        <v>8</v>
      </c>
      <c r="Z7" s="1" t="n">
        <f aca="false">Raw_Data!Q7+Raw_Data!R7</f>
        <v>8</v>
      </c>
      <c r="AA7" s="1" t="n">
        <f aca="false">Raw_Data!T7+Raw_Data!U7+Raw_Data!V7</f>
        <v>15</v>
      </c>
      <c r="AB7" s="1" t="n">
        <f aca="false">Raw_Data!U7+Raw_Data!V7</f>
        <v>10</v>
      </c>
      <c r="AC7" s="1" t="n">
        <f aca="false">Raw_Data!T7+Raw_Data!V7</f>
        <v>10</v>
      </c>
      <c r="AD7" s="1" t="n">
        <f aca="false">Raw_Data!T7+Raw_Data!U7</f>
        <v>10</v>
      </c>
      <c r="AE7" s="1" t="n">
        <f aca="false">Raw_Data!W7+Raw_Data!X7+Raw_Data!Y7</f>
        <v>15</v>
      </c>
      <c r="AF7" s="1" t="n">
        <f aca="false">Raw_Data!X7+Raw_Data!Y7</f>
        <v>10</v>
      </c>
      <c r="AG7" s="1" t="n">
        <f aca="false">Raw_Data!W7+Raw_Data!Y7</f>
        <v>10</v>
      </c>
      <c r="AH7" s="1" t="n">
        <f aca="false">Raw_Data!W7+Raw_Data!X7</f>
        <v>10</v>
      </c>
      <c r="AI7" s="1" t="n">
        <f aca="false">SUM(Raw_Data!N7:Y7)</f>
        <v>57</v>
      </c>
    </row>
    <row r="8" customFormat="false" ht="15" hidden="false" customHeight="true" outlineLevel="0" collapsed="false">
      <c r="A8" s="1" t="str">
        <f aca="false">Raw_Data!A8</f>
        <v>P07</v>
      </c>
      <c r="B8" s="1" t="n">
        <f aca="false">Raw_Data!B8+Raw_Data!C8+Raw_Data!D8</f>
        <v>15</v>
      </c>
      <c r="C8" s="1" t="n">
        <f aca="false">Raw_Data!C8+Raw_Data!D8</f>
        <v>10</v>
      </c>
      <c r="D8" s="1" t="n">
        <f aca="false">Raw_Data!B8+Raw_Data!D8</f>
        <v>10</v>
      </c>
      <c r="E8" s="1" t="n">
        <f aca="false">Raw_Data!B8+Raw_Data!C8</f>
        <v>10</v>
      </c>
      <c r="F8" s="1" t="n">
        <f aca="false">Raw_Data!E8+Raw_Data!F8+Raw_Data!G8</f>
        <v>13</v>
      </c>
      <c r="G8" s="1" t="n">
        <f aca="false">Raw_Data!F8+Raw_Data!G8</f>
        <v>9</v>
      </c>
      <c r="H8" s="1" t="n">
        <f aca="false">Raw_Data!E8+Raw_Data!G8</f>
        <v>9</v>
      </c>
      <c r="I8" s="1" t="n">
        <f aca="false">Raw_Data!E8+Raw_Data!F8</f>
        <v>8</v>
      </c>
      <c r="J8" s="1" t="n">
        <f aca="false">Raw_Data!H8+Raw_Data!I8+Raw_Data!J8</f>
        <v>12</v>
      </c>
      <c r="K8" s="1" t="n">
        <f aca="false">Raw_Data!I8+Raw_Data!J8</f>
        <v>8</v>
      </c>
      <c r="L8" s="1" t="n">
        <f aca="false">Raw_Data!H8+Raw_Data!J8</f>
        <v>9</v>
      </c>
      <c r="M8" s="1" t="n">
        <f aca="false">Raw_Data!H8+Raw_Data!I8</f>
        <v>7</v>
      </c>
      <c r="N8" s="1" t="n">
        <f aca="false">Raw_Data!K8+Raw_Data!L8+Raw_Data!M8</f>
        <v>14</v>
      </c>
      <c r="O8" s="1" t="n">
        <f aca="false">Raw_Data!L8+Raw_Data!M8</f>
        <v>10</v>
      </c>
      <c r="P8" s="1" t="n">
        <f aca="false">Raw_Data!K8+Raw_Data!M8</f>
        <v>9</v>
      </c>
      <c r="Q8" s="1" t="n">
        <f aca="false">Raw_Data!K8+Raw_Data!L8</f>
        <v>9</v>
      </c>
      <c r="R8" s="1" t="n">
        <f aca="false">SUM(Raw_Data!B8:M8)</f>
        <v>54</v>
      </c>
      <c r="S8" s="1" t="n">
        <f aca="false">Raw_Data!N8+Raw_Data!O8+Raw_Data!P8</f>
        <v>12</v>
      </c>
      <c r="T8" s="1" t="n">
        <f aca="false">Raw_Data!O8+Raw_Data!P8</f>
        <v>8</v>
      </c>
      <c r="U8" s="1" t="n">
        <f aca="false">Raw_Data!N8+Raw_Data!P8</f>
        <v>9</v>
      </c>
      <c r="V8" s="1" t="n">
        <f aca="false">Raw_Data!N8+Raw_Data!O8</f>
        <v>7</v>
      </c>
      <c r="W8" s="1" t="n">
        <f aca="false">Raw_Data!Q8+Raw_Data!R8+Raw_Data!S8</f>
        <v>15</v>
      </c>
      <c r="X8" s="1" t="n">
        <f aca="false">Raw_Data!R8+Raw_Data!S8</f>
        <v>10</v>
      </c>
      <c r="Y8" s="1" t="n">
        <f aca="false">Raw_Data!Q8+Raw_Data!S8</f>
        <v>10</v>
      </c>
      <c r="Z8" s="1" t="n">
        <f aca="false">Raw_Data!Q8+Raw_Data!R8</f>
        <v>10</v>
      </c>
      <c r="AA8" s="1" t="n">
        <f aca="false">Raw_Data!T8+Raw_Data!U8+Raw_Data!V8</f>
        <v>12</v>
      </c>
      <c r="AB8" s="1" t="n">
        <f aca="false">Raw_Data!U8+Raw_Data!V8</f>
        <v>8</v>
      </c>
      <c r="AC8" s="1" t="n">
        <f aca="false">Raw_Data!T8+Raw_Data!V8</f>
        <v>8</v>
      </c>
      <c r="AD8" s="1" t="n">
        <f aca="false">Raw_Data!T8+Raw_Data!U8</f>
        <v>8</v>
      </c>
      <c r="AE8" s="1" t="n">
        <f aca="false">Raw_Data!W8+Raw_Data!X8+Raw_Data!Y8</f>
        <v>14</v>
      </c>
      <c r="AF8" s="1" t="n">
        <f aca="false">Raw_Data!X8+Raw_Data!Y8</f>
        <v>9</v>
      </c>
      <c r="AG8" s="1" t="n">
        <f aca="false">Raw_Data!W8+Raw_Data!Y8</f>
        <v>10</v>
      </c>
      <c r="AH8" s="1" t="n">
        <f aca="false">Raw_Data!W8+Raw_Data!X8</f>
        <v>9</v>
      </c>
      <c r="AI8" s="1" t="n">
        <f aca="false">SUM(Raw_Data!N8:Y8)</f>
        <v>53</v>
      </c>
    </row>
    <row r="9" customFormat="false" ht="15" hidden="false" customHeight="true" outlineLevel="0" collapsed="false">
      <c r="A9" s="1" t="str">
        <f aca="false">Raw_Data!A9</f>
        <v>P08</v>
      </c>
      <c r="B9" s="1" t="n">
        <f aca="false">Raw_Data!B9+Raw_Data!C9+Raw_Data!D9</f>
        <v>15</v>
      </c>
      <c r="C9" s="1" t="n">
        <f aca="false">Raw_Data!C9+Raw_Data!D9</f>
        <v>10</v>
      </c>
      <c r="D9" s="1" t="n">
        <f aca="false">Raw_Data!B9+Raw_Data!D9</f>
        <v>10</v>
      </c>
      <c r="E9" s="1" t="n">
        <f aca="false">Raw_Data!B9+Raw_Data!C9</f>
        <v>10</v>
      </c>
      <c r="F9" s="1" t="n">
        <f aca="false">Raw_Data!E9+Raw_Data!F9+Raw_Data!G9</f>
        <v>15</v>
      </c>
      <c r="G9" s="1" t="n">
        <f aca="false">Raw_Data!F9+Raw_Data!G9</f>
        <v>10</v>
      </c>
      <c r="H9" s="1" t="n">
        <f aca="false">Raw_Data!E9+Raw_Data!G9</f>
        <v>10</v>
      </c>
      <c r="I9" s="1" t="n">
        <f aca="false">Raw_Data!E9+Raw_Data!F9</f>
        <v>10</v>
      </c>
      <c r="J9" s="1" t="n">
        <f aca="false">Raw_Data!H9+Raw_Data!I9+Raw_Data!J9</f>
        <v>11</v>
      </c>
      <c r="K9" s="1" t="n">
        <f aca="false">Raw_Data!I9+Raw_Data!J9</f>
        <v>7</v>
      </c>
      <c r="L9" s="1" t="n">
        <f aca="false">Raw_Data!H9+Raw_Data!J9</f>
        <v>7</v>
      </c>
      <c r="M9" s="1" t="n">
        <f aca="false">Raw_Data!H9+Raw_Data!I9</f>
        <v>8</v>
      </c>
      <c r="N9" s="1" t="n">
        <f aca="false">Raw_Data!K9+Raw_Data!L9+Raw_Data!M9</f>
        <v>15</v>
      </c>
      <c r="O9" s="1" t="n">
        <f aca="false">Raw_Data!L9+Raw_Data!M9</f>
        <v>10</v>
      </c>
      <c r="P9" s="1" t="n">
        <f aca="false">Raw_Data!K9+Raw_Data!M9</f>
        <v>10</v>
      </c>
      <c r="Q9" s="1" t="n">
        <f aca="false">Raw_Data!K9+Raw_Data!L9</f>
        <v>10</v>
      </c>
      <c r="R9" s="1" t="n">
        <f aca="false">SUM(Raw_Data!B9:M9)</f>
        <v>56</v>
      </c>
      <c r="S9" s="1" t="n">
        <f aca="false">Raw_Data!N9+Raw_Data!O9+Raw_Data!P9</f>
        <v>15</v>
      </c>
      <c r="T9" s="1" t="n">
        <f aca="false">Raw_Data!O9+Raw_Data!P9</f>
        <v>10</v>
      </c>
      <c r="U9" s="1" t="n">
        <f aca="false">Raw_Data!N9+Raw_Data!P9</f>
        <v>10</v>
      </c>
      <c r="V9" s="1" t="n">
        <f aca="false">Raw_Data!N9+Raw_Data!O9</f>
        <v>10</v>
      </c>
      <c r="W9" s="1" t="n">
        <f aca="false">Raw_Data!Q9+Raw_Data!R9+Raw_Data!S9</f>
        <v>15</v>
      </c>
      <c r="X9" s="1" t="n">
        <f aca="false">Raw_Data!R9+Raw_Data!S9</f>
        <v>10</v>
      </c>
      <c r="Y9" s="1" t="n">
        <f aca="false">Raw_Data!Q9+Raw_Data!S9</f>
        <v>10</v>
      </c>
      <c r="Z9" s="1" t="n">
        <f aca="false">Raw_Data!Q9+Raw_Data!R9</f>
        <v>10</v>
      </c>
      <c r="AA9" s="1" t="n">
        <f aca="false">Raw_Data!T9+Raw_Data!U9+Raw_Data!V9</f>
        <v>13</v>
      </c>
      <c r="AB9" s="1" t="n">
        <f aca="false">Raw_Data!U9+Raw_Data!V9</f>
        <v>9</v>
      </c>
      <c r="AC9" s="1" t="n">
        <f aca="false">Raw_Data!T9+Raw_Data!V9</f>
        <v>9</v>
      </c>
      <c r="AD9" s="1" t="n">
        <f aca="false">Raw_Data!T9+Raw_Data!U9</f>
        <v>8</v>
      </c>
      <c r="AE9" s="1" t="n">
        <f aca="false">Raw_Data!W9+Raw_Data!X9+Raw_Data!Y9</f>
        <v>13</v>
      </c>
      <c r="AF9" s="1" t="n">
        <f aca="false">Raw_Data!X9+Raw_Data!Y9</f>
        <v>9</v>
      </c>
      <c r="AG9" s="1" t="n">
        <f aca="false">Raw_Data!W9+Raw_Data!Y9</f>
        <v>9</v>
      </c>
      <c r="AH9" s="1" t="n">
        <f aca="false">Raw_Data!W9+Raw_Data!X9</f>
        <v>8</v>
      </c>
      <c r="AI9" s="1" t="n">
        <f aca="false">SUM(Raw_Data!N9:Y9)</f>
        <v>56</v>
      </c>
    </row>
    <row r="10" customFormat="false" ht="15" hidden="false" customHeight="true" outlineLevel="0" collapsed="false">
      <c r="A10" s="1" t="str">
        <f aca="false">Raw_Data!A10</f>
        <v>P09</v>
      </c>
      <c r="B10" s="1" t="n">
        <f aca="false">Raw_Data!B10+Raw_Data!C10+Raw_Data!D10</f>
        <v>15</v>
      </c>
      <c r="C10" s="1" t="n">
        <f aca="false">Raw_Data!C10+Raw_Data!D10</f>
        <v>10</v>
      </c>
      <c r="D10" s="1" t="n">
        <f aca="false">Raw_Data!B10+Raw_Data!D10</f>
        <v>10</v>
      </c>
      <c r="E10" s="1" t="n">
        <f aca="false">Raw_Data!B10+Raw_Data!C10</f>
        <v>10</v>
      </c>
      <c r="F10" s="1" t="n">
        <f aca="false">Raw_Data!E10+Raw_Data!F10+Raw_Data!G10</f>
        <v>15</v>
      </c>
      <c r="G10" s="1" t="n">
        <f aca="false">Raw_Data!F10+Raw_Data!G10</f>
        <v>10</v>
      </c>
      <c r="H10" s="1" t="n">
        <f aca="false">Raw_Data!E10+Raw_Data!G10</f>
        <v>10</v>
      </c>
      <c r="I10" s="1" t="n">
        <f aca="false">Raw_Data!E10+Raw_Data!F10</f>
        <v>10</v>
      </c>
      <c r="J10" s="1" t="n">
        <f aca="false">Raw_Data!H10+Raw_Data!I10+Raw_Data!J10</f>
        <v>15</v>
      </c>
      <c r="K10" s="1" t="n">
        <f aca="false">Raw_Data!I10+Raw_Data!J10</f>
        <v>10</v>
      </c>
      <c r="L10" s="1" t="n">
        <f aca="false">Raw_Data!H10+Raw_Data!J10</f>
        <v>10</v>
      </c>
      <c r="M10" s="1" t="n">
        <f aca="false">Raw_Data!H10+Raw_Data!I10</f>
        <v>10</v>
      </c>
      <c r="N10" s="1" t="n">
        <f aca="false">Raw_Data!K10+Raw_Data!L10+Raw_Data!M10</f>
        <v>15</v>
      </c>
      <c r="O10" s="1" t="n">
        <f aca="false">Raw_Data!L10+Raw_Data!M10</f>
        <v>10</v>
      </c>
      <c r="P10" s="1" t="n">
        <f aca="false">Raw_Data!K10+Raw_Data!M10</f>
        <v>10</v>
      </c>
      <c r="Q10" s="1" t="n">
        <f aca="false">Raw_Data!K10+Raw_Data!L10</f>
        <v>10</v>
      </c>
      <c r="R10" s="1" t="n">
        <f aca="false">SUM(Raw_Data!B10:M10)</f>
        <v>60</v>
      </c>
      <c r="S10" s="1" t="n">
        <f aca="false">Raw_Data!N10+Raw_Data!O10+Raw_Data!P10</f>
        <v>11</v>
      </c>
      <c r="T10" s="1" t="n">
        <f aca="false">Raw_Data!O10+Raw_Data!P10</f>
        <v>8</v>
      </c>
      <c r="U10" s="1" t="n">
        <f aca="false">Raw_Data!N10+Raw_Data!P10</f>
        <v>8</v>
      </c>
      <c r="V10" s="1" t="n">
        <f aca="false">Raw_Data!N10+Raw_Data!O10</f>
        <v>6</v>
      </c>
      <c r="W10" s="1" t="n">
        <f aca="false">Raw_Data!Q10+Raw_Data!R10+Raw_Data!S10</f>
        <v>15</v>
      </c>
      <c r="X10" s="1" t="n">
        <f aca="false">Raw_Data!R10+Raw_Data!S10</f>
        <v>10</v>
      </c>
      <c r="Y10" s="1" t="n">
        <f aca="false">Raw_Data!Q10+Raw_Data!S10</f>
        <v>10</v>
      </c>
      <c r="Z10" s="1" t="n">
        <f aca="false">Raw_Data!Q10+Raw_Data!R10</f>
        <v>10</v>
      </c>
      <c r="AA10" s="1" t="n">
        <f aca="false">Raw_Data!T10+Raw_Data!U10+Raw_Data!V10</f>
        <v>15</v>
      </c>
      <c r="AB10" s="1" t="n">
        <f aca="false">Raw_Data!U10+Raw_Data!V10</f>
        <v>10</v>
      </c>
      <c r="AC10" s="1" t="n">
        <f aca="false">Raw_Data!T10+Raw_Data!V10</f>
        <v>10</v>
      </c>
      <c r="AD10" s="1" t="n">
        <f aca="false">Raw_Data!T10+Raw_Data!U10</f>
        <v>10</v>
      </c>
      <c r="AE10" s="1" t="n">
        <f aca="false">Raw_Data!W10+Raw_Data!X10+Raw_Data!Y10</f>
        <v>15</v>
      </c>
      <c r="AF10" s="1" t="n">
        <f aca="false">Raw_Data!X10+Raw_Data!Y10</f>
        <v>10</v>
      </c>
      <c r="AG10" s="1" t="n">
        <f aca="false">Raw_Data!W10+Raw_Data!Y10</f>
        <v>10</v>
      </c>
      <c r="AH10" s="1" t="n">
        <f aca="false">Raw_Data!W10+Raw_Data!X10</f>
        <v>10</v>
      </c>
      <c r="AI10" s="1" t="n">
        <f aca="false">SUM(Raw_Data!N10:Y10)</f>
        <v>56</v>
      </c>
    </row>
    <row r="11" customFormat="false" ht="15" hidden="false" customHeight="true" outlineLevel="0" collapsed="false">
      <c r="A11" s="1" t="str">
        <f aca="false">Raw_Data!A11</f>
        <v>P10</v>
      </c>
      <c r="B11" s="1" t="n">
        <f aca="false">Raw_Data!B11+Raw_Data!C11+Raw_Data!D11</f>
        <v>13</v>
      </c>
      <c r="C11" s="1" t="n">
        <f aca="false">Raw_Data!C11+Raw_Data!D11</f>
        <v>9</v>
      </c>
      <c r="D11" s="1" t="n">
        <f aca="false">Raw_Data!B11+Raw_Data!D11</f>
        <v>9</v>
      </c>
      <c r="E11" s="1" t="n">
        <f aca="false">Raw_Data!B11+Raw_Data!C11</f>
        <v>8</v>
      </c>
      <c r="F11" s="1" t="n">
        <f aca="false">Raw_Data!E11+Raw_Data!F11+Raw_Data!G11</f>
        <v>9</v>
      </c>
      <c r="G11" s="1" t="n">
        <f aca="false">Raw_Data!F11+Raw_Data!G11</f>
        <v>6</v>
      </c>
      <c r="H11" s="1" t="n">
        <f aca="false">Raw_Data!E11+Raw_Data!G11</f>
        <v>7</v>
      </c>
      <c r="I11" s="1" t="n">
        <f aca="false">Raw_Data!E11+Raw_Data!F11</f>
        <v>5</v>
      </c>
      <c r="J11" s="1" t="n">
        <f aca="false">Raw_Data!H11+Raw_Data!I11+Raw_Data!J11</f>
        <v>12</v>
      </c>
      <c r="K11" s="1" t="n">
        <f aca="false">Raw_Data!I11+Raw_Data!J11</f>
        <v>8</v>
      </c>
      <c r="L11" s="1" t="n">
        <f aca="false">Raw_Data!H11+Raw_Data!J11</f>
        <v>9</v>
      </c>
      <c r="M11" s="1" t="n">
        <f aca="false">Raw_Data!H11+Raw_Data!I11</f>
        <v>7</v>
      </c>
      <c r="N11" s="1" t="n">
        <f aca="false">Raw_Data!K11+Raw_Data!L11+Raw_Data!M11</f>
        <v>12</v>
      </c>
      <c r="O11" s="1" t="n">
        <f aca="false">Raw_Data!L11+Raw_Data!M11</f>
        <v>8</v>
      </c>
      <c r="P11" s="1" t="n">
        <f aca="false">Raw_Data!K11+Raw_Data!M11</f>
        <v>8</v>
      </c>
      <c r="Q11" s="1" t="n">
        <f aca="false">Raw_Data!K11+Raw_Data!L11</f>
        <v>8</v>
      </c>
      <c r="R11" s="1" t="n">
        <f aca="false">SUM(Raw_Data!B11:M11)</f>
        <v>46</v>
      </c>
      <c r="S11" s="1" t="n">
        <f aca="false">Raw_Data!N11+Raw_Data!O11+Raw_Data!P11</f>
        <v>11</v>
      </c>
      <c r="T11" s="1" t="n">
        <f aca="false">Raw_Data!O11+Raw_Data!P11</f>
        <v>8</v>
      </c>
      <c r="U11" s="1" t="n">
        <f aca="false">Raw_Data!N11+Raw_Data!P11</f>
        <v>8</v>
      </c>
      <c r="V11" s="1" t="n">
        <f aca="false">Raw_Data!N11+Raw_Data!O11</f>
        <v>6</v>
      </c>
      <c r="W11" s="1" t="n">
        <f aca="false">Raw_Data!Q11+Raw_Data!R11+Raw_Data!S11</f>
        <v>15</v>
      </c>
      <c r="X11" s="1" t="n">
        <f aca="false">Raw_Data!R11+Raw_Data!S11</f>
        <v>10</v>
      </c>
      <c r="Y11" s="1" t="n">
        <f aca="false">Raw_Data!Q11+Raw_Data!S11</f>
        <v>10</v>
      </c>
      <c r="Z11" s="1" t="n">
        <f aca="false">Raw_Data!Q11+Raw_Data!R11</f>
        <v>10</v>
      </c>
      <c r="AA11" s="1" t="n">
        <f aca="false">Raw_Data!T11+Raw_Data!U11+Raw_Data!V11</f>
        <v>12</v>
      </c>
      <c r="AB11" s="1" t="n">
        <f aca="false">Raw_Data!U11+Raw_Data!V11</f>
        <v>8</v>
      </c>
      <c r="AC11" s="1" t="n">
        <f aca="false">Raw_Data!T11+Raw_Data!V11</f>
        <v>8</v>
      </c>
      <c r="AD11" s="1" t="n">
        <f aca="false">Raw_Data!T11+Raw_Data!U11</f>
        <v>8</v>
      </c>
      <c r="AE11" s="1" t="n">
        <f aca="false">Raw_Data!W11+Raw_Data!X11+Raw_Data!Y11</f>
        <v>13</v>
      </c>
      <c r="AF11" s="1" t="n">
        <f aca="false">Raw_Data!X11+Raw_Data!Y11</f>
        <v>9</v>
      </c>
      <c r="AG11" s="1" t="n">
        <f aca="false">Raw_Data!W11+Raw_Data!Y11</f>
        <v>9</v>
      </c>
      <c r="AH11" s="1" t="n">
        <f aca="false">Raw_Data!W11+Raw_Data!X11</f>
        <v>8</v>
      </c>
      <c r="AI11" s="1" t="n">
        <f aca="false">SUM(Raw_Data!N11:Y11)</f>
        <v>51</v>
      </c>
    </row>
    <row r="12" customFormat="false" ht="15" hidden="false" customHeight="true" outlineLevel="0" collapsed="false">
      <c r="A12" s="1" t="str">
        <f aca="false">Raw_Data!A12</f>
        <v>P11</v>
      </c>
      <c r="B12" s="1" t="n">
        <f aca="false">Raw_Data!B12+Raw_Data!C12+Raw_Data!D12</f>
        <v>14</v>
      </c>
      <c r="C12" s="1" t="n">
        <f aca="false">Raw_Data!C12+Raw_Data!D12</f>
        <v>10</v>
      </c>
      <c r="D12" s="1" t="n">
        <f aca="false">Raw_Data!B12+Raw_Data!D12</f>
        <v>9</v>
      </c>
      <c r="E12" s="1" t="n">
        <f aca="false">Raw_Data!B12+Raw_Data!C12</f>
        <v>9</v>
      </c>
      <c r="F12" s="1" t="n">
        <f aca="false">Raw_Data!E12+Raw_Data!F12+Raw_Data!G12</f>
        <v>15</v>
      </c>
      <c r="G12" s="1" t="n">
        <f aca="false">Raw_Data!F12+Raw_Data!G12</f>
        <v>10</v>
      </c>
      <c r="H12" s="1" t="n">
        <f aca="false">Raw_Data!E12+Raw_Data!G12</f>
        <v>10</v>
      </c>
      <c r="I12" s="1" t="n">
        <f aca="false">Raw_Data!E12+Raw_Data!F12</f>
        <v>10</v>
      </c>
      <c r="J12" s="1" t="n">
        <f aca="false">Raw_Data!H12+Raw_Data!I12+Raw_Data!J12</f>
        <v>14</v>
      </c>
      <c r="K12" s="1" t="n">
        <f aca="false">Raw_Data!I12+Raw_Data!J12</f>
        <v>10</v>
      </c>
      <c r="L12" s="1" t="n">
        <f aca="false">Raw_Data!H12+Raw_Data!J12</f>
        <v>9</v>
      </c>
      <c r="M12" s="1" t="n">
        <f aca="false">Raw_Data!H12+Raw_Data!I12</f>
        <v>9</v>
      </c>
      <c r="N12" s="1" t="n">
        <f aca="false">Raw_Data!K12+Raw_Data!L12+Raw_Data!M12</f>
        <v>15</v>
      </c>
      <c r="O12" s="1" t="n">
        <f aca="false">Raw_Data!L12+Raw_Data!M12</f>
        <v>10</v>
      </c>
      <c r="P12" s="1" t="n">
        <f aca="false">Raw_Data!K12+Raw_Data!M12</f>
        <v>10</v>
      </c>
      <c r="Q12" s="1" t="n">
        <f aca="false">Raw_Data!K12+Raw_Data!L12</f>
        <v>10</v>
      </c>
      <c r="R12" s="1" t="n">
        <f aca="false">SUM(Raw_Data!B12:M12)</f>
        <v>58</v>
      </c>
      <c r="S12" s="1" t="n">
        <f aca="false">Raw_Data!N12+Raw_Data!O12+Raw_Data!P12</f>
        <v>13</v>
      </c>
      <c r="T12" s="1" t="n">
        <f aca="false">Raw_Data!O12+Raw_Data!P12</f>
        <v>9</v>
      </c>
      <c r="U12" s="1" t="n">
        <f aca="false">Raw_Data!N12+Raw_Data!P12</f>
        <v>9</v>
      </c>
      <c r="V12" s="1" t="n">
        <f aca="false">Raw_Data!N12+Raw_Data!O12</f>
        <v>8</v>
      </c>
      <c r="W12" s="1" t="n">
        <f aca="false">Raw_Data!Q12+Raw_Data!R12+Raw_Data!S12</f>
        <v>15</v>
      </c>
      <c r="X12" s="1" t="n">
        <f aca="false">Raw_Data!R12+Raw_Data!S12</f>
        <v>10</v>
      </c>
      <c r="Y12" s="1" t="n">
        <f aca="false">Raw_Data!Q12+Raw_Data!S12</f>
        <v>10</v>
      </c>
      <c r="Z12" s="1" t="n">
        <f aca="false">Raw_Data!Q12+Raw_Data!R12</f>
        <v>10</v>
      </c>
      <c r="AA12" s="1" t="n">
        <f aca="false">Raw_Data!T12+Raw_Data!U12+Raw_Data!V12</f>
        <v>12</v>
      </c>
      <c r="AB12" s="1" t="n">
        <f aca="false">Raw_Data!U12+Raw_Data!V12</f>
        <v>8</v>
      </c>
      <c r="AC12" s="1" t="n">
        <f aca="false">Raw_Data!T12+Raw_Data!V12</f>
        <v>7</v>
      </c>
      <c r="AD12" s="1" t="n">
        <f aca="false">Raw_Data!T12+Raw_Data!U12</f>
        <v>9</v>
      </c>
      <c r="AE12" s="1" t="n">
        <f aca="false">Raw_Data!W12+Raw_Data!X12+Raw_Data!Y12</f>
        <v>14</v>
      </c>
      <c r="AF12" s="1" t="n">
        <f aca="false">Raw_Data!X12+Raw_Data!Y12</f>
        <v>10</v>
      </c>
      <c r="AG12" s="1" t="n">
        <f aca="false">Raw_Data!W12+Raw_Data!Y12</f>
        <v>9</v>
      </c>
      <c r="AH12" s="1" t="n">
        <f aca="false">Raw_Data!W12+Raw_Data!X12</f>
        <v>9</v>
      </c>
      <c r="AI12" s="1" t="n">
        <f aca="false">SUM(Raw_Data!N12:Y12)</f>
        <v>54</v>
      </c>
    </row>
    <row r="13" customFormat="false" ht="15" hidden="false" customHeight="true" outlineLevel="0" collapsed="false">
      <c r="A13" s="1" t="str">
        <f aca="false">Raw_Data!A13</f>
        <v>P12</v>
      </c>
      <c r="B13" s="1" t="n">
        <f aca="false">Raw_Data!B13+Raw_Data!C13+Raw_Data!D13</f>
        <v>12</v>
      </c>
      <c r="C13" s="1" t="n">
        <f aca="false">Raw_Data!C13+Raw_Data!D13</f>
        <v>9</v>
      </c>
      <c r="D13" s="1" t="n">
        <f aca="false">Raw_Data!B13+Raw_Data!D13</f>
        <v>8</v>
      </c>
      <c r="E13" s="1" t="n">
        <f aca="false">Raw_Data!B13+Raw_Data!C13</f>
        <v>7</v>
      </c>
      <c r="F13" s="1" t="n">
        <f aca="false">Raw_Data!E13+Raw_Data!F13+Raw_Data!G13</f>
        <v>15</v>
      </c>
      <c r="G13" s="1" t="n">
        <f aca="false">Raw_Data!F13+Raw_Data!G13</f>
        <v>10</v>
      </c>
      <c r="H13" s="1" t="n">
        <f aca="false">Raw_Data!E13+Raw_Data!G13</f>
        <v>10</v>
      </c>
      <c r="I13" s="1" t="n">
        <f aca="false">Raw_Data!E13+Raw_Data!F13</f>
        <v>10</v>
      </c>
      <c r="J13" s="1" t="n">
        <f aca="false">Raw_Data!H13+Raw_Data!I13+Raw_Data!J13</f>
        <v>12</v>
      </c>
      <c r="K13" s="1" t="n">
        <f aca="false">Raw_Data!I13+Raw_Data!J13</f>
        <v>8</v>
      </c>
      <c r="L13" s="1" t="n">
        <f aca="false">Raw_Data!H13+Raw_Data!J13</f>
        <v>8</v>
      </c>
      <c r="M13" s="1" t="n">
        <f aca="false">Raw_Data!H13+Raw_Data!I13</f>
        <v>8</v>
      </c>
      <c r="N13" s="1" t="n">
        <f aca="false">Raw_Data!K13+Raw_Data!L13+Raw_Data!M13</f>
        <v>15</v>
      </c>
      <c r="O13" s="1" t="n">
        <f aca="false">Raw_Data!L13+Raw_Data!M13</f>
        <v>10</v>
      </c>
      <c r="P13" s="1" t="n">
        <f aca="false">Raw_Data!K13+Raw_Data!M13</f>
        <v>10</v>
      </c>
      <c r="Q13" s="1" t="n">
        <f aca="false">Raw_Data!K13+Raw_Data!L13</f>
        <v>10</v>
      </c>
      <c r="R13" s="1" t="n">
        <f aca="false">SUM(Raw_Data!B13:M13)</f>
        <v>54</v>
      </c>
      <c r="S13" s="1" t="n">
        <f aca="false">Raw_Data!N13+Raw_Data!O13+Raw_Data!P13</f>
        <v>15</v>
      </c>
      <c r="T13" s="1" t="n">
        <f aca="false">Raw_Data!O13+Raw_Data!P13</f>
        <v>10</v>
      </c>
      <c r="U13" s="1" t="n">
        <f aca="false">Raw_Data!N13+Raw_Data!P13</f>
        <v>10</v>
      </c>
      <c r="V13" s="1" t="n">
        <f aca="false">Raw_Data!N13+Raw_Data!O13</f>
        <v>10</v>
      </c>
      <c r="W13" s="1" t="n">
        <f aca="false">Raw_Data!Q13+Raw_Data!R13+Raw_Data!S13</f>
        <v>15</v>
      </c>
      <c r="X13" s="1" t="n">
        <f aca="false">Raw_Data!R13+Raw_Data!S13</f>
        <v>10</v>
      </c>
      <c r="Y13" s="1" t="n">
        <f aca="false">Raw_Data!Q13+Raw_Data!S13</f>
        <v>10</v>
      </c>
      <c r="Z13" s="1" t="n">
        <f aca="false">Raw_Data!Q13+Raw_Data!R13</f>
        <v>10</v>
      </c>
      <c r="AA13" s="1" t="n">
        <f aca="false">Raw_Data!T13+Raw_Data!U13+Raw_Data!V13</f>
        <v>14</v>
      </c>
      <c r="AB13" s="1" t="n">
        <f aca="false">Raw_Data!U13+Raw_Data!V13</f>
        <v>10</v>
      </c>
      <c r="AC13" s="1" t="n">
        <f aca="false">Raw_Data!T13+Raw_Data!V13</f>
        <v>9</v>
      </c>
      <c r="AD13" s="1" t="n">
        <f aca="false">Raw_Data!T13+Raw_Data!U13</f>
        <v>9</v>
      </c>
      <c r="AE13" s="1" t="n">
        <f aca="false">Raw_Data!W13+Raw_Data!X13+Raw_Data!Y13</f>
        <v>15</v>
      </c>
      <c r="AF13" s="1" t="n">
        <f aca="false">Raw_Data!X13+Raw_Data!Y13</f>
        <v>10</v>
      </c>
      <c r="AG13" s="1" t="n">
        <f aca="false">Raw_Data!W13+Raw_Data!Y13</f>
        <v>10</v>
      </c>
      <c r="AH13" s="1" t="n">
        <f aca="false">Raw_Data!W13+Raw_Data!X13</f>
        <v>10</v>
      </c>
      <c r="AI13" s="1" t="n">
        <f aca="false">SUM(Raw_Data!N13:Y13)</f>
        <v>59</v>
      </c>
    </row>
    <row r="14" customFormat="false" ht="15" hidden="false" customHeight="true" outlineLevel="0" collapsed="false">
      <c r="A14" s="1" t="str">
        <f aca="false">Raw_Data!A14</f>
        <v>P13</v>
      </c>
      <c r="B14" s="1" t="n">
        <f aca="false">Raw_Data!B14+Raw_Data!C14+Raw_Data!D14</f>
        <v>13</v>
      </c>
      <c r="C14" s="1" t="n">
        <f aca="false">Raw_Data!C14+Raw_Data!D14</f>
        <v>9</v>
      </c>
      <c r="D14" s="1" t="n">
        <f aca="false">Raw_Data!B14+Raw_Data!D14</f>
        <v>9</v>
      </c>
      <c r="E14" s="1" t="n">
        <f aca="false">Raw_Data!B14+Raw_Data!C14</f>
        <v>8</v>
      </c>
      <c r="F14" s="1" t="n">
        <f aca="false">Raw_Data!E14+Raw_Data!F14+Raw_Data!G14</f>
        <v>13</v>
      </c>
      <c r="G14" s="1" t="n">
        <f aca="false">Raw_Data!F14+Raw_Data!G14</f>
        <v>9</v>
      </c>
      <c r="H14" s="1" t="n">
        <f aca="false">Raw_Data!E14+Raw_Data!G14</f>
        <v>8</v>
      </c>
      <c r="I14" s="1" t="n">
        <f aca="false">Raw_Data!E14+Raw_Data!F14</f>
        <v>9</v>
      </c>
      <c r="J14" s="1" t="n">
        <f aca="false">Raw_Data!H14+Raw_Data!I14+Raw_Data!J14</f>
        <v>12</v>
      </c>
      <c r="K14" s="1" t="n">
        <f aca="false">Raw_Data!I14+Raw_Data!J14</f>
        <v>8</v>
      </c>
      <c r="L14" s="1" t="n">
        <f aca="false">Raw_Data!H14+Raw_Data!J14</f>
        <v>8</v>
      </c>
      <c r="M14" s="1" t="n">
        <f aca="false">Raw_Data!H14+Raw_Data!I14</f>
        <v>8</v>
      </c>
      <c r="N14" s="1" t="n">
        <f aca="false">Raw_Data!K14+Raw_Data!L14+Raw_Data!M14</f>
        <v>13</v>
      </c>
      <c r="O14" s="1" t="n">
        <f aca="false">Raw_Data!L14+Raw_Data!M14</f>
        <v>9</v>
      </c>
      <c r="P14" s="1" t="n">
        <f aca="false">Raw_Data!K14+Raw_Data!M14</f>
        <v>8</v>
      </c>
      <c r="Q14" s="1" t="n">
        <f aca="false">Raw_Data!K14+Raw_Data!L14</f>
        <v>9</v>
      </c>
      <c r="R14" s="1" t="n">
        <f aca="false">SUM(Raw_Data!B14:M14)</f>
        <v>51</v>
      </c>
      <c r="S14" s="1" t="n">
        <f aca="false">Raw_Data!N14+Raw_Data!O14+Raw_Data!P14</f>
        <v>14</v>
      </c>
      <c r="T14" s="1" t="n">
        <f aca="false">Raw_Data!O14+Raw_Data!P14</f>
        <v>9</v>
      </c>
      <c r="U14" s="1" t="n">
        <f aca="false">Raw_Data!N14+Raw_Data!P14</f>
        <v>10</v>
      </c>
      <c r="V14" s="1" t="n">
        <f aca="false">Raw_Data!N14+Raw_Data!O14</f>
        <v>9</v>
      </c>
      <c r="W14" s="1" t="n">
        <f aca="false">Raw_Data!Q14+Raw_Data!R14+Raw_Data!S14</f>
        <v>15</v>
      </c>
      <c r="X14" s="1" t="n">
        <f aca="false">Raw_Data!R14+Raw_Data!S14</f>
        <v>10</v>
      </c>
      <c r="Y14" s="1" t="n">
        <f aca="false">Raw_Data!Q14+Raw_Data!S14</f>
        <v>10</v>
      </c>
      <c r="Z14" s="1" t="n">
        <f aca="false">Raw_Data!Q14+Raw_Data!R14</f>
        <v>10</v>
      </c>
      <c r="AA14" s="1" t="n">
        <f aca="false">Raw_Data!T14+Raw_Data!U14+Raw_Data!V14</f>
        <v>14</v>
      </c>
      <c r="AB14" s="1" t="n">
        <f aca="false">Raw_Data!U14+Raw_Data!V14</f>
        <v>10</v>
      </c>
      <c r="AC14" s="1" t="n">
        <f aca="false">Raw_Data!T14+Raw_Data!V14</f>
        <v>9</v>
      </c>
      <c r="AD14" s="1" t="n">
        <f aca="false">Raw_Data!T14+Raw_Data!U14</f>
        <v>9</v>
      </c>
      <c r="AE14" s="1" t="n">
        <f aca="false">Raw_Data!W14+Raw_Data!X14+Raw_Data!Y14</f>
        <v>15</v>
      </c>
      <c r="AF14" s="1" t="n">
        <f aca="false">Raw_Data!X14+Raw_Data!Y14</f>
        <v>10</v>
      </c>
      <c r="AG14" s="1" t="n">
        <f aca="false">Raw_Data!W14+Raw_Data!Y14</f>
        <v>10</v>
      </c>
      <c r="AH14" s="1" t="n">
        <f aca="false">Raw_Data!W14+Raw_Data!X14</f>
        <v>10</v>
      </c>
      <c r="AI14" s="1" t="n">
        <f aca="false">SUM(Raw_Data!N14:Y14)</f>
        <v>58</v>
      </c>
    </row>
    <row r="15" customFormat="false" ht="15" hidden="false" customHeight="true" outlineLevel="0" collapsed="false">
      <c r="A15" s="1" t="str">
        <f aca="false">Raw_Data!A15</f>
        <v>P14</v>
      </c>
      <c r="B15" s="1" t="n">
        <f aca="false">Raw_Data!B15+Raw_Data!C15+Raw_Data!D15</f>
        <v>13</v>
      </c>
      <c r="C15" s="1" t="n">
        <f aca="false">Raw_Data!C15+Raw_Data!D15</f>
        <v>9</v>
      </c>
      <c r="D15" s="1" t="n">
        <f aca="false">Raw_Data!B15+Raw_Data!D15</f>
        <v>9</v>
      </c>
      <c r="E15" s="1" t="n">
        <f aca="false">Raw_Data!B15+Raw_Data!C15</f>
        <v>8</v>
      </c>
      <c r="F15" s="1" t="n">
        <f aca="false">Raw_Data!E15+Raw_Data!F15+Raw_Data!G15</f>
        <v>12</v>
      </c>
      <c r="G15" s="1" t="n">
        <f aca="false">Raw_Data!F15+Raw_Data!G15</f>
        <v>8</v>
      </c>
      <c r="H15" s="1" t="n">
        <f aca="false">Raw_Data!E15+Raw_Data!G15</f>
        <v>8</v>
      </c>
      <c r="I15" s="1" t="n">
        <f aca="false">Raw_Data!E15+Raw_Data!F15</f>
        <v>8</v>
      </c>
      <c r="J15" s="1" t="n">
        <f aca="false">Raw_Data!H15+Raw_Data!I15+Raw_Data!J15</f>
        <v>12</v>
      </c>
      <c r="K15" s="1" t="n">
        <f aca="false">Raw_Data!I15+Raw_Data!J15</f>
        <v>8</v>
      </c>
      <c r="L15" s="1" t="n">
        <f aca="false">Raw_Data!H15+Raw_Data!J15</f>
        <v>8</v>
      </c>
      <c r="M15" s="1" t="n">
        <f aca="false">Raw_Data!H15+Raw_Data!I15</f>
        <v>8</v>
      </c>
      <c r="N15" s="1" t="n">
        <f aca="false">Raw_Data!K15+Raw_Data!L15+Raw_Data!M15</f>
        <v>14</v>
      </c>
      <c r="O15" s="1" t="n">
        <f aca="false">Raw_Data!L15+Raw_Data!M15</f>
        <v>9</v>
      </c>
      <c r="P15" s="1" t="n">
        <f aca="false">Raw_Data!K15+Raw_Data!M15</f>
        <v>9</v>
      </c>
      <c r="Q15" s="1" t="n">
        <f aca="false">Raw_Data!K15+Raw_Data!L15</f>
        <v>10</v>
      </c>
      <c r="R15" s="1" t="n">
        <f aca="false">SUM(Raw_Data!B15:M15)</f>
        <v>51</v>
      </c>
      <c r="S15" s="1" t="n">
        <f aca="false">Raw_Data!N15+Raw_Data!O15+Raw_Data!P15</f>
        <v>15</v>
      </c>
      <c r="T15" s="1" t="n">
        <f aca="false">Raw_Data!O15+Raw_Data!P15</f>
        <v>10</v>
      </c>
      <c r="U15" s="1" t="n">
        <f aca="false">Raw_Data!N15+Raw_Data!P15</f>
        <v>10</v>
      </c>
      <c r="V15" s="1" t="n">
        <f aca="false">Raw_Data!N15+Raw_Data!O15</f>
        <v>10</v>
      </c>
      <c r="W15" s="1" t="n">
        <f aca="false">Raw_Data!Q15+Raw_Data!R15+Raw_Data!S15</f>
        <v>13</v>
      </c>
      <c r="X15" s="1" t="n">
        <f aca="false">Raw_Data!R15+Raw_Data!S15</f>
        <v>9</v>
      </c>
      <c r="Y15" s="1" t="n">
        <f aca="false">Raw_Data!Q15+Raw_Data!S15</f>
        <v>9</v>
      </c>
      <c r="Z15" s="1" t="n">
        <f aca="false">Raw_Data!Q15+Raw_Data!R15</f>
        <v>8</v>
      </c>
      <c r="AA15" s="1" t="n">
        <f aca="false">Raw_Data!T15+Raw_Data!U15+Raw_Data!V15</f>
        <v>13</v>
      </c>
      <c r="AB15" s="1" t="n">
        <f aca="false">Raw_Data!U15+Raw_Data!V15</f>
        <v>9</v>
      </c>
      <c r="AC15" s="1" t="n">
        <f aca="false">Raw_Data!T15+Raw_Data!V15</f>
        <v>8</v>
      </c>
      <c r="AD15" s="1" t="n">
        <f aca="false">Raw_Data!T15+Raw_Data!U15</f>
        <v>9</v>
      </c>
      <c r="AE15" s="1" t="n">
        <f aca="false">Raw_Data!W15+Raw_Data!X15+Raw_Data!Y15</f>
        <v>15</v>
      </c>
      <c r="AF15" s="1" t="n">
        <f aca="false">Raw_Data!X15+Raw_Data!Y15</f>
        <v>10</v>
      </c>
      <c r="AG15" s="1" t="n">
        <f aca="false">Raw_Data!W15+Raw_Data!Y15</f>
        <v>10</v>
      </c>
      <c r="AH15" s="1" t="n">
        <f aca="false">Raw_Data!W15+Raw_Data!X15</f>
        <v>10</v>
      </c>
      <c r="AI15" s="1" t="n">
        <f aca="false">SUM(Raw_Data!N15:Y15)</f>
        <v>56</v>
      </c>
    </row>
    <row r="16" customFormat="false" ht="15" hidden="false" customHeight="true" outlineLevel="0" collapsed="false">
      <c r="A16" s="1" t="str">
        <f aca="false">Raw_Data!A16</f>
        <v>P15</v>
      </c>
      <c r="B16" s="1" t="n">
        <f aca="false">Raw_Data!B16+Raw_Data!C16+Raw_Data!D16</f>
        <v>13</v>
      </c>
      <c r="C16" s="1" t="n">
        <f aca="false">Raw_Data!C16+Raw_Data!D16</f>
        <v>8</v>
      </c>
      <c r="D16" s="1" t="n">
        <f aca="false">Raw_Data!B16+Raw_Data!D16</f>
        <v>9</v>
      </c>
      <c r="E16" s="1" t="n">
        <f aca="false">Raw_Data!B16+Raw_Data!C16</f>
        <v>9</v>
      </c>
      <c r="F16" s="1" t="n">
        <f aca="false">Raw_Data!E16+Raw_Data!F16+Raw_Data!G16</f>
        <v>11</v>
      </c>
      <c r="G16" s="1" t="n">
        <f aca="false">Raw_Data!F16+Raw_Data!G16</f>
        <v>8</v>
      </c>
      <c r="H16" s="1" t="n">
        <f aca="false">Raw_Data!E16+Raw_Data!G16</f>
        <v>7</v>
      </c>
      <c r="I16" s="1" t="n">
        <f aca="false">Raw_Data!E16+Raw_Data!F16</f>
        <v>7</v>
      </c>
      <c r="J16" s="1" t="n">
        <f aca="false">Raw_Data!H16+Raw_Data!I16+Raw_Data!J16</f>
        <v>10</v>
      </c>
      <c r="K16" s="1" t="n">
        <f aca="false">Raw_Data!I16+Raw_Data!J16</f>
        <v>7</v>
      </c>
      <c r="L16" s="1" t="n">
        <f aca="false">Raw_Data!H16+Raw_Data!J16</f>
        <v>7</v>
      </c>
      <c r="M16" s="1" t="n">
        <f aca="false">Raw_Data!H16+Raw_Data!I16</f>
        <v>6</v>
      </c>
      <c r="N16" s="1" t="n">
        <f aca="false">Raw_Data!K16+Raw_Data!L16+Raw_Data!M16</f>
        <v>13</v>
      </c>
      <c r="O16" s="1" t="n">
        <f aca="false">Raw_Data!L16+Raw_Data!M16</f>
        <v>9</v>
      </c>
      <c r="P16" s="1" t="n">
        <f aca="false">Raw_Data!K16+Raw_Data!M16</f>
        <v>8</v>
      </c>
      <c r="Q16" s="1" t="n">
        <f aca="false">Raw_Data!K16+Raw_Data!L16</f>
        <v>9</v>
      </c>
      <c r="R16" s="1" t="n">
        <f aca="false">SUM(Raw_Data!B16:M16)</f>
        <v>47</v>
      </c>
      <c r="S16" s="1" t="n">
        <f aca="false">Raw_Data!N16+Raw_Data!O16+Raw_Data!P16</f>
        <v>15</v>
      </c>
      <c r="T16" s="1" t="n">
        <f aca="false">Raw_Data!O16+Raw_Data!P16</f>
        <v>10</v>
      </c>
      <c r="U16" s="1" t="n">
        <f aca="false">Raw_Data!N16+Raw_Data!P16</f>
        <v>10</v>
      </c>
      <c r="V16" s="1" t="n">
        <f aca="false">Raw_Data!N16+Raw_Data!O16</f>
        <v>10</v>
      </c>
      <c r="W16" s="1" t="n">
        <f aca="false">Raw_Data!Q16+Raw_Data!R16+Raw_Data!S16</f>
        <v>14</v>
      </c>
      <c r="X16" s="1" t="n">
        <f aca="false">Raw_Data!R16+Raw_Data!S16</f>
        <v>9</v>
      </c>
      <c r="Y16" s="1" t="n">
        <f aca="false">Raw_Data!Q16+Raw_Data!S16</f>
        <v>10</v>
      </c>
      <c r="Z16" s="1" t="n">
        <f aca="false">Raw_Data!Q16+Raw_Data!R16</f>
        <v>9</v>
      </c>
      <c r="AA16" s="1" t="n">
        <f aca="false">Raw_Data!T16+Raw_Data!U16+Raw_Data!V16</f>
        <v>13</v>
      </c>
      <c r="AB16" s="1" t="n">
        <f aca="false">Raw_Data!U16+Raw_Data!V16</f>
        <v>9</v>
      </c>
      <c r="AC16" s="1" t="n">
        <f aca="false">Raw_Data!T16+Raw_Data!V16</f>
        <v>8</v>
      </c>
      <c r="AD16" s="1" t="n">
        <f aca="false">Raw_Data!T16+Raw_Data!U16</f>
        <v>9</v>
      </c>
      <c r="AE16" s="1" t="n">
        <f aca="false">Raw_Data!W16+Raw_Data!X16+Raw_Data!Y16</f>
        <v>14</v>
      </c>
      <c r="AF16" s="1" t="n">
        <f aca="false">Raw_Data!X16+Raw_Data!Y16</f>
        <v>9</v>
      </c>
      <c r="AG16" s="1" t="n">
        <f aca="false">Raw_Data!W16+Raw_Data!Y16</f>
        <v>10</v>
      </c>
      <c r="AH16" s="1" t="n">
        <f aca="false">Raw_Data!W16+Raw_Data!X16</f>
        <v>9</v>
      </c>
      <c r="AI16" s="1" t="n">
        <f aca="false">SUM(Raw_Data!N16:Y16)</f>
        <v>56</v>
      </c>
    </row>
    <row r="17" customFormat="false" ht="15" hidden="false" customHeight="true" outlineLevel="0" collapsed="false">
      <c r="A17" s="1" t="str">
        <f aca="false">Raw_Data!A17</f>
        <v>P16</v>
      </c>
      <c r="B17" s="1" t="n">
        <f aca="false">Raw_Data!B17+Raw_Data!C17+Raw_Data!D17</f>
        <v>15</v>
      </c>
      <c r="C17" s="1" t="n">
        <f aca="false">Raw_Data!C17+Raw_Data!D17</f>
        <v>10</v>
      </c>
      <c r="D17" s="1" t="n">
        <f aca="false">Raw_Data!B17+Raw_Data!D17</f>
        <v>10</v>
      </c>
      <c r="E17" s="1" t="n">
        <f aca="false">Raw_Data!B17+Raw_Data!C17</f>
        <v>10</v>
      </c>
      <c r="F17" s="1" t="n">
        <f aca="false">Raw_Data!E17+Raw_Data!F17+Raw_Data!G17</f>
        <v>15</v>
      </c>
      <c r="G17" s="1" t="n">
        <f aca="false">Raw_Data!F17+Raw_Data!G17</f>
        <v>10</v>
      </c>
      <c r="H17" s="1" t="n">
        <f aca="false">Raw_Data!E17+Raw_Data!G17</f>
        <v>10</v>
      </c>
      <c r="I17" s="1" t="n">
        <f aca="false">Raw_Data!E17+Raw_Data!F17</f>
        <v>10</v>
      </c>
      <c r="J17" s="1" t="n">
        <f aca="false">Raw_Data!H17+Raw_Data!I17+Raw_Data!J17</f>
        <v>12</v>
      </c>
      <c r="K17" s="1" t="n">
        <f aca="false">Raw_Data!I17+Raw_Data!J17</f>
        <v>8</v>
      </c>
      <c r="L17" s="1" t="n">
        <f aca="false">Raw_Data!H17+Raw_Data!J17</f>
        <v>8</v>
      </c>
      <c r="M17" s="1" t="n">
        <f aca="false">Raw_Data!H17+Raw_Data!I17</f>
        <v>8</v>
      </c>
      <c r="N17" s="1" t="n">
        <f aca="false">Raw_Data!K17+Raw_Data!L17+Raw_Data!M17</f>
        <v>15</v>
      </c>
      <c r="O17" s="1" t="n">
        <f aca="false">Raw_Data!L17+Raw_Data!M17</f>
        <v>10</v>
      </c>
      <c r="P17" s="1" t="n">
        <f aca="false">Raw_Data!K17+Raw_Data!M17</f>
        <v>10</v>
      </c>
      <c r="Q17" s="1" t="n">
        <f aca="false">Raw_Data!K17+Raw_Data!L17</f>
        <v>10</v>
      </c>
      <c r="R17" s="1" t="n">
        <f aca="false">SUM(Raw_Data!B17:M17)</f>
        <v>57</v>
      </c>
      <c r="S17" s="1" t="n">
        <f aca="false">Raw_Data!N17+Raw_Data!O17+Raw_Data!P17</f>
        <v>11</v>
      </c>
      <c r="T17" s="1" t="n">
        <f aca="false">Raw_Data!O17+Raw_Data!P17</f>
        <v>7</v>
      </c>
      <c r="U17" s="1" t="n">
        <f aca="false">Raw_Data!N17+Raw_Data!P17</f>
        <v>8</v>
      </c>
      <c r="V17" s="1" t="n">
        <f aca="false">Raw_Data!N17+Raw_Data!O17</f>
        <v>7</v>
      </c>
      <c r="W17" s="1" t="n">
        <f aca="false">Raw_Data!Q17+Raw_Data!R17+Raw_Data!S17</f>
        <v>15</v>
      </c>
      <c r="X17" s="1" t="n">
        <f aca="false">Raw_Data!R17+Raw_Data!S17</f>
        <v>10</v>
      </c>
      <c r="Y17" s="1" t="n">
        <f aca="false">Raw_Data!Q17+Raw_Data!S17</f>
        <v>10</v>
      </c>
      <c r="Z17" s="1" t="n">
        <f aca="false">Raw_Data!Q17+Raw_Data!R17</f>
        <v>10</v>
      </c>
      <c r="AA17" s="1" t="n">
        <f aca="false">Raw_Data!T17+Raw_Data!U17+Raw_Data!V17</f>
        <v>12</v>
      </c>
      <c r="AB17" s="1" t="n">
        <f aca="false">Raw_Data!U17+Raw_Data!V17</f>
        <v>8</v>
      </c>
      <c r="AC17" s="1" t="n">
        <f aca="false">Raw_Data!T17+Raw_Data!V17</f>
        <v>8</v>
      </c>
      <c r="AD17" s="1" t="n">
        <f aca="false">Raw_Data!T17+Raw_Data!U17</f>
        <v>8</v>
      </c>
      <c r="AE17" s="1" t="n">
        <f aca="false">Raw_Data!W17+Raw_Data!X17+Raw_Data!Y17</f>
        <v>14</v>
      </c>
      <c r="AF17" s="1" t="n">
        <f aca="false">Raw_Data!X17+Raw_Data!Y17</f>
        <v>9</v>
      </c>
      <c r="AG17" s="1" t="n">
        <f aca="false">Raw_Data!W17+Raw_Data!Y17</f>
        <v>10</v>
      </c>
      <c r="AH17" s="1" t="n">
        <f aca="false">Raw_Data!W17+Raw_Data!X17</f>
        <v>9</v>
      </c>
      <c r="AI17" s="1" t="n">
        <f aca="false">SUM(Raw_Data!N17:Y17)</f>
        <v>52</v>
      </c>
    </row>
    <row r="18" customFormat="false" ht="15" hidden="false" customHeight="true" outlineLevel="0" collapsed="false">
      <c r="A18" s="1" t="str">
        <f aca="false">Raw_Data!A18</f>
        <v>P17</v>
      </c>
      <c r="B18" s="1" t="n">
        <f aca="false">Raw_Data!B18+Raw_Data!C18+Raw_Data!D18</f>
        <v>14</v>
      </c>
      <c r="C18" s="1" t="n">
        <f aca="false">Raw_Data!C18+Raw_Data!D18</f>
        <v>10</v>
      </c>
      <c r="D18" s="1" t="n">
        <f aca="false">Raw_Data!B18+Raw_Data!D18</f>
        <v>9</v>
      </c>
      <c r="E18" s="1" t="n">
        <f aca="false">Raw_Data!B18+Raw_Data!C18</f>
        <v>9</v>
      </c>
      <c r="F18" s="1" t="n">
        <f aca="false">Raw_Data!E18+Raw_Data!F18+Raw_Data!G18</f>
        <v>13</v>
      </c>
      <c r="G18" s="1" t="n">
        <f aca="false">Raw_Data!F18+Raw_Data!G18</f>
        <v>8</v>
      </c>
      <c r="H18" s="1" t="n">
        <f aca="false">Raw_Data!E18+Raw_Data!G18</f>
        <v>9</v>
      </c>
      <c r="I18" s="1" t="n">
        <f aca="false">Raw_Data!E18+Raw_Data!F18</f>
        <v>9</v>
      </c>
      <c r="J18" s="1" t="n">
        <f aca="false">Raw_Data!H18+Raw_Data!I18+Raw_Data!J18</f>
        <v>8</v>
      </c>
      <c r="K18" s="1" t="n">
        <f aca="false">Raw_Data!I18+Raw_Data!J18</f>
        <v>5</v>
      </c>
      <c r="L18" s="1" t="n">
        <f aca="false">Raw_Data!H18+Raw_Data!J18</f>
        <v>5</v>
      </c>
      <c r="M18" s="1" t="n">
        <f aca="false">Raw_Data!H18+Raw_Data!I18</f>
        <v>6</v>
      </c>
      <c r="N18" s="1" t="n">
        <f aca="false">Raw_Data!K18+Raw_Data!L18+Raw_Data!M18</f>
        <v>15</v>
      </c>
      <c r="O18" s="1" t="n">
        <f aca="false">Raw_Data!L18+Raw_Data!M18</f>
        <v>10</v>
      </c>
      <c r="P18" s="1" t="n">
        <f aca="false">Raw_Data!K18+Raw_Data!M18</f>
        <v>10</v>
      </c>
      <c r="Q18" s="1" t="n">
        <f aca="false">Raw_Data!K18+Raw_Data!L18</f>
        <v>10</v>
      </c>
      <c r="R18" s="1" t="n">
        <f aca="false">SUM(Raw_Data!B18:M18)</f>
        <v>50</v>
      </c>
      <c r="S18" s="1" t="n">
        <f aca="false">Raw_Data!N18+Raw_Data!O18+Raw_Data!P18</f>
        <v>14</v>
      </c>
      <c r="T18" s="1" t="n">
        <f aca="false">Raw_Data!O18+Raw_Data!P18</f>
        <v>9</v>
      </c>
      <c r="U18" s="1" t="n">
        <f aca="false">Raw_Data!N18+Raw_Data!P18</f>
        <v>10</v>
      </c>
      <c r="V18" s="1" t="n">
        <f aca="false">Raw_Data!N18+Raw_Data!O18</f>
        <v>9</v>
      </c>
      <c r="W18" s="1" t="n">
        <f aca="false">Raw_Data!Q18+Raw_Data!R18+Raw_Data!S18</f>
        <v>15</v>
      </c>
      <c r="X18" s="1" t="n">
        <f aca="false">Raw_Data!R18+Raw_Data!S18</f>
        <v>10</v>
      </c>
      <c r="Y18" s="1" t="n">
        <f aca="false">Raw_Data!Q18+Raw_Data!S18</f>
        <v>10</v>
      </c>
      <c r="Z18" s="1" t="n">
        <f aca="false">Raw_Data!Q18+Raw_Data!R18</f>
        <v>10</v>
      </c>
      <c r="AA18" s="1" t="n">
        <f aca="false">Raw_Data!T18+Raw_Data!U18+Raw_Data!V18</f>
        <v>12</v>
      </c>
      <c r="AB18" s="1" t="n">
        <f aca="false">Raw_Data!U18+Raw_Data!V18</f>
        <v>7</v>
      </c>
      <c r="AC18" s="1" t="n">
        <f aca="false">Raw_Data!T18+Raw_Data!V18</f>
        <v>8</v>
      </c>
      <c r="AD18" s="1" t="n">
        <f aca="false">Raw_Data!T18+Raw_Data!U18</f>
        <v>9</v>
      </c>
      <c r="AE18" s="1" t="n">
        <f aca="false">Raw_Data!W18+Raw_Data!X18+Raw_Data!Y18</f>
        <v>13</v>
      </c>
      <c r="AF18" s="1" t="n">
        <f aca="false">Raw_Data!X18+Raw_Data!Y18</f>
        <v>9</v>
      </c>
      <c r="AG18" s="1" t="n">
        <f aca="false">Raw_Data!W18+Raw_Data!Y18</f>
        <v>8</v>
      </c>
      <c r="AH18" s="1" t="n">
        <f aca="false">Raw_Data!W18+Raw_Data!X18</f>
        <v>9</v>
      </c>
      <c r="AI18" s="1" t="n">
        <f aca="false">SUM(Raw_Data!N18:Y18)</f>
        <v>54</v>
      </c>
    </row>
    <row r="20" customFormat="false" ht="15" hidden="false" customHeight="true" outlineLevel="0" collapsed="false">
      <c r="A20" s="5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5"/>
  </cols>
  <sheetData>
    <row r="1" customFormat="false" ht="15" hidden="false" customHeight="true" outlineLevel="0" collapsed="false">
      <c r="A1" s="3" t="s">
        <v>207</v>
      </c>
      <c r="B1" s="3" t="s">
        <v>208</v>
      </c>
    </row>
    <row r="2" customFormat="false" ht="15" hidden="false" customHeight="true" outlineLevel="0" collapsed="false">
      <c r="A2" s="4" t="s">
        <v>209</v>
      </c>
      <c r="B2" s="4" t="s">
        <v>210</v>
      </c>
    </row>
    <row r="3" customFormat="false" ht="15" hidden="false" customHeight="true" outlineLevel="0" collapsed="false">
      <c r="A3" s="4" t="s">
        <v>211</v>
      </c>
      <c r="B3" s="4" t="s">
        <v>212</v>
      </c>
    </row>
    <row r="4" customFormat="false" ht="15" hidden="false" customHeight="true" outlineLevel="0" collapsed="false">
      <c r="A4" s="4" t="s">
        <v>213</v>
      </c>
      <c r="B4" s="4" t="s">
        <v>214</v>
      </c>
    </row>
    <row r="5" customFormat="false" ht="15" hidden="false" customHeight="true" outlineLevel="0" collapsed="false">
      <c r="A5" s="4" t="s">
        <v>215</v>
      </c>
      <c r="B5" s="4" t="s">
        <v>216</v>
      </c>
    </row>
    <row r="6" customFormat="false" ht="15" hidden="false" customHeight="true" outlineLevel="0" collapsed="false">
      <c r="A6" s="4"/>
      <c r="B6" s="4"/>
    </row>
    <row r="7" customFormat="false" ht="15" hidden="false" customHeight="true" outlineLevel="0" collapsed="false">
      <c r="A7" s="4" t="s">
        <v>217</v>
      </c>
      <c r="B7" s="4"/>
    </row>
    <row r="8" customFormat="false" ht="15" hidden="false" customHeight="true" outlineLevel="0" collapsed="false">
      <c r="A8" s="4" t="s">
        <v>218</v>
      </c>
      <c r="B8" s="4" t="s">
        <v>219</v>
      </c>
    </row>
    <row r="9" customFormat="false" ht="15" hidden="false" customHeight="true" outlineLevel="0" collapsed="false">
      <c r="A9" s="4" t="s">
        <v>220</v>
      </c>
      <c r="B9" s="4" t="s">
        <v>221</v>
      </c>
    </row>
    <row r="10" customFormat="false" ht="15" hidden="false" customHeight="true" outlineLevel="0" collapsed="false">
      <c r="A10" s="4" t="s">
        <v>222</v>
      </c>
      <c r="B10" s="4" t="s">
        <v>223</v>
      </c>
    </row>
    <row r="11" customFormat="false" ht="15" hidden="false" customHeight="true" outlineLevel="0" collapsed="false">
      <c r="A11" s="4" t="s">
        <v>224</v>
      </c>
      <c r="B11" s="4" t="s">
        <v>225</v>
      </c>
    </row>
    <row r="12" customFormat="false" ht="15" hidden="false" customHeight="true" outlineLevel="0" collapsed="false">
      <c r="A12" s="4" t="s">
        <v>226</v>
      </c>
      <c r="B12" s="4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2026-10-12T15:18:46Z</dcterms:created>
  <dc:creator>openpyxl</dc:creator>
  <dc:description/>
  <dc:language>en-US</dc:language>
  <cp:lastModifiedBy/>
  <dcterms:modified xsi:type="dcterms:W3CDTF">2026-10-12T15:19:34Z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