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tem_Analysis" sheetId="2" state="visible" r:id="rId4"/>
    <sheet name="Reliability" sheetId="3" state="visible" r:id="rId5"/>
    <sheet name="Cross_Check" sheetId="4" state="visible" r:id="rId6"/>
    <sheet name="Data_Check" sheetId="5" state="visible" r:id="rId7"/>
    <sheet name="TB_Primary" sheetId="6" state="visible" r:id="rId8"/>
    <sheet name="TB_Sensitivity" sheetId="7" state="visible" r:id="rId9"/>
    <sheet name="Raw_Dat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<sst xmlns="http://schemas.openxmlformats.org/spreadsheetml/2006/main" count="387" uniqueCount="200">
  <si>
    <t xml:space="preserve">Soal 7 - Item analysis and reliability of the TB scale (TB1-TB6)</t>
  </si>
  <si>
    <t xml:space="preserve">Data source (verified from the uploaded files only)</t>
  </si>
  <si>
    <t xml:space="preserve">File 1: Electric_Cars_Purchase_Intention-Data_in_Brief.csv (MD5 09e51b6cd9256e2b3c7d0faef39daf9d), 510 data rows x 41 columns.</t>
  </si>
  <si>
    <t xml:space="preserve">File 2: Electric_Cars_Purchase_Intention-Maheswaran_and_Veena.sav (MD5 5bbeb8c35e913cba2aa6b264b5a7a33b), SPSS 23, created 21 May 2021; item values identical to File 1.</t>
  </si>
  <si>
    <t xml:space="preserve">Dataset landing page named by the user: https://data.mendeley.com/datasets/tz7krp8rvz/2 (could not be opened from the analysis environment; licence, version and citation NOT verified).</t>
  </si>
  <si>
    <t xml:space="preserve">Item wording below comes from the SPSS variable labels. The SPSS file has NO value labels for the Likert items: the meaning of codes 1-5 is NOT documented in the files.</t>
  </si>
  <si>
    <t xml:space="preserve">Construct name for 'TB' is NOT documented in the files.</t>
  </si>
  <si>
    <t xml:space="preserve">Sheets</t>
  </si>
  <si>
    <t xml:space="preserve">Raw_Data: the CSV exactly as uploaded (blank cells kept blank). Do not edit.</t>
  </si>
  <si>
    <t xml:space="preserve">Data_Check: range, missing-value and duplicate checks computed from Raw_Data.</t>
  </si>
  <si>
    <t xml:space="preserve">TB_Primary: TB1-TB6 linked from Raw_Data (n = 510) with total, rest scores and odd/even half scores.</t>
  </si>
  <si>
    <t xml:space="preserve">TB_Sensitivity: same, excluding Raw_Data row 142 (data row 141), the second of two rows identical on all 41 variables (n = 509).</t>
  </si>
  <si>
    <t xml:space="preserve">Item_Analysis: corrected item-total correlations, alpha if item deleted, inter-item correlations.</t>
  </si>
  <si>
    <t xml:space="preserve">Reliability: Cronbach's alpha (with Feldt 95% CI) and odd-even split-half with Spearman-Brown correction.</t>
  </si>
  <si>
    <t xml:space="preserve">Cross_Check: Excel results vs an independent Python (pandas/scipy) computation.</t>
  </si>
  <si>
    <t xml:space="preserve">Pre-specified decisions (fixed before computing)</t>
  </si>
  <si>
    <t xml:space="preserve">Items: TB1-TB6 chosen on content (all six rate attributes of the e-car itself). No item is dropped after seeing results.</t>
  </si>
  <si>
    <t xml:space="preserve">Item order 1-6 = TB1..TB6 (SPSS variable order). Odd half = TB1+TB3+TB5; even half = TB2+TB4+TB6.</t>
  </si>
  <si>
    <t xml:space="preserve">Primary analysis n = 510 (as published); sensitivity analysis n = 509. The identical rows are NOT asserted to be an entry error.</t>
  </si>
  <si>
    <t xml:space="preserve">Criteria (assumed; official Soal 7 criteria not available): corrected item-total r &gt;= 0.30; alpha / Spearman-Brown &gt;= 0.70 acceptable, 0.60-0.69 questionable, &lt; 0.60 poor.</t>
  </si>
  <si>
    <t xml:space="preserve">Item analysis: corrected item-total correlation (CITC) = Pearson r between an item and the sum of the other five TB items</t>
  </si>
  <si>
    <t xml:space="preserve">CITC criterion (assumed; edit if the lecturer specifies another)</t>
  </si>
  <si>
    <t xml:space="preserve">Alpha for significance tests</t>
  </si>
  <si>
    <t xml:space="preserve">PRIMARY ANALYSIS (n = 510, as published)</t>
  </si>
  <si>
    <t xml:space="preserve">n</t>
  </si>
  <si>
    <t xml:space="preserve">r critical (two-tailed)</t>
  </si>
  <si>
    <t xml:space="preserve">Item</t>
  </si>
  <si>
    <t xml:space="preserve">Wording</t>
  </si>
  <si>
    <t xml:space="preserve">Mean</t>
  </si>
  <si>
    <t xml:space="preserve">SD</t>
  </si>
  <si>
    <t xml:space="preserve">Variance</t>
  </si>
  <si>
    <t xml:space="preserve">r item-total (uncorrected)</t>
  </si>
  <si>
    <t xml:space="preserve">CITC</t>
  </si>
  <si>
    <t xml:space="preserve">t</t>
  </si>
  <si>
    <t xml:space="preserve">p (two-tailed)</t>
  </si>
  <si>
    <t xml:space="preserve">Alpha if item deleted</t>
  </si>
  <si>
    <t xml:space="preserve">Meets CITC &gt;= criterion?</t>
  </si>
  <si>
    <t xml:space="preserve">Statistically significant?</t>
  </si>
  <si>
    <t xml:space="preserve">TB1</t>
  </si>
  <si>
    <t xml:space="preserve">I think e-cars are sleek</t>
  </si>
  <si>
    <t xml:space="preserve">TB2</t>
  </si>
  <si>
    <t xml:space="preserve">I think e-cars are durable</t>
  </si>
  <si>
    <t xml:space="preserve">TB3</t>
  </si>
  <si>
    <t xml:space="preserve">I think e-cars are available in different size, colours and designs</t>
  </si>
  <si>
    <t xml:space="preserve">TB4</t>
  </si>
  <si>
    <t xml:space="preserve">I think e-cars are aesthetically appealing</t>
  </si>
  <si>
    <t xml:space="preserve">TB5</t>
  </si>
  <si>
    <t xml:space="preserve">I think e-cars are technologically superior</t>
  </si>
  <si>
    <t xml:space="preserve">TB6</t>
  </si>
  <si>
    <t xml:space="preserve">I think e-cars give comfortable ride</t>
  </si>
  <si>
    <t xml:space="preserve">Items meeting CITC criterion</t>
  </si>
  <si>
    <t xml:space="preserve">Inter-item Pearson correlations</t>
  </si>
  <si>
    <t xml:space="preserve">Mean inter-item r (15 pairs)</t>
  </si>
  <si>
    <t xml:space="preserve">Smallest inter-item r</t>
  </si>
  <si>
    <t xml:space="preserve">SENSITIVITY ANALYSIS (n = 509, second identical row removed)</t>
  </si>
  <si>
    <t xml:space="preserve">Reliability of the 6-item TB scale</t>
  </si>
  <si>
    <t xml:space="preserve">CI level</t>
  </si>
  <si>
    <t xml:space="preserve">Acceptable threshold (assumed)</t>
  </si>
  <si>
    <t xml:space="preserve">Questionable threshold (assumed)</t>
  </si>
  <si>
    <t xml:space="preserve">Statistic</t>
  </si>
  <si>
    <t xml:space="preserve">Primary (n = 510)</t>
  </si>
  <si>
    <t xml:space="preserve">Sensitivity (n = 509)</t>
  </si>
  <si>
    <t xml:space="preserve">Formula / note</t>
  </si>
  <si>
    <t xml:space="preserve">COUNT of total scores</t>
  </si>
  <si>
    <t xml:space="preserve">k (items)</t>
  </si>
  <si>
    <t xml:space="preserve">TB1-TB6</t>
  </si>
  <si>
    <t xml:space="preserve">Sum of item variances</t>
  </si>
  <si>
    <t xml:space="preserve">SUM of VAR of each item (Item_Analysis col E)</t>
  </si>
  <si>
    <t xml:space="preserve">Variance of total score</t>
  </si>
  <si>
    <t xml:space="preserve">VAR of Total</t>
  </si>
  <si>
    <t xml:space="preserve">Cronbach's alpha</t>
  </si>
  <si>
    <t xml:space="preserve">k/(k-1) * (1 - sum item var / total var)</t>
  </si>
  <si>
    <t xml:space="preserve">Alpha 95% CI lower (Feldt)</t>
  </si>
  <si>
    <t xml:space="preserve">1-(1-alpha)*FINV(0.025, n-1, (n-1)(k-1))</t>
  </si>
  <si>
    <t xml:space="preserve">Alpha 95% CI upper (Feldt)</t>
  </si>
  <si>
    <t xml:space="preserve">1-(1-alpha)*FINV(0.975, n-1, (n-1)(k-1))</t>
  </si>
  <si>
    <t xml:space="preserve">Alpha decision</t>
  </si>
  <si>
    <t xml:space="preserve">&gt;= 0.70 acceptable; 0.60-0.69 questionable; &lt; 0.60 poor</t>
  </si>
  <si>
    <t xml:space="preserve">r between odd and even half scores</t>
  </si>
  <si>
    <t xml:space="preserve">Odd = TB1+TB3+TB5, Even = TB2+TB4+TB6</t>
  </si>
  <si>
    <t xml:space="preserve">Spearman-Brown corrected split-half</t>
  </si>
  <si>
    <t xml:space="preserve">2r / (1 + r)</t>
  </si>
  <si>
    <t xml:space="preserve">Split-half decision</t>
  </si>
  <si>
    <t xml:space="preserve">same thresholds</t>
  </si>
  <si>
    <t xml:space="preserve">Variance of odd half</t>
  </si>
  <si>
    <t xml:space="preserve">Variance of even half</t>
  </si>
  <si>
    <t xml:space="preserve">Guttman split-half (lambda-4, same split; supplementary)</t>
  </si>
  <si>
    <t xml:space="preserve">2*(1-(var odd + var even)/var total)</t>
  </si>
  <si>
    <t xml:space="preserve">Cross-check: Excel formulas vs independent Python computation (pandas 2.x / scipy). Python values are pasted as fixed numbers.</t>
  </si>
  <si>
    <t xml:space="preserve">Analysis</t>
  </si>
  <si>
    <t xml:space="preserve">Excel (formula)</t>
  </si>
  <si>
    <t xml:space="preserve">Python (fixed value)</t>
  </si>
  <si>
    <t xml:space="preserve">Absolute difference</t>
  </si>
  <si>
    <t xml:space="preserve">Primary n=510</t>
  </si>
  <si>
    <t xml:space="preserve">TB1 citc</t>
  </si>
  <si>
    <t xml:space="preserve">TB1 alpha_if_deleted</t>
  </si>
  <si>
    <t xml:space="preserve">TB1 mean</t>
  </si>
  <si>
    <t xml:space="preserve">TB1 sd</t>
  </si>
  <si>
    <t xml:space="preserve">TB2 citc</t>
  </si>
  <si>
    <t xml:space="preserve">TB2 alpha_if_deleted</t>
  </si>
  <si>
    <t xml:space="preserve">TB2 mean</t>
  </si>
  <si>
    <t xml:space="preserve">TB2 sd</t>
  </si>
  <si>
    <t xml:space="preserve">TB3 citc</t>
  </si>
  <si>
    <t xml:space="preserve">TB3 alpha_if_deleted</t>
  </si>
  <si>
    <t xml:space="preserve">TB3 mean</t>
  </si>
  <si>
    <t xml:space="preserve">TB3 sd</t>
  </si>
  <si>
    <t xml:space="preserve">TB4 citc</t>
  </si>
  <si>
    <t xml:space="preserve">TB4 alpha_if_deleted</t>
  </si>
  <si>
    <t xml:space="preserve">TB4 mean</t>
  </si>
  <si>
    <t xml:space="preserve">TB4 sd</t>
  </si>
  <si>
    <t xml:space="preserve">TB5 citc</t>
  </si>
  <si>
    <t xml:space="preserve">TB5 alpha_if_deleted</t>
  </si>
  <si>
    <t xml:space="preserve">TB5 mean</t>
  </si>
  <si>
    <t xml:space="preserve">TB5 sd</t>
  </si>
  <si>
    <t xml:space="preserve">TB6 citc</t>
  </si>
  <si>
    <t xml:space="preserve">TB6 alpha_if_deleted</t>
  </si>
  <si>
    <t xml:space="preserve">TB6 mean</t>
  </si>
  <si>
    <t xml:space="preserve">TB6 sd</t>
  </si>
  <si>
    <t xml:space="preserve">alpha</t>
  </si>
  <si>
    <t xml:space="preserve">spearman_brown</t>
  </si>
  <si>
    <t xml:space="preserve">r_half</t>
  </si>
  <si>
    <t xml:space="preserve">guttman</t>
  </si>
  <si>
    <t xml:space="preserve">alpha CI lower</t>
  </si>
  <si>
    <t xml:space="preserve">alpha CI upper</t>
  </si>
  <si>
    <t xml:space="preserve">Sensitivity n=509</t>
  </si>
  <si>
    <t xml:space="preserve">Largest absolute difference</t>
  </si>
  <si>
    <t xml:space="preserve">Excel values in this file were computed by LibreOffice (headless) and have not been opened in Microsoft Excel.</t>
  </si>
  <si>
    <t xml:space="preserve">Data checks (computed from Raw_Data)</t>
  </si>
  <si>
    <t xml:space="preserve">Variable</t>
  </si>
  <si>
    <t xml:space="preserve">Item wording</t>
  </si>
  <si>
    <t xml:space="preserve">N non-blank</t>
  </si>
  <si>
    <t xml:space="preserve">Blank</t>
  </si>
  <si>
    <t xml:space="preserve">Min</t>
  </si>
  <si>
    <t xml:space="preserve">Max</t>
  </si>
  <si>
    <t xml:space="preserve">Outside 1-5</t>
  </si>
  <si>
    <t xml:space="preserve">n=1</t>
  </si>
  <si>
    <t xml:space="preserve">n=2</t>
  </si>
  <si>
    <t xml:space="preserve">n=3</t>
  </si>
  <si>
    <t xml:space="preserve">n=4</t>
  </si>
  <si>
    <t xml:space="preserve">n=5</t>
  </si>
  <si>
    <t xml:space="preserve">Raw_Data row</t>
  </si>
  <si>
    <t xml:space="preserve">Row key (Raw_Data row)</t>
  </si>
  <si>
    <t xml:space="preserve">Count of identical rows</t>
  </si>
  <si>
    <t xml:space="preserve">All 31 Likert items (CC1:TB6)</t>
  </si>
  <si>
    <t xml:space="preserve">Cells</t>
  </si>
  <si>
    <t xml:space="preserve">Blank cells</t>
  </si>
  <si>
    <t xml:space="preserve">Cells outside 1-5</t>
  </si>
  <si>
    <t xml:space="preserve">Data rows</t>
  </si>
  <si>
    <t xml:space="preserve">Duplicate rows (all 41 variables identical)</t>
  </si>
  <si>
    <t xml:space="preserve">Rows that have an identical twin</t>
  </si>
  <si>
    <t xml:space="preserve">Raw_Data rows involved</t>
  </si>
  <si>
    <t xml:space="preserve">142 and 139 (data rows 141 and 138); see column Q</t>
  </si>
  <si>
    <t xml:space="preserve">Age outside 18-35 (count)</t>
  </si>
  <si>
    <t xml:space="preserve">Note: Age and the demographic coding issues do not enter the TB analysis.</t>
  </si>
  <si>
    <t xml:space="preserve">Total</t>
  </si>
  <si>
    <t xml:space="preserve">Rest_TB1</t>
  </si>
  <si>
    <t xml:space="preserve">Rest_TB2</t>
  </si>
  <si>
    <t xml:space="preserve">Rest_TB3</t>
  </si>
  <si>
    <t xml:space="preserve">Rest_TB4</t>
  </si>
  <si>
    <t xml:space="preserve">Rest_TB5</t>
  </si>
  <si>
    <t xml:space="preserve">Rest_TB6</t>
  </si>
  <si>
    <t xml:space="preserve">Odd (TB1+TB3+TB5)</t>
  </si>
  <si>
    <t xml:space="preserve">Even (TB2+TB4+TB6)</t>
  </si>
  <si>
    <t xml:space="preserve">All 510 data rows (Raw_Data rows 2-511).</t>
  </si>
  <si>
    <t xml:space="preserve">Raw_Data row 142 (data row 141) excluded: it is identical on all 41 variables to row 139 (data row 138). This is a sensitivity check, not a claim that the row is an error.</t>
  </si>
  <si>
    <t xml:space="preserve">Comtd_E_car</t>
  </si>
  <si>
    <t xml:space="preserve">Ed_bg</t>
  </si>
  <si>
    <t xml:space="preserve">Gender</t>
  </si>
  <si>
    <t xml:space="preserve">Own_Car</t>
  </si>
  <si>
    <t xml:space="preserve">Own_E_Bike</t>
  </si>
  <si>
    <t xml:space="preserve">Own_E_Car</t>
  </si>
  <si>
    <t xml:space="preserve">Region</t>
  </si>
  <si>
    <t xml:space="preserve">F_Inc</t>
  </si>
  <si>
    <t xml:space="preserve">Workex</t>
  </si>
  <si>
    <t xml:space="preserve">Age</t>
  </si>
  <si>
    <t xml:space="preserve">CC1</t>
  </si>
  <si>
    <t xml:space="preserve">CC2</t>
  </si>
  <si>
    <t xml:space="preserve">CC3</t>
  </si>
  <si>
    <t xml:space="preserve">DC1</t>
  </si>
  <si>
    <t xml:space="preserve">DC2</t>
  </si>
  <si>
    <t xml:space="preserve">DC3</t>
  </si>
  <si>
    <t xml:space="preserve">DC4</t>
  </si>
  <si>
    <t xml:space="preserve">DC5</t>
  </si>
  <si>
    <t xml:space="preserve">DC6</t>
  </si>
  <si>
    <t xml:space="preserve">EB1</t>
  </si>
  <si>
    <t xml:space="preserve">EB2</t>
  </si>
  <si>
    <t xml:space="preserve">EC1</t>
  </si>
  <si>
    <t xml:space="preserve">EC2</t>
  </si>
  <si>
    <t xml:space="preserve">EC3</t>
  </si>
  <si>
    <t xml:space="preserve">EC4</t>
  </si>
  <si>
    <t xml:space="preserve">GP1</t>
  </si>
  <si>
    <t xml:space="preserve">GP2</t>
  </si>
  <si>
    <t xml:space="preserve">GP3</t>
  </si>
  <si>
    <t xml:space="preserve">GP4</t>
  </si>
  <si>
    <t xml:space="preserve">GP5</t>
  </si>
  <si>
    <t xml:space="preserve">PI1</t>
  </si>
  <si>
    <t xml:space="preserve">PI2</t>
  </si>
  <si>
    <t xml:space="preserve">PI3</t>
  </si>
  <si>
    <t xml:space="preserve">SB1</t>
  </si>
  <si>
    <t xml:space="preserve">SB2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</si>
</sst>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0"/>
    <numFmt numFmtId="167" formatCode="0.0000"/>
    <numFmt numFmtId="168" formatCode="0.000000"/>
    <numFmt numFmtId="169" formatCode="0.0E+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3" t="s">
        <v>5</v>
      </c>
    </row>
    <row r="7" customFormat="false" ht="15" hidden="false" customHeight="false" outlineLevel="0" collapsed="false">
      <c r="A7" s="3" t="s">
        <v>6</v>
      </c>
    </row>
    <row r="8" customFormat="false" ht="15" hidden="false" customHeight="false" outlineLevel="0" collapsed="false">
      <c r="A8" s="2" t="s">
        <v>7</v>
      </c>
    </row>
    <row r="9" customFormat="false" ht="15" hidden="false" customHeight="false" outlineLevel="0" collapsed="false">
      <c r="A9" s="3" t="s">
        <v>8</v>
      </c>
    </row>
    <row r="10" customFormat="false" ht="15" hidden="false" customHeight="false" outlineLevel="0" collapsed="false">
      <c r="A10" s="3" t="s">
        <v>9</v>
      </c>
    </row>
    <row r="11" customFormat="false" ht="15" hidden="false" customHeight="false" outlineLevel="0" collapsed="false">
      <c r="A11" s="3" t="s">
        <v>10</v>
      </c>
    </row>
    <row r="12" customFormat="false" ht="15" hidden="false" customHeight="false" outlineLevel="0" collapsed="false">
      <c r="A12" s="3" t="s">
        <v>11</v>
      </c>
    </row>
    <row r="13" customFormat="false" ht="15" hidden="false" customHeight="false" outlineLevel="0" collapsed="false">
      <c r="A13" s="3" t="s">
        <v>12</v>
      </c>
    </row>
    <row r="14" customFormat="false" ht="15" hidden="false" customHeight="false" outlineLevel="0" collapsed="false">
      <c r="A14" s="3" t="s">
        <v>13</v>
      </c>
    </row>
    <row r="15" customFormat="false" ht="15" hidden="false" customHeight="false" outlineLevel="0" collapsed="false">
      <c r="A15" s="3" t="s">
        <v>14</v>
      </c>
    </row>
    <row r="16" customFormat="false" ht="15" hidden="false" customHeight="false" outlineLevel="0" collapsed="false">
      <c r="A16" s="2" t="s">
        <v>15</v>
      </c>
    </row>
    <row r="17" customFormat="false" ht="15" hidden="false" customHeight="false" outlineLevel="0" collapsed="false">
      <c r="A17" s="3" t="s">
        <v>16</v>
      </c>
    </row>
    <row r="18" customFormat="false" ht="15" hidden="false" customHeight="false" outlineLevel="0" collapsed="false">
      <c r="A18" s="3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8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2" min="10" style="0" width="12"/>
  </cols>
  <sheetData>
    <row r="1" customFormat="false" ht="15" hidden="false" customHeight="false" outlineLevel="0" collapsed="false">
      <c r="A1" s="1" t="s">
        <v>20</v>
      </c>
    </row>
    <row r="2" customFormat="false" ht="15" hidden="false" customHeight="false" outlineLevel="0" collapsed="false">
      <c r="A2" s="0" t="s">
        <v>21</v>
      </c>
      <c r="F2" s="4" t="n">
        <v>0.3</v>
      </c>
    </row>
    <row r="3" customFormat="false" ht="15" hidden="false" customHeight="false" outlineLevel="0" collapsed="false">
      <c r="A3" s="0" t="s">
        <v>22</v>
      </c>
      <c r="F3" s="4" t="n">
        <v>0.05</v>
      </c>
    </row>
    <row r="5" customFormat="false" ht="15" hidden="false" customHeight="false" outlineLevel="0" collapsed="false">
      <c r="A5" s="2" t="s">
        <v>23</v>
      </c>
    </row>
    <row r="6" customFormat="false" ht="15" hidden="false" customHeight="false" outlineLevel="0" collapsed="false">
      <c r="A6" s="0" t="s">
        <v>24</v>
      </c>
      <c r="B6" s="0" t="n">
        <f aca="false">COUNT(TB_Primary!$H$2:$H$511)</f>
        <v>510</v>
      </c>
    </row>
    <row r="7" customFormat="false" ht="15" hidden="false" customHeight="false" outlineLevel="0" collapsed="false">
      <c r="A7" s="0" t="s">
        <v>25</v>
      </c>
      <c r="B7" s="5" t="n">
        <f aca="false">TINV($F$3,B6-2)/SQRT(TINV($F$3,B6-2)^2+B6-2)</f>
        <v>0.0868377399715224</v>
      </c>
    </row>
    <row r="9" customFormat="false" ht="23.85" hidden="false" customHeight="false" outlineLevel="0" collapsed="false">
      <c r="A9" s="6" t="s">
        <v>26</v>
      </c>
      <c r="B9" s="6" t="s">
        <v>27</v>
      </c>
      <c r="C9" s="6" t="s">
        <v>28</v>
      </c>
      <c r="D9" s="6" t="s">
        <v>29</v>
      </c>
      <c r="E9" s="6" t="s">
        <v>30</v>
      </c>
      <c r="F9" s="6" t="s">
        <v>31</v>
      </c>
      <c r="G9" s="6" t="s">
        <v>32</v>
      </c>
      <c r="H9" s="6" t="s">
        <v>33</v>
      </c>
      <c r="I9" s="6" t="s">
        <v>34</v>
      </c>
      <c r="J9" s="6" t="s">
        <v>35</v>
      </c>
      <c r="K9" s="6" t="s">
        <v>36</v>
      </c>
      <c r="L9" s="6" t="s">
        <v>37</v>
      </c>
    </row>
    <row r="10" customFormat="false" ht="15" hidden="false" customHeight="false" outlineLevel="0" collapsed="false">
      <c r="A10" s="7" t="s">
        <v>38</v>
      </c>
      <c r="B10" s="7" t="s">
        <v>39</v>
      </c>
      <c r="C10" s="8" t="n">
        <f aca="false">AVERAGE(TB_Primary!$B$2:$B$511)</f>
        <v>3.75490196078431</v>
      </c>
      <c r="D10" s="8" t="n">
        <f aca="false">STDEV(TB_Primary!$B$2:$B$511)</f>
        <v>0.973482139350615</v>
      </c>
      <c r="E10" s="8" t="n">
        <f aca="false">VAR(TB_Primary!$B$2:$B$511)</f>
        <v>0.947667475634651</v>
      </c>
      <c r="F10" s="8" t="n">
        <f aca="false">CORREL(TB_Primary!$B$2:$B$511,TB_Primary!$H$2:$H$511)</f>
        <v>0.591797925367812</v>
      </c>
      <c r="G10" s="8" t="n">
        <f aca="false">CORREL(TB_Primary!$B$2:$B$511,TB_Primary!$I$2:$I$511)</f>
        <v>0.292486860331651</v>
      </c>
      <c r="H10" s="9" t="n">
        <f aca="false">G10*SQRT(($B$6-2)/(1-G10^2))</f>
        <v>6.89378752078838</v>
      </c>
      <c r="I10" s="10" t="n">
        <f aca="false">TDIST(ABS(H10),$B$6-2,2)</f>
        <v>1.61741676649064E-011</v>
      </c>
      <c r="J10" s="8" t="n">
        <f aca="false">(5/4)*(1-(SUM($E$10:$E$15)-E10)/VAR(TB_Primary!$I$2:$I$511))</f>
        <v>0.334541976924966</v>
      </c>
      <c r="K10" s="7" t="str">
        <f aca="false">IF(G10&gt;=$F$2,"Yes","No")</f>
        <v>No</v>
      </c>
      <c r="L10" s="7" t="str">
        <f aca="false">IF(I10&lt;$F$3,"Yes","No")</f>
        <v>Yes</v>
      </c>
    </row>
    <row r="11" customFormat="false" ht="15" hidden="false" customHeight="false" outlineLevel="0" collapsed="false">
      <c r="A11" s="7" t="s">
        <v>40</v>
      </c>
      <c r="B11" s="7" t="s">
        <v>41</v>
      </c>
      <c r="C11" s="8" t="n">
        <f aca="false">AVERAGE(TB_Primary!$C$2:$C$511)</f>
        <v>3.06862745098039</v>
      </c>
      <c r="D11" s="8" t="n">
        <f aca="false">STDEV(TB_Primary!$C$2:$C$511)</f>
        <v>1.0132695617386</v>
      </c>
      <c r="E11" s="8" t="n">
        <f aca="false">VAR(TB_Primary!$C$2:$C$511)</f>
        <v>1.02671520474594</v>
      </c>
      <c r="F11" s="8" t="n">
        <f aca="false">CORREL(TB_Primary!$C$2:$C$511,TB_Primary!$H$2:$H$511)</f>
        <v>0.508965067162705</v>
      </c>
      <c r="G11" s="8" t="n">
        <f aca="false">CORREL(TB_Primary!$C$2:$C$511,TB_Primary!$J$2:$J$511)</f>
        <v>0.171236577140407</v>
      </c>
      <c r="H11" s="9" t="n">
        <f aca="false">G11*SQRT(($B$6-2)/(1-G11^2))</f>
        <v>3.91733572468188</v>
      </c>
      <c r="I11" s="10" t="n">
        <f aca="false">TDIST(ABS(H11),$B$6-2,2)</f>
        <v>0.000101775981549949</v>
      </c>
      <c r="J11" s="8" t="n">
        <f aca="false">(5/4)*(1-(SUM($E$10:$E$15)-E11)/VAR(TB_Primary!$J$2:$J$511))</f>
        <v>0.414114469608493</v>
      </c>
      <c r="K11" s="7" t="str">
        <f aca="false">IF(G11&gt;=$F$2,"Yes","No")</f>
        <v>No</v>
      </c>
      <c r="L11" s="7" t="str">
        <f aca="false">IF(I11&lt;$F$3,"Yes","No")</f>
        <v>Yes</v>
      </c>
    </row>
    <row r="12" customFormat="false" ht="15" hidden="false" customHeight="false" outlineLevel="0" collapsed="false">
      <c r="A12" s="7" t="s">
        <v>42</v>
      </c>
      <c r="B12" s="7" t="s">
        <v>43</v>
      </c>
      <c r="C12" s="8" t="n">
        <f aca="false">AVERAGE(TB_Primary!$D$2:$D$511)</f>
        <v>4.05098039215686</v>
      </c>
      <c r="D12" s="8" t="n">
        <f aca="false">STDEV(TB_Primary!$D$2:$D$511)</f>
        <v>0.873844462703677</v>
      </c>
      <c r="E12" s="8" t="n">
        <f aca="false">VAR(TB_Primary!$D$2:$D$511)</f>
        <v>0.763604144997879</v>
      </c>
      <c r="F12" s="8" t="n">
        <f aca="false">CORREL(TB_Primary!$D$2:$D$511,TB_Primary!$H$2:$H$511)</f>
        <v>0.46140019856203</v>
      </c>
      <c r="G12" s="8" t="n">
        <f aca="false">CORREL(TB_Primary!$D$2:$D$511,TB_Primary!$K$2:$K$511)</f>
        <v>0.168316467837584</v>
      </c>
      <c r="H12" s="9" t="n">
        <f aca="false">G12*SQRT(($B$6-2)/(1-G12^2))</f>
        <v>3.8485680016666</v>
      </c>
      <c r="I12" s="10" t="n">
        <f aca="false">TDIST(ABS(H12),$B$6-2,2)</f>
        <v>0.0001339533235838</v>
      </c>
      <c r="J12" s="8" t="n">
        <f aca="false">(5/4)*(1-(SUM($E$10:$E$15)-E12)/VAR(TB_Primary!$K$2:$K$511))</f>
        <v>0.41125979368001</v>
      </c>
      <c r="K12" s="7" t="str">
        <f aca="false">IF(G12&gt;=$F$2,"Yes","No")</f>
        <v>No</v>
      </c>
      <c r="L12" s="7" t="str">
        <f aca="false">IF(I12&lt;$F$3,"Yes","No")</f>
        <v>Yes</v>
      </c>
    </row>
    <row r="13" customFormat="false" ht="15" hidden="false" customHeight="false" outlineLevel="0" collapsed="false">
      <c r="A13" s="7" t="s">
        <v>44</v>
      </c>
      <c r="B13" s="7" t="s">
        <v>45</v>
      </c>
      <c r="C13" s="8" t="n">
        <f aca="false">AVERAGE(TB_Primary!$E$2:$E$511)</f>
        <v>3.33921568627451</v>
      </c>
      <c r="D13" s="8" t="n">
        <f aca="false">STDEV(TB_Primary!$E$2:$E$511)</f>
        <v>0.800682035243028</v>
      </c>
      <c r="E13" s="8" t="n">
        <f aca="false">VAR(TB_Primary!$E$2:$E$511)</f>
        <v>0.641091721560917</v>
      </c>
      <c r="F13" s="8" t="n">
        <f aca="false">CORREL(TB_Primary!$E$2:$E$511,TB_Primary!$H$2:$H$511)</f>
        <v>0.564040199955526</v>
      </c>
      <c r="G13" s="8" t="n">
        <f aca="false">CORREL(TB_Primary!$E$2:$E$511,TB_Primary!$L$2:$L$511)</f>
        <v>0.321207088056661</v>
      </c>
      <c r="H13" s="9" t="n">
        <f aca="false">G13*SQRT(($B$6-2)/(1-G13^2))</f>
        <v>7.64474281770537</v>
      </c>
      <c r="I13" s="10" t="n">
        <f aca="false">TDIST(ABS(H13),$B$6-2,2)</f>
        <v>1.0538504438249E-013</v>
      </c>
      <c r="J13" s="8" t="n">
        <f aca="false">(5/4)*(1-(SUM($E$10:$E$15)-E13)/VAR(TB_Primary!$L$2:$L$511))</f>
        <v>0.331035205738555</v>
      </c>
      <c r="K13" s="7" t="str">
        <f aca="false">IF(G13&gt;=$F$2,"Yes","No")</f>
        <v>Yes</v>
      </c>
      <c r="L13" s="7" t="str">
        <f aca="false">IF(I13&lt;$F$3,"Yes","No")</f>
        <v>Yes</v>
      </c>
    </row>
    <row r="14" customFormat="false" ht="15" hidden="false" customHeight="false" outlineLevel="0" collapsed="false">
      <c r="A14" s="7" t="s">
        <v>46</v>
      </c>
      <c r="B14" s="7" t="s">
        <v>47</v>
      </c>
      <c r="C14" s="8" t="n">
        <f aca="false">AVERAGE(TB_Primary!$F$2:$F$511)</f>
        <v>2.90588235294118</v>
      </c>
      <c r="D14" s="8" t="n">
        <f aca="false">STDEV(TB_Primary!$F$2:$F$511)</f>
        <v>0.937624755750208</v>
      </c>
      <c r="E14" s="8" t="n">
        <f aca="false">VAR(TB_Primary!$F$2:$F$511)</f>
        <v>0.879140182595637</v>
      </c>
      <c r="F14" s="8" t="n">
        <f aca="false">CORREL(TB_Primary!$F$2:$F$511,TB_Primary!$H$2:$H$511)</f>
        <v>0.411684152012219</v>
      </c>
      <c r="G14" s="8" t="n">
        <f aca="false">CORREL(TB_Primary!$F$2:$F$511,TB_Primary!$M$2:$M$511)</f>
        <v>0.0865306341987751</v>
      </c>
      <c r="H14" s="9" t="n">
        <f aca="false">G14*SQRT(($B$6-2)/(1-G14^2))</f>
        <v>1.95764419728836</v>
      </c>
      <c r="I14" s="10" t="n">
        <f aca="false">TDIST(ABS(H14),$B$6-2,2)</f>
        <v>0.0508188468867239</v>
      </c>
      <c r="J14" s="8" t="n">
        <f aca="false">(5/4)*(1-(SUM($E$10:$E$15)-E14)/VAR(TB_Primary!$M$2:$M$511))</f>
        <v>0.459752660795677</v>
      </c>
      <c r="K14" s="7" t="str">
        <f aca="false">IF(G14&gt;=$F$2,"Yes","No")</f>
        <v>No</v>
      </c>
      <c r="L14" s="7" t="str">
        <f aca="false">IF(I14&lt;$F$3,"Yes","No")</f>
        <v>No</v>
      </c>
    </row>
    <row r="15" customFormat="false" ht="15" hidden="false" customHeight="false" outlineLevel="0" collapsed="false">
      <c r="A15" s="7" t="s">
        <v>48</v>
      </c>
      <c r="B15" s="7" t="s">
        <v>49</v>
      </c>
      <c r="C15" s="8" t="n">
        <f aca="false">AVERAGE(TB_Primary!$G$2:$G$511)</f>
        <v>3.04705882352941</v>
      </c>
      <c r="D15" s="8" t="n">
        <f aca="false">STDEV(TB_Primary!$G$2:$G$511)</f>
        <v>0.90931718184634</v>
      </c>
      <c r="E15" s="8" t="n">
        <f aca="false">VAR(TB_Primary!$G$2:$G$511)</f>
        <v>0.826857737200969</v>
      </c>
      <c r="F15" s="8" t="n">
        <f aca="false">CORREL(TB_Primary!$G$2:$G$511,TB_Primary!$H$2:$H$511)</f>
        <v>0.535605746610777</v>
      </c>
      <c r="G15" s="8" t="n">
        <f aca="false">CORREL(TB_Primary!$G$2:$G$511,TB_Primary!$N$2:$N$511)</f>
        <v>0.244694599432537</v>
      </c>
      <c r="H15" s="9" t="n">
        <f aca="false">G15*SQRT(($B$6-2)/(1-G15^2))</f>
        <v>5.68805180086151</v>
      </c>
      <c r="I15" s="10" t="n">
        <f aca="false">TDIST(ABS(H15),$B$6-2,2)</f>
        <v>2.17163277997448E-008</v>
      </c>
      <c r="J15" s="8" t="n">
        <f aca="false">(5/4)*(1-(SUM($E$10:$E$15)-E15)/VAR(TB_Primary!$N$2:$N$511))</f>
        <v>0.36740945189196</v>
      </c>
      <c r="K15" s="7" t="str">
        <f aca="false">IF(G15&gt;=$F$2,"Yes","No")</f>
        <v>No</v>
      </c>
      <c r="L15" s="7" t="str">
        <f aca="false">IF(I15&lt;$F$3,"Yes","No")</f>
        <v>Yes</v>
      </c>
    </row>
    <row r="16" customFormat="false" ht="15" hidden="false" customHeight="false" outlineLevel="0" collapsed="false">
      <c r="A16" s="0" t="s">
        <v>50</v>
      </c>
      <c r="C16" s="0" t="str">
        <f aca="false">COUNTIF(K10:K15,"Yes")&amp;" of 6"</f>
        <v>1 of 6</v>
      </c>
    </row>
    <row r="18" customFormat="false" ht="15" hidden="false" customHeight="false" outlineLevel="0" collapsed="false">
      <c r="A18" s="2" t="s">
        <v>51</v>
      </c>
    </row>
    <row r="19" customFormat="false" ht="15" hidden="false" customHeight="false" outlineLevel="0" collapsed="false">
      <c r="A19" s="6"/>
      <c r="B19" s="6" t="s">
        <v>38</v>
      </c>
      <c r="C19" s="6" t="s">
        <v>40</v>
      </c>
      <c r="D19" s="6" t="s">
        <v>42</v>
      </c>
      <c r="E19" s="6" t="s">
        <v>44</v>
      </c>
      <c r="F19" s="6" t="s">
        <v>46</v>
      </c>
      <c r="G19" s="6" t="s">
        <v>48</v>
      </c>
    </row>
    <row r="20" customFormat="false" ht="15" hidden="false" customHeight="false" outlineLevel="0" collapsed="false">
      <c r="A20" s="2" t="s">
        <v>38</v>
      </c>
      <c r="B20" s="8" t="n">
        <f aca="false">CORREL(TB_Primary!$B$2:$B$511,TB_Primary!$B$2:$B$511)</f>
        <v>1</v>
      </c>
      <c r="C20" s="8" t="n">
        <f aca="false">CORREL(TB_Primary!$B$2:$B$511,TB_Primary!$C$2:$C$511)</f>
        <v>0.0489534602623558</v>
      </c>
      <c r="D20" s="8" t="n">
        <f aca="false">CORREL(TB_Primary!$B$2:$B$511,TB_Primary!$D$2:$D$511)</f>
        <v>0.18100228745414</v>
      </c>
      <c r="E20" s="8" t="n">
        <f aca="false">CORREL(TB_Primary!$B$2:$B$511,TB_Primary!$E$2:$E$511)</f>
        <v>0.308519429992534</v>
      </c>
      <c r="F20" s="8" t="n">
        <f aca="false">CORREL(TB_Primary!$B$2:$B$511,TB_Primary!$F$2:$F$511)</f>
        <v>0.099517346850412</v>
      </c>
      <c r="G20" s="8" t="n">
        <f aca="false">CORREL(TB_Primary!$B$2:$B$511,TB_Primary!$G$2:$G$511)</f>
        <v>0.161756304902726</v>
      </c>
    </row>
    <row r="21" customFormat="false" ht="15" hidden="false" customHeight="false" outlineLevel="0" collapsed="false">
      <c r="A21" s="2" t="s">
        <v>40</v>
      </c>
      <c r="B21" s="8" t="n">
        <f aca="false">CORREL(TB_Primary!$C$2:$C$511,TB_Primary!$B$2:$B$511)</f>
        <v>0.0489534602623558</v>
      </c>
      <c r="C21" s="8" t="n">
        <f aca="false">CORREL(TB_Primary!$C$2:$C$511,TB_Primary!$C$2:$C$511)</f>
        <v>1</v>
      </c>
      <c r="D21" s="8" t="n">
        <f aca="false">CORREL(TB_Primary!$C$2:$C$511,TB_Primary!$D$2:$D$511)</f>
        <v>0.113638653408004</v>
      </c>
      <c r="E21" s="8" t="n">
        <f aca="false">CORREL(TB_Primary!$C$2:$C$511,TB_Primary!$E$2:$E$511)</f>
        <v>0.0681126085315168</v>
      </c>
      <c r="F21" s="8" t="n">
        <f aca="false">CORREL(TB_Primary!$C$2:$C$511,TB_Primary!$F$2:$F$511)</f>
        <v>0.0791881546789064</v>
      </c>
      <c r="G21" s="8" t="n">
        <f aca="false">CORREL(TB_Primary!$C$2:$C$511,TB_Primary!$G$2:$G$511)</f>
        <v>0.160672677858727</v>
      </c>
    </row>
    <row r="22" customFormat="false" ht="15" hidden="false" customHeight="false" outlineLevel="0" collapsed="false">
      <c r="A22" s="2" t="s">
        <v>42</v>
      </c>
      <c r="B22" s="8" t="n">
        <f aca="false">CORREL(TB_Primary!$D$2:$D$511,TB_Primary!$B$2:$B$511)</f>
        <v>0.18100228745414</v>
      </c>
      <c r="C22" s="8" t="n">
        <f aca="false">CORREL(TB_Primary!$D$2:$D$511,TB_Primary!$C$2:$C$511)</f>
        <v>0.113638653408004</v>
      </c>
      <c r="D22" s="8" t="n">
        <f aca="false">CORREL(TB_Primary!$D$2:$D$511,TB_Primary!$D$2:$D$511)</f>
        <v>1</v>
      </c>
      <c r="E22" s="8" t="n">
        <f aca="false">CORREL(TB_Primary!$D$2:$D$511,TB_Primary!$E$2:$E$511)</f>
        <v>0.275684758957297</v>
      </c>
      <c r="F22" s="8" t="n">
        <f aca="false">CORREL(TB_Primary!$D$2:$D$511,TB_Primary!$F$2:$F$511)</f>
        <v>-0.14519586764514</v>
      </c>
      <c r="G22" s="8" t="n">
        <f aca="false">CORREL(TB_Primary!$D$2:$D$511,TB_Primary!$G$2:$G$511)</f>
        <v>0.0563143543228679</v>
      </c>
    </row>
    <row r="23" customFormat="false" ht="15" hidden="false" customHeight="false" outlineLevel="0" collapsed="false">
      <c r="A23" s="2" t="s">
        <v>44</v>
      </c>
      <c r="B23" s="8" t="n">
        <f aca="false">CORREL(TB_Primary!$E$2:$E$511,TB_Primary!$B$2:$B$511)</f>
        <v>0.308519429992534</v>
      </c>
      <c r="C23" s="8" t="n">
        <f aca="false">CORREL(TB_Primary!$E$2:$E$511,TB_Primary!$C$2:$C$511)</f>
        <v>0.0681126085315168</v>
      </c>
      <c r="D23" s="8" t="n">
        <f aca="false">CORREL(TB_Primary!$E$2:$E$511,TB_Primary!$D$2:$D$511)</f>
        <v>0.275684758957297</v>
      </c>
      <c r="E23" s="8" t="n">
        <f aca="false">CORREL(TB_Primary!$E$2:$E$511,TB_Primary!$E$2:$E$511)</f>
        <v>1</v>
      </c>
      <c r="F23" s="8" t="n">
        <f aca="false">CORREL(TB_Primary!$E$2:$E$511,TB_Primary!$F$2:$F$511)</f>
        <v>0.0635453586406773</v>
      </c>
      <c r="G23" s="8" t="n">
        <f aca="false">CORREL(TB_Primary!$E$2:$E$511,TB_Primary!$G$2:$G$511)</f>
        <v>0.131840773194348</v>
      </c>
    </row>
    <row r="24" customFormat="false" ht="15" hidden="false" customHeight="false" outlineLevel="0" collapsed="false">
      <c r="A24" s="2" t="s">
        <v>46</v>
      </c>
      <c r="B24" s="8" t="n">
        <f aca="false">CORREL(TB_Primary!$F$2:$F$511,TB_Primary!$B$2:$B$511)</f>
        <v>0.099517346850412</v>
      </c>
      <c r="C24" s="8" t="n">
        <f aca="false">CORREL(TB_Primary!$F$2:$F$511,TB_Primary!$C$2:$C$511)</f>
        <v>0.0791881546789064</v>
      </c>
      <c r="D24" s="8" t="n">
        <f aca="false">CORREL(TB_Primary!$F$2:$F$511,TB_Primary!$D$2:$D$511)</f>
        <v>-0.14519586764514</v>
      </c>
      <c r="E24" s="8" t="n">
        <f aca="false">CORREL(TB_Primary!$F$2:$F$511,TB_Primary!$E$2:$E$511)</f>
        <v>0.0635453586406773</v>
      </c>
      <c r="F24" s="8" t="n">
        <f aca="false">CORREL(TB_Primary!$F$2:$F$511,TB_Primary!$F$2:$F$511)</f>
        <v>1</v>
      </c>
      <c r="G24" s="8" t="n">
        <f aca="false">CORREL(TB_Primary!$F$2:$F$511,TB_Primary!$G$2:$G$511)</f>
        <v>0.134245416092051</v>
      </c>
    </row>
    <row r="25" customFormat="false" ht="15" hidden="false" customHeight="false" outlineLevel="0" collapsed="false">
      <c r="A25" s="2" t="s">
        <v>48</v>
      </c>
      <c r="B25" s="8" t="n">
        <f aca="false">CORREL(TB_Primary!$G$2:$G$511,TB_Primary!$B$2:$B$511)</f>
        <v>0.161756304902726</v>
      </c>
      <c r="C25" s="8" t="n">
        <f aca="false">CORREL(TB_Primary!$G$2:$G$511,TB_Primary!$C$2:$C$511)</f>
        <v>0.160672677858727</v>
      </c>
      <c r="D25" s="8" t="n">
        <f aca="false">CORREL(TB_Primary!$G$2:$G$511,TB_Primary!$D$2:$D$511)</f>
        <v>0.0563143543228679</v>
      </c>
      <c r="E25" s="8" t="n">
        <f aca="false">CORREL(TB_Primary!$G$2:$G$511,TB_Primary!$E$2:$E$511)</f>
        <v>0.131840773194348</v>
      </c>
      <c r="F25" s="8" t="n">
        <f aca="false">CORREL(TB_Primary!$G$2:$G$511,TB_Primary!$F$2:$F$511)</f>
        <v>0.134245416092051</v>
      </c>
      <c r="G25" s="8" t="n">
        <f aca="false">CORREL(TB_Primary!$G$2:$G$511,TB_Primary!$G$2:$G$511)</f>
        <v>1</v>
      </c>
    </row>
    <row r="27" customFormat="false" ht="15" hidden="false" customHeight="false" outlineLevel="0" collapsed="false">
      <c r="A27" s="0" t="s">
        <v>52</v>
      </c>
      <c r="C27" s="5" t="n">
        <f aca="false">(SUM(B20:G25)-6)/30</f>
        <v>0.115853047833428</v>
      </c>
    </row>
    <row r="28" customFormat="false" ht="15" hidden="false" customHeight="false" outlineLevel="0" collapsed="false">
      <c r="A28" s="0" t="s">
        <v>53</v>
      </c>
      <c r="C28" s="5" t="n">
        <f aca="false">MIN(B20:G25)</f>
        <v>-0.14519586764514</v>
      </c>
    </row>
    <row r="31" customFormat="false" ht="15" hidden="false" customHeight="false" outlineLevel="0" collapsed="false">
      <c r="A31" s="2" t="s">
        <v>54</v>
      </c>
    </row>
    <row r="32" customFormat="false" ht="15" hidden="false" customHeight="false" outlineLevel="0" collapsed="false">
      <c r="A32" s="0" t="s">
        <v>24</v>
      </c>
      <c r="B32" s="0" t="n">
        <f aca="false">COUNT(TB_Sensitivity!$H$2:$H$510)</f>
        <v>509</v>
      </c>
    </row>
    <row r="33" customFormat="false" ht="15" hidden="false" customHeight="false" outlineLevel="0" collapsed="false">
      <c r="A33" s="0" t="s">
        <v>25</v>
      </c>
      <c r="B33" s="5" t="n">
        <f aca="false">TINV($F$3,B32-2)/SQRT(TINV($F$3,B32-2)^2+B32-2)</f>
        <v>0.0869230965036384</v>
      </c>
    </row>
    <row r="35" customFormat="false" ht="23.85" hidden="false" customHeight="false" outlineLevel="0" collapsed="false">
      <c r="A35" s="6" t="s">
        <v>26</v>
      </c>
      <c r="B35" s="6" t="s">
        <v>27</v>
      </c>
      <c r="C35" s="6" t="s">
        <v>28</v>
      </c>
      <c r="D35" s="6" t="s">
        <v>29</v>
      </c>
      <c r="E35" s="6" t="s">
        <v>30</v>
      </c>
      <c r="F35" s="6" t="s">
        <v>31</v>
      </c>
      <c r="G35" s="6" t="s">
        <v>32</v>
      </c>
      <c r="H35" s="6" t="s">
        <v>33</v>
      </c>
      <c r="I35" s="6" t="s">
        <v>34</v>
      </c>
      <c r="J35" s="6" t="s">
        <v>35</v>
      </c>
      <c r="K35" s="6" t="s">
        <v>36</v>
      </c>
      <c r="L35" s="6" t="s">
        <v>37</v>
      </c>
    </row>
    <row r="36" customFormat="false" ht="15" hidden="false" customHeight="false" outlineLevel="0" collapsed="false">
      <c r="A36" s="7" t="s">
        <v>38</v>
      </c>
      <c r="B36" s="7" t="s">
        <v>39</v>
      </c>
      <c r="C36" s="8" t="n">
        <f aca="false">AVERAGE(TB_Sensitivity!$B$2:$B$510)</f>
        <v>3.75442043222004</v>
      </c>
      <c r="D36" s="8" t="n">
        <f aca="false">STDEV(TB_Sensitivity!$B$2:$B$510)</f>
        <v>0.974379020931845</v>
      </c>
      <c r="E36" s="8" t="n">
        <f aca="false">VAR(TB_Sensitivity!$B$2:$B$510)</f>
        <v>0.9494144764321</v>
      </c>
      <c r="F36" s="8" t="n">
        <f aca="false">CORREL(TB_Sensitivity!$B$2:$B$510,TB_Sensitivity!$H$2:$H$510)</f>
        <v>0.591925355445875</v>
      </c>
      <c r="G36" s="8" t="n">
        <f aca="false">CORREL(TB_Sensitivity!$B$2:$B$510,TB_Sensitivity!$I$2:$I$510)</f>
        <v>0.292306733601653</v>
      </c>
      <c r="H36" s="9" t="n">
        <f aca="false">G36*SQRT(($B$32-2)/(1-G36^2))</f>
        <v>6.88236124368703</v>
      </c>
      <c r="I36" s="10" t="n">
        <f aca="false">TDIST(ABS(H36),$B$32-2,2)</f>
        <v>1.74417593335381E-011</v>
      </c>
      <c r="J36" s="8" t="n">
        <f aca="false">(5/4)*(1-(SUM($E$36:$E$41)-E36)/VAR(TB_Sensitivity!$I$2:$I$510))</f>
        <v>0.334971661959637</v>
      </c>
      <c r="K36" s="7" t="str">
        <f aca="false">IF(G36&gt;=$F$2,"Yes","No")</f>
        <v>No</v>
      </c>
      <c r="L36" s="7" t="str">
        <f aca="false">IF(I36&lt;$F$3,"Yes","No")</f>
        <v>Yes</v>
      </c>
    </row>
    <row r="37" customFormat="false" ht="15" hidden="false" customHeight="false" outlineLevel="0" collapsed="false">
      <c r="A37" s="7" t="s">
        <v>40</v>
      </c>
      <c r="B37" s="7" t="s">
        <v>41</v>
      </c>
      <c r="C37" s="8" t="n">
        <f aca="false">AVERAGE(TB_Sensitivity!$C$2:$C$510)</f>
        <v>3.06483300589391</v>
      </c>
      <c r="D37" s="8" t="n">
        <f aca="false">STDEV(TB_Sensitivity!$C$2:$C$510)</f>
        <v>1.01063294933351</v>
      </c>
      <c r="E37" s="8" t="n">
        <f aca="false">VAR(TB_Sensitivity!$C$2:$C$510)</f>
        <v>1.02137895827855</v>
      </c>
      <c r="F37" s="8" t="n">
        <f aca="false">CORREL(TB_Sensitivity!$C$2:$C$510,TB_Sensitivity!$H$2:$H$510)</f>
        <v>0.507515682505058</v>
      </c>
      <c r="G37" s="8" t="n">
        <f aca="false">CORREL(TB_Sensitivity!$C$2:$C$510,TB_Sensitivity!$J$2:$J$510)</f>
        <v>0.17049601959088</v>
      </c>
      <c r="H37" s="9" t="n">
        <f aca="false">G37*SQRT(($B$32-2)/(1-G37^2))</f>
        <v>3.8960454654437</v>
      </c>
      <c r="I37" s="10" t="n">
        <f aca="false">TDIST(ABS(H37),$B$32-2,2)</f>
        <v>0.000110886325654304</v>
      </c>
      <c r="J37" s="8" t="n">
        <f aca="false">(5/4)*(1-(SUM($E$36:$E$41)-E37)/VAR(TB_Sensitivity!$J$2:$J$510))</f>
        <v>0.414794240986903</v>
      </c>
      <c r="K37" s="7" t="str">
        <f aca="false">IF(G37&gt;=$F$2,"Yes","No")</f>
        <v>No</v>
      </c>
      <c r="L37" s="7" t="str">
        <f aca="false">IF(I37&lt;$F$3,"Yes","No")</f>
        <v>Yes</v>
      </c>
    </row>
    <row r="38" customFormat="false" ht="15" hidden="false" customHeight="false" outlineLevel="0" collapsed="false">
      <c r="A38" s="7" t="s">
        <v>42</v>
      </c>
      <c r="B38" s="7" t="s">
        <v>43</v>
      </c>
      <c r="C38" s="8" t="n">
        <f aca="false">AVERAGE(TB_Sensitivity!$D$2:$D$510)</f>
        <v>4.04911591355599</v>
      </c>
      <c r="D38" s="8" t="n">
        <f aca="false">STDEV(TB_Sensitivity!$D$2:$D$510)</f>
        <v>0.873688107831363</v>
      </c>
      <c r="E38" s="8" t="n">
        <f aca="false">VAR(TB_Sensitivity!$D$2:$D$510)</f>
        <v>0.763330909765948</v>
      </c>
      <c r="F38" s="8" t="n">
        <f aca="false">CORREL(TB_Sensitivity!$D$2:$D$510,TB_Sensitivity!$H$2:$H$510)</f>
        <v>0.460243686461811</v>
      </c>
      <c r="G38" s="8" t="n">
        <f aca="false">CORREL(TB_Sensitivity!$D$2:$D$510,TB_Sensitivity!$K$2:$K$510)</f>
        <v>0.167013661050537</v>
      </c>
      <c r="H38" s="9" t="n">
        <f aca="false">G38*SQRT(($B$32-2)/(1-G38^2))</f>
        <v>3.8141613970497</v>
      </c>
      <c r="I38" s="10" t="n">
        <f aca="false">TDIST(ABS(H38),$B$32-2,2)</f>
        <v>0.000153489195034866</v>
      </c>
      <c r="J38" s="8" t="n">
        <f aca="false">(5/4)*(1-(SUM($E$36:$E$41)-E38)/VAR(TB_Sensitivity!$K$2:$K$510))</f>
        <v>0.412279964962382</v>
      </c>
      <c r="K38" s="7" t="str">
        <f aca="false">IF(G38&gt;=$F$2,"Yes","No")</f>
        <v>No</v>
      </c>
      <c r="L38" s="7" t="str">
        <f aca="false">IF(I38&lt;$F$3,"Yes","No")</f>
        <v>Yes</v>
      </c>
    </row>
    <row r="39" customFormat="false" ht="15" hidden="false" customHeight="false" outlineLevel="0" collapsed="false">
      <c r="A39" s="7" t="s">
        <v>44</v>
      </c>
      <c r="B39" s="7" t="s">
        <v>45</v>
      </c>
      <c r="C39" s="8" t="n">
        <f aca="false">AVERAGE(TB_Sensitivity!$E$2:$E$510)</f>
        <v>3.33791748526523</v>
      </c>
      <c r="D39" s="8" t="n">
        <f aca="false">STDEV(TB_Sensitivity!$E$2:$E$510)</f>
        <v>0.800932272410683</v>
      </c>
      <c r="E39" s="8" t="n">
        <f aca="false">VAR(TB_Sensitivity!$E$2:$E$510)</f>
        <v>0.64149250498894</v>
      </c>
      <c r="F39" s="8" t="n">
        <f aca="false">CORREL(TB_Sensitivity!$E$2:$E$510,TB_Sensitivity!$H$2:$H$510)</f>
        <v>0.563345302274599</v>
      </c>
      <c r="G39" s="8" t="n">
        <f aca="false">CORREL(TB_Sensitivity!$E$2:$E$510,TB_Sensitivity!$L$2:$L$510)</f>
        <v>0.320232337162714</v>
      </c>
      <c r="H39" s="9" t="n">
        <f aca="false">G39*SQRT(($B$32-2)/(1-G39^2))</f>
        <v>7.61138572152944</v>
      </c>
      <c r="I39" s="10" t="n">
        <f aca="false">TDIST(ABS(H39),$B$32-2,2)</f>
        <v>1.3330299794523E-013</v>
      </c>
      <c r="J39" s="8" t="n">
        <f aca="false">(5/4)*(1-(SUM($E$36:$E$41)-E39)/VAR(TB_Sensitivity!$L$2:$L$510))</f>
        <v>0.331868424216533</v>
      </c>
      <c r="K39" s="7" t="str">
        <f aca="false">IF(G39&gt;=$F$2,"Yes","No")</f>
        <v>Yes</v>
      </c>
      <c r="L39" s="7" t="str">
        <f aca="false">IF(I39&lt;$F$3,"Yes","No")</f>
        <v>Yes</v>
      </c>
    </row>
    <row r="40" customFormat="false" ht="15" hidden="false" customHeight="false" outlineLevel="0" collapsed="false">
      <c r="A40" s="7" t="s">
        <v>46</v>
      </c>
      <c r="B40" s="7" t="s">
        <v>47</v>
      </c>
      <c r="C40" s="8" t="n">
        <f aca="false">AVERAGE(TB_Sensitivity!$F$2:$F$510)</f>
        <v>2.90766208251474</v>
      </c>
      <c r="D40" s="8" t="n">
        <f aca="false">STDEV(TB_Sensitivity!$F$2:$F$510)</f>
        <v>0.937684488806134</v>
      </c>
      <c r="E40" s="8" t="n">
        <f aca="false">VAR(TB_Sensitivity!$F$2:$F$510)</f>
        <v>0.879252200547622</v>
      </c>
      <c r="F40" s="8" t="n">
        <f aca="false">CORREL(TB_Sensitivity!$F$2:$F$510,TB_Sensitivity!$H$2:$H$510)</f>
        <v>0.414387755839829</v>
      </c>
      <c r="G40" s="8" t="n">
        <f aca="false">CORREL(TB_Sensitivity!$F$2:$F$510,TB_Sensitivity!$M$2:$M$510)</f>
        <v>0.0895553197853478</v>
      </c>
      <c r="H40" s="9" t="n">
        <f aca="false">G40*SQRT(($B$32-2)/(1-G40^2))</f>
        <v>2.02462196703365</v>
      </c>
      <c r="I40" s="10" t="n">
        <f aca="false">TDIST(ABS(H40),$B$32-2,2)</f>
        <v>0.0434298663571567</v>
      </c>
      <c r="J40" s="8" t="n">
        <f aca="false">(5/4)*(1-(SUM($E$36:$E$41)-E40)/VAR(TB_Sensitivity!$M$2:$M$510))</f>
        <v>0.458374987765829</v>
      </c>
      <c r="K40" s="7" t="str">
        <f aca="false">IF(G40&gt;=$F$2,"Yes","No")</f>
        <v>No</v>
      </c>
      <c r="L40" s="7" t="str">
        <f aca="false">IF(I40&lt;$F$3,"Yes","No")</f>
        <v>Yes</v>
      </c>
    </row>
    <row r="41" customFormat="false" ht="15" hidden="false" customHeight="false" outlineLevel="0" collapsed="false">
      <c r="A41" s="7" t="s">
        <v>48</v>
      </c>
      <c r="B41" s="7" t="s">
        <v>49</v>
      </c>
      <c r="C41" s="8" t="n">
        <f aca="false">AVERAGE(TB_Sensitivity!$G$2:$G$510)</f>
        <v>3.04715127701375</v>
      </c>
      <c r="D41" s="8" t="n">
        <f aca="false">STDEV(TB_Sensitivity!$G$2:$G$510)</f>
        <v>0.910209339674585</v>
      </c>
      <c r="E41" s="8" t="n">
        <f aca="false">VAR(TB_Sensitivity!$G$2:$G$510)</f>
        <v>0.828481042030844</v>
      </c>
      <c r="F41" s="8" t="n">
        <f aca="false">CORREL(TB_Sensitivity!$G$2:$G$510,TB_Sensitivity!$H$2:$H$510)</f>
        <v>0.536242712880787</v>
      </c>
      <c r="G41" s="8" t="n">
        <f aca="false">CORREL(TB_Sensitivity!$G$2:$G$510,TB_Sensitivity!$N$2:$N$510)</f>
        <v>0.245146894239722</v>
      </c>
      <c r="H41" s="9" t="n">
        <f aca="false">G41*SQRT(($B$32-2)/(1-G41^2))</f>
        <v>5.69362496732926</v>
      </c>
      <c r="I41" s="10" t="n">
        <f aca="false">TDIST(ABS(H41),$B$32-2,2)</f>
        <v>2.10811356956209E-008</v>
      </c>
      <c r="J41" s="8" t="n">
        <f aca="false">(5/4)*(1-(SUM($E$36:$E$41)-E41)/VAR(TB_Sensitivity!$N$2:$N$510))</f>
        <v>0.367446324333478</v>
      </c>
      <c r="K41" s="7" t="str">
        <f aca="false">IF(G41&gt;=$F$2,"Yes","No")</f>
        <v>No</v>
      </c>
      <c r="L41" s="7" t="str">
        <f aca="false">IF(I41&lt;$F$3,"Yes","No")</f>
        <v>Yes</v>
      </c>
    </row>
    <row r="42" customFormat="false" ht="15" hidden="false" customHeight="false" outlineLevel="0" collapsed="false">
      <c r="A42" s="0" t="s">
        <v>50</v>
      </c>
      <c r="C42" s="0" t="str">
        <f aca="false">COUNTIF(K36:K41,"Yes")&amp;" of 6"</f>
        <v>1 of 6</v>
      </c>
    </row>
    <row r="44" customFormat="false" ht="15" hidden="false" customHeight="false" outlineLevel="0" collapsed="false">
      <c r="A44" s="2" t="s">
        <v>51</v>
      </c>
    </row>
    <row r="45" customFormat="false" ht="15" hidden="false" customHeight="false" outlineLevel="0" collapsed="false">
      <c r="A45" s="6"/>
      <c r="B45" s="6" t="s">
        <v>38</v>
      </c>
      <c r="C45" s="6" t="s">
        <v>40</v>
      </c>
      <c r="D45" s="6" t="s">
        <v>42</v>
      </c>
      <c r="E45" s="6" t="s">
        <v>44</v>
      </c>
      <c r="F45" s="6" t="s">
        <v>46</v>
      </c>
      <c r="G45" s="6" t="s">
        <v>48</v>
      </c>
    </row>
    <row r="46" customFormat="false" ht="15" hidden="false" customHeight="false" outlineLevel="0" collapsed="false">
      <c r="A46" s="2" t="s">
        <v>38</v>
      </c>
      <c r="B46" s="8" t="n">
        <f aca="false">CORREL(TB_Sensitivity!$B$2:$B$510,TB_Sensitivity!$B$2:$B$510)</f>
        <v>1</v>
      </c>
      <c r="C46" s="8" t="n">
        <f aca="false">CORREL(TB_Sensitivity!$B$2:$B$510,TB_Sensitivity!$C$2:$C$510)</f>
        <v>0.0481843820681313</v>
      </c>
      <c r="D46" s="8" t="n">
        <f aca="false">CORREL(TB_Sensitivity!$B$2:$B$510,TB_Sensitivity!$D$2:$D$510)</f>
        <v>0.180685169095882</v>
      </c>
      <c r="E46" s="8" t="n">
        <f aca="false">CORREL(TB_Sensitivity!$B$2:$B$510,TB_Sensitivity!$E$2:$E$510)</f>
        <v>0.308336397640505</v>
      </c>
      <c r="F46" s="8" t="n">
        <f aca="false">CORREL(TB_Sensitivity!$B$2:$B$510,TB_Sensitivity!$F$2:$F$510)</f>
        <v>0.100094427533076</v>
      </c>
      <c r="G46" s="8" t="n">
        <f aca="false">CORREL(TB_Sensitivity!$B$2:$B$510,TB_Sensitivity!$G$2:$G$510)</f>
        <v>0.161792475329137</v>
      </c>
    </row>
    <row r="47" customFormat="false" ht="15" hidden="false" customHeight="false" outlineLevel="0" collapsed="false">
      <c r="A47" s="2" t="s">
        <v>40</v>
      </c>
      <c r="B47" s="8" t="n">
        <f aca="false">CORREL(TB_Sensitivity!$C$2:$C$510,TB_Sensitivity!$B$2:$B$510)</f>
        <v>0.0481843820681313</v>
      </c>
      <c r="C47" s="8" t="n">
        <f aca="false">CORREL(TB_Sensitivity!$C$2:$C$510,TB_Sensitivity!$C$2:$C$510)</f>
        <v>1</v>
      </c>
      <c r="D47" s="8" t="n">
        <f aca="false">CORREL(TB_Sensitivity!$C$2:$C$510,TB_Sensitivity!$D$2:$D$510)</f>
        <v>0.110085530206748</v>
      </c>
      <c r="E47" s="8" t="n">
        <f aca="false">CORREL(TB_Sensitivity!$C$2:$C$510,TB_Sensitivity!$E$2:$E$510)</f>
        <v>0.0652936091481559</v>
      </c>
      <c r="F47" s="8" t="n">
        <f aca="false">CORREL(TB_Sensitivity!$C$2:$C$510,TB_Sensitivity!$F$2:$F$510)</f>
        <v>0.0831874344840054</v>
      </c>
      <c r="G47" s="8" t="n">
        <f aca="false">CORREL(TB_Sensitivity!$C$2:$C$510,TB_Sensitivity!$G$2:$G$510)</f>
        <v>0.161445631674628</v>
      </c>
    </row>
    <row r="48" customFormat="false" ht="15" hidden="false" customHeight="false" outlineLevel="0" collapsed="false">
      <c r="A48" s="2" t="s">
        <v>42</v>
      </c>
      <c r="B48" s="8" t="n">
        <f aca="false">CORREL(TB_Sensitivity!$D$2:$D$510,TB_Sensitivity!$B$2:$B$510)</f>
        <v>0.180685169095882</v>
      </c>
      <c r="C48" s="8" t="n">
        <f aca="false">CORREL(TB_Sensitivity!$D$2:$D$510,TB_Sensitivity!$C$2:$C$510)</f>
        <v>0.110085530206748</v>
      </c>
      <c r="D48" s="8" t="n">
        <f aca="false">CORREL(TB_Sensitivity!$D$2:$D$510,TB_Sensitivity!$D$2:$D$510)</f>
        <v>1</v>
      </c>
      <c r="E48" s="8" t="n">
        <f aca="false">CORREL(TB_Sensitivity!$D$2:$D$510,TB_Sensitivity!$E$2:$E$510)</f>
        <v>0.274423012561444</v>
      </c>
      <c r="F48" s="8" t="n">
        <f aca="false">CORREL(TB_Sensitivity!$D$2:$D$510,TB_Sensitivity!$F$2:$F$510)</f>
        <v>-0.14342868037541</v>
      </c>
      <c r="G48" s="8" t="n">
        <f aca="false">CORREL(TB_Sensitivity!$D$2:$D$510,TB_Sensitivity!$G$2:$G$510)</f>
        <v>0.0564907573073251</v>
      </c>
    </row>
    <row r="49" customFormat="false" ht="15" hidden="false" customHeight="false" outlineLevel="0" collapsed="false">
      <c r="A49" s="2" t="s">
        <v>44</v>
      </c>
      <c r="B49" s="8" t="n">
        <f aca="false">CORREL(TB_Sensitivity!$E$2:$E$510,TB_Sensitivity!$B$2:$B$510)</f>
        <v>0.308336397640505</v>
      </c>
      <c r="C49" s="8" t="n">
        <f aca="false">CORREL(TB_Sensitivity!$E$2:$E$510,TB_Sensitivity!$C$2:$C$510)</f>
        <v>0.0652936091481559</v>
      </c>
      <c r="D49" s="8" t="n">
        <f aca="false">CORREL(TB_Sensitivity!$E$2:$E$510,TB_Sensitivity!$D$2:$D$510)</f>
        <v>0.274423012561444</v>
      </c>
      <c r="E49" s="8" t="n">
        <f aca="false">CORREL(TB_Sensitivity!$E$2:$E$510,TB_Sensitivity!$E$2:$E$510)</f>
        <v>1</v>
      </c>
      <c r="F49" s="8" t="n">
        <f aca="false">CORREL(TB_Sensitivity!$E$2:$E$510,TB_Sensitivity!$F$2:$F$510)</f>
        <v>0.0652185553048702</v>
      </c>
      <c r="G49" s="8" t="n">
        <f aca="false">CORREL(TB_Sensitivity!$E$2:$E$510,TB_Sensitivity!$G$2:$G$510)</f>
        <v>0.132013720155594</v>
      </c>
    </row>
    <row r="50" customFormat="false" ht="15" hidden="false" customHeight="false" outlineLevel="0" collapsed="false">
      <c r="A50" s="2" t="s">
        <v>46</v>
      </c>
      <c r="B50" s="8" t="n">
        <f aca="false">CORREL(TB_Sensitivity!$F$2:$F$510,TB_Sensitivity!$B$2:$B$510)</f>
        <v>0.100094427533076</v>
      </c>
      <c r="C50" s="8" t="n">
        <f aca="false">CORREL(TB_Sensitivity!$F$2:$F$510,TB_Sensitivity!$C$2:$C$510)</f>
        <v>0.0831874344840054</v>
      </c>
      <c r="D50" s="8" t="n">
        <f aca="false">CORREL(TB_Sensitivity!$F$2:$F$510,TB_Sensitivity!$D$2:$D$510)</f>
        <v>-0.14342868037541</v>
      </c>
      <c r="E50" s="8" t="n">
        <f aca="false">CORREL(TB_Sensitivity!$F$2:$F$510,TB_Sensitivity!$E$2:$E$510)</f>
        <v>0.0652185553048702</v>
      </c>
      <c r="F50" s="8" t="n">
        <f aca="false">CORREL(TB_Sensitivity!$F$2:$F$510,TB_Sensitivity!$F$2:$F$510)</f>
        <v>1</v>
      </c>
      <c r="G50" s="8" t="n">
        <f aca="false">CORREL(TB_Sensitivity!$F$2:$F$510,TB_Sensitivity!$G$2:$G$510)</f>
        <v>0.134270761176251</v>
      </c>
    </row>
    <row r="51" customFormat="false" ht="15" hidden="false" customHeight="false" outlineLevel="0" collapsed="false">
      <c r="A51" s="2" t="s">
        <v>48</v>
      </c>
      <c r="B51" s="8" t="n">
        <f aca="false">CORREL(TB_Sensitivity!$G$2:$G$510,TB_Sensitivity!$B$2:$B$510)</f>
        <v>0.161792475329137</v>
      </c>
      <c r="C51" s="8" t="n">
        <f aca="false">CORREL(TB_Sensitivity!$G$2:$G$510,TB_Sensitivity!$C$2:$C$510)</f>
        <v>0.161445631674628</v>
      </c>
      <c r="D51" s="8" t="n">
        <f aca="false">CORREL(TB_Sensitivity!$G$2:$G$510,TB_Sensitivity!$D$2:$D$510)</f>
        <v>0.0564907573073251</v>
      </c>
      <c r="E51" s="8" t="n">
        <f aca="false">CORREL(TB_Sensitivity!$G$2:$G$510,TB_Sensitivity!$E$2:$E$510)</f>
        <v>0.132013720155594</v>
      </c>
      <c r="F51" s="8" t="n">
        <f aca="false">CORREL(TB_Sensitivity!$G$2:$G$510,TB_Sensitivity!$F$2:$F$510)</f>
        <v>0.134270761176251</v>
      </c>
      <c r="G51" s="8" t="n">
        <f aca="false">CORREL(TB_Sensitivity!$G$2:$G$510,TB_Sensitivity!$G$2:$G$510)</f>
        <v>1</v>
      </c>
    </row>
    <row r="53" customFormat="false" ht="15" hidden="false" customHeight="false" outlineLevel="0" collapsed="false">
      <c r="A53" s="0" t="s">
        <v>52</v>
      </c>
      <c r="C53" s="5" t="n">
        <f aca="false">(SUM(B46:G51)-6)/30</f>
        <v>0.115872878887356</v>
      </c>
    </row>
    <row r="54" customFormat="false" ht="15" hidden="false" customHeight="false" outlineLevel="0" collapsed="false">
      <c r="A54" s="0" t="s">
        <v>53</v>
      </c>
      <c r="C54" s="5" t="n">
        <f aca="false">MIN(B46:G51)</f>
        <v>-0.14342868037541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55</v>
      </c>
    </row>
    <row r="2" customFormat="false" ht="15" hidden="false" customHeight="false" outlineLevel="0" collapsed="false">
      <c r="A2" s="0" t="s">
        <v>56</v>
      </c>
      <c r="C2" s="4" t="n">
        <v>0.95</v>
      </c>
    </row>
    <row r="3" customFormat="false" ht="15" hidden="false" customHeight="false" outlineLevel="0" collapsed="false">
      <c r="A3" s="0" t="s">
        <v>57</v>
      </c>
      <c r="C3" s="4" t="n">
        <v>0.7</v>
      </c>
    </row>
    <row r="4" customFormat="false" ht="15" hidden="false" customHeight="false" outlineLevel="0" collapsed="false">
      <c r="A4" s="0" t="s">
        <v>58</v>
      </c>
      <c r="C4" s="4" t="n">
        <v>0.6</v>
      </c>
    </row>
    <row r="6" customFormat="false" ht="15" hidden="false" customHeight="false" outlineLevel="0" collapsed="false">
      <c r="A6" s="6" t="s">
        <v>59</v>
      </c>
      <c r="B6" s="6" t="s">
        <v>60</v>
      </c>
      <c r="C6" s="6" t="s">
        <v>61</v>
      </c>
      <c r="D6" s="6" t="s">
        <v>62</v>
      </c>
    </row>
    <row r="7" customFormat="false" ht="15" hidden="false" customHeight="false" outlineLevel="0" collapsed="false">
      <c r="A7" s="3" t="s">
        <v>24</v>
      </c>
      <c r="B7" s="7" t="n">
        <f aca="false">COUNT(TB_Primary!$H$2:$H$511)</f>
        <v>510</v>
      </c>
      <c r="C7" s="7" t="n">
        <f aca="false">COUNT(TB_Sensitivity!$H$2:$H$510)</f>
        <v>509</v>
      </c>
      <c r="D7" s="11" t="s">
        <v>63</v>
      </c>
    </row>
    <row r="8" customFormat="false" ht="15" hidden="false" customHeight="false" outlineLevel="0" collapsed="false">
      <c r="A8" s="3" t="s">
        <v>64</v>
      </c>
      <c r="B8" s="7" t="n">
        <v>6</v>
      </c>
      <c r="C8" s="7" t="n">
        <v>6</v>
      </c>
      <c r="D8" s="11" t="s">
        <v>65</v>
      </c>
    </row>
    <row r="9" customFormat="false" ht="15" hidden="false" customHeight="false" outlineLevel="0" collapsed="false">
      <c r="A9" s="3" t="s">
        <v>66</v>
      </c>
      <c r="B9" s="8" t="n">
        <f aca="false">SUM(Item_Analysis!$E$10:$E$15)</f>
        <v>5.085076466736</v>
      </c>
      <c r="C9" s="8" t="n">
        <f aca="false">SUM(Item_Analysis!$E$36:$E$41)</f>
        <v>5.08335009204401</v>
      </c>
      <c r="D9" s="11" t="s">
        <v>67</v>
      </c>
    </row>
    <row r="10" customFormat="false" ht="15" hidden="false" customHeight="false" outlineLevel="0" collapsed="false">
      <c r="A10" s="3" t="s">
        <v>68</v>
      </c>
      <c r="B10" s="8" t="n">
        <f aca="false">VAR(TB_Primary!$H$2:$H$511)</f>
        <v>7.95055664702033</v>
      </c>
      <c r="C10" s="8" t="n">
        <f aca="false">VAR(TB_Sensitivity!$H$2:$H$510)</f>
        <v>7.95037359033459</v>
      </c>
      <c r="D10" s="11" t="s">
        <v>69</v>
      </c>
    </row>
    <row r="11" customFormat="false" ht="15" hidden="false" customHeight="false" outlineLevel="0" collapsed="false">
      <c r="A11" s="2" t="s">
        <v>70</v>
      </c>
      <c r="B11" s="12" t="n">
        <f aca="false">(B8/(B8-1))*(1-B9/B10)</f>
        <v>0.432495027581483</v>
      </c>
      <c r="C11" s="12" t="n">
        <f aca="false">(C8/(C8-1))*(1-C9/C10)</f>
        <v>0.432737928458015</v>
      </c>
      <c r="D11" s="11" t="s">
        <v>71</v>
      </c>
    </row>
    <row r="12" customFormat="false" ht="15" hidden="false" customHeight="false" outlineLevel="0" collapsed="false">
      <c r="A12" s="3" t="s">
        <v>72</v>
      </c>
      <c r="B12" s="8" t="n">
        <f aca="false">1-(1-B11)*FINV((1-$C$2)/2,B7-1,(B7-1)*(B8-1))</f>
        <v>0.352648323925475</v>
      </c>
      <c r="C12" s="8" t="n">
        <f aca="false">1-(1-C11)*FINV((1-$C$2)/2,C7-1,(C7-1)*(C8-1))</f>
        <v>0.352843400988458</v>
      </c>
      <c r="D12" s="11" t="s">
        <v>73</v>
      </c>
    </row>
    <row r="13" customFormat="false" ht="15" hidden="false" customHeight="false" outlineLevel="0" collapsed="false">
      <c r="A13" s="3" t="s">
        <v>74</v>
      </c>
      <c r="B13" s="8" t="n">
        <f aca="false">1-(1-B11)*FINV(1-(1-$C$2)/2,B7-1,(B7-1)*(B8-1))</f>
        <v>0.505532393797424</v>
      </c>
      <c r="C13" s="8" t="n">
        <f aca="false">1-(1-C11)*FINV(1-(1-$C$2)/2,C7-1,(C7-1)*(C8-1))</f>
        <v>0.505812627273578</v>
      </c>
      <c r="D13" s="11" t="s">
        <v>75</v>
      </c>
    </row>
    <row r="14" customFormat="false" ht="15" hidden="false" customHeight="false" outlineLevel="0" collapsed="false">
      <c r="A14" s="3" t="s">
        <v>76</v>
      </c>
      <c r="B14" s="7" t="str">
        <f aca="false">IF(B11&gt;=$C$3,"Acceptable",IF(B11&gt;=$C$4,"Questionable","Poor"))</f>
        <v>Poor</v>
      </c>
      <c r="C14" s="7" t="str">
        <f aca="false">IF(C11&gt;=$C$3,"Acceptable",IF(C11&gt;=$C$4,"Questionable","Poor"))</f>
        <v>Poor</v>
      </c>
      <c r="D14" s="11" t="s">
        <v>77</v>
      </c>
    </row>
    <row r="15" customFormat="false" ht="15" hidden="false" customHeight="false" outlineLevel="0" collapsed="false">
      <c r="A15" s="3" t="s">
        <v>78</v>
      </c>
      <c r="B15" s="8" t="n">
        <f aca="false">CORREL(TB_Primary!$O$2:$O$511,TB_Primary!$P$2:$P$511)</f>
        <v>0.339830969455079</v>
      </c>
      <c r="C15" s="8" t="n">
        <f aca="false">CORREL(TB_Sensitivity!$O$2:$O$510,TB_Sensitivity!$P$2:$P$510)</f>
        <v>0.340055311058853</v>
      </c>
      <c r="D15" s="11" t="s">
        <v>79</v>
      </c>
    </row>
    <row r="16" customFormat="false" ht="15" hidden="false" customHeight="false" outlineLevel="0" collapsed="false">
      <c r="A16" s="2" t="s">
        <v>80</v>
      </c>
      <c r="B16" s="12" t="n">
        <f aca="false">2*B15/(1+B15)</f>
        <v>0.507274390878264</v>
      </c>
      <c r="C16" s="12" t="n">
        <f aca="false">2*C15/(1+C15)</f>
        <v>0.507524291352059</v>
      </c>
      <c r="D16" s="11" t="s">
        <v>81</v>
      </c>
    </row>
    <row r="17" customFormat="false" ht="15" hidden="false" customHeight="false" outlineLevel="0" collapsed="false">
      <c r="A17" s="3" t="s">
        <v>82</v>
      </c>
      <c r="B17" s="7" t="str">
        <f aca="false">IF(B16&gt;=$C$3,"Acceptable",IF(B16&gt;=$C$4,"Questionable","Poor"))</f>
        <v>Poor</v>
      </c>
      <c r="C17" s="7" t="str">
        <f aca="false">IF(C16&gt;=$C$3,"Acceptable",IF(C16&gt;=$C$4,"Questionable","Poor"))</f>
        <v>Poor</v>
      </c>
      <c r="D17" s="11" t="s">
        <v>83</v>
      </c>
    </row>
    <row r="18" customFormat="false" ht="15" hidden="false" customHeight="false" outlineLevel="0" collapsed="false">
      <c r="A18" s="3" t="s">
        <v>84</v>
      </c>
      <c r="B18" s="8" t="n">
        <f aca="false">VAR(TB_Primary!$O$2:$O$511)</f>
        <v>2.84210100543164</v>
      </c>
      <c r="C18" s="8" t="n">
        <f aca="false">VAR(TB_Sensitivity!$O$2:$O$510)</f>
        <v>2.84753182865895</v>
      </c>
      <c r="D18" s="11"/>
    </row>
    <row r="19" customFormat="false" ht="15" hidden="false" customHeight="false" outlineLevel="0" collapsed="false">
      <c r="A19" s="3" t="s">
        <v>85</v>
      </c>
      <c r="B19" s="8" t="n">
        <f aca="false">VAR(TB_Primary!$P$2:$P$511)</f>
        <v>3.09324704341462</v>
      </c>
      <c r="C19" s="8" t="n">
        <f aca="false">VAR(TB_Sensitivity!$P$2:$P$510)</f>
        <v>3.08656002970159</v>
      </c>
      <c r="D19" s="11"/>
    </row>
    <row r="20" customFormat="false" ht="15" hidden="false" customHeight="false" outlineLevel="0" collapsed="false">
      <c r="A20" s="3" t="s">
        <v>86</v>
      </c>
      <c r="B20" s="8" t="n">
        <f aca="false">2*(1-(B18+B19)/B10)</f>
        <v>0.506935221681447</v>
      </c>
      <c r="C20" s="8" t="n">
        <f aca="false">2*(1-(C18+C19)/C10)</f>
        <v>0.507216851903734</v>
      </c>
      <c r="D20" s="11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2" t="s">
        <v>88</v>
      </c>
    </row>
    <row r="3" customFormat="false" ht="15" hidden="false" customHeight="false" outlineLevel="0" collapsed="false">
      <c r="A3" s="6" t="s">
        <v>89</v>
      </c>
      <c r="B3" s="6" t="s">
        <v>59</v>
      </c>
      <c r="C3" s="6" t="s">
        <v>90</v>
      </c>
      <c r="D3" s="6" t="s">
        <v>91</v>
      </c>
      <c r="E3" s="6" t="s">
        <v>92</v>
      </c>
    </row>
    <row r="4" customFormat="false" ht="15" hidden="false" customHeight="false" outlineLevel="0" collapsed="false">
      <c r="A4" s="7" t="s">
        <v>93</v>
      </c>
      <c r="B4" s="7" t="s">
        <v>94</v>
      </c>
      <c r="C4" s="13" t="n">
        <f aca="false">Item_Analysis!G10</f>
        <v>0.292486860331651</v>
      </c>
      <c r="D4" s="13" t="n">
        <v>0.292486860331651</v>
      </c>
      <c r="E4" s="14" t="n">
        <f aca="false">ABS(C4-D4)</f>
        <v>0</v>
      </c>
    </row>
    <row r="5" customFormat="false" ht="15" hidden="false" customHeight="false" outlineLevel="0" collapsed="false">
      <c r="A5" s="7" t="s">
        <v>93</v>
      </c>
      <c r="B5" s="7" t="s">
        <v>95</v>
      </c>
      <c r="C5" s="13" t="n">
        <f aca="false">Item_Analysis!J10</f>
        <v>0.334541976924966</v>
      </c>
      <c r="D5" s="13" t="n">
        <v>0.334541976924965</v>
      </c>
      <c r="E5" s="14" t="n">
        <f aca="false">ABS(C5-D5)</f>
        <v>1.27675647831893E-015</v>
      </c>
    </row>
    <row r="6" customFormat="false" ht="15" hidden="false" customHeight="false" outlineLevel="0" collapsed="false">
      <c r="A6" s="7" t="s">
        <v>93</v>
      </c>
      <c r="B6" s="7" t="s">
        <v>96</v>
      </c>
      <c r="C6" s="13" t="n">
        <f aca="false">Item_Analysis!C10</f>
        <v>3.75490196078431</v>
      </c>
      <c r="D6" s="13" t="n">
        <v>3.75490196078431</v>
      </c>
      <c r="E6" s="14" t="n">
        <f aca="false">ABS(C6-D6)</f>
        <v>0</v>
      </c>
    </row>
    <row r="7" customFormat="false" ht="15" hidden="false" customHeight="false" outlineLevel="0" collapsed="false">
      <c r="A7" s="7" t="s">
        <v>93</v>
      </c>
      <c r="B7" s="7" t="s">
        <v>97</v>
      </c>
      <c r="C7" s="13" t="n">
        <f aca="false">Item_Analysis!D10</f>
        <v>0.973482139350615</v>
      </c>
      <c r="D7" s="13" t="n">
        <v>0.973482139350617</v>
      </c>
      <c r="E7" s="14" t="n">
        <f aca="false">ABS(C7-D7)</f>
        <v>0</v>
      </c>
    </row>
    <row r="8" customFormat="false" ht="15" hidden="false" customHeight="false" outlineLevel="0" collapsed="false">
      <c r="A8" s="7" t="s">
        <v>93</v>
      </c>
      <c r="B8" s="7" t="s">
        <v>98</v>
      </c>
      <c r="C8" s="13" t="n">
        <f aca="false">Item_Analysis!G11</f>
        <v>0.171236577140407</v>
      </c>
      <c r="D8" s="13" t="n">
        <v>0.171236577140407</v>
      </c>
      <c r="E8" s="14" t="n">
        <f aca="false">ABS(C8-D8)</f>
        <v>0</v>
      </c>
    </row>
    <row r="9" customFormat="false" ht="15" hidden="false" customHeight="false" outlineLevel="0" collapsed="false">
      <c r="A9" s="7" t="s">
        <v>93</v>
      </c>
      <c r="B9" s="7" t="s">
        <v>99</v>
      </c>
      <c r="C9" s="13" t="n">
        <f aca="false">Item_Analysis!J11</f>
        <v>0.414114469608493</v>
      </c>
      <c r="D9" s="13" t="n">
        <v>0.41411446960849</v>
      </c>
      <c r="E9" s="14" t="n">
        <f aca="false">ABS(C9-D9)</f>
        <v>2.66453525910038E-015</v>
      </c>
    </row>
    <row r="10" customFormat="false" ht="15" hidden="false" customHeight="false" outlineLevel="0" collapsed="false">
      <c r="A10" s="7" t="s">
        <v>93</v>
      </c>
      <c r="B10" s="7" t="s">
        <v>100</v>
      </c>
      <c r="C10" s="13" t="n">
        <f aca="false">Item_Analysis!C11</f>
        <v>3.06862745098039</v>
      </c>
      <c r="D10" s="13" t="n">
        <v>3.06862745098039</v>
      </c>
      <c r="E10" s="14" t="n">
        <f aca="false">ABS(C10-D10)</f>
        <v>0</v>
      </c>
    </row>
    <row r="11" customFormat="false" ht="15" hidden="false" customHeight="false" outlineLevel="0" collapsed="false">
      <c r="A11" s="7" t="s">
        <v>93</v>
      </c>
      <c r="B11" s="7" t="s">
        <v>101</v>
      </c>
      <c r="C11" s="13" t="n">
        <f aca="false">Item_Analysis!D11</f>
        <v>1.0132695617386</v>
      </c>
      <c r="D11" s="13" t="n">
        <v>1.01326956173861</v>
      </c>
      <c r="E11" s="14" t="n">
        <f aca="false">ABS(C11-D11)</f>
        <v>0</v>
      </c>
    </row>
    <row r="12" customFormat="false" ht="15" hidden="false" customHeight="false" outlineLevel="0" collapsed="false">
      <c r="A12" s="7" t="s">
        <v>93</v>
      </c>
      <c r="B12" s="7" t="s">
        <v>102</v>
      </c>
      <c r="C12" s="13" t="n">
        <f aca="false">Item_Analysis!G12</f>
        <v>0.168316467837584</v>
      </c>
      <c r="D12" s="13" t="n">
        <v>0.168316467837584</v>
      </c>
      <c r="E12" s="14" t="n">
        <f aca="false">ABS(C12-D12)</f>
        <v>0</v>
      </c>
    </row>
    <row r="13" customFormat="false" ht="15" hidden="false" customHeight="false" outlineLevel="0" collapsed="false">
      <c r="A13" s="7" t="s">
        <v>93</v>
      </c>
      <c r="B13" s="7" t="s">
        <v>103</v>
      </c>
      <c r="C13" s="13" t="n">
        <f aca="false">Item_Analysis!J12</f>
        <v>0.41125979368001</v>
      </c>
      <c r="D13" s="13" t="n">
        <v>0.411259793680007</v>
      </c>
      <c r="E13" s="14" t="n">
        <f aca="false">ABS(C13-D13)</f>
        <v>2.4980018054066E-015</v>
      </c>
    </row>
    <row r="14" customFormat="false" ht="15" hidden="false" customHeight="false" outlineLevel="0" collapsed="false">
      <c r="A14" s="7" t="s">
        <v>93</v>
      </c>
      <c r="B14" s="7" t="s">
        <v>104</v>
      </c>
      <c r="C14" s="13" t="n">
        <f aca="false">Item_Analysis!C12</f>
        <v>4.05098039215686</v>
      </c>
      <c r="D14" s="13" t="n">
        <v>4.05098039215686</v>
      </c>
      <c r="E14" s="14" t="n">
        <f aca="false">ABS(C14-D14)</f>
        <v>0</v>
      </c>
    </row>
    <row r="15" customFormat="false" ht="15" hidden="false" customHeight="false" outlineLevel="0" collapsed="false">
      <c r="A15" s="7" t="s">
        <v>93</v>
      </c>
      <c r="B15" s="7" t="s">
        <v>105</v>
      </c>
      <c r="C15" s="13" t="n">
        <f aca="false">Item_Analysis!D12</f>
        <v>0.873844462703677</v>
      </c>
      <c r="D15" s="13" t="n">
        <v>0.873844462703679</v>
      </c>
      <c r="E15" s="14" t="n">
        <f aca="false">ABS(C15-D15)</f>
        <v>0</v>
      </c>
    </row>
    <row r="16" customFormat="false" ht="15" hidden="false" customHeight="false" outlineLevel="0" collapsed="false">
      <c r="A16" s="7" t="s">
        <v>93</v>
      </c>
      <c r="B16" s="7" t="s">
        <v>106</v>
      </c>
      <c r="C16" s="13" t="n">
        <f aca="false">Item_Analysis!G13</f>
        <v>0.321207088056661</v>
      </c>
      <c r="D16" s="13" t="n">
        <v>0.321207088056661</v>
      </c>
      <c r="E16" s="14" t="n">
        <f aca="false">ABS(C16-D16)</f>
        <v>0</v>
      </c>
    </row>
    <row r="17" customFormat="false" ht="15" hidden="false" customHeight="false" outlineLevel="0" collapsed="false">
      <c r="A17" s="7" t="s">
        <v>93</v>
      </c>
      <c r="B17" s="7" t="s">
        <v>107</v>
      </c>
      <c r="C17" s="13" t="n">
        <f aca="false">Item_Analysis!J13</f>
        <v>0.331035205738555</v>
      </c>
      <c r="D17" s="13" t="n">
        <v>0.331035205738553</v>
      </c>
      <c r="E17" s="14" t="n">
        <f aca="false">ABS(C17-D17)</f>
        <v>1.94289029309402E-015</v>
      </c>
    </row>
    <row r="18" customFormat="false" ht="15" hidden="false" customHeight="false" outlineLevel="0" collapsed="false">
      <c r="A18" s="7" t="s">
        <v>93</v>
      </c>
      <c r="B18" s="7" t="s">
        <v>108</v>
      </c>
      <c r="C18" s="13" t="n">
        <f aca="false">Item_Analysis!C13</f>
        <v>3.33921568627451</v>
      </c>
      <c r="D18" s="13" t="n">
        <v>3.33921568627451</v>
      </c>
      <c r="E18" s="14" t="n">
        <f aca="false">ABS(C18-D18)</f>
        <v>0</v>
      </c>
    </row>
    <row r="19" customFormat="false" ht="15" hidden="false" customHeight="false" outlineLevel="0" collapsed="false">
      <c r="A19" s="7" t="s">
        <v>93</v>
      </c>
      <c r="B19" s="7" t="s">
        <v>109</v>
      </c>
      <c r="C19" s="13" t="n">
        <f aca="false">Item_Analysis!D13</f>
        <v>0.800682035243028</v>
      </c>
      <c r="D19" s="13" t="n">
        <v>0.800682035243032</v>
      </c>
      <c r="E19" s="14" t="n">
        <f aca="false">ABS(C19-D19)</f>
        <v>3.66373598126302E-015</v>
      </c>
    </row>
    <row r="20" customFormat="false" ht="15" hidden="false" customHeight="false" outlineLevel="0" collapsed="false">
      <c r="A20" s="7" t="s">
        <v>93</v>
      </c>
      <c r="B20" s="7" t="s">
        <v>110</v>
      </c>
      <c r="C20" s="13" t="n">
        <f aca="false">Item_Analysis!G14</f>
        <v>0.0865306341987751</v>
      </c>
      <c r="D20" s="13" t="n">
        <v>0.0865306341987751</v>
      </c>
      <c r="E20" s="14" t="n">
        <f aca="false">ABS(C20-D20)</f>
        <v>0</v>
      </c>
    </row>
    <row r="21" customFormat="false" ht="15" hidden="false" customHeight="false" outlineLevel="0" collapsed="false">
      <c r="A21" s="7" t="s">
        <v>93</v>
      </c>
      <c r="B21" s="7" t="s">
        <v>111</v>
      </c>
      <c r="C21" s="13" t="n">
        <f aca="false">Item_Analysis!J14</f>
        <v>0.459752660795677</v>
      </c>
      <c r="D21" s="13" t="n">
        <v>0.459752660795671</v>
      </c>
      <c r="E21" s="14" t="n">
        <f aca="false">ABS(C21-D21)</f>
        <v>6.49480469405717E-015</v>
      </c>
    </row>
    <row r="22" customFormat="false" ht="15" hidden="false" customHeight="false" outlineLevel="0" collapsed="false">
      <c r="A22" s="7" t="s">
        <v>93</v>
      </c>
      <c r="B22" s="7" t="s">
        <v>112</v>
      </c>
      <c r="C22" s="13" t="n">
        <f aca="false">Item_Analysis!C14</f>
        <v>2.90588235294118</v>
      </c>
      <c r="D22" s="13" t="n">
        <v>2.90588235294118</v>
      </c>
      <c r="E22" s="14" t="n">
        <f aca="false">ABS(C22-D22)</f>
        <v>0</v>
      </c>
    </row>
    <row r="23" customFormat="false" ht="15" hidden="false" customHeight="false" outlineLevel="0" collapsed="false">
      <c r="A23" s="7" t="s">
        <v>93</v>
      </c>
      <c r="B23" s="7" t="s">
        <v>113</v>
      </c>
      <c r="C23" s="13" t="n">
        <f aca="false">Item_Analysis!D14</f>
        <v>0.937624755750208</v>
      </c>
      <c r="D23" s="13" t="n">
        <v>0.937624755750205</v>
      </c>
      <c r="E23" s="14" t="n">
        <f aca="false">ABS(C23-D23)</f>
        <v>0</v>
      </c>
    </row>
    <row r="24" customFormat="false" ht="15" hidden="false" customHeight="false" outlineLevel="0" collapsed="false">
      <c r="A24" s="7" t="s">
        <v>93</v>
      </c>
      <c r="B24" s="7" t="s">
        <v>114</v>
      </c>
      <c r="C24" s="13" t="n">
        <f aca="false">Item_Analysis!G15</f>
        <v>0.244694599432537</v>
      </c>
      <c r="D24" s="13" t="n">
        <v>0.244694599432537</v>
      </c>
      <c r="E24" s="14" t="n">
        <f aca="false">ABS(C24-D24)</f>
        <v>0</v>
      </c>
    </row>
    <row r="25" customFormat="false" ht="15" hidden="false" customHeight="false" outlineLevel="0" collapsed="false">
      <c r="A25" s="7" t="s">
        <v>93</v>
      </c>
      <c r="B25" s="7" t="s">
        <v>115</v>
      </c>
      <c r="C25" s="13" t="n">
        <f aca="false">Item_Analysis!J15</f>
        <v>0.36740945189196</v>
      </c>
      <c r="D25" s="13" t="n">
        <v>0.367409451891956</v>
      </c>
      <c r="E25" s="14" t="n">
        <f aca="false">ABS(C25-D25)</f>
        <v>3.71924713249427E-015</v>
      </c>
    </row>
    <row r="26" customFormat="false" ht="15" hidden="false" customHeight="false" outlineLevel="0" collapsed="false">
      <c r="A26" s="7" t="s">
        <v>93</v>
      </c>
      <c r="B26" s="7" t="s">
        <v>116</v>
      </c>
      <c r="C26" s="13" t="n">
        <f aca="false">Item_Analysis!C15</f>
        <v>3.04705882352941</v>
      </c>
      <c r="D26" s="13" t="n">
        <v>3.04705882352941</v>
      </c>
      <c r="E26" s="14" t="n">
        <f aca="false">ABS(C26-D26)</f>
        <v>0</v>
      </c>
    </row>
    <row r="27" customFormat="false" ht="15" hidden="false" customHeight="false" outlineLevel="0" collapsed="false">
      <c r="A27" s="7" t="s">
        <v>93</v>
      </c>
      <c r="B27" s="7" t="s">
        <v>117</v>
      </c>
      <c r="C27" s="13" t="n">
        <f aca="false">Item_Analysis!D15</f>
        <v>0.90931718184634</v>
      </c>
      <c r="D27" s="13" t="n">
        <v>0.909317181846341</v>
      </c>
      <c r="E27" s="14" t="n">
        <f aca="false">ABS(C27-D27)</f>
        <v>0</v>
      </c>
    </row>
    <row r="28" customFormat="false" ht="15" hidden="false" customHeight="false" outlineLevel="0" collapsed="false">
      <c r="A28" s="7" t="s">
        <v>93</v>
      </c>
      <c r="B28" s="7" t="s">
        <v>118</v>
      </c>
      <c r="C28" s="13" t="n">
        <f aca="false">Reliability!B11</f>
        <v>0.432495027581483</v>
      </c>
      <c r="D28" s="13" t="n">
        <v>0.432495027581479</v>
      </c>
      <c r="E28" s="14" t="n">
        <f aca="false">ABS(C28-D28)</f>
        <v>4.6074255521944E-015</v>
      </c>
    </row>
    <row r="29" customFormat="false" ht="15" hidden="false" customHeight="false" outlineLevel="0" collapsed="false">
      <c r="A29" s="7" t="s">
        <v>93</v>
      </c>
      <c r="B29" s="7" t="s">
        <v>119</v>
      </c>
      <c r="C29" s="13" t="n">
        <f aca="false">Reliability!B16</f>
        <v>0.507274390878264</v>
      </c>
      <c r="D29" s="13" t="n">
        <v>0.507274390878264</v>
      </c>
      <c r="E29" s="14" t="n">
        <f aca="false">ABS(C29-D29)</f>
        <v>0</v>
      </c>
    </row>
    <row r="30" customFormat="false" ht="15" hidden="false" customHeight="false" outlineLevel="0" collapsed="false">
      <c r="A30" s="7" t="s">
        <v>93</v>
      </c>
      <c r="B30" s="7" t="s">
        <v>120</v>
      </c>
      <c r="C30" s="13" t="n">
        <f aca="false">Reliability!B15</f>
        <v>0.339830969455079</v>
      </c>
      <c r="D30" s="13" t="n">
        <v>0.339830969455079</v>
      </c>
      <c r="E30" s="14" t="n">
        <f aca="false">ABS(C30-D30)</f>
        <v>0</v>
      </c>
    </row>
    <row r="31" customFormat="false" ht="15" hidden="false" customHeight="false" outlineLevel="0" collapsed="false">
      <c r="A31" s="7" t="s">
        <v>93</v>
      </c>
      <c r="B31" s="7" t="s">
        <v>121</v>
      </c>
      <c r="C31" s="13" t="n">
        <f aca="false">Reliability!B20</f>
        <v>0.506935221681447</v>
      </c>
      <c r="D31" s="13" t="n">
        <v>0.506935221681441</v>
      </c>
      <c r="E31" s="14" t="n">
        <f aca="false">ABS(C31-D31)</f>
        <v>5.99520433297585E-015</v>
      </c>
    </row>
    <row r="32" customFormat="false" ht="15" hidden="false" customHeight="false" outlineLevel="0" collapsed="false">
      <c r="A32" s="7" t="s">
        <v>93</v>
      </c>
      <c r="B32" s="7" t="s">
        <v>122</v>
      </c>
      <c r="C32" s="13" t="n">
        <f aca="false">Reliability!B12</f>
        <v>0.352648323925475</v>
      </c>
      <c r="D32" s="13" t="n">
        <v>0.35264832392547</v>
      </c>
      <c r="E32" s="14" t="n">
        <f aca="false">ABS(C32-D32)</f>
        <v>4.94049245958195E-015</v>
      </c>
    </row>
    <row r="33" customFormat="false" ht="15" hidden="false" customHeight="false" outlineLevel="0" collapsed="false">
      <c r="A33" s="7" t="s">
        <v>93</v>
      </c>
      <c r="B33" s="7" t="s">
        <v>123</v>
      </c>
      <c r="C33" s="13" t="n">
        <f aca="false">Reliability!B13</f>
        <v>0.505532393797424</v>
      </c>
      <c r="D33" s="13" t="n">
        <v>0.50553239379742</v>
      </c>
      <c r="E33" s="14" t="n">
        <f aca="false">ABS(C33-D33)</f>
        <v>4.66293670342566E-015</v>
      </c>
    </row>
    <row r="34" customFormat="false" ht="15" hidden="false" customHeight="false" outlineLevel="0" collapsed="false">
      <c r="A34" s="7" t="s">
        <v>124</v>
      </c>
      <c r="B34" s="7" t="s">
        <v>94</v>
      </c>
      <c r="C34" s="13" t="n">
        <f aca="false">Item_Analysis!G36</f>
        <v>0.292306733601653</v>
      </c>
      <c r="D34" s="13" t="n">
        <v>0.292306733601653</v>
      </c>
      <c r="E34" s="14" t="n">
        <f aca="false">ABS(C34-D34)</f>
        <v>0</v>
      </c>
    </row>
    <row r="35" customFormat="false" ht="15" hidden="false" customHeight="false" outlineLevel="0" collapsed="false">
      <c r="A35" s="7" t="s">
        <v>124</v>
      </c>
      <c r="B35" s="7" t="s">
        <v>95</v>
      </c>
      <c r="C35" s="13" t="n">
        <f aca="false">Item_Analysis!J36</f>
        <v>0.334971661959637</v>
      </c>
      <c r="D35" s="13" t="n">
        <v>0.334971661959639</v>
      </c>
      <c r="E35" s="14" t="n">
        <f aca="false">ABS(C35-D35)</f>
        <v>2.27595720048157E-015</v>
      </c>
    </row>
    <row r="36" customFormat="false" ht="15" hidden="false" customHeight="false" outlineLevel="0" collapsed="false">
      <c r="A36" s="7" t="s">
        <v>124</v>
      </c>
      <c r="B36" s="7" t="s">
        <v>96</v>
      </c>
      <c r="C36" s="13" t="n">
        <f aca="false">Item_Analysis!C36</f>
        <v>3.75442043222004</v>
      </c>
      <c r="D36" s="13" t="n">
        <v>3.75442043222004</v>
      </c>
      <c r="E36" s="14" t="n">
        <f aca="false">ABS(C36-D36)</f>
        <v>0</v>
      </c>
    </row>
    <row r="37" customFormat="false" ht="15" hidden="false" customHeight="false" outlineLevel="0" collapsed="false">
      <c r="A37" s="7" t="s">
        <v>124</v>
      </c>
      <c r="B37" s="7" t="s">
        <v>97</v>
      </c>
      <c r="C37" s="13" t="n">
        <f aca="false">Item_Analysis!D36</f>
        <v>0.974379020931845</v>
      </c>
      <c r="D37" s="13" t="n">
        <v>0.974379020931843</v>
      </c>
      <c r="E37" s="14" t="n">
        <f aca="false">ABS(C37-D37)</f>
        <v>0</v>
      </c>
    </row>
    <row r="38" customFormat="false" ht="15" hidden="false" customHeight="false" outlineLevel="0" collapsed="false">
      <c r="A38" s="7" t="s">
        <v>124</v>
      </c>
      <c r="B38" s="7" t="s">
        <v>98</v>
      </c>
      <c r="C38" s="13" t="n">
        <f aca="false">Item_Analysis!G37</f>
        <v>0.17049601959088</v>
      </c>
      <c r="D38" s="13" t="n">
        <v>0.17049601959088</v>
      </c>
      <c r="E38" s="14" t="n">
        <f aca="false">ABS(C38-D38)</f>
        <v>0</v>
      </c>
    </row>
    <row r="39" customFormat="false" ht="15" hidden="false" customHeight="false" outlineLevel="0" collapsed="false">
      <c r="A39" s="7" t="s">
        <v>124</v>
      </c>
      <c r="B39" s="7" t="s">
        <v>99</v>
      </c>
      <c r="C39" s="13" t="n">
        <f aca="false">Item_Analysis!J37</f>
        <v>0.414794240986903</v>
      </c>
      <c r="D39" s="13" t="n">
        <v>0.414794240986911</v>
      </c>
      <c r="E39" s="14" t="n">
        <f aca="false">ABS(C39-D39)</f>
        <v>7.54951656745106E-015</v>
      </c>
    </row>
    <row r="40" customFormat="false" ht="15" hidden="false" customHeight="false" outlineLevel="0" collapsed="false">
      <c r="A40" s="7" t="s">
        <v>124</v>
      </c>
      <c r="B40" s="7" t="s">
        <v>100</v>
      </c>
      <c r="C40" s="13" t="n">
        <f aca="false">Item_Analysis!C37</f>
        <v>3.06483300589391</v>
      </c>
      <c r="D40" s="13" t="n">
        <v>3.06483300589391</v>
      </c>
      <c r="E40" s="14" t="n">
        <f aca="false">ABS(C40-D40)</f>
        <v>0</v>
      </c>
    </row>
    <row r="41" customFormat="false" ht="15" hidden="false" customHeight="false" outlineLevel="0" collapsed="false">
      <c r="A41" s="7" t="s">
        <v>124</v>
      </c>
      <c r="B41" s="7" t="s">
        <v>101</v>
      </c>
      <c r="C41" s="13" t="n">
        <f aca="false">Item_Analysis!D37</f>
        <v>1.01063294933351</v>
      </c>
      <c r="D41" s="13" t="n">
        <v>1.01063294933351</v>
      </c>
      <c r="E41" s="14" t="n">
        <f aca="false">ABS(C41-D41)</f>
        <v>0</v>
      </c>
    </row>
    <row r="42" customFormat="false" ht="15" hidden="false" customHeight="false" outlineLevel="0" collapsed="false">
      <c r="A42" s="7" t="s">
        <v>124</v>
      </c>
      <c r="B42" s="7" t="s">
        <v>102</v>
      </c>
      <c r="C42" s="13" t="n">
        <f aca="false">Item_Analysis!G38</f>
        <v>0.167013661050537</v>
      </c>
      <c r="D42" s="13" t="n">
        <v>0.167013661050537</v>
      </c>
      <c r="E42" s="14" t="n">
        <f aca="false">ABS(C42-D42)</f>
        <v>0</v>
      </c>
    </row>
    <row r="43" customFormat="false" ht="15" hidden="false" customHeight="false" outlineLevel="0" collapsed="false">
      <c r="A43" s="7" t="s">
        <v>124</v>
      </c>
      <c r="B43" s="7" t="s">
        <v>103</v>
      </c>
      <c r="C43" s="13" t="n">
        <f aca="false">Item_Analysis!J38</f>
        <v>0.412279964962382</v>
      </c>
      <c r="D43" s="13" t="n">
        <v>0.412279964962383</v>
      </c>
      <c r="E43" s="14" t="n">
        <f aca="false">ABS(C43-D43)</f>
        <v>0</v>
      </c>
    </row>
    <row r="44" customFormat="false" ht="15" hidden="false" customHeight="false" outlineLevel="0" collapsed="false">
      <c r="A44" s="7" t="s">
        <v>124</v>
      </c>
      <c r="B44" s="7" t="s">
        <v>104</v>
      </c>
      <c r="C44" s="13" t="n">
        <f aca="false">Item_Analysis!C38</f>
        <v>4.04911591355599</v>
      </c>
      <c r="D44" s="13" t="n">
        <v>4.04911591355599</v>
      </c>
      <c r="E44" s="14" t="n">
        <f aca="false">ABS(C44-D44)</f>
        <v>0</v>
      </c>
    </row>
    <row r="45" customFormat="false" ht="15" hidden="false" customHeight="false" outlineLevel="0" collapsed="false">
      <c r="A45" s="7" t="s">
        <v>124</v>
      </c>
      <c r="B45" s="7" t="s">
        <v>105</v>
      </c>
      <c r="C45" s="13" t="n">
        <f aca="false">Item_Analysis!D38</f>
        <v>0.873688107831363</v>
      </c>
      <c r="D45" s="13" t="n">
        <v>0.873688107831362</v>
      </c>
      <c r="E45" s="14" t="n">
        <f aca="false">ABS(C45-D45)</f>
        <v>0</v>
      </c>
    </row>
    <row r="46" customFormat="false" ht="15" hidden="false" customHeight="false" outlineLevel="0" collapsed="false">
      <c r="A46" s="7" t="s">
        <v>124</v>
      </c>
      <c r="B46" s="7" t="s">
        <v>106</v>
      </c>
      <c r="C46" s="13" t="n">
        <f aca="false">Item_Analysis!G39</f>
        <v>0.320232337162714</v>
      </c>
      <c r="D46" s="13" t="n">
        <v>0.320232337162714</v>
      </c>
      <c r="E46" s="14" t="n">
        <f aca="false">ABS(C46-D46)</f>
        <v>0</v>
      </c>
    </row>
    <row r="47" customFormat="false" ht="15" hidden="false" customHeight="false" outlineLevel="0" collapsed="false">
      <c r="A47" s="7" t="s">
        <v>124</v>
      </c>
      <c r="B47" s="7" t="s">
        <v>107</v>
      </c>
      <c r="C47" s="13" t="n">
        <f aca="false">Item_Analysis!J39</f>
        <v>0.331868424216533</v>
      </c>
      <c r="D47" s="13" t="n">
        <v>0.331868424216534</v>
      </c>
      <c r="E47" s="14" t="n">
        <f aca="false">ABS(C47-D47)</f>
        <v>0</v>
      </c>
    </row>
    <row r="48" customFormat="false" ht="15" hidden="false" customHeight="false" outlineLevel="0" collapsed="false">
      <c r="A48" s="7" t="s">
        <v>124</v>
      </c>
      <c r="B48" s="7" t="s">
        <v>108</v>
      </c>
      <c r="C48" s="13" t="n">
        <f aca="false">Item_Analysis!C39</f>
        <v>3.33791748526523</v>
      </c>
      <c r="D48" s="13" t="n">
        <v>3.33791748526523</v>
      </c>
      <c r="E48" s="14" t="n">
        <f aca="false">ABS(C48-D48)</f>
        <v>0</v>
      </c>
    </row>
    <row r="49" customFormat="false" ht="15" hidden="false" customHeight="false" outlineLevel="0" collapsed="false">
      <c r="A49" s="7" t="s">
        <v>124</v>
      </c>
      <c r="B49" s="7" t="s">
        <v>109</v>
      </c>
      <c r="C49" s="13" t="n">
        <f aca="false">Item_Analysis!D39</f>
        <v>0.800932272410683</v>
      </c>
      <c r="D49" s="13" t="n">
        <v>0.800932272410682</v>
      </c>
      <c r="E49" s="14" t="n">
        <f aca="false">ABS(C49-D49)</f>
        <v>0</v>
      </c>
    </row>
    <row r="50" customFormat="false" ht="15" hidden="false" customHeight="false" outlineLevel="0" collapsed="false">
      <c r="A50" s="7" t="s">
        <v>124</v>
      </c>
      <c r="B50" s="7" t="s">
        <v>110</v>
      </c>
      <c r="C50" s="13" t="n">
        <f aca="false">Item_Analysis!G40</f>
        <v>0.0895553197853478</v>
      </c>
      <c r="D50" s="13" t="n">
        <v>0.0895553197853478</v>
      </c>
      <c r="E50" s="14" t="n">
        <f aca="false">ABS(C50-D50)</f>
        <v>0</v>
      </c>
    </row>
    <row r="51" customFormat="false" ht="15" hidden="false" customHeight="false" outlineLevel="0" collapsed="false">
      <c r="A51" s="7" t="s">
        <v>124</v>
      </c>
      <c r="B51" s="7" t="s">
        <v>111</v>
      </c>
      <c r="C51" s="13" t="n">
        <f aca="false">Item_Analysis!J40</f>
        <v>0.458374987765829</v>
      </c>
      <c r="D51" s="13" t="n">
        <v>0.458374987765831</v>
      </c>
      <c r="E51" s="14" t="n">
        <f aca="false">ABS(C51-D51)</f>
        <v>2.44249065417534E-015</v>
      </c>
    </row>
    <row r="52" customFormat="false" ht="15" hidden="false" customHeight="false" outlineLevel="0" collapsed="false">
      <c r="A52" s="7" t="s">
        <v>124</v>
      </c>
      <c r="B52" s="7" t="s">
        <v>112</v>
      </c>
      <c r="C52" s="13" t="n">
        <f aca="false">Item_Analysis!C40</f>
        <v>2.90766208251474</v>
      </c>
      <c r="D52" s="13" t="n">
        <v>2.90766208251474</v>
      </c>
      <c r="E52" s="14" t="n">
        <f aca="false">ABS(C52-D52)</f>
        <v>0</v>
      </c>
    </row>
    <row r="53" customFormat="false" ht="15" hidden="false" customHeight="false" outlineLevel="0" collapsed="false">
      <c r="A53" s="7" t="s">
        <v>124</v>
      </c>
      <c r="B53" s="7" t="s">
        <v>113</v>
      </c>
      <c r="C53" s="13" t="n">
        <f aca="false">Item_Analysis!D40</f>
        <v>0.937684488806134</v>
      </c>
      <c r="D53" s="13" t="n">
        <v>0.937684488806135</v>
      </c>
      <c r="E53" s="14" t="n">
        <f aca="false">ABS(C53-D53)</f>
        <v>0</v>
      </c>
    </row>
    <row r="54" customFormat="false" ht="15" hidden="false" customHeight="false" outlineLevel="0" collapsed="false">
      <c r="A54" s="7" t="s">
        <v>124</v>
      </c>
      <c r="B54" s="7" t="s">
        <v>114</v>
      </c>
      <c r="C54" s="13" t="n">
        <f aca="false">Item_Analysis!G41</f>
        <v>0.245146894239722</v>
      </c>
      <c r="D54" s="13" t="n">
        <v>0.245146894239722</v>
      </c>
      <c r="E54" s="14" t="n">
        <f aca="false">ABS(C54-D54)</f>
        <v>0</v>
      </c>
    </row>
    <row r="55" customFormat="false" ht="15" hidden="false" customHeight="false" outlineLevel="0" collapsed="false">
      <c r="A55" s="7" t="s">
        <v>124</v>
      </c>
      <c r="B55" s="7" t="s">
        <v>115</v>
      </c>
      <c r="C55" s="13" t="n">
        <f aca="false">Item_Analysis!J41</f>
        <v>0.367446324333478</v>
      </c>
      <c r="D55" s="13" t="n">
        <v>0.367446324333482</v>
      </c>
      <c r="E55" s="14" t="n">
        <f aca="false">ABS(C55-D55)</f>
        <v>4.71844785465692E-015</v>
      </c>
    </row>
    <row r="56" customFormat="false" ht="15" hidden="false" customHeight="false" outlineLevel="0" collapsed="false">
      <c r="A56" s="7" t="s">
        <v>124</v>
      </c>
      <c r="B56" s="7" t="s">
        <v>116</v>
      </c>
      <c r="C56" s="13" t="n">
        <f aca="false">Item_Analysis!C41</f>
        <v>3.04715127701375</v>
      </c>
      <c r="D56" s="13" t="n">
        <v>3.04715127701375</v>
      </c>
      <c r="E56" s="14" t="n">
        <f aca="false">ABS(C56-D56)</f>
        <v>0</v>
      </c>
    </row>
    <row r="57" customFormat="false" ht="15" hidden="false" customHeight="false" outlineLevel="0" collapsed="false">
      <c r="A57" s="7" t="s">
        <v>124</v>
      </c>
      <c r="B57" s="7" t="s">
        <v>117</v>
      </c>
      <c r="C57" s="13" t="n">
        <f aca="false">Item_Analysis!D41</f>
        <v>0.910209339674585</v>
      </c>
      <c r="D57" s="13" t="n">
        <v>0.910209339674586</v>
      </c>
      <c r="E57" s="14" t="n">
        <f aca="false">ABS(C57-D57)</f>
        <v>0</v>
      </c>
    </row>
    <row r="58" customFormat="false" ht="15" hidden="false" customHeight="false" outlineLevel="0" collapsed="false">
      <c r="A58" s="7" t="s">
        <v>124</v>
      </c>
      <c r="B58" s="7" t="s">
        <v>118</v>
      </c>
      <c r="C58" s="13" t="n">
        <f aca="false">Reliability!C11</f>
        <v>0.432737928458015</v>
      </c>
      <c r="D58" s="13" t="n">
        <v>0.432737928458018</v>
      </c>
      <c r="E58" s="14" t="n">
        <f aca="false">ABS(C58-D58)</f>
        <v>3.1641356201817E-015</v>
      </c>
    </row>
    <row r="59" customFormat="false" ht="15" hidden="false" customHeight="false" outlineLevel="0" collapsed="false">
      <c r="A59" s="7" t="s">
        <v>124</v>
      </c>
      <c r="B59" s="7" t="s">
        <v>119</v>
      </c>
      <c r="C59" s="13" t="n">
        <f aca="false">Reliability!C16</f>
        <v>0.507524291352059</v>
      </c>
      <c r="D59" s="13" t="n">
        <v>0.507524291352059</v>
      </c>
      <c r="E59" s="14" t="n">
        <f aca="false">ABS(C59-D59)</f>
        <v>0</v>
      </c>
    </row>
    <row r="60" customFormat="false" ht="15" hidden="false" customHeight="false" outlineLevel="0" collapsed="false">
      <c r="A60" s="7" t="s">
        <v>124</v>
      </c>
      <c r="B60" s="7" t="s">
        <v>120</v>
      </c>
      <c r="C60" s="13" t="n">
        <f aca="false">Reliability!C15</f>
        <v>0.340055311058853</v>
      </c>
      <c r="D60" s="13" t="n">
        <v>0.340055311058853</v>
      </c>
      <c r="E60" s="14" t="n">
        <f aca="false">ABS(C60-D60)</f>
        <v>0</v>
      </c>
    </row>
    <row r="61" customFormat="false" ht="15" hidden="false" customHeight="false" outlineLevel="0" collapsed="false">
      <c r="A61" s="7" t="s">
        <v>124</v>
      </c>
      <c r="B61" s="7" t="s">
        <v>121</v>
      </c>
      <c r="C61" s="13" t="n">
        <f aca="false">Reliability!C20</f>
        <v>0.507216851903734</v>
      </c>
      <c r="D61" s="13" t="n">
        <v>0.507216851903739</v>
      </c>
      <c r="E61" s="14" t="n">
        <f aca="false">ABS(C61-D61)</f>
        <v>4.44089209850063E-015</v>
      </c>
    </row>
    <row r="62" customFormat="false" ht="15" hidden="false" customHeight="false" outlineLevel="0" collapsed="false">
      <c r="A62" s="7" t="s">
        <v>124</v>
      </c>
      <c r="B62" s="7" t="s">
        <v>122</v>
      </c>
      <c r="C62" s="13" t="n">
        <f aca="false">Reliability!C12</f>
        <v>0.352843400988458</v>
      </c>
      <c r="D62" s="13" t="n">
        <v>0.352843400988462</v>
      </c>
      <c r="E62" s="14" t="n">
        <f aca="false">ABS(C62-D62)</f>
        <v>4.10782519111308E-015</v>
      </c>
    </row>
    <row r="63" customFormat="false" ht="15" hidden="false" customHeight="false" outlineLevel="0" collapsed="false">
      <c r="A63" s="7" t="s">
        <v>124</v>
      </c>
      <c r="B63" s="7" t="s">
        <v>123</v>
      </c>
      <c r="C63" s="13" t="n">
        <f aca="false">Reliability!C13</f>
        <v>0.505812627273578</v>
      </c>
      <c r="D63" s="13" t="n">
        <v>0.50581262727358</v>
      </c>
      <c r="E63" s="14" t="n">
        <f aca="false">ABS(C63-D63)</f>
        <v>2.22044604925031E-015</v>
      </c>
    </row>
    <row r="65" customFormat="false" ht="15" hidden="false" customHeight="false" outlineLevel="0" collapsed="false">
      <c r="A65" s="0" t="s">
        <v>125</v>
      </c>
      <c r="E65" s="15" t="n">
        <f aca="false">MAX(E4:E63)</f>
        <v>7.54951656745106E-015</v>
      </c>
    </row>
    <row r="66" customFormat="false" ht="15" hidden="false" customHeight="false" outlineLevel="0" collapsed="false">
      <c r="A66" s="11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52"/>
    <col collapsed="false" customWidth="true" hidden="false" outlineLevel="0" max="14" min="3" style="0" width="9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1" t="s">
        <v>127</v>
      </c>
    </row>
    <row r="3" customFormat="false" ht="23.85" hidden="false" customHeight="false" outlineLevel="0" collapsed="false">
      <c r="A3" s="6" t="s">
        <v>128</v>
      </c>
      <c r="B3" s="6" t="s">
        <v>129</v>
      </c>
      <c r="C3" s="6" t="s">
        <v>130</v>
      </c>
      <c r="D3" s="6" t="s">
        <v>131</v>
      </c>
      <c r="E3" s="6" t="s">
        <v>132</v>
      </c>
      <c r="F3" s="6" t="s">
        <v>133</v>
      </c>
      <c r="G3" s="6" t="s">
        <v>134</v>
      </c>
      <c r="H3" s="6" t="s">
        <v>135</v>
      </c>
      <c r="I3" s="6" t="s">
        <v>136</v>
      </c>
      <c r="J3" s="6" t="s">
        <v>137</v>
      </c>
      <c r="K3" s="6" t="s">
        <v>138</v>
      </c>
      <c r="L3" s="6" t="s">
        <v>139</v>
      </c>
      <c r="M3" s="6" t="s">
        <v>28</v>
      </c>
      <c r="N3" s="6" t="s">
        <v>29</v>
      </c>
      <c r="O3" s="16" t="s">
        <v>140</v>
      </c>
      <c r="P3" s="16" t="s">
        <v>141</v>
      </c>
      <c r="Q3" s="16" t="s">
        <v>142</v>
      </c>
    </row>
    <row r="4" customFormat="false" ht="15" hidden="false" customHeight="false" outlineLevel="0" collapsed="false">
      <c r="A4" s="7" t="s">
        <v>38</v>
      </c>
      <c r="B4" s="7" t="s">
        <v>39</v>
      </c>
      <c r="C4" s="7" t="n">
        <f aca="false">COUNT(Raw_Data!$AJ$2:$AJ$511)</f>
        <v>510</v>
      </c>
      <c r="D4" s="7" t="n">
        <f aca="false">COUNTBLANK(Raw_Data!$AJ$2:$AJ$511)</f>
        <v>0</v>
      </c>
      <c r="E4" s="7" t="n">
        <f aca="false">MIN(Raw_Data!$AJ$2:$AJ$511)</f>
        <v>1</v>
      </c>
      <c r="F4" s="7" t="n">
        <f aca="false">MAX(Raw_Data!$AJ$2:$AJ$511)</f>
        <v>5</v>
      </c>
      <c r="G4" s="7" t="n">
        <f aca="false">COUNT(Raw_Data!$AJ$2:$AJ$511)-COUNTIFS(Raw_Data!$AJ$2:$AJ$511,"&gt;=1",Raw_Data!$AJ$2:$AJ$511,"&lt;=5")</f>
        <v>0</v>
      </c>
      <c r="H4" s="7" t="n">
        <f aca="false">COUNTIF(Raw_Data!$AJ$2:$AJ$511,1)</f>
        <v>8</v>
      </c>
      <c r="I4" s="7" t="n">
        <f aca="false">COUNTIF(Raw_Data!$AJ$2:$AJ$511,2)</f>
        <v>61</v>
      </c>
      <c r="J4" s="7" t="n">
        <f aca="false">COUNTIF(Raw_Data!$AJ$2:$AJ$511,3)</f>
        <v>88</v>
      </c>
      <c r="K4" s="7" t="n">
        <f aca="false">COUNTIF(Raw_Data!$AJ$2:$AJ$511,4)</f>
        <v>244</v>
      </c>
      <c r="L4" s="7" t="n">
        <f aca="false">COUNTIF(Raw_Data!$AJ$2:$AJ$511,5)</f>
        <v>109</v>
      </c>
      <c r="M4" s="8" t="n">
        <f aca="false">AVERAGE(Raw_Data!$AJ$2:$AJ$511)</f>
        <v>3.75490196078431</v>
      </c>
      <c r="N4" s="8" t="n">
        <f aca="false">STDEV(Raw_Data!$AJ$2:$AJ$511)</f>
        <v>0.973482139350615</v>
      </c>
      <c r="O4" s="3" t="n">
        <v>2</v>
      </c>
      <c r="P4" s="3" t="str">
        <f aca="false">Raw_Data!A2&amp;"|"&amp;Raw_Data!B2&amp;"|"&amp;Raw_Data!C2&amp;"|"&amp;Raw_Data!D2&amp;"|"&amp;Raw_Data!E2&amp;"|"&amp;Raw_Data!F2&amp;"|"&amp;Raw_Data!G2&amp;"|"&amp;Raw_Data!H2&amp;"|"&amp;Raw_Data!I2&amp;"|"&amp;Raw_Data!J2&amp;"|"&amp;Raw_Data!K2&amp;"|"&amp;Raw_Data!L2&amp;"|"&amp;Raw_Data!M2&amp;"|"&amp;Raw_Data!N2&amp;"|"&amp;Raw_Data!O2&amp;"|"&amp;Raw_Data!P2&amp;"|"&amp;Raw_Data!Q2&amp;"|"&amp;Raw_Data!R2&amp;"|"&amp;Raw_Data!S2&amp;"|"&amp;Raw_Data!T2&amp;"|"&amp;Raw_Data!U2&amp;"|"&amp;Raw_Data!V2&amp;"|"&amp;Raw_Data!W2&amp;"|"&amp;Raw_Data!X2&amp;"|"&amp;Raw_Data!Y2&amp;"|"&amp;Raw_Data!Z2&amp;"|"&amp;Raw_Data!AA2&amp;"|"&amp;Raw_Data!AB2&amp;"|"&amp;Raw_Data!AC2&amp;"|"&amp;Raw_Data!AD2&amp;"|"&amp;Raw_Data!AE2&amp;"|"&amp;Raw_Data!AF2&amp;"|"&amp;Raw_Data!AG2&amp;"|"&amp;Raw_Data!AH2&amp;"|"&amp;Raw_Data!AI2&amp;"|"&amp;Raw_Data!AJ2&amp;"|"&amp;Raw_Data!AK2&amp;"|"&amp;Raw_Data!AL2&amp;"|"&amp;Raw_Data!AM2&amp;"|"&amp;Raw_Data!AN2&amp;"|"&amp;Raw_Data!AO2</f>
        <v>0|4|2|1|2|2|4|2|3|27|4|5|4|4|5|2|4|5|4|5|5|4|4|5|3|4|4|4|4|5|5|3|3|5|5|4|5|4|4|4|4</v>
      </c>
      <c r="Q4" s="3" t="n">
        <f aca="false">COUNTIF($P$4:$P$513,P4)</f>
        <v>1</v>
      </c>
    </row>
    <row r="5" customFormat="false" ht="15" hidden="false" customHeight="false" outlineLevel="0" collapsed="false">
      <c r="A5" s="7" t="s">
        <v>40</v>
      </c>
      <c r="B5" s="7" t="s">
        <v>41</v>
      </c>
      <c r="C5" s="7" t="n">
        <f aca="false">COUNT(Raw_Data!$AK$2:$AK$511)</f>
        <v>510</v>
      </c>
      <c r="D5" s="7" t="n">
        <f aca="false">COUNTBLANK(Raw_Data!$AK$2:$AK$511)</f>
        <v>0</v>
      </c>
      <c r="E5" s="7" t="n">
        <f aca="false">MIN(Raw_Data!$AK$2:$AK$511)</f>
        <v>1</v>
      </c>
      <c r="F5" s="7" t="n">
        <f aca="false">MAX(Raw_Data!$AK$2:$AK$511)</f>
        <v>5</v>
      </c>
      <c r="G5" s="7" t="n">
        <f aca="false">COUNT(Raw_Data!$AK$2:$AK$511)-COUNTIFS(Raw_Data!$AK$2:$AK$511,"&gt;=1",Raw_Data!$AK$2:$AK$511,"&lt;=5")</f>
        <v>0</v>
      </c>
      <c r="H5" s="7" t="n">
        <f aca="false">COUNTIF(Raw_Data!$AK$2:$AK$511,1)</f>
        <v>23</v>
      </c>
      <c r="I5" s="7" t="n">
        <f aca="false">COUNTIF(Raw_Data!$AK$2:$AK$511,2)</f>
        <v>136</v>
      </c>
      <c r="J5" s="7" t="n">
        <f aca="false">COUNTIF(Raw_Data!$AK$2:$AK$511,3)</f>
        <v>174</v>
      </c>
      <c r="K5" s="7" t="n">
        <f aca="false">COUNTIF(Raw_Data!$AK$2:$AK$511,4)</f>
        <v>137</v>
      </c>
      <c r="L5" s="7" t="n">
        <f aca="false">COUNTIF(Raw_Data!$AK$2:$AK$511,5)</f>
        <v>40</v>
      </c>
      <c r="M5" s="8" t="n">
        <f aca="false">AVERAGE(Raw_Data!$AK$2:$AK$511)</f>
        <v>3.06862745098039</v>
      </c>
      <c r="N5" s="8" t="n">
        <f aca="false">STDEV(Raw_Data!$AK$2:$AK$511)</f>
        <v>1.0132695617386</v>
      </c>
      <c r="O5" s="3" t="n">
        <v>3</v>
      </c>
      <c r="P5" s="3" t="str">
        <f aca="false">Raw_Data!A3&amp;"|"&amp;Raw_Data!B3&amp;"|"&amp;Raw_Data!C3&amp;"|"&amp;Raw_Data!D3&amp;"|"&amp;Raw_Data!E3&amp;"|"&amp;Raw_Data!F3&amp;"|"&amp;Raw_Data!G3&amp;"|"&amp;Raw_Data!H3&amp;"|"&amp;Raw_Data!I3&amp;"|"&amp;Raw_Data!J3&amp;"|"&amp;Raw_Data!K3&amp;"|"&amp;Raw_Data!L3&amp;"|"&amp;Raw_Data!M3&amp;"|"&amp;Raw_Data!N3&amp;"|"&amp;Raw_Data!O3&amp;"|"&amp;Raw_Data!P3&amp;"|"&amp;Raw_Data!Q3&amp;"|"&amp;Raw_Data!R3&amp;"|"&amp;Raw_Data!S3&amp;"|"&amp;Raw_Data!T3&amp;"|"&amp;Raw_Data!U3&amp;"|"&amp;Raw_Data!V3&amp;"|"&amp;Raw_Data!W3&amp;"|"&amp;Raw_Data!X3&amp;"|"&amp;Raw_Data!Y3&amp;"|"&amp;Raw_Data!Z3&amp;"|"&amp;Raw_Data!AA3&amp;"|"&amp;Raw_Data!AB3&amp;"|"&amp;Raw_Data!AC3&amp;"|"&amp;Raw_Data!AD3&amp;"|"&amp;Raw_Data!AE3&amp;"|"&amp;Raw_Data!AF3&amp;"|"&amp;Raw_Data!AG3&amp;"|"&amp;Raw_Data!AH3&amp;"|"&amp;Raw_Data!AI3&amp;"|"&amp;Raw_Data!AJ3&amp;"|"&amp;Raw_Data!AK3&amp;"|"&amp;Raw_Data!AL3&amp;"|"&amp;Raw_Data!AM3&amp;"|"&amp;Raw_Data!AN3&amp;"|"&amp;Raw_Data!AO3</f>
        <v>0|4|1|1|2|2|3|2|1|22|2|3|4|3|5|4|4|2|5|5|5|4|3|4|5|4|3|2|1|1|4|4|3|4|3|4|1|5|3|2|3</v>
      </c>
      <c r="Q5" s="3" t="n">
        <f aca="false">COUNTIF($P$4:$P$513,P5)</f>
        <v>1</v>
      </c>
    </row>
    <row r="6" customFormat="false" ht="15" hidden="false" customHeight="false" outlineLevel="0" collapsed="false">
      <c r="A6" s="7" t="s">
        <v>42</v>
      </c>
      <c r="B6" s="7" t="s">
        <v>43</v>
      </c>
      <c r="C6" s="7" t="n">
        <f aca="false">COUNT(Raw_Data!$AL$2:$AL$511)</f>
        <v>510</v>
      </c>
      <c r="D6" s="7" t="n">
        <f aca="false">COUNTBLANK(Raw_Data!$AL$2:$AL$511)</f>
        <v>0</v>
      </c>
      <c r="E6" s="7" t="n">
        <f aca="false">MIN(Raw_Data!$AL$2:$AL$511)</f>
        <v>1</v>
      </c>
      <c r="F6" s="7" t="n">
        <f aca="false">MAX(Raw_Data!$AL$2:$AL$511)</f>
        <v>5</v>
      </c>
      <c r="G6" s="7" t="n">
        <f aca="false">COUNT(Raw_Data!$AL$2:$AL$511)-COUNTIFS(Raw_Data!$AL$2:$AL$511,"&gt;=1",Raw_Data!$AL$2:$AL$511,"&lt;=5")</f>
        <v>0</v>
      </c>
      <c r="H6" s="7" t="n">
        <f aca="false">COUNTIF(Raw_Data!$AL$2:$AL$511,1)</f>
        <v>4</v>
      </c>
      <c r="I6" s="7" t="n">
        <f aca="false">COUNTIF(Raw_Data!$AL$2:$AL$511,2)</f>
        <v>24</v>
      </c>
      <c r="J6" s="7" t="n">
        <f aca="false">COUNTIF(Raw_Data!$AL$2:$AL$511,3)</f>
        <v>86</v>
      </c>
      <c r="K6" s="7" t="n">
        <f aca="false">COUNTIF(Raw_Data!$AL$2:$AL$511,4)</f>
        <v>224</v>
      </c>
      <c r="L6" s="7" t="n">
        <f aca="false">COUNTIF(Raw_Data!$AL$2:$AL$511,5)</f>
        <v>172</v>
      </c>
      <c r="M6" s="8" t="n">
        <f aca="false">AVERAGE(Raw_Data!$AL$2:$AL$511)</f>
        <v>4.05098039215686</v>
      </c>
      <c r="N6" s="8" t="n">
        <f aca="false">STDEV(Raw_Data!$AL$2:$AL$511)</f>
        <v>0.873844462703677</v>
      </c>
      <c r="O6" s="3" t="n">
        <v>4</v>
      </c>
      <c r="P6" s="3" t="str">
        <f aca="false">Raw_Data!A4&amp;"|"&amp;Raw_Data!B4&amp;"|"&amp;Raw_Data!C4&amp;"|"&amp;Raw_Data!D4&amp;"|"&amp;Raw_Data!E4&amp;"|"&amp;Raw_Data!F4&amp;"|"&amp;Raw_Data!G4&amp;"|"&amp;Raw_Data!H4&amp;"|"&amp;Raw_Data!I4&amp;"|"&amp;Raw_Data!J4&amp;"|"&amp;Raw_Data!K4&amp;"|"&amp;Raw_Data!L4&amp;"|"&amp;Raw_Data!M4&amp;"|"&amp;Raw_Data!N4&amp;"|"&amp;Raw_Data!O4&amp;"|"&amp;Raw_Data!P4&amp;"|"&amp;Raw_Data!Q4&amp;"|"&amp;Raw_Data!R4&amp;"|"&amp;Raw_Data!S4&amp;"|"&amp;Raw_Data!T4&amp;"|"&amp;Raw_Data!U4&amp;"|"&amp;Raw_Data!V4&amp;"|"&amp;Raw_Data!W4&amp;"|"&amp;Raw_Data!X4&amp;"|"&amp;Raw_Data!Y4&amp;"|"&amp;Raw_Data!Z4&amp;"|"&amp;Raw_Data!AA4&amp;"|"&amp;Raw_Data!AB4&amp;"|"&amp;Raw_Data!AC4&amp;"|"&amp;Raw_Data!AD4&amp;"|"&amp;Raw_Data!AE4&amp;"|"&amp;Raw_Data!AF4&amp;"|"&amp;Raw_Data!AG4&amp;"|"&amp;Raw_Data!AH4&amp;"|"&amp;Raw_Data!AI4&amp;"|"&amp;Raw_Data!AJ4&amp;"|"&amp;Raw_Data!AK4&amp;"|"&amp;Raw_Data!AL4&amp;"|"&amp;Raw_Data!AM4&amp;"|"&amp;Raw_Data!AN4&amp;"|"&amp;Raw_Data!AO4</f>
        <v>1|1|1|1|2|2|3|2|3|27|3|3|3|3|4|3|2|4|4|4|3|4|5|4|4|4|4|2|2|2|3|2|4|4|4|4|3|4|4|3|3</v>
      </c>
      <c r="Q6" s="3" t="n">
        <f aca="false">COUNTIF($P$4:$P$513,P6)</f>
        <v>1</v>
      </c>
    </row>
    <row r="7" customFormat="false" ht="15" hidden="false" customHeight="false" outlineLevel="0" collapsed="false">
      <c r="A7" s="7" t="s">
        <v>44</v>
      </c>
      <c r="B7" s="7" t="s">
        <v>45</v>
      </c>
      <c r="C7" s="7" t="n">
        <f aca="false">COUNT(Raw_Data!$AM$2:$AM$511)</f>
        <v>510</v>
      </c>
      <c r="D7" s="7" t="n">
        <f aca="false">COUNTBLANK(Raw_Data!$AM$2:$AM$511)</f>
        <v>0</v>
      </c>
      <c r="E7" s="7" t="n">
        <f aca="false">MIN(Raw_Data!$AM$2:$AM$511)</f>
        <v>1</v>
      </c>
      <c r="F7" s="7" t="n">
        <f aca="false">MAX(Raw_Data!$AM$2:$AM$511)</f>
        <v>5</v>
      </c>
      <c r="G7" s="7" t="n">
        <f aca="false">COUNT(Raw_Data!$AM$2:$AM$511)-COUNTIFS(Raw_Data!$AM$2:$AM$511,"&gt;=1",Raw_Data!$AM$2:$AM$511,"&lt;=5")</f>
        <v>0</v>
      </c>
      <c r="H7" s="7" t="n">
        <f aca="false">COUNTIF(Raw_Data!$AM$2:$AM$511,1)</f>
        <v>5</v>
      </c>
      <c r="I7" s="7" t="n">
        <f aca="false">COUNTIF(Raw_Data!$AM$2:$AM$511,2)</f>
        <v>53</v>
      </c>
      <c r="J7" s="7" t="n">
        <f aca="false">COUNTIF(Raw_Data!$AM$2:$AM$511,3)</f>
        <v>254</v>
      </c>
      <c r="K7" s="7" t="n">
        <f aca="false">COUNTIF(Raw_Data!$AM$2:$AM$511,4)</f>
        <v>160</v>
      </c>
      <c r="L7" s="7" t="n">
        <f aca="false">COUNTIF(Raw_Data!$AM$2:$AM$511,5)</f>
        <v>38</v>
      </c>
      <c r="M7" s="8" t="n">
        <f aca="false">AVERAGE(Raw_Data!$AM$2:$AM$511)</f>
        <v>3.33921568627451</v>
      </c>
      <c r="N7" s="8" t="n">
        <f aca="false">STDEV(Raw_Data!$AM$2:$AM$511)</f>
        <v>0.800682035243028</v>
      </c>
      <c r="O7" s="3" t="n">
        <v>5</v>
      </c>
      <c r="P7" s="3" t="str">
        <f aca="false">Raw_Data!A5&amp;"|"&amp;Raw_Data!B5&amp;"|"&amp;Raw_Data!C5&amp;"|"&amp;Raw_Data!D5&amp;"|"&amp;Raw_Data!E5&amp;"|"&amp;Raw_Data!F5&amp;"|"&amp;Raw_Data!G5&amp;"|"&amp;Raw_Data!H5&amp;"|"&amp;Raw_Data!I5&amp;"|"&amp;Raw_Data!J5&amp;"|"&amp;Raw_Data!K5&amp;"|"&amp;Raw_Data!L5&amp;"|"&amp;Raw_Data!M5&amp;"|"&amp;Raw_Data!N5&amp;"|"&amp;Raw_Data!O5&amp;"|"&amp;Raw_Data!P5&amp;"|"&amp;Raw_Data!Q5&amp;"|"&amp;Raw_Data!R5&amp;"|"&amp;Raw_Data!S5&amp;"|"&amp;Raw_Data!T5&amp;"|"&amp;Raw_Data!U5&amp;"|"&amp;Raw_Data!V5&amp;"|"&amp;Raw_Data!W5&amp;"|"&amp;Raw_Data!X5&amp;"|"&amp;Raw_Data!Y5&amp;"|"&amp;Raw_Data!Z5&amp;"|"&amp;Raw_Data!AA5&amp;"|"&amp;Raw_Data!AB5&amp;"|"&amp;Raw_Data!AC5&amp;"|"&amp;Raw_Data!AD5&amp;"|"&amp;Raw_Data!AE5&amp;"|"&amp;Raw_Data!AF5&amp;"|"&amp;Raw_Data!AG5&amp;"|"&amp;Raw_Data!AH5&amp;"|"&amp;Raw_Data!AI5&amp;"|"&amp;Raw_Data!AJ5&amp;"|"&amp;Raw_Data!AK5&amp;"|"&amp;Raw_Data!AL5&amp;"|"&amp;Raw_Data!AM5&amp;"|"&amp;Raw_Data!AN5&amp;"|"&amp;Raw_Data!AO5</f>
        <v>0|4|1|1|2|2|2|3|2|24|3|4|2|2|3|2|4|2|4|4|5|4|4|4|3|3|4|4|2|2|4|3|4|4|4|4|3|4|3|2|2</v>
      </c>
      <c r="Q7" s="3" t="n">
        <f aca="false">COUNTIF($P$4:$P$513,P7)</f>
        <v>1</v>
      </c>
    </row>
    <row r="8" customFormat="false" ht="15" hidden="false" customHeight="false" outlineLevel="0" collapsed="false">
      <c r="A8" s="7" t="s">
        <v>46</v>
      </c>
      <c r="B8" s="7" t="s">
        <v>47</v>
      </c>
      <c r="C8" s="7" t="n">
        <f aca="false">COUNT(Raw_Data!$AN$2:$AN$511)</f>
        <v>510</v>
      </c>
      <c r="D8" s="7" t="n">
        <f aca="false">COUNTBLANK(Raw_Data!$AN$2:$AN$511)</f>
        <v>0</v>
      </c>
      <c r="E8" s="7" t="n">
        <f aca="false">MIN(Raw_Data!$AN$2:$AN$511)</f>
        <v>1</v>
      </c>
      <c r="F8" s="7" t="n">
        <f aca="false">MAX(Raw_Data!$AN$2:$AN$511)</f>
        <v>5</v>
      </c>
      <c r="G8" s="7" t="n">
        <f aca="false">COUNT(Raw_Data!$AN$2:$AN$511)-COUNTIFS(Raw_Data!$AN$2:$AN$511,"&gt;=1",Raw_Data!$AN$2:$AN$511,"&lt;=5")</f>
        <v>0</v>
      </c>
      <c r="H8" s="7" t="n">
        <f aca="false">COUNTIF(Raw_Data!$AN$2:$AN$511,1)</f>
        <v>33</v>
      </c>
      <c r="I8" s="7" t="n">
        <f aca="false">COUNTIF(Raw_Data!$AN$2:$AN$511,2)</f>
        <v>138</v>
      </c>
      <c r="J8" s="7" t="n">
        <f aca="false">COUNTIF(Raw_Data!$AN$2:$AN$511,3)</f>
        <v>196</v>
      </c>
      <c r="K8" s="7" t="n">
        <f aca="false">COUNTIF(Raw_Data!$AN$2:$AN$511,4)</f>
        <v>130</v>
      </c>
      <c r="L8" s="7" t="n">
        <f aca="false">COUNTIF(Raw_Data!$AN$2:$AN$511,5)</f>
        <v>13</v>
      </c>
      <c r="M8" s="8" t="n">
        <f aca="false">AVERAGE(Raw_Data!$AN$2:$AN$511)</f>
        <v>2.90588235294118</v>
      </c>
      <c r="N8" s="8" t="n">
        <f aca="false">STDEV(Raw_Data!$AN$2:$AN$511)</f>
        <v>0.937624755750208</v>
      </c>
      <c r="O8" s="3" t="n">
        <v>6</v>
      </c>
      <c r="P8" s="3" t="str">
        <f aca="false">Raw_Data!A6&amp;"|"&amp;Raw_Data!B6&amp;"|"&amp;Raw_Data!C6&amp;"|"&amp;Raw_Data!D6&amp;"|"&amp;Raw_Data!E6&amp;"|"&amp;Raw_Data!F6&amp;"|"&amp;Raw_Data!G6&amp;"|"&amp;Raw_Data!H6&amp;"|"&amp;Raw_Data!I6&amp;"|"&amp;Raw_Data!J6&amp;"|"&amp;Raw_Data!K6&amp;"|"&amp;Raw_Data!L6&amp;"|"&amp;Raw_Data!M6&amp;"|"&amp;Raw_Data!N6&amp;"|"&amp;Raw_Data!O6&amp;"|"&amp;Raw_Data!P6&amp;"|"&amp;Raw_Data!Q6&amp;"|"&amp;Raw_Data!R6&amp;"|"&amp;Raw_Data!S6&amp;"|"&amp;Raw_Data!T6&amp;"|"&amp;Raw_Data!U6&amp;"|"&amp;Raw_Data!V6&amp;"|"&amp;Raw_Data!W6&amp;"|"&amp;Raw_Data!X6&amp;"|"&amp;Raw_Data!Y6&amp;"|"&amp;Raw_Data!Z6&amp;"|"&amp;Raw_Data!AA6&amp;"|"&amp;Raw_Data!AB6&amp;"|"&amp;Raw_Data!AC6&amp;"|"&amp;Raw_Data!AD6&amp;"|"&amp;Raw_Data!AE6&amp;"|"&amp;Raw_Data!AF6&amp;"|"&amp;Raw_Data!AG6&amp;"|"&amp;Raw_Data!AH6&amp;"|"&amp;Raw_Data!AI6&amp;"|"&amp;Raw_Data!AJ6&amp;"|"&amp;Raw_Data!AK6&amp;"|"&amp;Raw_Data!AL6&amp;"|"&amp;Raw_Data!AM6&amp;"|"&amp;Raw_Data!AN6&amp;"|"&amp;Raw_Data!AO6</f>
        <v>1|4|1|2|2|2|4|2|3|24|3|4|4|3|5|2|3|4|5|5|5|3|3|4|1|4|3|3|1|1|4|3|4|3|3|3|5|5|4|4|4</v>
      </c>
      <c r="Q8" s="3" t="n">
        <f aca="false">COUNTIF($P$4:$P$513,P8)</f>
        <v>1</v>
      </c>
    </row>
    <row r="9" customFormat="false" ht="15" hidden="false" customHeight="false" outlineLevel="0" collapsed="false">
      <c r="A9" s="7" t="s">
        <v>48</v>
      </c>
      <c r="B9" s="7" t="s">
        <v>49</v>
      </c>
      <c r="C9" s="7" t="n">
        <f aca="false">COUNT(Raw_Data!$AO$2:$AO$511)</f>
        <v>510</v>
      </c>
      <c r="D9" s="7" t="n">
        <f aca="false">COUNTBLANK(Raw_Data!$AO$2:$AO$511)</f>
        <v>0</v>
      </c>
      <c r="E9" s="7" t="n">
        <f aca="false">MIN(Raw_Data!$AO$2:$AO$511)</f>
        <v>1</v>
      </c>
      <c r="F9" s="7" t="n">
        <f aca="false">MAX(Raw_Data!$AO$2:$AO$511)</f>
        <v>5</v>
      </c>
      <c r="G9" s="7" t="n">
        <f aca="false">COUNT(Raw_Data!$AO$2:$AO$511)-COUNTIFS(Raw_Data!$AO$2:$AO$511,"&gt;=1",Raw_Data!$AO$2:$AO$511,"&lt;=5")</f>
        <v>0</v>
      </c>
      <c r="H9" s="7" t="n">
        <f aca="false">COUNTIF(Raw_Data!$AO$2:$AO$511,1)</f>
        <v>20</v>
      </c>
      <c r="I9" s="7" t="n">
        <f aca="false">COUNTIF(Raw_Data!$AO$2:$AO$511,2)</f>
        <v>116</v>
      </c>
      <c r="J9" s="7" t="n">
        <f aca="false">COUNTIF(Raw_Data!$AO$2:$AO$511,3)</f>
        <v>217</v>
      </c>
      <c r="K9" s="7" t="n">
        <f aca="false">COUNTIF(Raw_Data!$AO$2:$AO$511,4)</f>
        <v>134</v>
      </c>
      <c r="L9" s="7" t="n">
        <f aca="false">COUNTIF(Raw_Data!$AO$2:$AO$511,5)</f>
        <v>23</v>
      </c>
      <c r="M9" s="8" t="n">
        <f aca="false">AVERAGE(Raw_Data!$AO$2:$AO$511)</f>
        <v>3.04705882352941</v>
      </c>
      <c r="N9" s="8" t="n">
        <f aca="false">STDEV(Raw_Data!$AO$2:$AO$511)</f>
        <v>0.90931718184634</v>
      </c>
      <c r="O9" s="3" t="n">
        <v>7</v>
      </c>
      <c r="P9" s="3" t="str">
        <f aca="false">Raw_Data!A7&amp;"|"&amp;Raw_Data!B7&amp;"|"&amp;Raw_Data!C7&amp;"|"&amp;Raw_Data!D7&amp;"|"&amp;Raw_Data!E7&amp;"|"&amp;Raw_Data!F7&amp;"|"&amp;Raw_Data!G7&amp;"|"&amp;Raw_Data!H7&amp;"|"&amp;Raw_Data!I7&amp;"|"&amp;Raw_Data!J7&amp;"|"&amp;Raw_Data!K7&amp;"|"&amp;Raw_Data!L7&amp;"|"&amp;Raw_Data!M7&amp;"|"&amp;Raw_Data!N7&amp;"|"&amp;Raw_Data!O7&amp;"|"&amp;Raw_Data!P7&amp;"|"&amp;Raw_Data!Q7&amp;"|"&amp;Raw_Data!R7&amp;"|"&amp;Raw_Data!S7&amp;"|"&amp;Raw_Data!T7&amp;"|"&amp;Raw_Data!U7&amp;"|"&amp;Raw_Data!V7&amp;"|"&amp;Raw_Data!W7&amp;"|"&amp;Raw_Data!X7&amp;"|"&amp;Raw_Data!Y7&amp;"|"&amp;Raw_Data!Z7&amp;"|"&amp;Raw_Data!AA7&amp;"|"&amp;Raw_Data!AB7&amp;"|"&amp;Raw_Data!AC7&amp;"|"&amp;Raw_Data!AD7&amp;"|"&amp;Raw_Data!AE7&amp;"|"&amp;Raw_Data!AF7&amp;"|"&amp;Raw_Data!AG7&amp;"|"&amp;Raw_Data!AH7&amp;"|"&amp;Raw_Data!AI7&amp;"|"&amp;Raw_Data!AJ7&amp;"|"&amp;Raw_Data!AK7&amp;"|"&amp;Raw_Data!AL7&amp;"|"&amp;Raw_Data!AM7&amp;"|"&amp;Raw_Data!AN7&amp;"|"&amp;Raw_Data!AO7</f>
        <v>0|4|1|1|2|2|4|2|1|23|3|5|4|4|5|4|4|5|3|5|5|4|4|5|2|4|4|4|4|4|5|3|4|4|5|3|5|3|3|4|3</v>
      </c>
      <c r="Q9" s="3" t="n">
        <f aca="false">COUNTIF($P$4:$P$513,P9)</f>
        <v>1</v>
      </c>
    </row>
    <row r="10" customFormat="false" ht="15" hidden="false" customHeight="false" outlineLevel="0" collapsed="false">
      <c r="O10" s="3" t="n">
        <v>8</v>
      </c>
      <c r="P10" s="3" t="str">
        <f aca="false">Raw_Data!A8&amp;"|"&amp;Raw_Data!B8&amp;"|"&amp;Raw_Data!C8&amp;"|"&amp;Raw_Data!D8&amp;"|"&amp;Raw_Data!E8&amp;"|"&amp;Raw_Data!F8&amp;"|"&amp;Raw_Data!G8&amp;"|"&amp;Raw_Data!H8&amp;"|"&amp;Raw_Data!I8&amp;"|"&amp;Raw_Data!J8&amp;"|"&amp;Raw_Data!K8&amp;"|"&amp;Raw_Data!L8&amp;"|"&amp;Raw_Data!M8&amp;"|"&amp;Raw_Data!N8&amp;"|"&amp;Raw_Data!O8&amp;"|"&amp;Raw_Data!P8&amp;"|"&amp;Raw_Data!Q8&amp;"|"&amp;Raw_Data!R8&amp;"|"&amp;Raw_Data!S8&amp;"|"&amp;Raw_Data!T8&amp;"|"&amp;Raw_Data!U8&amp;"|"&amp;Raw_Data!V8&amp;"|"&amp;Raw_Data!W8&amp;"|"&amp;Raw_Data!X8&amp;"|"&amp;Raw_Data!Y8&amp;"|"&amp;Raw_Data!Z8&amp;"|"&amp;Raw_Data!AA8&amp;"|"&amp;Raw_Data!AB8&amp;"|"&amp;Raw_Data!AC8&amp;"|"&amp;Raw_Data!AD8&amp;"|"&amp;Raw_Data!AE8&amp;"|"&amp;Raw_Data!AF8&amp;"|"&amp;Raw_Data!AG8&amp;"|"&amp;Raw_Data!AH8&amp;"|"&amp;Raw_Data!AI8&amp;"|"&amp;Raw_Data!AJ8&amp;"|"&amp;Raw_Data!AK8&amp;"|"&amp;Raw_Data!AL8&amp;"|"&amp;Raw_Data!AM8&amp;"|"&amp;Raw_Data!AN8&amp;"|"&amp;Raw_Data!AO8</f>
        <v>1|6|1|1|2|2|3|1|1|21|3|4|4|4|3|2|3|3|4|4|4|3|4|4|2|4|4|4|2|2|4|4|4|2|3|4|2|5|3|3|3</v>
      </c>
      <c r="Q10" s="3" t="n">
        <f aca="false">COUNTIF($P$4:$P$513,P10)</f>
        <v>1</v>
      </c>
    </row>
    <row r="11" customFormat="false" ht="15" hidden="false" customHeight="false" outlineLevel="0" collapsed="false">
      <c r="A11" s="2" t="s">
        <v>143</v>
      </c>
      <c r="O11" s="3" t="n">
        <v>9</v>
      </c>
      <c r="P11" s="3" t="str">
        <f aca="false">Raw_Data!A9&amp;"|"&amp;Raw_Data!B9&amp;"|"&amp;Raw_Data!C9&amp;"|"&amp;Raw_Data!D9&amp;"|"&amp;Raw_Data!E9&amp;"|"&amp;Raw_Data!F9&amp;"|"&amp;Raw_Data!G9&amp;"|"&amp;Raw_Data!H9&amp;"|"&amp;Raw_Data!I9&amp;"|"&amp;Raw_Data!J9&amp;"|"&amp;Raw_Data!K9&amp;"|"&amp;Raw_Data!L9&amp;"|"&amp;Raw_Data!M9&amp;"|"&amp;Raw_Data!N9&amp;"|"&amp;Raw_Data!O9&amp;"|"&amp;Raw_Data!P9&amp;"|"&amp;Raw_Data!Q9&amp;"|"&amp;Raw_Data!R9&amp;"|"&amp;Raw_Data!S9&amp;"|"&amp;Raw_Data!T9&amp;"|"&amp;Raw_Data!U9&amp;"|"&amp;Raw_Data!V9&amp;"|"&amp;Raw_Data!W9&amp;"|"&amp;Raw_Data!X9&amp;"|"&amp;Raw_Data!Y9&amp;"|"&amp;Raw_Data!Z9&amp;"|"&amp;Raw_Data!AA9&amp;"|"&amp;Raw_Data!AB9&amp;"|"&amp;Raw_Data!AC9&amp;"|"&amp;Raw_Data!AD9&amp;"|"&amp;Raw_Data!AE9&amp;"|"&amp;Raw_Data!AF9&amp;"|"&amp;Raw_Data!AG9&amp;"|"&amp;Raw_Data!AH9&amp;"|"&amp;Raw_Data!AI9&amp;"|"&amp;Raw_Data!AJ9&amp;"|"&amp;Raw_Data!AK9&amp;"|"&amp;Raw_Data!AL9&amp;"|"&amp;Raw_Data!AM9&amp;"|"&amp;Raw_Data!AN9&amp;"|"&amp;Raw_Data!AO9</f>
        <v>|1|1|1|2|2|1|2|1|23|2|2|4|3|4|4|4|2|4|5|4|3|4|4|4|4|4|4|2|3|3|3|3|3|2|3|4|4|4|2|4</v>
      </c>
      <c r="Q11" s="3" t="n">
        <f aca="false">COUNTIF($P$4:$P$513,P11)</f>
        <v>1</v>
      </c>
    </row>
    <row r="12" customFormat="false" ht="15" hidden="false" customHeight="false" outlineLevel="0" collapsed="false">
      <c r="A12" s="3" t="s">
        <v>144</v>
      </c>
      <c r="C12" s="3" t="n">
        <f aca="false">ROWS(Raw_Data!$K$2:$AO$511)*COLUMNS(Raw_Data!$K$2:$AO$511)</f>
        <v>15810</v>
      </c>
      <c r="O12" s="3" t="n">
        <v>10</v>
      </c>
      <c r="P12" s="3" t="str">
        <f aca="false">Raw_Data!A10&amp;"|"&amp;Raw_Data!B10&amp;"|"&amp;Raw_Data!C10&amp;"|"&amp;Raw_Data!D10&amp;"|"&amp;Raw_Data!E10&amp;"|"&amp;Raw_Data!F10&amp;"|"&amp;Raw_Data!G10&amp;"|"&amp;Raw_Data!H10&amp;"|"&amp;Raw_Data!I10&amp;"|"&amp;Raw_Data!J10&amp;"|"&amp;Raw_Data!K10&amp;"|"&amp;Raw_Data!L10&amp;"|"&amp;Raw_Data!M10&amp;"|"&amp;Raw_Data!N10&amp;"|"&amp;Raw_Data!O10&amp;"|"&amp;Raw_Data!P10&amp;"|"&amp;Raw_Data!Q10&amp;"|"&amp;Raw_Data!R10&amp;"|"&amp;Raw_Data!S10&amp;"|"&amp;Raw_Data!T10&amp;"|"&amp;Raw_Data!U10&amp;"|"&amp;Raw_Data!V10&amp;"|"&amp;Raw_Data!W10&amp;"|"&amp;Raw_Data!X10&amp;"|"&amp;Raw_Data!Y10&amp;"|"&amp;Raw_Data!Z10&amp;"|"&amp;Raw_Data!AA10&amp;"|"&amp;Raw_Data!AB10&amp;"|"&amp;Raw_Data!AC10&amp;"|"&amp;Raw_Data!AD10&amp;"|"&amp;Raw_Data!AE10&amp;"|"&amp;Raw_Data!AF10&amp;"|"&amp;Raw_Data!AG10&amp;"|"&amp;Raw_Data!AH10&amp;"|"&amp;Raw_Data!AI10&amp;"|"&amp;Raw_Data!AJ10&amp;"|"&amp;Raw_Data!AK10&amp;"|"&amp;Raw_Data!AL10&amp;"|"&amp;Raw_Data!AM10&amp;"|"&amp;Raw_Data!AN10&amp;"|"&amp;Raw_Data!AO10</f>
        <v>1|4|2|2|2|2|3|2|1|22|3|2|3|4|4|4|3|2|4|5|5|3|5|3|4|5|4|2|2|3|3|4|4|4|4|4|5|4|4|3|3</v>
      </c>
      <c r="Q12" s="3" t="n">
        <f aca="false">COUNTIF($P$4:$P$513,P12)</f>
        <v>1</v>
      </c>
    </row>
    <row r="13" customFormat="false" ht="15" hidden="false" customHeight="false" outlineLevel="0" collapsed="false">
      <c r="A13" s="3" t="s">
        <v>145</v>
      </c>
      <c r="C13" s="3" t="n">
        <f aca="false">COUNTBLANK(Raw_Data!$K$2:$AO$511)</f>
        <v>0</v>
      </c>
      <c r="O13" s="3" t="n">
        <v>11</v>
      </c>
      <c r="P13" s="3" t="str">
        <f aca="false">Raw_Data!A11&amp;"|"&amp;Raw_Data!B11&amp;"|"&amp;Raw_Data!C11&amp;"|"&amp;Raw_Data!D11&amp;"|"&amp;Raw_Data!E11&amp;"|"&amp;Raw_Data!F11&amp;"|"&amp;Raw_Data!G11&amp;"|"&amp;Raw_Data!H11&amp;"|"&amp;Raw_Data!I11&amp;"|"&amp;Raw_Data!J11&amp;"|"&amp;Raw_Data!K11&amp;"|"&amp;Raw_Data!L11&amp;"|"&amp;Raw_Data!M11&amp;"|"&amp;Raw_Data!N11&amp;"|"&amp;Raw_Data!O11&amp;"|"&amp;Raw_Data!P11&amp;"|"&amp;Raw_Data!Q11&amp;"|"&amp;Raw_Data!R11&amp;"|"&amp;Raw_Data!S11&amp;"|"&amp;Raw_Data!T11&amp;"|"&amp;Raw_Data!U11&amp;"|"&amp;Raw_Data!V11&amp;"|"&amp;Raw_Data!W11&amp;"|"&amp;Raw_Data!X11&amp;"|"&amp;Raw_Data!Y11&amp;"|"&amp;Raw_Data!Z11&amp;"|"&amp;Raw_Data!AA11&amp;"|"&amp;Raw_Data!AB11&amp;"|"&amp;Raw_Data!AC11&amp;"|"&amp;Raw_Data!AD11&amp;"|"&amp;Raw_Data!AE11&amp;"|"&amp;Raw_Data!AF11&amp;"|"&amp;Raw_Data!AG11&amp;"|"&amp;Raw_Data!AH11&amp;"|"&amp;Raw_Data!AI11&amp;"|"&amp;Raw_Data!AJ11&amp;"|"&amp;Raw_Data!AK11&amp;"|"&amp;Raw_Data!AL11&amp;"|"&amp;Raw_Data!AM11&amp;"|"&amp;Raw_Data!AN11&amp;"|"&amp;Raw_Data!AO11</f>
        <v>1|3|2|2|2|2|1|1|1|23|4|4|4|5|3|2|3|3|4|5|2|4|5|3|3|3|4|3|2|2|2|2|2|4|4|4|3|3|3|3|3</v>
      </c>
      <c r="Q13" s="3" t="n">
        <f aca="false">COUNTIF($P$4:$P$513,P13)</f>
        <v>1</v>
      </c>
    </row>
    <row r="14" customFormat="false" ht="15" hidden="false" customHeight="false" outlineLevel="0" collapsed="false">
      <c r="A14" s="3" t="s">
        <v>146</v>
      </c>
      <c r="C14" s="3" t="n">
        <f aca="false">COUNT(Raw_Data!$K$2:$AO$511)-COUNTIFS(Raw_Data!$K$2:$AO$511,"&gt;=1",Raw_Data!$K$2:$AO$511,"&lt;=5")</f>
        <v>0</v>
      </c>
      <c r="O14" s="3" t="n">
        <v>12</v>
      </c>
      <c r="P14" s="3" t="str">
        <f aca="false">Raw_Data!A12&amp;"|"&amp;Raw_Data!B12&amp;"|"&amp;Raw_Data!C12&amp;"|"&amp;Raw_Data!D12&amp;"|"&amp;Raw_Data!E12&amp;"|"&amp;Raw_Data!F12&amp;"|"&amp;Raw_Data!G12&amp;"|"&amp;Raw_Data!H12&amp;"|"&amp;Raw_Data!I12&amp;"|"&amp;Raw_Data!J12&amp;"|"&amp;Raw_Data!K12&amp;"|"&amp;Raw_Data!L12&amp;"|"&amp;Raw_Data!M12&amp;"|"&amp;Raw_Data!N12&amp;"|"&amp;Raw_Data!O12&amp;"|"&amp;Raw_Data!P12&amp;"|"&amp;Raw_Data!Q12&amp;"|"&amp;Raw_Data!R12&amp;"|"&amp;Raw_Data!S12&amp;"|"&amp;Raw_Data!T12&amp;"|"&amp;Raw_Data!U12&amp;"|"&amp;Raw_Data!V12&amp;"|"&amp;Raw_Data!W12&amp;"|"&amp;Raw_Data!X12&amp;"|"&amp;Raw_Data!Y12&amp;"|"&amp;Raw_Data!Z12&amp;"|"&amp;Raw_Data!AA12&amp;"|"&amp;Raw_Data!AB12&amp;"|"&amp;Raw_Data!AC12&amp;"|"&amp;Raw_Data!AD12&amp;"|"&amp;Raw_Data!AE12&amp;"|"&amp;Raw_Data!AF12&amp;"|"&amp;Raw_Data!AG12&amp;"|"&amp;Raw_Data!AH12&amp;"|"&amp;Raw_Data!AI12&amp;"|"&amp;Raw_Data!AJ12&amp;"|"&amp;Raw_Data!AK12&amp;"|"&amp;Raw_Data!AL12&amp;"|"&amp;Raw_Data!AM12&amp;"|"&amp;Raw_Data!AN12&amp;"|"&amp;Raw_Data!AO12</f>
        <v>1|4|1|1|2|2|3|2|2|25|4|5|5|5|5|4|4|4|5|5|5|2|4|4|3|4|4|4|1|1|5|4|4|4|4|4|4|5|4|3|2</v>
      </c>
      <c r="Q14" s="3" t="n">
        <f aca="false">COUNTIF($P$4:$P$513,P14)</f>
        <v>1</v>
      </c>
    </row>
    <row r="15" customFormat="false" ht="15" hidden="false" customHeight="false" outlineLevel="0" collapsed="false">
      <c r="A15" s="3" t="s">
        <v>147</v>
      </c>
      <c r="C15" s="3" t="n">
        <f aca="false">COUNTA(Raw_Data!$J$2:$J$511)</f>
        <v>510</v>
      </c>
      <c r="O15" s="3" t="n">
        <v>13</v>
      </c>
      <c r="P15" s="3" t="str">
        <f aca="false">Raw_Data!A13&amp;"|"&amp;Raw_Data!B13&amp;"|"&amp;Raw_Data!C13&amp;"|"&amp;Raw_Data!D13&amp;"|"&amp;Raw_Data!E13&amp;"|"&amp;Raw_Data!F13&amp;"|"&amp;Raw_Data!G13&amp;"|"&amp;Raw_Data!H13&amp;"|"&amp;Raw_Data!I13&amp;"|"&amp;Raw_Data!J13&amp;"|"&amp;Raw_Data!K13&amp;"|"&amp;Raw_Data!L13&amp;"|"&amp;Raw_Data!M13&amp;"|"&amp;Raw_Data!N13&amp;"|"&amp;Raw_Data!O13&amp;"|"&amp;Raw_Data!P13&amp;"|"&amp;Raw_Data!Q13&amp;"|"&amp;Raw_Data!R13&amp;"|"&amp;Raw_Data!S13&amp;"|"&amp;Raw_Data!T13&amp;"|"&amp;Raw_Data!U13&amp;"|"&amp;Raw_Data!V13&amp;"|"&amp;Raw_Data!W13&amp;"|"&amp;Raw_Data!X13&amp;"|"&amp;Raw_Data!Y13&amp;"|"&amp;Raw_Data!Z13&amp;"|"&amp;Raw_Data!AA13&amp;"|"&amp;Raw_Data!AB13&amp;"|"&amp;Raw_Data!AC13&amp;"|"&amp;Raw_Data!AD13&amp;"|"&amp;Raw_Data!AE13&amp;"|"&amp;Raw_Data!AF13&amp;"|"&amp;Raw_Data!AG13&amp;"|"&amp;Raw_Data!AH13&amp;"|"&amp;Raw_Data!AI13&amp;"|"&amp;Raw_Data!AJ13&amp;"|"&amp;Raw_Data!AK13&amp;"|"&amp;Raw_Data!AL13&amp;"|"&amp;Raw_Data!AM13&amp;"|"&amp;Raw_Data!AN13&amp;"|"&amp;Raw_Data!AO13</f>
        <v>0|4|1|1|2|2|3|2|3|27|3|2|4|3|3|4|3|2|4|5|4|2|3|2|2|3|4|1|1|2|3|2|4|4|4|2|4|5|2|1|2</v>
      </c>
      <c r="Q15" s="3" t="n">
        <f aca="false">COUNTIF($P$4:$P$513,P15)</f>
        <v>1</v>
      </c>
    </row>
    <row r="16" customFormat="false" ht="15" hidden="false" customHeight="false" outlineLevel="0" collapsed="false">
      <c r="O16" s="3" t="n">
        <v>14</v>
      </c>
      <c r="P16" s="3" t="str">
        <f aca="false">Raw_Data!A14&amp;"|"&amp;Raw_Data!B14&amp;"|"&amp;Raw_Data!C14&amp;"|"&amp;Raw_Data!D14&amp;"|"&amp;Raw_Data!E14&amp;"|"&amp;Raw_Data!F14&amp;"|"&amp;Raw_Data!G14&amp;"|"&amp;Raw_Data!H14&amp;"|"&amp;Raw_Data!I14&amp;"|"&amp;Raw_Data!J14&amp;"|"&amp;Raw_Data!K14&amp;"|"&amp;Raw_Data!L14&amp;"|"&amp;Raw_Data!M14&amp;"|"&amp;Raw_Data!N14&amp;"|"&amp;Raw_Data!O14&amp;"|"&amp;Raw_Data!P14&amp;"|"&amp;Raw_Data!Q14&amp;"|"&amp;Raw_Data!R14&amp;"|"&amp;Raw_Data!S14&amp;"|"&amp;Raw_Data!T14&amp;"|"&amp;Raw_Data!U14&amp;"|"&amp;Raw_Data!V14&amp;"|"&amp;Raw_Data!W14&amp;"|"&amp;Raw_Data!X14&amp;"|"&amp;Raw_Data!Y14&amp;"|"&amp;Raw_Data!Z14&amp;"|"&amp;Raw_Data!AA14&amp;"|"&amp;Raw_Data!AB14&amp;"|"&amp;Raw_Data!AC14&amp;"|"&amp;Raw_Data!AD14&amp;"|"&amp;Raw_Data!AE14&amp;"|"&amp;Raw_Data!AF14&amp;"|"&amp;Raw_Data!AG14&amp;"|"&amp;Raw_Data!AH14&amp;"|"&amp;Raw_Data!AI14&amp;"|"&amp;Raw_Data!AJ14&amp;"|"&amp;Raw_Data!AK14&amp;"|"&amp;Raw_Data!AL14&amp;"|"&amp;Raw_Data!AM14&amp;"|"&amp;Raw_Data!AN14&amp;"|"&amp;Raw_Data!AO14</f>
        <v>|1|1|2|2|2|1|2|1|23|3|4|4|4|4|4|4|5|4|5|5|4|4|4|4|5|5|4|2|2|4|3|4|3|4|3|4|4|3|4|3</v>
      </c>
      <c r="Q16" s="3" t="n">
        <f aca="false">COUNTIF($P$4:$P$513,P16)</f>
        <v>1</v>
      </c>
    </row>
    <row r="17" customFormat="false" ht="15" hidden="false" customHeight="false" outlineLevel="0" collapsed="false">
      <c r="A17" s="2" t="s">
        <v>148</v>
      </c>
      <c r="O17" s="3" t="n">
        <v>15</v>
      </c>
      <c r="P17" s="3" t="str">
        <f aca="false">Raw_Data!A15&amp;"|"&amp;Raw_Data!B15&amp;"|"&amp;Raw_Data!C15&amp;"|"&amp;Raw_Data!D15&amp;"|"&amp;Raw_Data!E15&amp;"|"&amp;Raw_Data!F15&amp;"|"&amp;Raw_Data!G15&amp;"|"&amp;Raw_Data!H15&amp;"|"&amp;Raw_Data!I15&amp;"|"&amp;Raw_Data!J15&amp;"|"&amp;Raw_Data!K15&amp;"|"&amp;Raw_Data!L15&amp;"|"&amp;Raw_Data!M15&amp;"|"&amp;Raw_Data!N15&amp;"|"&amp;Raw_Data!O15&amp;"|"&amp;Raw_Data!P15&amp;"|"&amp;Raw_Data!Q15&amp;"|"&amp;Raw_Data!R15&amp;"|"&amp;Raw_Data!S15&amp;"|"&amp;Raw_Data!T15&amp;"|"&amp;Raw_Data!U15&amp;"|"&amp;Raw_Data!V15&amp;"|"&amp;Raw_Data!W15&amp;"|"&amp;Raw_Data!X15&amp;"|"&amp;Raw_Data!Y15&amp;"|"&amp;Raw_Data!Z15&amp;"|"&amp;Raw_Data!AA15&amp;"|"&amp;Raw_Data!AB15&amp;"|"&amp;Raw_Data!AC15&amp;"|"&amp;Raw_Data!AD15&amp;"|"&amp;Raw_Data!AE15&amp;"|"&amp;Raw_Data!AF15&amp;"|"&amp;Raw_Data!AG15&amp;"|"&amp;Raw_Data!AH15&amp;"|"&amp;Raw_Data!AI15&amp;"|"&amp;Raw_Data!AJ15&amp;"|"&amp;Raw_Data!AK15&amp;"|"&amp;Raw_Data!AL15&amp;"|"&amp;Raw_Data!AM15&amp;"|"&amp;Raw_Data!AN15&amp;"|"&amp;Raw_Data!AO15</f>
        <v>0|3|1|1|2|2|3|3|2|24|3|4|3|4|5|3|3|4|5|5|5|3|4|4|5|4|3|4|1|3|5|5|5|3|5|5|3|5|4|4|4</v>
      </c>
      <c r="Q17" s="3" t="n">
        <f aca="false">COUNTIF($P$4:$P$513,P17)</f>
        <v>1</v>
      </c>
    </row>
    <row r="18" customFormat="false" ht="15" hidden="false" customHeight="false" outlineLevel="0" collapsed="false">
      <c r="A18" s="3" t="s">
        <v>149</v>
      </c>
      <c r="C18" s="3" t="n">
        <f aca="false">COUNTIF($Q$4:$Q$513,"&gt;1")</f>
        <v>2</v>
      </c>
      <c r="O18" s="3" t="n">
        <v>16</v>
      </c>
      <c r="P18" s="3" t="str">
        <f aca="false">Raw_Data!A16&amp;"|"&amp;Raw_Data!B16&amp;"|"&amp;Raw_Data!C16&amp;"|"&amp;Raw_Data!D16&amp;"|"&amp;Raw_Data!E16&amp;"|"&amp;Raw_Data!F16&amp;"|"&amp;Raw_Data!G16&amp;"|"&amp;Raw_Data!H16&amp;"|"&amp;Raw_Data!I16&amp;"|"&amp;Raw_Data!J16&amp;"|"&amp;Raw_Data!K16&amp;"|"&amp;Raw_Data!L16&amp;"|"&amp;Raw_Data!M16&amp;"|"&amp;Raw_Data!N16&amp;"|"&amp;Raw_Data!O16&amp;"|"&amp;Raw_Data!P16&amp;"|"&amp;Raw_Data!Q16&amp;"|"&amp;Raw_Data!R16&amp;"|"&amp;Raw_Data!S16&amp;"|"&amp;Raw_Data!T16&amp;"|"&amp;Raw_Data!U16&amp;"|"&amp;Raw_Data!V16&amp;"|"&amp;Raw_Data!W16&amp;"|"&amp;Raw_Data!X16&amp;"|"&amp;Raw_Data!Y16&amp;"|"&amp;Raw_Data!Z16&amp;"|"&amp;Raw_Data!AA16&amp;"|"&amp;Raw_Data!AB16&amp;"|"&amp;Raw_Data!AC16&amp;"|"&amp;Raw_Data!AD16&amp;"|"&amp;Raw_Data!AE16&amp;"|"&amp;Raw_Data!AF16&amp;"|"&amp;Raw_Data!AG16&amp;"|"&amp;Raw_Data!AH16&amp;"|"&amp;Raw_Data!AI16&amp;"|"&amp;Raw_Data!AJ16&amp;"|"&amp;Raw_Data!AK16&amp;"|"&amp;Raw_Data!AL16&amp;"|"&amp;Raw_Data!AM16&amp;"|"&amp;Raw_Data!AN16&amp;"|"&amp;Raw_Data!AO16</f>
        <v>0|2|2|1|2|2|3|2|3|23|3|4|4|3|4|3|3|3|4|4|5|3|5|4|3|4|2|2|3|3|4|3|4|4|4|4|4|4|3|3|3</v>
      </c>
      <c r="Q18" s="3" t="n">
        <f aca="false">COUNTIF($P$4:$P$513,P18)</f>
        <v>1</v>
      </c>
    </row>
    <row r="19" customFormat="false" ht="15" hidden="false" customHeight="false" outlineLevel="0" collapsed="false">
      <c r="A19" s="3" t="s">
        <v>150</v>
      </c>
      <c r="C19" s="3" t="s">
        <v>151</v>
      </c>
      <c r="O19" s="3" t="n">
        <v>17</v>
      </c>
      <c r="P19" s="3" t="str">
        <f aca="false">Raw_Data!A17&amp;"|"&amp;Raw_Data!B17&amp;"|"&amp;Raw_Data!C17&amp;"|"&amp;Raw_Data!D17&amp;"|"&amp;Raw_Data!E17&amp;"|"&amp;Raw_Data!F17&amp;"|"&amp;Raw_Data!G17&amp;"|"&amp;Raw_Data!H17&amp;"|"&amp;Raw_Data!I17&amp;"|"&amp;Raw_Data!J17&amp;"|"&amp;Raw_Data!K17&amp;"|"&amp;Raw_Data!L17&amp;"|"&amp;Raw_Data!M17&amp;"|"&amp;Raw_Data!N17&amp;"|"&amp;Raw_Data!O17&amp;"|"&amp;Raw_Data!P17&amp;"|"&amp;Raw_Data!Q17&amp;"|"&amp;Raw_Data!R17&amp;"|"&amp;Raw_Data!S17&amp;"|"&amp;Raw_Data!T17&amp;"|"&amp;Raw_Data!U17&amp;"|"&amp;Raw_Data!V17&amp;"|"&amp;Raw_Data!W17&amp;"|"&amp;Raw_Data!X17&amp;"|"&amp;Raw_Data!Y17&amp;"|"&amp;Raw_Data!Z17&amp;"|"&amp;Raw_Data!AA17&amp;"|"&amp;Raw_Data!AB17&amp;"|"&amp;Raw_Data!AC17&amp;"|"&amp;Raw_Data!AD17&amp;"|"&amp;Raw_Data!AE17&amp;"|"&amp;Raw_Data!AF17&amp;"|"&amp;Raw_Data!AG17&amp;"|"&amp;Raw_Data!AH17&amp;"|"&amp;Raw_Data!AI17&amp;"|"&amp;Raw_Data!AJ17&amp;"|"&amp;Raw_Data!AK17&amp;"|"&amp;Raw_Data!AL17&amp;"|"&amp;Raw_Data!AM17&amp;"|"&amp;Raw_Data!AN17&amp;"|"&amp;Raw_Data!AO17</f>
        <v>|3|1|2|1|2|2|2|1|22|3|2|5|3|4|2|4|4|5|4|4|4|4|2|2|4|3|2|4|4|4|4|4|4|2|5|4|4|4|4|3</v>
      </c>
      <c r="Q19" s="3" t="n">
        <f aca="false">COUNTIF($P$4:$P$513,P19)</f>
        <v>1</v>
      </c>
    </row>
    <row r="20" customFormat="false" ht="15" hidden="false" customHeight="false" outlineLevel="0" collapsed="false">
      <c r="A20" s="3" t="s">
        <v>152</v>
      </c>
      <c r="C20" s="3" t="n">
        <f aca="false">COUNTIF(Raw_Data!$J$2:$J$511,"&lt;18")+COUNTIF(Raw_Data!$J$2:$J$511,"&gt;35")</f>
        <v>1</v>
      </c>
      <c r="O20" s="3" t="n">
        <v>18</v>
      </c>
      <c r="P20" s="3" t="str">
        <f aca="false">Raw_Data!A18&amp;"|"&amp;Raw_Data!B18&amp;"|"&amp;Raw_Data!C18&amp;"|"&amp;Raw_Data!D18&amp;"|"&amp;Raw_Data!E18&amp;"|"&amp;Raw_Data!F18&amp;"|"&amp;Raw_Data!G18&amp;"|"&amp;Raw_Data!H18&amp;"|"&amp;Raw_Data!I18&amp;"|"&amp;Raw_Data!J18&amp;"|"&amp;Raw_Data!K18&amp;"|"&amp;Raw_Data!L18&amp;"|"&amp;Raw_Data!M18&amp;"|"&amp;Raw_Data!N18&amp;"|"&amp;Raw_Data!O18&amp;"|"&amp;Raw_Data!P18&amp;"|"&amp;Raw_Data!Q18&amp;"|"&amp;Raw_Data!R18&amp;"|"&amp;Raw_Data!S18&amp;"|"&amp;Raw_Data!T18&amp;"|"&amp;Raw_Data!U18&amp;"|"&amp;Raw_Data!V18&amp;"|"&amp;Raw_Data!W18&amp;"|"&amp;Raw_Data!X18&amp;"|"&amp;Raw_Data!Y18&amp;"|"&amp;Raw_Data!Z18&amp;"|"&amp;Raw_Data!AA18&amp;"|"&amp;Raw_Data!AB18&amp;"|"&amp;Raw_Data!AC18&amp;"|"&amp;Raw_Data!AD18&amp;"|"&amp;Raw_Data!AE18&amp;"|"&amp;Raw_Data!AF18&amp;"|"&amp;Raw_Data!AG18&amp;"|"&amp;Raw_Data!AH18&amp;"|"&amp;Raw_Data!AI18&amp;"|"&amp;Raw_Data!AJ18&amp;"|"&amp;Raw_Data!AK18&amp;"|"&amp;Raw_Data!AL18&amp;"|"&amp;Raw_Data!AM18&amp;"|"&amp;Raw_Data!AN18&amp;"|"&amp;Raw_Data!AO18</f>
        <v>0|4|2|1|2|2|2|2|3|24|3|4|2|2|4|2|2|3|3|5|4|3|4|5|4|4|2|2|2|2|4|3|3|4|4|1|2|4|4|3|3</v>
      </c>
      <c r="Q20" s="3" t="n">
        <f aca="false">COUNTIF($P$4:$P$513,P20)</f>
        <v>1</v>
      </c>
    </row>
    <row r="21" customFormat="false" ht="15" hidden="false" customHeight="false" outlineLevel="0" collapsed="false">
      <c r="A21" s="11" t="s">
        <v>153</v>
      </c>
      <c r="O21" s="3" t="n">
        <v>19</v>
      </c>
      <c r="P21" s="3" t="str">
        <f aca="false">Raw_Data!A19&amp;"|"&amp;Raw_Data!B19&amp;"|"&amp;Raw_Data!C19&amp;"|"&amp;Raw_Data!D19&amp;"|"&amp;Raw_Data!E19&amp;"|"&amp;Raw_Data!F19&amp;"|"&amp;Raw_Data!G19&amp;"|"&amp;Raw_Data!H19&amp;"|"&amp;Raw_Data!I19&amp;"|"&amp;Raw_Data!J19&amp;"|"&amp;Raw_Data!K19&amp;"|"&amp;Raw_Data!L19&amp;"|"&amp;Raw_Data!M19&amp;"|"&amp;Raw_Data!N19&amp;"|"&amp;Raw_Data!O19&amp;"|"&amp;Raw_Data!P19&amp;"|"&amp;Raw_Data!Q19&amp;"|"&amp;Raw_Data!R19&amp;"|"&amp;Raw_Data!S19&amp;"|"&amp;Raw_Data!T19&amp;"|"&amp;Raw_Data!U19&amp;"|"&amp;Raw_Data!V19&amp;"|"&amp;Raw_Data!W19&amp;"|"&amp;Raw_Data!X19&amp;"|"&amp;Raw_Data!Y19&amp;"|"&amp;Raw_Data!Z19&amp;"|"&amp;Raw_Data!AA19&amp;"|"&amp;Raw_Data!AB19&amp;"|"&amp;Raw_Data!AC19&amp;"|"&amp;Raw_Data!AD19&amp;"|"&amp;Raw_Data!AE19&amp;"|"&amp;Raw_Data!AF19&amp;"|"&amp;Raw_Data!AG19&amp;"|"&amp;Raw_Data!AH19&amp;"|"&amp;Raw_Data!AI19&amp;"|"&amp;Raw_Data!AJ19&amp;"|"&amp;Raw_Data!AK19&amp;"|"&amp;Raw_Data!AL19&amp;"|"&amp;Raw_Data!AM19&amp;"|"&amp;Raw_Data!AN19&amp;"|"&amp;Raw_Data!AO19</f>
        <v>0|4|1|1|2|2|3|3|3|24|4|2|4|4|4|3|3|3|3|3|4|4|4|4|3|3|5|3|1|2|3|4|4|3|2|5|2|5|3|3|4</v>
      </c>
      <c r="Q21" s="3" t="n">
        <f aca="false">COUNTIF($P$4:$P$513,P21)</f>
        <v>1</v>
      </c>
    </row>
    <row r="22" customFormat="false" ht="15" hidden="false" customHeight="false" outlineLevel="0" collapsed="false">
      <c r="O22" s="3" t="n">
        <v>20</v>
      </c>
      <c r="P22" s="3" t="str">
        <f aca="false">Raw_Data!A20&amp;"|"&amp;Raw_Data!B20&amp;"|"&amp;Raw_Data!C20&amp;"|"&amp;Raw_Data!D20&amp;"|"&amp;Raw_Data!E20&amp;"|"&amp;Raw_Data!F20&amp;"|"&amp;Raw_Data!G20&amp;"|"&amp;Raw_Data!H20&amp;"|"&amp;Raw_Data!I20&amp;"|"&amp;Raw_Data!J20&amp;"|"&amp;Raw_Data!K20&amp;"|"&amp;Raw_Data!L20&amp;"|"&amp;Raw_Data!M20&amp;"|"&amp;Raw_Data!N20&amp;"|"&amp;Raw_Data!O20&amp;"|"&amp;Raw_Data!P20&amp;"|"&amp;Raw_Data!Q20&amp;"|"&amp;Raw_Data!R20&amp;"|"&amp;Raw_Data!S20&amp;"|"&amp;Raw_Data!T20&amp;"|"&amp;Raw_Data!U20&amp;"|"&amp;Raw_Data!V20&amp;"|"&amp;Raw_Data!W20&amp;"|"&amp;Raw_Data!X20&amp;"|"&amp;Raw_Data!Y20&amp;"|"&amp;Raw_Data!Z20&amp;"|"&amp;Raw_Data!AA20&amp;"|"&amp;Raw_Data!AB20&amp;"|"&amp;Raw_Data!AC20&amp;"|"&amp;Raw_Data!AD20&amp;"|"&amp;Raw_Data!AE20&amp;"|"&amp;Raw_Data!AF20&amp;"|"&amp;Raw_Data!AG20&amp;"|"&amp;Raw_Data!AH20&amp;"|"&amp;Raw_Data!AI20&amp;"|"&amp;Raw_Data!AJ20&amp;"|"&amp;Raw_Data!AK20&amp;"|"&amp;Raw_Data!AL20&amp;"|"&amp;Raw_Data!AM20&amp;"|"&amp;Raw_Data!AN20&amp;"|"&amp;Raw_Data!AO20</f>
        <v>0|4|1|2|2|2|4|2|3|23|3|3|4|3|4|1|4|3|4|5|4|4|4|4|3|4|4|2|2|3|3|3|4|3|2|4|4|2|3|3|3</v>
      </c>
      <c r="Q22" s="3" t="n">
        <f aca="false">COUNTIF($P$4:$P$513,P22)</f>
        <v>1</v>
      </c>
    </row>
    <row r="23" customFormat="false" ht="15" hidden="false" customHeight="false" outlineLevel="0" collapsed="false">
      <c r="O23" s="3" t="n">
        <v>21</v>
      </c>
      <c r="P23" s="3" t="str">
        <f aca="false">Raw_Data!A21&amp;"|"&amp;Raw_Data!B21&amp;"|"&amp;Raw_Data!C21&amp;"|"&amp;Raw_Data!D21&amp;"|"&amp;Raw_Data!E21&amp;"|"&amp;Raw_Data!F21&amp;"|"&amp;Raw_Data!G21&amp;"|"&amp;Raw_Data!H21&amp;"|"&amp;Raw_Data!I21&amp;"|"&amp;Raw_Data!J21&amp;"|"&amp;Raw_Data!K21&amp;"|"&amp;Raw_Data!L21&amp;"|"&amp;Raw_Data!M21&amp;"|"&amp;Raw_Data!N21&amp;"|"&amp;Raw_Data!O21&amp;"|"&amp;Raw_Data!P21&amp;"|"&amp;Raw_Data!Q21&amp;"|"&amp;Raw_Data!R21&amp;"|"&amp;Raw_Data!S21&amp;"|"&amp;Raw_Data!T21&amp;"|"&amp;Raw_Data!U21&amp;"|"&amp;Raw_Data!V21&amp;"|"&amp;Raw_Data!W21&amp;"|"&amp;Raw_Data!X21&amp;"|"&amp;Raw_Data!Y21&amp;"|"&amp;Raw_Data!Z21&amp;"|"&amp;Raw_Data!AA21&amp;"|"&amp;Raw_Data!AB21&amp;"|"&amp;Raw_Data!AC21&amp;"|"&amp;Raw_Data!AD21&amp;"|"&amp;Raw_Data!AE21&amp;"|"&amp;Raw_Data!AF21&amp;"|"&amp;Raw_Data!AG21&amp;"|"&amp;Raw_Data!AH21&amp;"|"&amp;Raw_Data!AI21&amp;"|"&amp;Raw_Data!AJ21&amp;"|"&amp;Raw_Data!AK21&amp;"|"&amp;Raw_Data!AL21&amp;"|"&amp;Raw_Data!AM21&amp;"|"&amp;Raw_Data!AN21&amp;"|"&amp;Raw_Data!AO21</f>
        <v>0|3|1|1|2|2|3|3|1|23|4|4|4|4|4|3|4|2|5|5|5|3|3|4|2|4|4|1|2|2|5|3|5|4|3|5|3|5|5|1|2</v>
      </c>
      <c r="Q23" s="3" t="n">
        <f aca="false">COUNTIF($P$4:$P$513,P23)</f>
        <v>1</v>
      </c>
    </row>
    <row r="24" customFormat="false" ht="15" hidden="false" customHeight="false" outlineLevel="0" collapsed="false">
      <c r="O24" s="3" t="n">
        <v>22</v>
      </c>
      <c r="P24" s="3" t="str">
        <f aca="false">Raw_Data!A22&amp;"|"&amp;Raw_Data!B22&amp;"|"&amp;Raw_Data!C22&amp;"|"&amp;Raw_Data!D22&amp;"|"&amp;Raw_Data!E22&amp;"|"&amp;Raw_Data!F22&amp;"|"&amp;Raw_Data!G22&amp;"|"&amp;Raw_Data!H22&amp;"|"&amp;Raw_Data!I22&amp;"|"&amp;Raw_Data!J22&amp;"|"&amp;Raw_Data!K22&amp;"|"&amp;Raw_Data!L22&amp;"|"&amp;Raw_Data!M22&amp;"|"&amp;Raw_Data!N22&amp;"|"&amp;Raw_Data!O22&amp;"|"&amp;Raw_Data!P22&amp;"|"&amp;Raw_Data!Q22&amp;"|"&amp;Raw_Data!R22&amp;"|"&amp;Raw_Data!S22&amp;"|"&amp;Raw_Data!T22&amp;"|"&amp;Raw_Data!U22&amp;"|"&amp;Raw_Data!V22&amp;"|"&amp;Raw_Data!W22&amp;"|"&amp;Raw_Data!X22&amp;"|"&amp;Raw_Data!Y22&amp;"|"&amp;Raw_Data!Z22&amp;"|"&amp;Raw_Data!AA22&amp;"|"&amp;Raw_Data!AB22&amp;"|"&amp;Raw_Data!AC22&amp;"|"&amp;Raw_Data!AD22&amp;"|"&amp;Raw_Data!AE22&amp;"|"&amp;Raw_Data!AF22&amp;"|"&amp;Raw_Data!AG22&amp;"|"&amp;Raw_Data!AH22&amp;"|"&amp;Raw_Data!AI22&amp;"|"&amp;Raw_Data!AJ22&amp;"|"&amp;Raw_Data!AK22&amp;"|"&amp;Raw_Data!AL22&amp;"|"&amp;Raw_Data!AM22&amp;"|"&amp;Raw_Data!AN22&amp;"|"&amp;Raw_Data!AO22</f>
        <v>1|4|1|1|2|2|3|3|3|24|4|4|4|5|4|3|3|3|3|5|4|4|3|5|4|5|5|4|1|2|4|4|5|4|4|4|4|5|4|3|5</v>
      </c>
      <c r="Q24" s="3" t="n">
        <f aca="false">COUNTIF($P$4:$P$513,P24)</f>
        <v>1</v>
      </c>
    </row>
    <row r="25" customFormat="false" ht="15" hidden="false" customHeight="false" outlineLevel="0" collapsed="false">
      <c r="O25" s="3" t="n">
        <v>23</v>
      </c>
      <c r="P25" s="3" t="str">
        <f aca="false">Raw_Data!A23&amp;"|"&amp;Raw_Data!B23&amp;"|"&amp;Raw_Data!C23&amp;"|"&amp;Raw_Data!D23&amp;"|"&amp;Raw_Data!E23&amp;"|"&amp;Raw_Data!F23&amp;"|"&amp;Raw_Data!G23&amp;"|"&amp;Raw_Data!H23&amp;"|"&amp;Raw_Data!I23&amp;"|"&amp;Raw_Data!J23&amp;"|"&amp;Raw_Data!K23&amp;"|"&amp;Raw_Data!L23&amp;"|"&amp;Raw_Data!M23&amp;"|"&amp;Raw_Data!N23&amp;"|"&amp;Raw_Data!O23&amp;"|"&amp;Raw_Data!P23&amp;"|"&amp;Raw_Data!Q23&amp;"|"&amp;Raw_Data!R23&amp;"|"&amp;Raw_Data!S23&amp;"|"&amp;Raw_Data!T23&amp;"|"&amp;Raw_Data!U23&amp;"|"&amp;Raw_Data!V23&amp;"|"&amp;Raw_Data!W23&amp;"|"&amp;Raw_Data!X23&amp;"|"&amp;Raw_Data!Y23&amp;"|"&amp;Raw_Data!Z23&amp;"|"&amp;Raw_Data!AA23&amp;"|"&amp;Raw_Data!AB23&amp;"|"&amp;Raw_Data!AC23&amp;"|"&amp;Raw_Data!AD23&amp;"|"&amp;Raw_Data!AE23&amp;"|"&amp;Raw_Data!AF23&amp;"|"&amp;Raw_Data!AG23&amp;"|"&amp;Raw_Data!AH23&amp;"|"&amp;Raw_Data!AI23&amp;"|"&amp;Raw_Data!AJ23&amp;"|"&amp;Raw_Data!AK23&amp;"|"&amp;Raw_Data!AL23&amp;"|"&amp;Raw_Data!AM23&amp;"|"&amp;Raw_Data!AN23&amp;"|"&amp;Raw_Data!AO23</f>
        <v>1|4|2|1|2|2|4|2|3|25|2|3|2|2|2|2|3|2|4|4|4|4|4|4|3|4|2|2|2|2|3|3|3|3|3|3|3|4|3|2|3</v>
      </c>
      <c r="Q25" s="3" t="n">
        <f aca="false">COUNTIF($P$4:$P$513,P25)</f>
        <v>1</v>
      </c>
    </row>
    <row r="26" customFormat="false" ht="15" hidden="false" customHeight="false" outlineLevel="0" collapsed="false">
      <c r="O26" s="3" t="n">
        <v>24</v>
      </c>
      <c r="P26" s="3" t="str">
        <f aca="false">Raw_Data!A24&amp;"|"&amp;Raw_Data!B24&amp;"|"&amp;Raw_Data!C24&amp;"|"&amp;Raw_Data!D24&amp;"|"&amp;Raw_Data!E24&amp;"|"&amp;Raw_Data!F24&amp;"|"&amp;Raw_Data!G24&amp;"|"&amp;Raw_Data!H24&amp;"|"&amp;Raw_Data!I24&amp;"|"&amp;Raw_Data!J24&amp;"|"&amp;Raw_Data!K24&amp;"|"&amp;Raw_Data!L24&amp;"|"&amp;Raw_Data!M24&amp;"|"&amp;Raw_Data!N24&amp;"|"&amp;Raw_Data!O24&amp;"|"&amp;Raw_Data!P24&amp;"|"&amp;Raw_Data!Q24&amp;"|"&amp;Raw_Data!R24&amp;"|"&amp;Raw_Data!S24&amp;"|"&amp;Raw_Data!T24&amp;"|"&amp;Raw_Data!U24&amp;"|"&amp;Raw_Data!V24&amp;"|"&amp;Raw_Data!W24&amp;"|"&amp;Raw_Data!X24&amp;"|"&amp;Raw_Data!Y24&amp;"|"&amp;Raw_Data!Z24&amp;"|"&amp;Raw_Data!AA24&amp;"|"&amp;Raw_Data!AB24&amp;"|"&amp;Raw_Data!AC24&amp;"|"&amp;Raw_Data!AD24&amp;"|"&amp;Raw_Data!AE24&amp;"|"&amp;Raw_Data!AF24&amp;"|"&amp;Raw_Data!AG24&amp;"|"&amp;Raw_Data!AH24&amp;"|"&amp;Raw_Data!AI24&amp;"|"&amp;Raw_Data!AJ24&amp;"|"&amp;Raw_Data!AK24&amp;"|"&amp;Raw_Data!AL24&amp;"|"&amp;Raw_Data!AM24&amp;"|"&amp;Raw_Data!AN24&amp;"|"&amp;Raw_Data!AO24</f>
        <v>0|4|2|1|2|2|2|1|1|23|4|3|4|3|3|4|5|2|4|4|4|4|4|4|3|3|5|4|2|2|3|2|4|3|4|3|3|4|3|3|2</v>
      </c>
      <c r="Q26" s="3" t="n">
        <f aca="false">COUNTIF($P$4:$P$513,P26)</f>
        <v>1</v>
      </c>
    </row>
    <row r="27" customFormat="false" ht="15" hidden="false" customHeight="false" outlineLevel="0" collapsed="false">
      <c r="O27" s="3" t="n">
        <v>25</v>
      </c>
      <c r="P27" s="3" t="str">
        <f aca="false">Raw_Data!A25&amp;"|"&amp;Raw_Data!B25&amp;"|"&amp;Raw_Data!C25&amp;"|"&amp;Raw_Data!D25&amp;"|"&amp;Raw_Data!E25&amp;"|"&amp;Raw_Data!F25&amp;"|"&amp;Raw_Data!G25&amp;"|"&amp;Raw_Data!H25&amp;"|"&amp;Raw_Data!I25&amp;"|"&amp;Raw_Data!J25&amp;"|"&amp;Raw_Data!K25&amp;"|"&amp;Raw_Data!L25&amp;"|"&amp;Raw_Data!M25&amp;"|"&amp;Raw_Data!N25&amp;"|"&amp;Raw_Data!O25&amp;"|"&amp;Raw_Data!P25&amp;"|"&amp;Raw_Data!Q25&amp;"|"&amp;Raw_Data!R25&amp;"|"&amp;Raw_Data!S25&amp;"|"&amp;Raw_Data!T25&amp;"|"&amp;Raw_Data!U25&amp;"|"&amp;Raw_Data!V25&amp;"|"&amp;Raw_Data!W25&amp;"|"&amp;Raw_Data!X25&amp;"|"&amp;Raw_Data!Y25&amp;"|"&amp;Raw_Data!Z25&amp;"|"&amp;Raw_Data!AA25&amp;"|"&amp;Raw_Data!AB25&amp;"|"&amp;Raw_Data!AC25&amp;"|"&amp;Raw_Data!AD25&amp;"|"&amp;Raw_Data!AE25&amp;"|"&amp;Raw_Data!AF25&amp;"|"&amp;Raw_Data!AG25&amp;"|"&amp;Raw_Data!AH25&amp;"|"&amp;Raw_Data!AI25&amp;"|"&amp;Raw_Data!AJ25&amp;"|"&amp;Raw_Data!AK25&amp;"|"&amp;Raw_Data!AL25&amp;"|"&amp;Raw_Data!AM25&amp;"|"&amp;Raw_Data!AN25&amp;"|"&amp;Raw_Data!AO25</f>
        <v>0|4|1|2|2|2|2|1|1|26|4|2|3|3|5|4|4|2|4|5|4|4|4|3|4|3|4|2|2|2|4|4|4|3|4|4|4|5|3|3|2</v>
      </c>
      <c r="Q27" s="3" t="n">
        <f aca="false">COUNTIF($P$4:$P$513,P27)</f>
        <v>1</v>
      </c>
    </row>
    <row r="28" customFormat="false" ht="15" hidden="false" customHeight="false" outlineLevel="0" collapsed="false">
      <c r="O28" s="3" t="n">
        <v>26</v>
      </c>
      <c r="P28" s="3" t="str">
        <f aca="false">Raw_Data!A26&amp;"|"&amp;Raw_Data!B26&amp;"|"&amp;Raw_Data!C26&amp;"|"&amp;Raw_Data!D26&amp;"|"&amp;Raw_Data!E26&amp;"|"&amp;Raw_Data!F26&amp;"|"&amp;Raw_Data!G26&amp;"|"&amp;Raw_Data!H26&amp;"|"&amp;Raw_Data!I26&amp;"|"&amp;Raw_Data!J26&amp;"|"&amp;Raw_Data!K26&amp;"|"&amp;Raw_Data!L26&amp;"|"&amp;Raw_Data!M26&amp;"|"&amp;Raw_Data!N26&amp;"|"&amp;Raw_Data!O26&amp;"|"&amp;Raw_Data!P26&amp;"|"&amp;Raw_Data!Q26&amp;"|"&amp;Raw_Data!R26&amp;"|"&amp;Raw_Data!S26&amp;"|"&amp;Raw_Data!T26&amp;"|"&amp;Raw_Data!U26&amp;"|"&amp;Raw_Data!V26&amp;"|"&amp;Raw_Data!W26&amp;"|"&amp;Raw_Data!X26&amp;"|"&amp;Raw_Data!Y26&amp;"|"&amp;Raw_Data!Z26&amp;"|"&amp;Raw_Data!AA26&amp;"|"&amp;Raw_Data!AB26&amp;"|"&amp;Raw_Data!AC26&amp;"|"&amp;Raw_Data!AD26&amp;"|"&amp;Raw_Data!AE26&amp;"|"&amp;Raw_Data!AF26&amp;"|"&amp;Raw_Data!AG26&amp;"|"&amp;Raw_Data!AH26&amp;"|"&amp;Raw_Data!AI26&amp;"|"&amp;Raw_Data!AJ26&amp;"|"&amp;Raw_Data!AK26&amp;"|"&amp;Raw_Data!AL26&amp;"|"&amp;Raw_Data!AM26&amp;"|"&amp;Raw_Data!AN26&amp;"|"&amp;Raw_Data!AO26</f>
        <v>0|4|1|1|2|2|4|3|3|25|3|4|4|3|5|4|4|4|4|4|4|4|4|4|4|4|4|4|2|2|4|3|4|4|4|4|4|5|4|3|4</v>
      </c>
      <c r="Q28" s="3" t="n">
        <f aca="false">COUNTIF($P$4:$P$513,P28)</f>
        <v>1</v>
      </c>
    </row>
    <row r="29" customFormat="false" ht="15" hidden="false" customHeight="false" outlineLevel="0" collapsed="false">
      <c r="O29" s="3" t="n">
        <v>27</v>
      </c>
      <c r="P29" s="3" t="str">
        <f aca="false">Raw_Data!A27&amp;"|"&amp;Raw_Data!B27&amp;"|"&amp;Raw_Data!C27&amp;"|"&amp;Raw_Data!D27&amp;"|"&amp;Raw_Data!E27&amp;"|"&amp;Raw_Data!F27&amp;"|"&amp;Raw_Data!G27&amp;"|"&amp;Raw_Data!H27&amp;"|"&amp;Raw_Data!I27&amp;"|"&amp;Raw_Data!J27&amp;"|"&amp;Raw_Data!K27&amp;"|"&amp;Raw_Data!L27&amp;"|"&amp;Raw_Data!M27&amp;"|"&amp;Raw_Data!N27&amp;"|"&amp;Raw_Data!O27&amp;"|"&amp;Raw_Data!P27&amp;"|"&amp;Raw_Data!Q27&amp;"|"&amp;Raw_Data!R27&amp;"|"&amp;Raw_Data!S27&amp;"|"&amp;Raw_Data!T27&amp;"|"&amp;Raw_Data!U27&amp;"|"&amp;Raw_Data!V27&amp;"|"&amp;Raw_Data!W27&amp;"|"&amp;Raw_Data!X27&amp;"|"&amp;Raw_Data!Y27&amp;"|"&amp;Raw_Data!Z27&amp;"|"&amp;Raw_Data!AA27&amp;"|"&amp;Raw_Data!AB27&amp;"|"&amp;Raw_Data!AC27&amp;"|"&amp;Raw_Data!AD27&amp;"|"&amp;Raw_Data!AE27&amp;"|"&amp;Raw_Data!AF27&amp;"|"&amp;Raw_Data!AG27&amp;"|"&amp;Raw_Data!AH27&amp;"|"&amp;Raw_Data!AI27&amp;"|"&amp;Raw_Data!AJ27&amp;"|"&amp;Raw_Data!AK27&amp;"|"&amp;Raw_Data!AL27&amp;"|"&amp;Raw_Data!AM27&amp;"|"&amp;Raw_Data!AN27&amp;"|"&amp;Raw_Data!AO27</f>
        <v>0|4|1|2|2|2|1|1|3|25|3|3|4|3|4|4|3|4|4|5|5|4|4|3|3|4|4|4|2|2|4|3|4|3|4|4|4|5|5|3|3</v>
      </c>
      <c r="Q29" s="3" t="n">
        <f aca="false">COUNTIF($P$4:$P$513,P29)</f>
        <v>1</v>
      </c>
    </row>
    <row r="30" customFormat="false" ht="15" hidden="false" customHeight="false" outlineLevel="0" collapsed="false">
      <c r="O30" s="3" t="n">
        <v>28</v>
      </c>
      <c r="P30" s="3" t="str">
        <f aca="false">Raw_Data!A28&amp;"|"&amp;Raw_Data!B28&amp;"|"&amp;Raw_Data!C28&amp;"|"&amp;Raw_Data!D28&amp;"|"&amp;Raw_Data!E28&amp;"|"&amp;Raw_Data!F28&amp;"|"&amp;Raw_Data!G28&amp;"|"&amp;Raw_Data!H28&amp;"|"&amp;Raw_Data!I28&amp;"|"&amp;Raw_Data!J28&amp;"|"&amp;Raw_Data!K28&amp;"|"&amp;Raw_Data!L28&amp;"|"&amp;Raw_Data!M28&amp;"|"&amp;Raw_Data!N28&amp;"|"&amp;Raw_Data!O28&amp;"|"&amp;Raw_Data!P28&amp;"|"&amp;Raw_Data!Q28&amp;"|"&amp;Raw_Data!R28&amp;"|"&amp;Raw_Data!S28&amp;"|"&amp;Raw_Data!T28&amp;"|"&amp;Raw_Data!U28&amp;"|"&amp;Raw_Data!V28&amp;"|"&amp;Raw_Data!W28&amp;"|"&amp;Raw_Data!X28&amp;"|"&amp;Raw_Data!Y28&amp;"|"&amp;Raw_Data!Z28&amp;"|"&amp;Raw_Data!AA28&amp;"|"&amp;Raw_Data!AB28&amp;"|"&amp;Raw_Data!AC28&amp;"|"&amp;Raw_Data!AD28&amp;"|"&amp;Raw_Data!AE28&amp;"|"&amp;Raw_Data!AF28&amp;"|"&amp;Raw_Data!AG28&amp;"|"&amp;Raw_Data!AH28&amp;"|"&amp;Raw_Data!AI28&amp;"|"&amp;Raw_Data!AJ28&amp;"|"&amp;Raw_Data!AK28&amp;"|"&amp;Raw_Data!AL28&amp;"|"&amp;Raw_Data!AM28&amp;"|"&amp;Raw_Data!AN28&amp;"|"&amp;Raw_Data!AO28</f>
        <v>0|3|1|1|2|2|3|2|1|24|3|3|4|2|4|2|2|2|4|4|4|4|4|2|4|4|4|2|1|2|4|2|4|2|2|2|2|4|4|2|3</v>
      </c>
      <c r="Q30" s="3" t="n">
        <f aca="false">COUNTIF($P$4:$P$513,P30)</f>
        <v>1</v>
      </c>
    </row>
    <row r="31" customFormat="false" ht="15" hidden="false" customHeight="false" outlineLevel="0" collapsed="false">
      <c r="O31" s="3" t="n">
        <v>29</v>
      </c>
      <c r="P31" s="3" t="str">
        <f aca="false">Raw_Data!A29&amp;"|"&amp;Raw_Data!B29&amp;"|"&amp;Raw_Data!C29&amp;"|"&amp;Raw_Data!D29&amp;"|"&amp;Raw_Data!E29&amp;"|"&amp;Raw_Data!F29&amp;"|"&amp;Raw_Data!G29&amp;"|"&amp;Raw_Data!H29&amp;"|"&amp;Raw_Data!I29&amp;"|"&amp;Raw_Data!J29&amp;"|"&amp;Raw_Data!K29&amp;"|"&amp;Raw_Data!L29&amp;"|"&amp;Raw_Data!M29&amp;"|"&amp;Raw_Data!N29&amp;"|"&amp;Raw_Data!O29&amp;"|"&amp;Raw_Data!P29&amp;"|"&amp;Raw_Data!Q29&amp;"|"&amp;Raw_Data!R29&amp;"|"&amp;Raw_Data!S29&amp;"|"&amp;Raw_Data!T29&amp;"|"&amp;Raw_Data!U29&amp;"|"&amp;Raw_Data!V29&amp;"|"&amp;Raw_Data!W29&amp;"|"&amp;Raw_Data!X29&amp;"|"&amp;Raw_Data!Y29&amp;"|"&amp;Raw_Data!Z29&amp;"|"&amp;Raw_Data!AA29&amp;"|"&amp;Raw_Data!AB29&amp;"|"&amp;Raw_Data!AC29&amp;"|"&amp;Raw_Data!AD29&amp;"|"&amp;Raw_Data!AE29&amp;"|"&amp;Raw_Data!AF29&amp;"|"&amp;Raw_Data!AG29&amp;"|"&amp;Raw_Data!AH29&amp;"|"&amp;Raw_Data!AI29&amp;"|"&amp;Raw_Data!AJ29&amp;"|"&amp;Raw_Data!AK29&amp;"|"&amp;Raw_Data!AL29&amp;"|"&amp;Raw_Data!AM29&amp;"|"&amp;Raw_Data!AN29&amp;"|"&amp;Raw_Data!AO29</f>
        <v>0|3|1|1|2|2|2|2|1|22|2|3|2|3|4|4|4|3|3|5|4|4|3|2|3|4|4|2|1|2|4|3|4|4|4|4|2|5|4|3|2</v>
      </c>
      <c r="Q31" s="3" t="n">
        <f aca="false">COUNTIF($P$4:$P$513,P31)</f>
        <v>1</v>
      </c>
    </row>
    <row r="32" customFormat="false" ht="15" hidden="false" customHeight="false" outlineLevel="0" collapsed="false">
      <c r="O32" s="3" t="n">
        <v>30</v>
      </c>
      <c r="P32" s="3" t="str">
        <f aca="false">Raw_Data!A30&amp;"|"&amp;Raw_Data!B30&amp;"|"&amp;Raw_Data!C30&amp;"|"&amp;Raw_Data!D30&amp;"|"&amp;Raw_Data!E30&amp;"|"&amp;Raw_Data!F30&amp;"|"&amp;Raw_Data!G30&amp;"|"&amp;Raw_Data!H30&amp;"|"&amp;Raw_Data!I30&amp;"|"&amp;Raw_Data!J30&amp;"|"&amp;Raw_Data!K30&amp;"|"&amp;Raw_Data!L30&amp;"|"&amp;Raw_Data!M30&amp;"|"&amp;Raw_Data!N30&amp;"|"&amp;Raw_Data!O30&amp;"|"&amp;Raw_Data!P30&amp;"|"&amp;Raw_Data!Q30&amp;"|"&amp;Raw_Data!R30&amp;"|"&amp;Raw_Data!S30&amp;"|"&amp;Raw_Data!T30&amp;"|"&amp;Raw_Data!U30&amp;"|"&amp;Raw_Data!V30&amp;"|"&amp;Raw_Data!W30&amp;"|"&amp;Raw_Data!X30&amp;"|"&amp;Raw_Data!Y30&amp;"|"&amp;Raw_Data!Z30&amp;"|"&amp;Raw_Data!AA30&amp;"|"&amp;Raw_Data!AB30&amp;"|"&amp;Raw_Data!AC30&amp;"|"&amp;Raw_Data!AD30&amp;"|"&amp;Raw_Data!AE30&amp;"|"&amp;Raw_Data!AF30&amp;"|"&amp;Raw_Data!AG30&amp;"|"&amp;Raw_Data!AH30&amp;"|"&amp;Raw_Data!AI30&amp;"|"&amp;Raw_Data!AJ30&amp;"|"&amp;Raw_Data!AK30&amp;"|"&amp;Raw_Data!AL30&amp;"|"&amp;Raw_Data!AM30&amp;"|"&amp;Raw_Data!AN30&amp;"|"&amp;Raw_Data!AO30</f>
        <v>1|3|2|1|2|2|3|3|1|22|3|4|5|5|3|2|3|3|5|5|5|4|5|4|2|5|4|1|2|2|5|4|5|2|2|4|2|4|4|3|3</v>
      </c>
      <c r="Q32" s="3" t="n">
        <f aca="false">COUNTIF($P$4:$P$513,P32)</f>
        <v>1</v>
      </c>
    </row>
    <row r="33" customFormat="false" ht="15" hidden="false" customHeight="false" outlineLevel="0" collapsed="false">
      <c r="O33" s="3" t="n">
        <v>31</v>
      </c>
      <c r="P33" s="3" t="str">
        <f aca="false">Raw_Data!A31&amp;"|"&amp;Raw_Data!B31&amp;"|"&amp;Raw_Data!C31&amp;"|"&amp;Raw_Data!D31&amp;"|"&amp;Raw_Data!E31&amp;"|"&amp;Raw_Data!F31&amp;"|"&amp;Raw_Data!G31&amp;"|"&amp;Raw_Data!H31&amp;"|"&amp;Raw_Data!I31&amp;"|"&amp;Raw_Data!J31&amp;"|"&amp;Raw_Data!K31&amp;"|"&amp;Raw_Data!L31&amp;"|"&amp;Raw_Data!M31&amp;"|"&amp;Raw_Data!N31&amp;"|"&amp;Raw_Data!O31&amp;"|"&amp;Raw_Data!P31&amp;"|"&amp;Raw_Data!Q31&amp;"|"&amp;Raw_Data!R31&amp;"|"&amp;Raw_Data!S31&amp;"|"&amp;Raw_Data!T31&amp;"|"&amp;Raw_Data!U31&amp;"|"&amp;Raw_Data!V31&amp;"|"&amp;Raw_Data!W31&amp;"|"&amp;Raw_Data!X31&amp;"|"&amp;Raw_Data!Y31&amp;"|"&amp;Raw_Data!Z31&amp;"|"&amp;Raw_Data!AA31&amp;"|"&amp;Raw_Data!AB31&amp;"|"&amp;Raw_Data!AC31&amp;"|"&amp;Raw_Data!AD31&amp;"|"&amp;Raw_Data!AE31&amp;"|"&amp;Raw_Data!AF31&amp;"|"&amp;Raw_Data!AG31&amp;"|"&amp;Raw_Data!AH31&amp;"|"&amp;Raw_Data!AI31&amp;"|"&amp;Raw_Data!AJ31&amp;"|"&amp;Raw_Data!AK31&amp;"|"&amp;Raw_Data!AL31&amp;"|"&amp;Raw_Data!AM31&amp;"|"&amp;Raw_Data!AN31&amp;"|"&amp;Raw_Data!AO31</f>
        <v>0|3|1|1|2|2|1|2|3|23|4|3|4|4|3|4|4|3|5|4|4|3|4|2|3|4|4|4|3|2|3|3|3|4|3|4|3|4|3|3|3</v>
      </c>
      <c r="Q33" s="3" t="n">
        <f aca="false">COUNTIF($P$4:$P$513,P33)</f>
        <v>1</v>
      </c>
    </row>
    <row r="34" customFormat="false" ht="15" hidden="false" customHeight="false" outlineLevel="0" collapsed="false">
      <c r="O34" s="3" t="n">
        <v>32</v>
      </c>
      <c r="P34" s="3" t="str">
        <f aca="false">Raw_Data!A32&amp;"|"&amp;Raw_Data!B32&amp;"|"&amp;Raw_Data!C32&amp;"|"&amp;Raw_Data!D32&amp;"|"&amp;Raw_Data!E32&amp;"|"&amp;Raw_Data!F32&amp;"|"&amp;Raw_Data!G32&amp;"|"&amp;Raw_Data!H32&amp;"|"&amp;Raw_Data!I32&amp;"|"&amp;Raw_Data!J32&amp;"|"&amp;Raw_Data!K32&amp;"|"&amp;Raw_Data!L32&amp;"|"&amp;Raw_Data!M32&amp;"|"&amp;Raw_Data!N32&amp;"|"&amp;Raw_Data!O32&amp;"|"&amp;Raw_Data!P32&amp;"|"&amp;Raw_Data!Q32&amp;"|"&amp;Raw_Data!R32&amp;"|"&amp;Raw_Data!S32&amp;"|"&amp;Raw_Data!T32&amp;"|"&amp;Raw_Data!U32&amp;"|"&amp;Raw_Data!V32&amp;"|"&amp;Raw_Data!W32&amp;"|"&amp;Raw_Data!X32&amp;"|"&amp;Raw_Data!Y32&amp;"|"&amp;Raw_Data!Z32&amp;"|"&amp;Raw_Data!AA32&amp;"|"&amp;Raw_Data!AB32&amp;"|"&amp;Raw_Data!AC32&amp;"|"&amp;Raw_Data!AD32&amp;"|"&amp;Raw_Data!AE32&amp;"|"&amp;Raw_Data!AF32&amp;"|"&amp;Raw_Data!AG32&amp;"|"&amp;Raw_Data!AH32&amp;"|"&amp;Raw_Data!AI32&amp;"|"&amp;Raw_Data!AJ32&amp;"|"&amp;Raw_Data!AK32&amp;"|"&amp;Raw_Data!AL32&amp;"|"&amp;Raw_Data!AM32&amp;"|"&amp;Raw_Data!AN32&amp;"|"&amp;Raw_Data!AO32</f>
        <v>1|3|1|1|2|2|3|3|2|22|3|4|3|3|3|4|4|2|3|3|4|4|4|4|4|2|3|4|3|3|3|3|3|4|4|4|4|4|4|3|4</v>
      </c>
      <c r="Q34" s="3" t="n">
        <f aca="false">COUNTIF($P$4:$P$513,P34)</f>
        <v>1</v>
      </c>
    </row>
    <row r="35" customFormat="false" ht="15" hidden="false" customHeight="false" outlineLevel="0" collapsed="false">
      <c r="O35" s="3" t="n">
        <v>33</v>
      </c>
      <c r="P35" s="3" t="str">
        <f aca="false">Raw_Data!A33&amp;"|"&amp;Raw_Data!B33&amp;"|"&amp;Raw_Data!C33&amp;"|"&amp;Raw_Data!D33&amp;"|"&amp;Raw_Data!E33&amp;"|"&amp;Raw_Data!F33&amp;"|"&amp;Raw_Data!G33&amp;"|"&amp;Raw_Data!H33&amp;"|"&amp;Raw_Data!I33&amp;"|"&amp;Raw_Data!J33&amp;"|"&amp;Raw_Data!K33&amp;"|"&amp;Raw_Data!L33&amp;"|"&amp;Raw_Data!M33&amp;"|"&amp;Raw_Data!N33&amp;"|"&amp;Raw_Data!O33&amp;"|"&amp;Raw_Data!P33&amp;"|"&amp;Raw_Data!Q33&amp;"|"&amp;Raw_Data!R33&amp;"|"&amp;Raw_Data!S33&amp;"|"&amp;Raw_Data!T33&amp;"|"&amp;Raw_Data!U33&amp;"|"&amp;Raw_Data!V33&amp;"|"&amp;Raw_Data!W33&amp;"|"&amp;Raw_Data!X33&amp;"|"&amp;Raw_Data!Y33&amp;"|"&amp;Raw_Data!Z33&amp;"|"&amp;Raw_Data!AA33&amp;"|"&amp;Raw_Data!AB33&amp;"|"&amp;Raw_Data!AC33&amp;"|"&amp;Raw_Data!AD33&amp;"|"&amp;Raw_Data!AE33&amp;"|"&amp;Raw_Data!AF33&amp;"|"&amp;Raw_Data!AG33&amp;"|"&amp;Raw_Data!AH33&amp;"|"&amp;Raw_Data!AI33&amp;"|"&amp;Raw_Data!AJ33&amp;"|"&amp;Raw_Data!AK33&amp;"|"&amp;Raw_Data!AL33&amp;"|"&amp;Raw_Data!AM33&amp;"|"&amp;Raw_Data!AN33&amp;"|"&amp;Raw_Data!AO33</f>
        <v>1|4|1|1|2|2|2|3|3|26|2|4|3|3|4|2|4|1|5|5|5|5|3|3|4|5|4|1|1|1|5|4|4|4|3|3|3|5|2|1|1</v>
      </c>
      <c r="Q35" s="3" t="n">
        <f aca="false">COUNTIF($P$4:$P$513,P35)</f>
        <v>1</v>
      </c>
    </row>
    <row r="36" customFormat="false" ht="15" hidden="false" customHeight="false" outlineLevel="0" collapsed="false">
      <c r="O36" s="3" t="n">
        <v>34</v>
      </c>
      <c r="P36" s="3" t="str">
        <f aca="false">Raw_Data!A34&amp;"|"&amp;Raw_Data!B34&amp;"|"&amp;Raw_Data!C34&amp;"|"&amp;Raw_Data!D34&amp;"|"&amp;Raw_Data!E34&amp;"|"&amp;Raw_Data!F34&amp;"|"&amp;Raw_Data!G34&amp;"|"&amp;Raw_Data!H34&amp;"|"&amp;Raw_Data!I34&amp;"|"&amp;Raw_Data!J34&amp;"|"&amp;Raw_Data!K34&amp;"|"&amp;Raw_Data!L34&amp;"|"&amp;Raw_Data!M34&amp;"|"&amp;Raw_Data!N34&amp;"|"&amp;Raw_Data!O34&amp;"|"&amp;Raw_Data!P34&amp;"|"&amp;Raw_Data!Q34&amp;"|"&amp;Raw_Data!R34&amp;"|"&amp;Raw_Data!S34&amp;"|"&amp;Raw_Data!T34&amp;"|"&amp;Raw_Data!U34&amp;"|"&amp;Raw_Data!V34&amp;"|"&amp;Raw_Data!W34&amp;"|"&amp;Raw_Data!X34&amp;"|"&amp;Raw_Data!Y34&amp;"|"&amp;Raw_Data!Z34&amp;"|"&amp;Raw_Data!AA34&amp;"|"&amp;Raw_Data!AB34&amp;"|"&amp;Raw_Data!AC34&amp;"|"&amp;Raw_Data!AD34&amp;"|"&amp;Raw_Data!AE34&amp;"|"&amp;Raw_Data!AF34&amp;"|"&amp;Raw_Data!AG34&amp;"|"&amp;Raw_Data!AH34&amp;"|"&amp;Raw_Data!AI34&amp;"|"&amp;Raw_Data!AJ34&amp;"|"&amp;Raw_Data!AK34&amp;"|"&amp;Raw_Data!AL34&amp;"|"&amp;Raw_Data!AM34&amp;"|"&amp;Raw_Data!AN34&amp;"|"&amp;Raw_Data!AO34</f>
        <v>1|4|1|1|2|2|2|2|3|25|3|4|5|5|4|3|4|2|4|5|5|5|5|4|5|5|5|4|2|2|5|2|5|3|3|5|5|5|4|4|4</v>
      </c>
      <c r="Q36" s="3" t="n">
        <f aca="false">COUNTIF($P$4:$P$513,P36)</f>
        <v>1</v>
      </c>
    </row>
    <row r="37" customFormat="false" ht="15" hidden="false" customHeight="false" outlineLevel="0" collapsed="false">
      <c r="O37" s="3" t="n">
        <v>35</v>
      </c>
      <c r="P37" s="3" t="str">
        <f aca="false">Raw_Data!A35&amp;"|"&amp;Raw_Data!B35&amp;"|"&amp;Raw_Data!C35&amp;"|"&amp;Raw_Data!D35&amp;"|"&amp;Raw_Data!E35&amp;"|"&amp;Raw_Data!F35&amp;"|"&amp;Raw_Data!G35&amp;"|"&amp;Raw_Data!H35&amp;"|"&amp;Raw_Data!I35&amp;"|"&amp;Raw_Data!J35&amp;"|"&amp;Raw_Data!K35&amp;"|"&amp;Raw_Data!L35&amp;"|"&amp;Raw_Data!M35&amp;"|"&amp;Raw_Data!N35&amp;"|"&amp;Raw_Data!O35&amp;"|"&amp;Raw_Data!P35&amp;"|"&amp;Raw_Data!Q35&amp;"|"&amp;Raw_Data!R35&amp;"|"&amp;Raw_Data!S35&amp;"|"&amp;Raw_Data!T35&amp;"|"&amp;Raw_Data!U35&amp;"|"&amp;Raw_Data!V35&amp;"|"&amp;Raw_Data!W35&amp;"|"&amp;Raw_Data!X35&amp;"|"&amp;Raw_Data!Y35&amp;"|"&amp;Raw_Data!Z35&amp;"|"&amp;Raw_Data!AA35&amp;"|"&amp;Raw_Data!AB35&amp;"|"&amp;Raw_Data!AC35&amp;"|"&amp;Raw_Data!AD35&amp;"|"&amp;Raw_Data!AE35&amp;"|"&amp;Raw_Data!AF35&amp;"|"&amp;Raw_Data!AG35&amp;"|"&amp;Raw_Data!AH35&amp;"|"&amp;Raw_Data!AI35&amp;"|"&amp;Raw_Data!AJ35&amp;"|"&amp;Raw_Data!AK35&amp;"|"&amp;Raw_Data!AL35&amp;"|"&amp;Raw_Data!AM35&amp;"|"&amp;Raw_Data!AN35&amp;"|"&amp;Raw_Data!AO35</f>
        <v>1|4|2|1|2|2|4|3|3|24|3|3|4|3|2|3|5|2|5|3|4|3|3|2|3|4|4|4|2|2|4|3|4|3|4|4|2|2|3|3|2</v>
      </c>
      <c r="Q37" s="3" t="n">
        <f aca="false">COUNTIF($P$4:$P$513,P37)</f>
        <v>1</v>
      </c>
    </row>
    <row r="38" customFormat="false" ht="15" hidden="false" customHeight="false" outlineLevel="0" collapsed="false">
      <c r="O38" s="3" t="n">
        <v>36</v>
      </c>
      <c r="P38" s="3" t="str">
        <f aca="false">Raw_Data!A36&amp;"|"&amp;Raw_Data!B36&amp;"|"&amp;Raw_Data!C36&amp;"|"&amp;Raw_Data!D36&amp;"|"&amp;Raw_Data!E36&amp;"|"&amp;Raw_Data!F36&amp;"|"&amp;Raw_Data!G36&amp;"|"&amp;Raw_Data!H36&amp;"|"&amp;Raw_Data!I36&amp;"|"&amp;Raw_Data!J36&amp;"|"&amp;Raw_Data!K36&amp;"|"&amp;Raw_Data!L36&amp;"|"&amp;Raw_Data!M36&amp;"|"&amp;Raw_Data!N36&amp;"|"&amp;Raw_Data!O36&amp;"|"&amp;Raw_Data!P36&amp;"|"&amp;Raw_Data!Q36&amp;"|"&amp;Raw_Data!R36&amp;"|"&amp;Raw_Data!S36&amp;"|"&amp;Raw_Data!T36&amp;"|"&amp;Raw_Data!U36&amp;"|"&amp;Raw_Data!V36&amp;"|"&amp;Raw_Data!W36&amp;"|"&amp;Raw_Data!X36&amp;"|"&amp;Raw_Data!Y36&amp;"|"&amp;Raw_Data!Z36&amp;"|"&amp;Raw_Data!AA36&amp;"|"&amp;Raw_Data!AB36&amp;"|"&amp;Raw_Data!AC36&amp;"|"&amp;Raw_Data!AD36&amp;"|"&amp;Raw_Data!AE36&amp;"|"&amp;Raw_Data!AF36&amp;"|"&amp;Raw_Data!AG36&amp;"|"&amp;Raw_Data!AH36&amp;"|"&amp;Raw_Data!AI36&amp;"|"&amp;Raw_Data!AJ36&amp;"|"&amp;Raw_Data!AK36&amp;"|"&amp;Raw_Data!AL36&amp;"|"&amp;Raw_Data!AM36&amp;"|"&amp;Raw_Data!AN36&amp;"|"&amp;Raw_Data!AO36</f>
        <v>0|4|2|1|2|2|1|2|3|25|4|4|4|4|4|3|3|4|4|4|5|3|4|4|3|4|4|3|2|2|4|4|3|3|3|5|4|3|4|3|3</v>
      </c>
      <c r="Q38" s="3" t="n">
        <f aca="false">COUNTIF($P$4:$P$513,P38)</f>
        <v>1</v>
      </c>
    </row>
    <row r="39" customFormat="false" ht="15" hidden="false" customHeight="false" outlineLevel="0" collapsed="false">
      <c r="O39" s="3" t="n">
        <v>37</v>
      </c>
      <c r="P39" s="3" t="str">
        <f aca="false">Raw_Data!A37&amp;"|"&amp;Raw_Data!B37&amp;"|"&amp;Raw_Data!C37&amp;"|"&amp;Raw_Data!D37&amp;"|"&amp;Raw_Data!E37&amp;"|"&amp;Raw_Data!F37&amp;"|"&amp;Raw_Data!G37&amp;"|"&amp;Raw_Data!H37&amp;"|"&amp;Raw_Data!I37&amp;"|"&amp;Raw_Data!J37&amp;"|"&amp;Raw_Data!K37&amp;"|"&amp;Raw_Data!L37&amp;"|"&amp;Raw_Data!M37&amp;"|"&amp;Raw_Data!N37&amp;"|"&amp;Raw_Data!O37&amp;"|"&amp;Raw_Data!P37&amp;"|"&amp;Raw_Data!Q37&amp;"|"&amp;Raw_Data!R37&amp;"|"&amp;Raw_Data!S37&amp;"|"&amp;Raw_Data!T37&amp;"|"&amp;Raw_Data!U37&amp;"|"&amp;Raw_Data!V37&amp;"|"&amp;Raw_Data!W37&amp;"|"&amp;Raw_Data!X37&amp;"|"&amp;Raw_Data!Y37&amp;"|"&amp;Raw_Data!Z37&amp;"|"&amp;Raw_Data!AA37&amp;"|"&amp;Raw_Data!AB37&amp;"|"&amp;Raw_Data!AC37&amp;"|"&amp;Raw_Data!AD37&amp;"|"&amp;Raw_Data!AE37&amp;"|"&amp;Raw_Data!AF37&amp;"|"&amp;Raw_Data!AG37&amp;"|"&amp;Raw_Data!AH37&amp;"|"&amp;Raw_Data!AI37&amp;"|"&amp;Raw_Data!AJ37&amp;"|"&amp;Raw_Data!AK37&amp;"|"&amp;Raw_Data!AL37&amp;"|"&amp;Raw_Data!AM37&amp;"|"&amp;Raw_Data!AN37&amp;"|"&amp;Raw_Data!AO37</f>
        <v>1|4|1|1|2|2|2|3|2|24|3|2|4|4|5|5|5|5|5|5|5|5|4|5|4|5|5|4|1|3|4|2|4|5|4|4|5|5|2|3|3</v>
      </c>
      <c r="Q39" s="3" t="n">
        <f aca="false">COUNTIF($P$4:$P$513,P39)</f>
        <v>1</v>
      </c>
    </row>
    <row r="40" customFormat="false" ht="15" hidden="false" customHeight="false" outlineLevel="0" collapsed="false">
      <c r="O40" s="3" t="n">
        <v>38</v>
      </c>
      <c r="P40" s="3" t="str">
        <f aca="false">Raw_Data!A38&amp;"|"&amp;Raw_Data!B38&amp;"|"&amp;Raw_Data!C38&amp;"|"&amp;Raw_Data!D38&amp;"|"&amp;Raw_Data!E38&amp;"|"&amp;Raw_Data!F38&amp;"|"&amp;Raw_Data!G38&amp;"|"&amp;Raw_Data!H38&amp;"|"&amp;Raw_Data!I38&amp;"|"&amp;Raw_Data!J38&amp;"|"&amp;Raw_Data!K38&amp;"|"&amp;Raw_Data!L38&amp;"|"&amp;Raw_Data!M38&amp;"|"&amp;Raw_Data!N38&amp;"|"&amp;Raw_Data!O38&amp;"|"&amp;Raw_Data!P38&amp;"|"&amp;Raw_Data!Q38&amp;"|"&amp;Raw_Data!R38&amp;"|"&amp;Raw_Data!S38&amp;"|"&amp;Raw_Data!T38&amp;"|"&amp;Raw_Data!U38&amp;"|"&amp;Raw_Data!V38&amp;"|"&amp;Raw_Data!W38&amp;"|"&amp;Raw_Data!X38&amp;"|"&amp;Raw_Data!Y38&amp;"|"&amp;Raw_Data!Z38&amp;"|"&amp;Raw_Data!AA38&amp;"|"&amp;Raw_Data!AB38&amp;"|"&amp;Raw_Data!AC38&amp;"|"&amp;Raw_Data!AD38&amp;"|"&amp;Raw_Data!AE38&amp;"|"&amp;Raw_Data!AF38&amp;"|"&amp;Raw_Data!AG38&amp;"|"&amp;Raw_Data!AH38&amp;"|"&amp;Raw_Data!AI38&amp;"|"&amp;Raw_Data!AJ38&amp;"|"&amp;Raw_Data!AK38&amp;"|"&amp;Raw_Data!AL38&amp;"|"&amp;Raw_Data!AM38&amp;"|"&amp;Raw_Data!AN38&amp;"|"&amp;Raw_Data!AO38</f>
        <v>0|4|1|1|2|2|2|3|1|22|3|2|4|4|3|2|5|4|4|5|5|4|4|4|5|5|4|1|1|1|4|5|3|1|4|5|5|5|5|1|5</v>
      </c>
      <c r="Q40" s="3" t="n">
        <f aca="false">COUNTIF($P$4:$P$513,P40)</f>
        <v>1</v>
      </c>
    </row>
    <row r="41" customFormat="false" ht="15" hidden="false" customHeight="false" outlineLevel="0" collapsed="false">
      <c r="O41" s="3" t="n">
        <v>39</v>
      </c>
      <c r="P41" s="3" t="str">
        <f aca="false">Raw_Data!A39&amp;"|"&amp;Raw_Data!B39&amp;"|"&amp;Raw_Data!C39&amp;"|"&amp;Raw_Data!D39&amp;"|"&amp;Raw_Data!E39&amp;"|"&amp;Raw_Data!F39&amp;"|"&amp;Raw_Data!G39&amp;"|"&amp;Raw_Data!H39&amp;"|"&amp;Raw_Data!I39&amp;"|"&amp;Raw_Data!J39&amp;"|"&amp;Raw_Data!K39&amp;"|"&amp;Raw_Data!L39&amp;"|"&amp;Raw_Data!M39&amp;"|"&amp;Raw_Data!N39&amp;"|"&amp;Raw_Data!O39&amp;"|"&amp;Raw_Data!P39&amp;"|"&amp;Raw_Data!Q39&amp;"|"&amp;Raw_Data!R39&amp;"|"&amp;Raw_Data!S39&amp;"|"&amp;Raw_Data!T39&amp;"|"&amp;Raw_Data!U39&amp;"|"&amp;Raw_Data!V39&amp;"|"&amp;Raw_Data!W39&amp;"|"&amp;Raw_Data!X39&amp;"|"&amp;Raw_Data!Y39&amp;"|"&amp;Raw_Data!Z39&amp;"|"&amp;Raw_Data!AA39&amp;"|"&amp;Raw_Data!AB39&amp;"|"&amp;Raw_Data!AC39&amp;"|"&amp;Raw_Data!AD39&amp;"|"&amp;Raw_Data!AE39&amp;"|"&amp;Raw_Data!AF39&amp;"|"&amp;Raw_Data!AG39&amp;"|"&amp;Raw_Data!AH39&amp;"|"&amp;Raw_Data!AI39&amp;"|"&amp;Raw_Data!AJ39&amp;"|"&amp;Raw_Data!AK39&amp;"|"&amp;Raw_Data!AL39&amp;"|"&amp;Raw_Data!AM39&amp;"|"&amp;Raw_Data!AN39&amp;"|"&amp;Raw_Data!AO39</f>
        <v>0|3|1|2|2|2|2|2|2|21|3|4|4|3|4|3|3|3|5|4|5|3|3|4|2|3|4|2|1|2|4|4|5|4|5|5|3|4|4|3|3</v>
      </c>
      <c r="Q41" s="3" t="n">
        <f aca="false">COUNTIF($P$4:$P$513,P41)</f>
        <v>1</v>
      </c>
    </row>
    <row r="42" customFormat="false" ht="15" hidden="false" customHeight="false" outlineLevel="0" collapsed="false">
      <c r="O42" s="3" t="n">
        <v>40</v>
      </c>
      <c r="P42" s="3" t="str">
        <f aca="false">Raw_Data!A40&amp;"|"&amp;Raw_Data!B40&amp;"|"&amp;Raw_Data!C40&amp;"|"&amp;Raw_Data!D40&amp;"|"&amp;Raw_Data!E40&amp;"|"&amp;Raw_Data!F40&amp;"|"&amp;Raw_Data!G40&amp;"|"&amp;Raw_Data!H40&amp;"|"&amp;Raw_Data!I40&amp;"|"&amp;Raw_Data!J40&amp;"|"&amp;Raw_Data!K40&amp;"|"&amp;Raw_Data!L40&amp;"|"&amp;Raw_Data!M40&amp;"|"&amp;Raw_Data!N40&amp;"|"&amp;Raw_Data!O40&amp;"|"&amp;Raw_Data!P40&amp;"|"&amp;Raw_Data!Q40&amp;"|"&amp;Raw_Data!R40&amp;"|"&amp;Raw_Data!S40&amp;"|"&amp;Raw_Data!T40&amp;"|"&amp;Raw_Data!U40&amp;"|"&amp;Raw_Data!V40&amp;"|"&amp;Raw_Data!W40&amp;"|"&amp;Raw_Data!X40&amp;"|"&amp;Raw_Data!Y40&amp;"|"&amp;Raw_Data!Z40&amp;"|"&amp;Raw_Data!AA40&amp;"|"&amp;Raw_Data!AB40&amp;"|"&amp;Raw_Data!AC40&amp;"|"&amp;Raw_Data!AD40&amp;"|"&amp;Raw_Data!AE40&amp;"|"&amp;Raw_Data!AF40&amp;"|"&amp;Raw_Data!AG40&amp;"|"&amp;Raw_Data!AH40&amp;"|"&amp;Raw_Data!AI40&amp;"|"&amp;Raw_Data!AJ40&amp;"|"&amp;Raw_Data!AK40&amp;"|"&amp;Raw_Data!AL40&amp;"|"&amp;Raw_Data!AM40&amp;"|"&amp;Raw_Data!AN40&amp;"|"&amp;Raw_Data!AO40</f>
        <v>1|4|1|1|2|2|3|2|3|27|1|1|5|5|5|1|1|5|5|5|5|5|5|1|5|5|1|5|5|5|5|1|5|5|5|1|1|5|1|3|5</v>
      </c>
      <c r="Q42" s="3" t="n">
        <f aca="false">COUNTIF($P$4:$P$513,P42)</f>
        <v>1</v>
      </c>
    </row>
    <row r="43" customFormat="false" ht="15" hidden="false" customHeight="false" outlineLevel="0" collapsed="false">
      <c r="O43" s="3" t="n">
        <v>41</v>
      </c>
      <c r="P43" s="3" t="str">
        <f aca="false">Raw_Data!A41&amp;"|"&amp;Raw_Data!B41&amp;"|"&amp;Raw_Data!C41&amp;"|"&amp;Raw_Data!D41&amp;"|"&amp;Raw_Data!E41&amp;"|"&amp;Raw_Data!F41&amp;"|"&amp;Raw_Data!G41&amp;"|"&amp;Raw_Data!H41&amp;"|"&amp;Raw_Data!I41&amp;"|"&amp;Raw_Data!J41&amp;"|"&amp;Raw_Data!K41&amp;"|"&amp;Raw_Data!L41&amp;"|"&amp;Raw_Data!M41&amp;"|"&amp;Raw_Data!N41&amp;"|"&amp;Raw_Data!O41&amp;"|"&amp;Raw_Data!P41&amp;"|"&amp;Raw_Data!Q41&amp;"|"&amp;Raw_Data!R41&amp;"|"&amp;Raw_Data!S41&amp;"|"&amp;Raw_Data!T41&amp;"|"&amp;Raw_Data!U41&amp;"|"&amp;Raw_Data!V41&amp;"|"&amp;Raw_Data!W41&amp;"|"&amp;Raw_Data!X41&amp;"|"&amp;Raw_Data!Y41&amp;"|"&amp;Raw_Data!Z41&amp;"|"&amp;Raw_Data!AA41&amp;"|"&amp;Raw_Data!AB41&amp;"|"&amp;Raw_Data!AC41&amp;"|"&amp;Raw_Data!AD41&amp;"|"&amp;Raw_Data!AE41&amp;"|"&amp;Raw_Data!AF41&amp;"|"&amp;Raw_Data!AG41&amp;"|"&amp;Raw_Data!AH41&amp;"|"&amp;Raw_Data!AI41&amp;"|"&amp;Raw_Data!AJ41&amp;"|"&amp;Raw_Data!AK41&amp;"|"&amp;Raw_Data!AL41&amp;"|"&amp;Raw_Data!AM41&amp;"|"&amp;Raw_Data!AN41&amp;"|"&amp;Raw_Data!AO41</f>
        <v>0|2|1|1|2|2|3|1|1|22|3|4|5|5|4|2|3|3|4|3|4|2|4|3|4|5|4|3|4|3|4|3|4|4|5|4|4|4|3|3|4</v>
      </c>
      <c r="Q43" s="3" t="n">
        <f aca="false">COUNTIF($P$4:$P$513,P43)</f>
        <v>1</v>
      </c>
    </row>
    <row r="44" customFormat="false" ht="15" hidden="false" customHeight="false" outlineLevel="0" collapsed="false">
      <c r="O44" s="3" t="n">
        <v>42</v>
      </c>
      <c r="P44" s="3" t="str">
        <f aca="false">Raw_Data!A42&amp;"|"&amp;Raw_Data!B42&amp;"|"&amp;Raw_Data!C42&amp;"|"&amp;Raw_Data!D42&amp;"|"&amp;Raw_Data!E42&amp;"|"&amp;Raw_Data!F42&amp;"|"&amp;Raw_Data!G42&amp;"|"&amp;Raw_Data!H42&amp;"|"&amp;Raw_Data!I42&amp;"|"&amp;Raw_Data!J42&amp;"|"&amp;Raw_Data!K42&amp;"|"&amp;Raw_Data!L42&amp;"|"&amp;Raw_Data!M42&amp;"|"&amp;Raw_Data!N42&amp;"|"&amp;Raw_Data!O42&amp;"|"&amp;Raw_Data!P42&amp;"|"&amp;Raw_Data!Q42&amp;"|"&amp;Raw_Data!R42&amp;"|"&amp;Raw_Data!S42&amp;"|"&amp;Raw_Data!T42&amp;"|"&amp;Raw_Data!U42&amp;"|"&amp;Raw_Data!V42&amp;"|"&amp;Raw_Data!W42&amp;"|"&amp;Raw_Data!X42&amp;"|"&amp;Raw_Data!Y42&amp;"|"&amp;Raw_Data!Z42&amp;"|"&amp;Raw_Data!AA42&amp;"|"&amp;Raw_Data!AB42&amp;"|"&amp;Raw_Data!AC42&amp;"|"&amp;Raw_Data!AD42&amp;"|"&amp;Raw_Data!AE42&amp;"|"&amp;Raw_Data!AF42&amp;"|"&amp;Raw_Data!AG42&amp;"|"&amp;Raw_Data!AH42&amp;"|"&amp;Raw_Data!AI42&amp;"|"&amp;Raw_Data!AJ42&amp;"|"&amp;Raw_Data!AK42&amp;"|"&amp;Raw_Data!AL42&amp;"|"&amp;Raw_Data!AM42&amp;"|"&amp;Raw_Data!AN42&amp;"|"&amp;Raw_Data!AO42</f>
        <v>1|3|2|1|2|2|3|2|2|24|3|3|2|4|4|3|4|2|5|5|5|5|5|4|4|5|5|5|2|2|3|3|3|4|4|5|4|5|5|2|2</v>
      </c>
      <c r="Q44" s="3" t="n">
        <f aca="false">COUNTIF($P$4:$P$513,P44)</f>
        <v>1</v>
      </c>
    </row>
    <row r="45" customFormat="false" ht="15" hidden="false" customHeight="false" outlineLevel="0" collapsed="false">
      <c r="O45" s="3" t="n">
        <v>43</v>
      </c>
      <c r="P45" s="3" t="str">
        <f aca="false">Raw_Data!A43&amp;"|"&amp;Raw_Data!B43&amp;"|"&amp;Raw_Data!C43&amp;"|"&amp;Raw_Data!D43&amp;"|"&amp;Raw_Data!E43&amp;"|"&amp;Raw_Data!F43&amp;"|"&amp;Raw_Data!G43&amp;"|"&amp;Raw_Data!H43&amp;"|"&amp;Raw_Data!I43&amp;"|"&amp;Raw_Data!J43&amp;"|"&amp;Raw_Data!K43&amp;"|"&amp;Raw_Data!L43&amp;"|"&amp;Raw_Data!M43&amp;"|"&amp;Raw_Data!N43&amp;"|"&amp;Raw_Data!O43&amp;"|"&amp;Raw_Data!P43&amp;"|"&amp;Raw_Data!Q43&amp;"|"&amp;Raw_Data!R43&amp;"|"&amp;Raw_Data!S43&amp;"|"&amp;Raw_Data!T43&amp;"|"&amp;Raw_Data!U43&amp;"|"&amp;Raw_Data!V43&amp;"|"&amp;Raw_Data!W43&amp;"|"&amp;Raw_Data!X43&amp;"|"&amp;Raw_Data!Y43&amp;"|"&amp;Raw_Data!Z43&amp;"|"&amp;Raw_Data!AA43&amp;"|"&amp;Raw_Data!AB43&amp;"|"&amp;Raw_Data!AC43&amp;"|"&amp;Raw_Data!AD43&amp;"|"&amp;Raw_Data!AE43&amp;"|"&amp;Raw_Data!AF43&amp;"|"&amp;Raw_Data!AG43&amp;"|"&amp;Raw_Data!AH43&amp;"|"&amp;Raw_Data!AI43&amp;"|"&amp;Raw_Data!AJ43&amp;"|"&amp;Raw_Data!AK43&amp;"|"&amp;Raw_Data!AL43&amp;"|"&amp;Raw_Data!AM43&amp;"|"&amp;Raw_Data!AN43&amp;"|"&amp;Raw_Data!AO43</f>
        <v>0|4|1|1|2|2|4|2|1|23|2|4|4|3|4|4|4|2|4|4|2|4|4|4|4|4|4|2|1|2|4|3|4|4|3|4|2|5|3|1|3</v>
      </c>
      <c r="Q45" s="3" t="n">
        <f aca="false">COUNTIF($P$4:$P$513,P45)</f>
        <v>1</v>
      </c>
    </row>
    <row r="46" customFormat="false" ht="15" hidden="false" customHeight="false" outlineLevel="0" collapsed="false">
      <c r="O46" s="3" t="n">
        <v>44</v>
      </c>
      <c r="P46" s="3" t="str">
        <f aca="false">Raw_Data!A44&amp;"|"&amp;Raw_Data!B44&amp;"|"&amp;Raw_Data!C44&amp;"|"&amp;Raw_Data!D44&amp;"|"&amp;Raw_Data!E44&amp;"|"&amp;Raw_Data!F44&amp;"|"&amp;Raw_Data!G44&amp;"|"&amp;Raw_Data!H44&amp;"|"&amp;Raw_Data!I44&amp;"|"&amp;Raw_Data!J44&amp;"|"&amp;Raw_Data!K44&amp;"|"&amp;Raw_Data!L44&amp;"|"&amp;Raw_Data!M44&amp;"|"&amp;Raw_Data!N44&amp;"|"&amp;Raw_Data!O44&amp;"|"&amp;Raw_Data!P44&amp;"|"&amp;Raw_Data!Q44&amp;"|"&amp;Raw_Data!R44&amp;"|"&amp;Raw_Data!S44&amp;"|"&amp;Raw_Data!T44&amp;"|"&amp;Raw_Data!U44&amp;"|"&amp;Raw_Data!V44&amp;"|"&amp;Raw_Data!W44&amp;"|"&amp;Raw_Data!X44&amp;"|"&amp;Raw_Data!Y44&amp;"|"&amp;Raw_Data!Z44&amp;"|"&amp;Raw_Data!AA44&amp;"|"&amp;Raw_Data!AB44&amp;"|"&amp;Raw_Data!AC44&amp;"|"&amp;Raw_Data!AD44&amp;"|"&amp;Raw_Data!AE44&amp;"|"&amp;Raw_Data!AF44&amp;"|"&amp;Raw_Data!AG44&amp;"|"&amp;Raw_Data!AH44&amp;"|"&amp;Raw_Data!AI44&amp;"|"&amp;Raw_Data!AJ44&amp;"|"&amp;Raw_Data!AK44&amp;"|"&amp;Raw_Data!AL44&amp;"|"&amp;Raw_Data!AM44&amp;"|"&amp;Raw_Data!AN44&amp;"|"&amp;Raw_Data!AO44</f>
        <v>0|4|1|1|2|2|4|2|3|28|3|3|4|3|4|4|3|3|1|5|5|5|5|4|4|4|2|2|2|2|5|3|5|5|5|4|3|4|3|3|4</v>
      </c>
      <c r="Q46" s="3" t="n">
        <f aca="false">COUNTIF($P$4:$P$513,P46)</f>
        <v>1</v>
      </c>
    </row>
    <row r="47" customFormat="false" ht="15" hidden="false" customHeight="false" outlineLevel="0" collapsed="false">
      <c r="O47" s="3" t="n">
        <v>45</v>
      </c>
      <c r="P47" s="3" t="str">
        <f aca="false">Raw_Data!A45&amp;"|"&amp;Raw_Data!B45&amp;"|"&amp;Raw_Data!C45&amp;"|"&amp;Raw_Data!D45&amp;"|"&amp;Raw_Data!E45&amp;"|"&amp;Raw_Data!F45&amp;"|"&amp;Raw_Data!G45&amp;"|"&amp;Raw_Data!H45&amp;"|"&amp;Raw_Data!I45&amp;"|"&amp;Raw_Data!J45&amp;"|"&amp;Raw_Data!K45&amp;"|"&amp;Raw_Data!L45&amp;"|"&amp;Raw_Data!M45&amp;"|"&amp;Raw_Data!N45&amp;"|"&amp;Raw_Data!O45&amp;"|"&amp;Raw_Data!P45&amp;"|"&amp;Raw_Data!Q45&amp;"|"&amp;Raw_Data!R45&amp;"|"&amp;Raw_Data!S45&amp;"|"&amp;Raw_Data!T45&amp;"|"&amp;Raw_Data!U45&amp;"|"&amp;Raw_Data!V45&amp;"|"&amp;Raw_Data!W45&amp;"|"&amp;Raw_Data!X45&amp;"|"&amp;Raw_Data!Y45&amp;"|"&amp;Raw_Data!Z45&amp;"|"&amp;Raw_Data!AA45&amp;"|"&amp;Raw_Data!AB45&amp;"|"&amp;Raw_Data!AC45&amp;"|"&amp;Raw_Data!AD45&amp;"|"&amp;Raw_Data!AE45&amp;"|"&amp;Raw_Data!AF45&amp;"|"&amp;Raw_Data!AG45&amp;"|"&amp;Raw_Data!AH45&amp;"|"&amp;Raw_Data!AI45&amp;"|"&amp;Raw_Data!AJ45&amp;"|"&amp;Raw_Data!AK45&amp;"|"&amp;Raw_Data!AL45&amp;"|"&amp;Raw_Data!AM45&amp;"|"&amp;Raw_Data!AN45&amp;"|"&amp;Raw_Data!AO45</f>
        <v>1|3|1|1|2|2|2|2|2|24|3|3|5|5|5|3|4|2|4|4|3|4|4|4|2|4|4|4|2|4|4|4|4|4|4|4|3|4|3|5|4</v>
      </c>
      <c r="Q47" s="3" t="n">
        <f aca="false">COUNTIF($P$4:$P$513,P47)</f>
        <v>1</v>
      </c>
    </row>
    <row r="48" customFormat="false" ht="15" hidden="false" customHeight="false" outlineLevel="0" collapsed="false">
      <c r="O48" s="3" t="n">
        <v>46</v>
      </c>
      <c r="P48" s="3" t="str">
        <f aca="false">Raw_Data!A46&amp;"|"&amp;Raw_Data!B46&amp;"|"&amp;Raw_Data!C46&amp;"|"&amp;Raw_Data!D46&amp;"|"&amp;Raw_Data!E46&amp;"|"&amp;Raw_Data!F46&amp;"|"&amp;Raw_Data!G46&amp;"|"&amp;Raw_Data!H46&amp;"|"&amp;Raw_Data!I46&amp;"|"&amp;Raw_Data!J46&amp;"|"&amp;Raw_Data!K46&amp;"|"&amp;Raw_Data!L46&amp;"|"&amp;Raw_Data!M46&amp;"|"&amp;Raw_Data!N46&amp;"|"&amp;Raw_Data!O46&amp;"|"&amp;Raw_Data!P46&amp;"|"&amp;Raw_Data!Q46&amp;"|"&amp;Raw_Data!R46&amp;"|"&amp;Raw_Data!S46&amp;"|"&amp;Raw_Data!T46&amp;"|"&amp;Raw_Data!U46&amp;"|"&amp;Raw_Data!V46&amp;"|"&amp;Raw_Data!W46&amp;"|"&amp;Raw_Data!X46&amp;"|"&amp;Raw_Data!Y46&amp;"|"&amp;Raw_Data!Z46&amp;"|"&amp;Raw_Data!AA46&amp;"|"&amp;Raw_Data!AB46&amp;"|"&amp;Raw_Data!AC46&amp;"|"&amp;Raw_Data!AD46&amp;"|"&amp;Raw_Data!AE46&amp;"|"&amp;Raw_Data!AF46&amp;"|"&amp;Raw_Data!AG46&amp;"|"&amp;Raw_Data!AH46&amp;"|"&amp;Raw_Data!AI46&amp;"|"&amp;Raw_Data!AJ46&amp;"|"&amp;Raw_Data!AK46&amp;"|"&amp;Raw_Data!AL46&amp;"|"&amp;Raw_Data!AM46&amp;"|"&amp;Raw_Data!AN46&amp;"|"&amp;Raw_Data!AO46</f>
        <v>0|3|1|2|2|2|2|1|2|23|4|3|4|3|5|2|3|3|3|4|2|2|3|4|3|2|4|2|1|3|4|2|1|3|2|4|4|3|2|3|3</v>
      </c>
      <c r="Q48" s="3" t="n">
        <f aca="false">COUNTIF($P$4:$P$513,P48)</f>
        <v>1</v>
      </c>
    </row>
    <row r="49" customFormat="false" ht="15" hidden="false" customHeight="false" outlineLevel="0" collapsed="false">
      <c r="O49" s="3" t="n">
        <v>47</v>
      </c>
      <c r="P49" s="3" t="str">
        <f aca="false">Raw_Data!A47&amp;"|"&amp;Raw_Data!B47&amp;"|"&amp;Raw_Data!C47&amp;"|"&amp;Raw_Data!D47&amp;"|"&amp;Raw_Data!E47&amp;"|"&amp;Raw_Data!F47&amp;"|"&amp;Raw_Data!G47&amp;"|"&amp;Raw_Data!H47&amp;"|"&amp;Raw_Data!I47&amp;"|"&amp;Raw_Data!J47&amp;"|"&amp;Raw_Data!K47&amp;"|"&amp;Raw_Data!L47&amp;"|"&amp;Raw_Data!M47&amp;"|"&amp;Raw_Data!N47&amp;"|"&amp;Raw_Data!O47&amp;"|"&amp;Raw_Data!P47&amp;"|"&amp;Raw_Data!Q47&amp;"|"&amp;Raw_Data!R47&amp;"|"&amp;Raw_Data!S47&amp;"|"&amp;Raw_Data!T47&amp;"|"&amp;Raw_Data!U47&amp;"|"&amp;Raw_Data!V47&amp;"|"&amp;Raw_Data!W47&amp;"|"&amp;Raw_Data!X47&amp;"|"&amp;Raw_Data!Y47&amp;"|"&amp;Raw_Data!Z47&amp;"|"&amp;Raw_Data!AA47&amp;"|"&amp;Raw_Data!AB47&amp;"|"&amp;Raw_Data!AC47&amp;"|"&amp;Raw_Data!AD47&amp;"|"&amp;Raw_Data!AE47&amp;"|"&amp;Raw_Data!AF47&amp;"|"&amp;Raw_Data!AG47&amp;"|"&amp;Raw_Data!AH47&amp;"|"&amp;Raw_Data!AI47&amp;"|"&amp;Raw_Data!AJ47&amp;"|"&amp;Raw_Data!AK47&amp;"|"&amp;Raw_Data!AL47&amp;"|"&amp;Raw_Data!AM47&amp;"|"&amp;Raw_Data!AN47&amp;"|"&amp;Raw_Data!AO47</f>
        <v>1|4|1|1|2|2|3|3|2|24|3|3|4|3|4|4|4|3|3|4|4|4|4|4|3|4|4|2|2|3|2|2|3|3|3|4|4|4|3|3|2</v>
      </c>
      <c r="Q49" s="3" t="n">
        <f aca="false">COUNTIF($P$4:$P$513,P49)</f>
        <v>1</v>
      </c>
    </row>
    <row r="50" customFormat="false" ht="15" hidden="false" customHeight="false" outlineLevel="0" collapsed="false">
      <c r="O50" s="3" t="n">
        <v>48</v>
      </c>
      <c r="P50" s="3" t="str">
        <f aca="false">Raw_Data!A48&amp;"|"&amp;Raw_Data!B48&amp;"|"&amp;Raw_Data!C48&amp;"|"&amp;Raw_Data!D48&amp;"|"&amp;Raw_Data!E48&amp;"|"&amp;Raw_Data!F48&amp;"|"&amp;Raw_Data!G48&amp;"|"&amp;Raw_Data!H48&amp;"|"&amp;Raw_Data!I48&amp;"|"&amp;Raw_Data!J48&amp;"|"&amp;Raw_Data!K48&amp;"|"&amp;Raw_Data!L48&amp;"|"&amp;Raw_Data!M48&amp;"|"&amp;Raw_Data!N48&amp;"|"&amp;Raw_Data!O48&amp;"|"&amp;Raw_Data!P48&amp;"|"&amp;Raw_Data!Q48&amp;"|"&amp;Raw_Data!R48&amp;"|"&amp;Raw_Data!S48&amp;"|"&amp;Raw_Data!T48&amp;"|"&amp;Raw_Data!U48&amp;"|"&amp;Raw_Data!V48&amp;"|"&amp;Raw_Data!W48&amp;"|"&amp;Raw_Data!X48&amp;"|"&amp;Raw_Data!Y48&amp;"|"&amp;Raw_Data!Z48&amp;"|"&amp;Raw_Data!AA48&amp;"|"&amp;Raw_Data!AB48&amp;"|"&amp;Raw_Data!AC48&amp;"|"&amp;Raw_Data!AD48&amp;"|"&amp;Raw_Data!AE48&amp;"|"&amp;Raw_Data!AF48&amp;"|"&amp;Raw_Data!AG48&amp;"|"&amp;Raw_Data!AH48&amp;"|"&amp;Raw_Data!AI48&amp;"|"&amp;Raw_Data!AJ48&amp;"|"&amp;Raw_Data!AK48&amp;"|"&amp;Raw_Data!AL48&amp;"|"&amp;Raw_Data!AM48&amp;"|"&amp;Raw_Data!AN48&amp;"|"&amp;Raw_Data!AO48</f>
        <v>1|4|1|1|2|2|3|3|1|23|2|3|1|4|4|4|4|2|4|4|5|3|2|2|3|3|4|4|1|2|4|2|2|4|4|4|4|5|2|2|2</v>
      </c>
      <c r="Q50" s="3" t="n">
        <f aca="false">COUNTIF($P$4:$P$513,P50)</f>
        <v>1</v>
      </c>
    </row>
    <row r="51" customFormat="false" ht="15" hidden="false" customHeight="false" outlineLevel="0" collapsed="false">
      <c r="O51" s="3" t="n">
        <v>49</v>
      </c>
      <c r="P51" s="3" t="str">
        <f aca="false">Raw_Data!A49&amp;"|"&amp;Raw_Data!B49&amp;"|"&amp;Raw_Data!C49&amp;"|"&amp;Raw_Data!D49&amp;"|"&amp;Raw_Data!E49&amp;"|"&amp;Raw_Data!F49&amp;"|"&amp;Raw_Data!G49&amp;"|"&amp;Raw_Data!H49&amp;"|"&amp;Raw_Data!I49&amp;"|"&amp;Raw_Data!J49&amp;"|"&amp;Raw_Data!K49&amp;"|"&amp;Raw_Data!L49&amp;"|"&amp;Raw_Data!M49&amp;"|"&amp;Raw_Data!N49&amp;"|"&amp;Raw_Data!O49&amp;"|"&amp;Raw_Data!P49&amp;"|"&amp;Raw_Data!Q49&amp;"|"&amp;Raw_Data!R49&amp;"|"&amp;Raw_Data!S49&amp;"|"&amp;Raw_Data!T49&amp;"|"&amp;Raw_Data!U49&amp;"|"&amp;Raw_Data!V49&amp;"|"&amp;Raw_Data!W49&amp;"|"&amp;Raw_Data!X49&amp;"|"&amp;Raw_Data!Y49&amp;"|"&amp;Raw_Data!Z49&amp;"|"&amp;Raw_Data!AA49&amp;"|"&amp;Raw_Data!AB49&amp;"|"&amp;Raw_Data!AC49&amp;"|"&amp;Raw_Data!AD49&amp;"|"&amp;Raw_Data!AE49&amp;"|"&amp;Raw_Data!AF49&amp;"|"&amp;Raw_Data!AG49&amp;"|"&amp;Raw_Data!AH49&amp;"|"&amp;Raw_Data!AI49&amp;"|"&amp;Raw_Data!AJ49&amp;"|"&amp;Raw_Data!AK49&amp;"|"&amp;Raw_Data!AL49&amp;"|"&amp;Raw_Data!AM49&amp;"|"&amp;Raw_Data!AN49&amp;"|"&amp;Raw_Data!AO49</f>
        <v>0|1|2|1|2|2|3|3|1|24|4|5|5|5|3|4|4|4|5|5|5|5|5|5|5|5|4|3|4|2|4|4|4|5|5|4|3|4|4|4|4</v>
      </c>
      <c r="Q51" s="3" t="n">
        <f aca="false">COUNTIF($P$4:$P$513,P51)</f>
        <v>1</v>
      </c>
    </row>
    <row r="52" customFormat="false" ht="15" hidden="false" customHeight="false" outlineLevel="0" collapsed="false">
      <c r="O52" s="3" t="n">
        <v>50</v>
      </c>
      <c r="P52" s="3" t="str">
        <f aca="false">Raw_Data!A50&amp;"|"&amp;Raw_Data!B50&amp;"|"&amp;Raw_Data!C50&amp;"|"&amp;Raw_Data!D50&amp;"|"&amp;Raw_Data!E50&amp;"|"&amp;Raw_Data!F50&amp;"|"&amp;Raw_Data!G50&amp;"|"&amp;Raw_Data!H50&amp;"|"&amp;Raw_Data!I50&amp;"|"&amp;Raw_Data!J50&amp;"|"&amp;Raw_Data!K50&amp;"|"&amp;Raw_Data!L50&amp;"|"&amp;Raw_Data!M50&amp;"|"&amp;Raw_Data!N50&amp;"|"&amp;Raw_Data!O50&amp;"|"&amp;Raw_Data!P50&amp;"|"&amp;Raw_Data!Q50&amp;"|"&amp;Raw_Data!R50&amp;"|"&amp;Raw_Data!S50&amp;"|"&amp;Raw_Data!T50&amp;"|"&amp;Raw_Data!U50&amp;"|"&amp;Raw_Data!V50&amp;"|"&amp;Raw_Data!W50&amp;"|"&amp;Raw_Data!X50&amp;"|"&amp;Raw_Data!Y50&amp;"|"&amp;Raw_Data!Z50&amp;"|"&amp;Raw_Data!AA50&amp;"|"&amp;Raw_Data!AB50&amp;"|"&amp;Raw_Data!AC50&amp;"|"&amp;Raw_Data!AD50&amp;"|"&amp;Raw_Data!AE50&amp;"|"&amp;Raw_Data!AF50&amp;"|"&amp;Raw_Data!AG50&amp;"|"&amp;Raw_Data!AH50&amp;"|"&amp;Raw_Data!AI50&amp;"|"&amp;Raw_Data!AJ50&amp;"|"&amp;Raw_Data!AK50&amp;"|"&amp;Raw_Data!AL50&amp;"|"&amp;Raw_Data!AM50&amp;"|"&amp;Raw_Data!AN50&amp;"|"&amp;Raw_Data!AO50</f>
        <v>0|3|1|1|2|2|3|2|1|22|4|4|3|4|4|4|2|3|3|2|3|3|4|3|3|3|4|4|2|3|3|2|3|2|4|4|2|3|3|2|3</v>
      </c>
      <c r="Q52" s="3" t="n">
        <f aca="false">COUNTIF($P$4:$P$513,P52)</f>
        <v>1</v>
      </c>
    </row>
    <row r="53" customFormat="false" ht="15" hidden="false" customHeight="false" outlineLevel="0" collapsed="false">
      <c r="O53" s="3" t="n">
        <v>51</v>
      </c>
      <c r="P53" s="3" t="str">
        <f aca="false">Raw_Data!A51&amp;"|"&amp;Raw_Data!B51&amp;"|"&amp;Raw_Data!C51&amp;"|"&amp;Raw_Data!D51&amp;"|"&amp;Raw_Data!E51&amp;"|"&amp;Raw_Data!F51&amp;"|"&amp;Raw_Data!G51&amp;"|"&amp;Raw_Data!H51&amp;"|"&amp;Raw_Data!I51&amp;"|"&amp;Raw_Data!J51&amp;"|"&amp;Raw_Data!K51&amp;"|"&amp;Raw_Data!L51&amp;"|"&amp;Raw_Data!M51&amp;"|"&amp;Raw_Data!N51&amp;"|"&amp;Raw_Data!O51&amp;"|"&amp;Raw_Data!P51&amp;"|"&amp;Raw_Data!Q51&amp;"|"&amp;Raw_Data!R51&amp;"|"&amp;Raw_Data!S51&amp;"|"&amp;Raw_Data!T51&amp;"|"&amp;Raw_Data!U51&amp;"|"&amp;Raw_Data!V51&amp;"|"&amp;Raw_Data!W51&amp;"|"&amp;Raw_Data!X51&amp;"|"&amp;Raw_Data!Y51&amp;"|"&amp;Raw_Data!Z51&amp;"|"&amp;Raw_Data!AA51&amp;"|"&amp;Raw_Data!AB51&amp;"|"&amp;Raw_Data!AC51&amp;"|"&amp;Raw_Data!AD51&amp;"|"&amp;Raw_Data!AE51&amp;"|"&amp;Raw_Data!AF51&amp;"|"&amp;Raw_Data!AG51&amp;"|"&amp;Raw_Data!AH51&amp;"|"&amp;Raw_Data!AI51&amp;"|"&amp;Raw_Data!AJ51&amp;"|"&amp;Raw_Data!AK51&amp;"|"&amp;Raw_Data!AL51&amp;"|"&amp;Raw_Data!AM51&amp;"|"&amp;Raw_Data!AN51&amp;"|"&amp;Raw_Data!AO51</f>
        <v>1|3|1|2|2|2|3|3|1|23|4|4|3|4|1|2|3|4|1|5|5|3|4|4|3|5|3|2|3|3|3|3|3|4|3|5|2|5|3|3|3</v>
      </c>
      <c r="Q53" s="3" t="n">
        <f aca="false">COUNTIF($P$4:$P$513,P53)</f>
        <v>1</v>
      </c>
    </row>
    <row r="54" customFormat="false" ht="15" hidden="false" customHeight="false" outlineLevel="0" collapsed="false">
      <c r="O54" s="3" t="n">
        <v>52</v>
      </c>
      <c r="P54" s="3" t="str">
        <f aca="false">Raw_Data!A52&amp;"|"&amp;Raw_Data!B52&amp;"|"&amp;Raw_Data!C52&amp;"|"&amp;Raw_Data!D52&amp;"|"&amp;Raw_Data!E52&amp;"|"&amp;Raw_Data!F52&amp;"|"&amp;Raw_Data!G52&amp;"|"&amp;Raw_Data!H52&amp;"|"&amp;Raw_Data!I52&amp;"|"&amp;Raw_Data!J52&amp;"|"&amp;Raw_Data!K52&amp;"|"&amp;Raw_Data!L52&amp;"|"&amp;Raw_Data!M52&amp;"|"&amp;Raw_Data!N52&amp;"|"&amp;Raw_Data!O52&amp;"|"&amp;Raw_Data!P52&amp;"|"&amp;Raw_Data!Q52&amp;"|"&amp;Raw_Data!R52&amp;"|"&amp;Raw_Data!S52&amp;"|"&amp;Raw_Data!T52&amp;"|"&amp;Raw_Data!U52&amp;"|"&amp;Raw_Data!V52&amp;"|"&amp;Raw_Data!W52&amp;"|"&amp;Raw_Data!X52&amp;"|"&amp;Raw_Data!Y52&amp;"|"&amp;Raw_Data!Z52&amp;"|"&amp;Raw_Data!AA52&amp;"|"&amp;Raw_Data!AB52&amp;"|"&amp;Raw_Data!AC52&amp;"|"&amp;Raw_Data!AD52&amp;"|"&amp;Raw_Data!AE52&amp;"|"&amp;Raw_Data!AF52&amp;"|"&amp;Raw_Data!AG52&amp;"|"&amp;Raw_Data!AH52&amp;"|"&amp;Raw_Data!AI52&amp;"|"&amp;Raw_Data!AJ52&amp;"|"&amp;Raw_Data!AK52&amp;"|"&amp;Raw_Data!AL52&amp;"|"&amp;Raw_Data!AM52&amp;"|"&amp;Raw_Data!AN52&amp;"|"&amp;Raw_Data!AO52</f>
        <v>1|4|2|1|2|2|2|2|3|23|2|1|3|3|1|2|2|1|3|3|4|4|4|4|4|4|4|2|1|1|2|1|1|1|1|2|1|4|2|2|1</v>
      </c>
      <c r="Q54" s="3" t="n">
        <f aca="false">COUNTIF($P$4:$P$513,P54)</f>
        <v>1</v>
      </c>
    </row>
    <row r="55" customFormat="false" ht="15" hidden="false" customHeight="false" outlineLevel="0" collapsed="false">
      <c r="O55" s="3" t="n">
        <v>53</v>
      </c>
      <c r="P55" s="3" t="str">
        <f aca="false">Raw_Data!A53&amp;"|"&amp;Raw_Data!B53&amp;"|"&amp;Raw_Data!C53&amp;"|"&amp;Raw_Data!D53&amp;"|"&amp;Raw_Data!E53&amp;"|"&amp;Raw_Data!F53&amp;"|"&amp;Raw_Data!G53&amp;"|"&amp;Raw_Data!H53&amp;"|"&amp;Raw_Data!I53&amp;"|"&amp;Raw_Data!J53&amp;"|"&amp;Raw_Data!K53&amp;"|"&amp;Raw_Data!L53&amp;"|"&amp;Raw_Data!M53&amp;"|"&amp;Raw_Data!N53&amp;"|"&amp;Raw_Data!O53&amp;"|"&amp;Raw_Data!P53&amp;"|"&amp;Raw_Data!Q53&amp;"|"&amp;Raw_Data!R53&amp;"|"&amp;Raw_Data!S53&amp;"|"&amp;Raw_Data!T53&amp;"|"&amp;Raw_Data!U53&amp;"|"&amp;Raw_Data!V53&amp;"|"&amp;Raw_Data!W53&amp;"|"&amp;Raw_Data!X53&amp;"|"&amp;Raw_Data!Y53&amp;"|"&amp;Raw_Data!Z53&amp;"|"&amp;Raw_Data!AA53&amp;"|"&amp;Raw_Data!AB53&amp;"|"&amp;Raw_Data!AC53&amp;"|"&amp;Raw_Data!AD53&amp;"|"&amp;Raw_Data!AE53&amp;"|"&amp;Raw_Data!AF53&amp;"|"&amp;Raw_Data!AG53&amp;"|"&amp;Raw_Data!AH53&amp;"|"&amp;Raw_Data!AI53&amp;"|"&amp;Raw_Data!AJ53&amp;"|"&amp;Raw_Data!AK53&amp;"|"&amp;Raw_Data!AL53&amp;"|"&amp;Raw_Data!AM53&amp;"|"&amp;Raw_Data!AN53&amp;"|"&amp;Raw_Data!AO53</f>
        <v>0|4|1|1|2|2|4|1|3|25|3|4|3|4|3|3|3|2|5|5|4|3|4|3|3|4|4|2|1|3|4|3|4|4|4|5|2|5|4|2|3</v>
      </c>
      <c r="Q55" s="3" t="n">
        <f aca="false">COUNTIF($P$4:$P$513,P55)</f>
        <v>1</v>
      </c>
    </row>
    <row r="56" customFormat="false" ht="15" hidden="false" customHeight="false" outlineLevel="0" collapsed="false">
      <c r="O56" s="3" t="n">
        <v>54</v>
      </c>
      <c r="P56" s="3" t="str">
        <f aca="false">Raw_Data!A54&amp;"|"&amp;Raw_Data!B54&amp;"|"&amp;Raw_Data!C54&amp;"|"&amp;Raw_Data!D54&amp;"|"&amp;Raw_Data!E54&amp;"|"&amp;Raw_Data!F54&amp;"|"&amp;Raw_Data!G54&amp;"|"&amp;Raw_Data!H54&amp;"|"&amp;Raw_Data!I54&amp;"|"&amp;Raw_Data!J54&amp;"|"&amp;Raw_Data!K54&amp;"|"&amp;Raw_Data!L54&amp;"|"&amp;Raw_Data!M54&amp;"|"&amp;Raw_Data!N54&amp;"|"&amp;Raw_Data!O54&amp;"|"&amp;Raw_Data!P54&amp;"|"&amp;Raw_Data!Q54&amp;"|"&amp;Raw_Data!R54&amp;"|"&amp;Raw_Data!S54&amp;"|"&amp;Raw_Data!T54&amp;"|"&amp;Raw_Data!U54&amp;"|"&amp;Raw_Data!V54&amp;"|"&amp;Raw_Data!W54&amp;"|"&amp;Raw_Data!X54&amp;"|"&amp;Raw_Data!Y54&amp;"|"&amp;Raw_Data!Z54&amp;"|"&amp;Raw_Data!AA54&amp;"|"&amp;Raw_Data!AB54&amp;"|"&amp;Raw_Data!AC54&amp;"|"&amp;Raw_Data!AD54&amp;"|"&amp;Raw_Data!AE54&amp;"|"&amp;Raw_Data!AF54&amp;"|"&amp;Raw_Data!AG54&amp;"|"&amp;Raw_Data!AH54&amp;"|"&amp;Raw_Data!AI54&amp;"|"&amp;Raw_Data!AJ54&amp;"|"&amp;Raw_Data!AK54&amp;"|"&amp;Raw_Data!AL54&amp;"|"&amp;Raw_Data!AM54&amp;"|"&amp;Raw_Data!AN54&amp;"|"&amp;Raw_Data!AO54</f>
        <v>0|2|2|1|2|2|3|2|1|22|3|2|4|4|4|2|2|2|3|4|4|4|4|2|4|4|2|2|2|2|3|3|4|4|4|4|2|4|3|3|3</v>
      </c>
      <c r="Q56" s="3" t="n">
        <f aca="false">COUNTIF($P$4:$P$513,P56)</f>
        <v>1</v>
      </c>
    </row>
    <row r="57" customFormat="false" ht="15" hidden="false" customHeight="false" outlineLevel="0" collapsed="false">
      <c r="O57" s="3" t="n">
        <v>55</v>
      </c>
      <c r="P57" s="3" t="str">
        <f aca="false">Raw_Data!A55&amp;"|"&amp;Raw_Data!B55&amp;"|"&amp;Raw_Data!C55&amp;"|"&amp;Raw_Data!D55&amp;"|"&amp;Raw_Data!E55&amp;"|"&amp;Raw_Data!F55&amp;"|"&amp;Raw_Data!G55&amp;"|"&amp;Raw_Data!H55&amp;"|"&amp;Raw_Data!I55&amp;"|"&amp;Raw_Data!J55&amp;"|"&amp;Raw_Data!K55&amp;"|"&amp;Raw_Data!L55&amp;"|"&amp;Raw_Data!M55&amp;"|"&amp;Raw_Data!N55&amp;"|"&amp;Raw_Data!O55&amp;"|"&amp;Raw_Data!P55&amp;"|"&amp;Raw_Data!Q55&amp;"|"&amp;Raw_Data!R55&amp;"|"&amp;Raw_Data!S55&amp;"|"&amp;Raw_Data!T55&amp;"|"&amp;Raw_Data!U55&amp;"|"&amp;Raw_Data!V55&amp;"|"&amp;Raw_Data!W55&amp;"|"&amp;Raw_Data!X55&amp;"|"&amp;Raw_Data!Y55&amp;"|"&amp;Raw_Data!Z55&amp;"|"&amp;Raw_Data!AA55&amp;"|"&amp;Raw_Data!AB55&amp;"|"&amp;Raw_Data!AC55&amp;"|"&amp;Raw_Data!AD55&amp;"|"&amp;Raw_Data!AE55&amp;"|"&amp;Raw_Data!AF55&amp;"|"&amp;Raw_Data!AG55&amp;"|"&amp;Raw_Data!AH55&amp;"|"&amp;Raw_Data!AI55&amp;"|"&amp;Raw_Data!AJ55&amp;"|"&amp;Raw_Data!AK55&amp;"|"&amp;Raw_Data!AL55&amp;"|"&amp;Raw_Data!AM55&amp;"|"&amp;Raw_Data!AN55&amp;"|"&amp;Raw_Data!AO55</f>
        <v>0|3|2|1|2|2|3|2|1|21|5|3|4|3|4|3|5|4|4|2|3|4|3|4|3|4|4|4|5|2|3|1|2|3|2|4|3|4|4|4|4</v>
      </c>
      <c r="Q57" s="3" t="n">
        <f aca="false">COUNTIF($P$4:$P$513,P57)</f>
        <v>1</v>
      </c>
    </row>
    <row r="58" customFormat="false" ht="15" hidden="false" customHeight="false" outlineLevel="0" collapsed="false">
      <c r="O58" s="3" t="n">
        <v>56</v>
      </c>
      <c r="P58" s="3" t="str">
        <f aca="false">Raw_Data!A56&amp;"|"&amp;Raw_Data!B56&amp;"|"&amp;Raw_Data!C56&amp;"|"&amp;Raw_Data!D56&amp;"|"&amp;Raw_Data!E56&amp;"|"&amp;Raw_Data!F56&amp;"|"&amp;Raw_Data!G56&amp;"|"&amp;Raw_Data!H56&amp;"|"&amp;Raw_Data!I56&amp;"|"&amp;Raw_Data!J56&amp;"|"&amp;Raw_Data!K56&amp;"|"&amp;Raw_Data!L56&amp;"|"&amp;Raw_Data!M56&amp;"|"&amp;Raw_Data!N56&amp;"|"&amp;Raw_Data!O56&amp;"|"&amp;Raw_Data!P56&amp;"|"&amp;Raw_Data!Q56&amp;"|"&amp;Raw_Data!R56&amp;"|"&amp;Raw_Data!S56&amp;"|"&amp;Raw_Data!T56&amp;"|"&amp;Raw_Data!U56&amp;"|"&amp;Raw_Data!V56&amp;"|"&amp;Raw_Data!W56&amp;"|"&amp;Raw_Data!X56&amp;"|"&amp;Raw_Data!Y56&amp;"|"&amp;Raw_Data!Z56&amp;"|"&amp;Raw_Data!AA56&amp;"|"&amp;Raw_Data!AB56&amp;"|"&amp;Raw_Data!AC56&amp;"|"&amp;Raw_Data!AD56&amp;"|"&amp;Raw_Data!AE56&amp;"|"&amp;Raw_Data!AF56&amp;"|"&amp;Raw_Data!AG56&amp;"|"&amp;Raw_Data!AH56&amp;"|"&amp;Raw_Data!AI56&amp;"|"&amp;Raw_Data!AJ56&amp;"|"&amp;Raw_Data!AK56&amp;"|"&amp;Raw_Data!AL56&amp;"|"&amp;Raw_Data!AM56&amp;"|"&amp;Raw_Data!AN56&amp;"|"&amp;Raw_Data!AO56</f>
        <v>0|3|1|2|2|2|1|1|1|23|2|5|4|3|3|3|3|3|3|3|3|4|3|2|4|2|4|3|4|4|3|4|5|3|3|4|4|4|3|2|3</v>
      </c>
      <c r="Q58" s="3" t="n">
        <f aca="false">COUNTIF($P$4:$P$513,P58)</f>
        <v>1</v>
      </c>
    </row>
    <row r="59" customFormat="false" ht="15" hidden="false" customHeight="false" outlineLevel="0" collapsed="false">
      <c r="O59" s="3" t="n">
        <v>57</v>
      </c>
      <c r="P59" s="3" t="str">
        <f aca="false">Raw_Data!A57&amp;"|"&amp;Raw_Data!B57&amp;"|"&amp;Raw_Data!C57&amp;"|"&amp;Raw_Data!D57&amp;"|"&amp;Raw_Data!E57&amp;"|"&amp;Raw_Data!F57&amp;"|"&amp;Raw_Data!G57&amp;"|"&amp;Raw_Data!H57&amp;"|"&amp;Raw_Data!I57&amp;"|"&amp;Raw_Data!J57&amp;"|"&amp;Raw_Data!K57&amp;"|"&amp;Raw_Data!L57&amp;"|"&amp;Raw_Data!M57&amp;"|"&amp;Raw_Data!N57&amp;"|"&amp;Raw_Data!O57&amp;"|"&amp;Raw_Data!P57&amp;"|"&amp;Raw_Data!Q57&amp;"|"&amp;Raw_Data!R57&amp;"|"&amp;Raw_Data!S57&amp;"|"&amp;Raw_Data!T57&amp;"|"&amp;Raw_Data!U57&amp;"|"&amp;Raw_Data!V57&amp;"|"&amp;Raw_Data!W57&amp;"|"&amp;Raw_Data!X57&amp;"|"&amp;Raw_Data!Y57&amp;"|"&amp;Raw_Data!Z57&amp;"|"&amp;Raw_Data!AA57&amp;"|"&amp;Raw_Data!AB57&amp;"|"&amp;Raw_Data!AC57&amp;"|"&amp;Raw_Data!AD57&amp;"|"&amp;Raw_Data!AE57&amp;"|"&amp;Raw_Data!AF57&amp;"|"&amp;Raw_Data!AG57&amp;"|"&amp;Raw_Data!AH57&amp;"|"&amp;Raw_Data!AI57&amp;"|"&amp;Raw_Data!AJ57&amp;"|"&amp;Raw_Data!AK57&amp;"|"&amp;Raw_Data!AL57&amp;"|"&amp;Raw_Data!AM57&amp;"|"&amp;Raw_Data!AN57&amp;"|"&amp;Raw_Data!AO57</f>
        <v>1|3|1|1|2|2|2|2|1|22|3|3|3|3|4|3|4|4|4|5|4|4|3|4|4|5|3|3|2|2|4|4|3|4|4|4|3|5|4|2|3</v>
      </c>
      <c r="Q59" s="3" t="n">
        <f aca="false">COUNTIF($P$4:$P$513,P59)</f>
        <v>1</v>
      </c>
    </row>
    <row r="60" customFormat="false" ht="15" hidden="false" customHeight="false" outlineLevel="0" collapsed="false">
      <c r="O60" s="3" t="n">
        <v>58</v>
      </c>
      <c r="P60" s="3" t="str">
        <f aca="false">Raw_Data!A58&amp;"|"&amp;Raw_Data!B58&amp;"|"&amp;Raw_Data!C58&amp;"|"&amp;Raw_Data!D58&amp;"|"&amp;Raw_Data!E58&amp;"|"&amp;Raw_Data!F58&amp;"|"&amp;Raw_Data!G58&amp;"|"&amp;Raw_Data!H58&amp;"|"&amp;Raw_Data!I58&amp;"|"&amp;Raw_Data!J58&amp;"|"&amp;Raw_Data!K58&amp;"|"&amp;Raw_Data!L58&amp;"|"&amp;Raw_Data!M58&amp;"|"&amp;Raw_Data!N58&amp;"|"&amp;Raw_Data!O58&amp;"|"&amp;Raw_Data!P58&amp;"|"&amp;Raw_Data!Q58&amp;"|"&amp;Raw_Data!R58&amp;"|"&amp;Raw_Data!S58&amp;"|"&amp;Raw_Data!T58&amp;"|"&amp;Raw_Data!U58&amp;"|"&amp;Raw_Data!V58&amp;"|"&amp;Raw_Data!W58&amp;"|"&amp;Raw_Data!X58&amp;"|"&amp;Raw_Data!Y58&amp;"|"&amp;Raw_Data!Z58&amp;"|"&amp;Raw_Data!AA58&amp;"|"&amp;Raw_Data!AB58&amp;"|"&amp;Raw_Data!AC58&amp;"|"&amp;Raw_Data!AD58&amp;"|"&amp;Raw_Data!AE58&amp;"|"&amp;Raw_Data!AF58&amp;"|"&amp;Raw_Data!AG58&amp;"|"&amp;Raw_Data!AH58&amp;"|"&amp;Raw_Data!AI58&amp;"|"&amp;Raw_Data!AJ58&amp;"|"&amp;Raw_Data!AK58&amp;"|"&amp;Raw_Data!AL58&amp;"|"&amp;Raw_Data!AM58&amp;"|"&amp;Raw_Data!AN58&amp;"|"&amp;Raw_Data!AO58</f>
        <v>0|4|1|2|2|2|4|2|3|24|3|3|2|3|3|1|4|4|4|5|5|4|4|4|4|4|5|3|1|1|4|3|4|5|4|4|1|5|3|3|5</v>
      </c>
      <c r="Q60" s="3" t="n">
        <f aca="false">COUNTIF($P$4:$P$513,P60)</f>
        <v>1</v>
      </c>
    </row>
    <row r="61" customFormat="false" ht="15" hidden="false" customHeight="false" outlineLevel="0" collapsed="false">
      <c r="O61" s="3" t="n">
        <v>59</v>
      </c>
      <c r="P61" s="3" t="str">
        <f aca="false">Raw_Data!A59&amp;"|"&amp;Raw_Data!B59&amp;"|"&amp;Raw_Data!C59&amp;"|"&amp;Raw_Data!D59&amp;"|"&amp;Raw_Data!E59&amp;"|"&amp;Raw_Data!F59&amp;"|"&amp;Raw_Data!G59&amp;"|"&amp;Raw_Data!H59&amp;"|"&amp;Raw_Data!I59&amp;"|"&amp;Raw_Data!J59&amp;"|"&amp;Raw_Data!K59&amp;"|"&amp;Raw_Data!L59&amp;"|"&amp;Raw_Data!M59&amp;"|"&amp;Raw_Data!N59&amp;"|"&amp;Raw_Data!O59&amp;"|"&amp;Raw_Data!P59&amp;"|"&amp;Raw_Data!Q59&amp;"|"&amp;Raw_Data!R59&amp;"|"&amp;Raw_Data!S59&amp;"|"&amp;Raw_Data!T59&amp;"|"&amp;Raw_Data!U59&amp;"|"&amp;Raw_Data!V59&amp;"|"&amp;Raw_Data!W59&amp;"|"&amp;Raw_Data!X59&amp;"|"&amp;Raw_Data!Y59&amp;"|"&amp;Raw_Data!Z59&amp;"|"&amp;Raw_Data!AA59&amp;"|"&amp;Raw_Data!AB59&amp;"|"&amp;Raw_Data!AC59&amp;"|"&amp;Raw_Data!AD59&amp;"|"&amp;Raw_Data!AE59&amp;"|"&amp;Raw_Data!AF59&amp;"|"&amp;Raw_Data!AG59&amp;"|"&amp;Raw_Data!AH59&amp;"|"&amp;Raw_Data!AI59&amp;"|"&amp;Raw_Data!AJ59&amp;"|"&amp;Raw_Data!AK59&amp;"|"&amp;Raw_Data!AL59&amp;"|"&amp;Raw_Data!AM59&amp;"|"&amp;Raw_Data!AN59&amp;"|"&amp;Raw_Data!AO59</f>
        <v>0|4|1|2|2|2|2|2|1|23|4|3|2|3|5|2|4|4|4|5|3|5|4|2|4|4|4|3|2|2|4|4|5|2|2|5|5|4|3|2|4</v>
      </c>
      <c r="Q61" s="3" t="n">
        <f aca="false">COUNTIF($P$4:$P$513,P61)</f>
        <v>1</v>
      </c>
    </row>
    <row r="62" customFormat="false" ht="15" hidden="false" customHeight="false" outlineLevel="0" collapsed="false">
      <c r="O62" s="3" t="n">
        <v>60</v>
      </c>
      <c r="P62" s="3" t="str">
        <f aca="false">Raw_Data!A60&amp;"|"&amp;Raw_Data!B60&amp;"|"&amp;Raw_Data!C60&amp;"|"&amp;Raw_Data!D60&amp;"|"&amp;Raw_Data!E60&amp;"|"&amp;Raw_Data!F60&amp;"|"&amp;Raw_Data!G60&amp;"|"&amp;Raw_Data!H60&amp;"|"&amp;Raw_Data!I60&amp;"|"&amp;Raw_Data!J60&amp;"|"&amp;Raw_Data!K60&amp;"|"&amp;Raw_Data!L60&amp;"|"&amp;Raw_Data!M60&amp;"|"&amp;Raw_Data!N60&amp;"|"&amp;Raw_Data!O60&amp;"|"&amp;Raw_Data!P60&amp;"|"&amp;Raw_Data!Q60&amp;"|"&amp;Raw_Data!R60&amp;"|"&amp;Raw_Data!S60&amp;"|"&amp;Raw_Data!T60&amp;"|"&amp;Raw_Data!U60&amp;"|"&amp;Raw_Data!V60&amp;"|"&amp;Raw_Data!W60&amp;"|"&amp;Raw_Data!X60&amp;"|"&amp;Raw_Data!Y60&amp;"|"&amp;Raw_Data!Z60&amp;"|"&amp;Raw_Data!AA60&amp;"|"&amp;Raw_Data!AB60&amp;"|"&amp;Raw_Data!AC60&amp;"|"&amp;Raw_Data!AD60&amp;"|"&amp;Raw_Data!AE60&amp;"|"&amp;Raw_Data!AF60&amp;"|"&amp;Raw_Data!AG60&amp;"|"&amp;Raw_Data!AH60&amp;"|"&amp;Raw_Data!AI60&amp;"|"&amp;Raw_Data!AJ60&amp;"|"&amp;Raw_Data!AK60&amp;"|"&amp;Raw_Data!AL60&amp;"|"&amp;Raw_Data!AM60&amp;"|"&amp;Raw_Data!AN60&amp;"|"&amp;Raw_Data!AO60</f>
        <v>1|4|1|1|2|2|4|2|2|23|3|4|3|4|5|5|4|4|5|4|4|4|4|4|4|3|4|4|2|4|3|2|4|2|2|5|4|5|5|2|4</v>
      </c>
      <c r="Q62" s="3" t="n">
        <f aca="false">COUNTIF($P$4:$P$513,P62)</f>
        <v>1</v>
      </c>
    </row>
    <row r="63" customFormat="false" ht="15" hidden="false" customHeight="false" outlineLevel="0" collapsed="false">
      <c r="O63" s="3" t="n">
        <v>61</v>
      </c>
      <c r="P63" s="3" t="str">
        <f aca="false">Raw_Data!A61&amp;"|"&amp;Raw_Data!B61&amp;"|"&amp;Raw_Data!C61&amp;"|"&amp;Raw_Data!D61&amp;"|"&amp;Raw_Data!E61&amp;"|"&amp;Raw_Data!F61&amp;"|"&amp;Raw_Data!G61&amp;"|"&amp;Raw_Data!H61&amp;"|"&amp;Raw_Data!I61&amp;"|"&amp;Raw_Data!J61&amp;"|"&amp;Raw_Data!K61&amp;"|"&amp;Raw_Data!L61&amp;"|"&amp;Raw_Data!M61&amp;"|"&amp;Raw_Data!N61&amp;"|"&amp;Raw_Data!O61&amp;"|"&amp;Raw_Data!P61&amp;"|"&amp;Raw_Data!Q61&amp;"|"&amp;Raw_Data!R61&amp;"|"&amp;Raw_Data!S61&amp;"|"&amp;Raw_Data!T61&amp;"|"&amp;Raw_Data!U61&amp;"|"&amp;Raw_Data!V61&amp;"|"&amp;Raw_Data!W61&amp;"|"&amp;Raw_Data!X61&amp;"|"&amp;Raw_Data!Y61&amp;"|"&amp;Raw_Data!Z61&amp;"|"&amp;Raw_Data!AA61&amp;"|"&amp;Raw_Data!AB61&amp;"|"&amp;Raw_Data!AC61&amp;"|"&amp;Raw_Data!AD61&amp;"|"&amp;Raw_Data!AE61&amp;"|"&amp;Raw_Data!AF61&amp;"|"&amp;Raw_Data!AG61&amp;"|"&amp;Raw_Data!AH61&amp;"|"&amp;Raw_Data!AI61&amp;"|"&amp;Raw_Data!AJ61&amp;"|"&amp;Raw_Data!AK61&amp;"|"&amp;Raw_Data!AL61&amp;"|"&amp;Raw_Data!AM61&amp;"|"&amp;Raw_Data!AN61&amp;"|"&amp;Raw_Data!AO61</f>
        <v>0|4|1|2|2|2|3|1|1|26|4|4|4|3|4|4|3|3|5|5|5|4|3|3|3|4|3|2|3|3|5|5|3|3|3|5|3|5|5|3|3</v>
      </c>
      <c r="Q63" s="3" t="n">
        <f aca="false">COUNTIF($P$4:$P$513,P63)</f>
        <v>1</v>
      </c>
    </row>
    <row r="64" customFormat="false" ht="15" hidden="false" customHeight="false" outlineLevel="0" collapsed="false">
      <c r="O64" s="3" t="n">
        <v>62</v>
      </c>
      <c r="P64" s="3" t="str">
        <f aca="false">Raw_Data!A62&amp;"|"&amp;Raw_Data!B62&amp;"|"&amp;Raw_Data!C62&amp;"|"&amp;Raw_Data!D62&amp;"|"&amp;Raw_Data!E62&amp;"|"&amp;Raw_Data!F62&amp;"|"&amp;Raw_Data!G62&amp;"|"&amp;Raw_Data!H62&amp;"|"&amp;Raw_Data!I62&amp;"|"&amp;Raw_Data!J62&amp;"|"&amp;Raw_Data!K62&amp;"|"&amp;Raw_Data!L62&amp;"|"&amp;Raw_Data!M62&amp;"|"&amp;Raw_Data!N62&amp;"|"&amp;Raw_Data!O62&amp;"|"&amp;Raw_Data!P62&amp;"|"&amp;Raw_Data!Q62&amp;"|"&amp;Raw_Data!R62&amp;"|"&amp;Raw_Data!S62&amp;"|"&amp;Raw_Data!T62&amp;"|"&amp;Raw_Data!U62&amp;"|"&amp;Raw_Data!V62&amp;"|"&amp;Raw_Data!W62&amp;"|"&amp;Raw_Data!X62&amp;"|"&amp;Raw_Data!Y62&amp;"|"&amp;Raw_Data!Z62&amp;"|"&amp;Raw_Data!AA62&amp;"|"&amp;Raw_Data!AB62&amp;"|"&amp;Raw_Data!AC62&amp;"|"&amp;Raw_Data!AD62&amp;"|"&amp;Raw_Data!AE62&amp;"|"&amp;Raw_Data!AF62&amp;"|"&amp;Raw_Data!AG62&amp;"|"&amp;Raw_Data!AH62&amp;"|"&amp;Raw_Data!AI62&amp;"|"&amp;Raw_Data!AJ62&amp;"|"&amp;Raw_Data!AK62&amp;"|"&amp;Raw_Data!AL62&amp;"|"&amp;Raw_Data!AM62&amp;"|"&amp;Raw_Data!AN62&amp;"|"&amp;Raw_Data!AO62</f>
        <v>0|6|1|1|2|2|1|3|1|22|3|3|4|3|4|4|3|3|4|4|4|3|3|3|3|4|3|2|2|2|4|3|4|4|3|3|3|4|3|3|4</v>
      </c>
      <c r="Q64" s="3" t="n">
        <f aca="false">COUNTIF($P$4:$P$513,P64)</f>
        <v>1</v>
      </c>
    </row>
    <row r="65" customFormat="false" ht="15" hidden="false" customHeight="false" outlineLevel="0" collapsed="false">
      <c r="O65" s="3" t="n">
        <v>63</v>
      </c>
      <c r="P65" s="3" t="str">
        <f aca="false">Raw_Data!A63&amp;"|"&amp;Raw_Data!B63&amp;"|"&amp;Raw_Data!C63&amp;"|"&amp;Raw_Data!D63&amp;"|"&amp;Raw_Data!E63&amp;"|"&amp;Raw_Data!F63&amp;"|"&amp;Raw_Data!G63&amp;"|"&amp;Raw_Data!H63&amp;"|"&amp;Raw_Data!I63&amp;"|"&amp;Raw_Data!J63&amp;"|"&amp;Raw_Data!K63&amp;"|"&amp;Raw_Data!L63&amp;"|"&amp;Raw_Data!M63&amp;"|"&amp;Raw_Data!N63&amp;"|"&amp;Raw_Data!O63&amp;"|"&amp;Raw_Data!P63&amp;"|"&amp;Raw_Data!Q63&amp;"|"&amp;Raw_Data!R63&amp;"|"&amp;Raw_Data!S63&amp;"|"&amp;Raw_Data!T63&amp;"|"&amp;Raw_Data!U63&amp;"|"&amp;Raw_Data!V63&amp;"|"&amp;Raw_Data!W63&amp;"|"&amp;Raw_Data!X63&amp;"|"&amp;Raw_Data!Y63&amp;"|"&amp;Raw_Data!Z63&amp;"|"&amp;Raw_Data!AA63&amp;"|"&amp;Raw_Data!AB63&amp;"|"&amp;Raw_Data!AC63&amp;"|"&amp;Raw_Data!AD63&amp;"|"&amp;Raw_Data!AE63&amp;"|"&amp;Raw_Data!AF63&amp;"|"&amp;Raw_Data!AG63&amp;"|"&amp;Raw_Data!AH63&amp;"|"&amp;Raw_Data!AI63&amp;"|"&amp;Raw_Data!AJ63&amp;"|"&amp;Raw_Data!AK63&amp;"|"&amp;Raw_Data!AL63&amp;"|"&amp;Raw_Data!AM63&amp;"|"&amp;Raw_Data!AN63&amp;"|"&amp;Raw_Data!AO63</f>
        <v>0|4|2|2|2|2|4|1|3|24|2|2|2|3|3|4|3|2|4|4|3|4|4|4|4|4|2|3|2|2|2|2|2|3|3|4|4|3|2|2|2</v>
      </c>
      <c r="Q65" s="3" t="n">
        <f aca="false">COUNTIF($P$4:$P$513,P65)</f>
        <v>1</v>
      </c>
    </row>
    <row r="66" customFormat="false" ht="15" hidden="false" customHeight="false" outlineLevel="0" collapsed="false">
      <c r="O66" s="3" t="n">
        <v>64</v>
      </c>
      <c r="P66" s="3" t="str">
        <f aca="false">Raw_Data!A64&amp;"|"&amp;Raw_Data!B64&amp;"|"&amp;Raw_Data!C64&amp;"|"&amp;Raw_Data!D64&amp;"|"&amp;Raw_Data!E64&amp;"|"&amp;Raw_Data!F64&amp;"|"&amp;Raw_Data!G64&amp;"|"&amp;Raw_Data!H64&amp;"|"&amp;Raw_Data!I64&amp;"|"&amp;Raw_Data!J64&amp;"|"&amp;Raw_Data!K64&amp;"|"&amp;Raw_Data!L64&amp;"|"&amp;Raw_Data!M64&amp;"|"&amp;Raw_Data!N64&amp;"|"&amp;Raw_Data!O64&amp;"|"&amp;Raw_Data!P64&amp;"|"&amp;Raw_Data!Q64&amp;"|"&amp;Raw_Data!R64&amp;"|"&amp;Raw_Data!S64&amp;"|"&amp;Raw_Data!T64&amp;"|"&amp;Raw_Data!U64&amp;"|"&amp;Raw_Data!V64&amp;"|"&amp;Raw_Data!W64&amp;"|"&amp;Raw_Data!X64&amp;"|"&amp;Raw_Data!Y64&amp;"|"&amp;Raw_Data!Z64&amp;"|"&amp;Raw_Data!AA64&amp;"|"&amp;Raw_Data!AB64&amp;"|"&amp;Raw_Data!AC64&amp;"|"&amp;Raw_Data!AD64&amp;"|"&amp;Raw_Data!AE64&amp;"|"&amp;Raw_Data!AF64&amp;"|"&amp;Raw_Data!AG64&amp;"|"&amp;Raw_Data!AH64&amp;"|"&amp;Raw_Data!AI64&amp;"|"&amp;Raw_Data!AJ64&amp;"|"&amp;Raw_Data!AK64&amp;"|"&amp;Raw_Data!AL64&amp;"|"&amp;Raw_Data!AM64&amp;"|"&amp;Raw_Data!AN64&amp;"|"&amp;Raw_Data!AO64</f>
        <v>0|4|1|1|2|2|1|2|1|23|3|5|5|4|2|4|3|4|4|5|4|4|5|4|4|4|2|2|2|2|4|3|4|4|4|5|3|4|4|4|4</v>
      </c>
      <c r="Q66" s="3" t="n">
        <f aca="false">COUNTIF($P$4:$P$513,P66)</f>
        <v>1</v>
      </c>
    </row>
    <row r="67" customFormat="false" ht="15" hidden="false" customHeight="false" outlineLevel="0" collapsed="false">
      <c r="O67" s="3" t="n">
        <v>65</v>
      </c>
      <c r="P67" s="3" t="str">
        <f aca="false">Raw_Data!A65&amp;"|"&amp;Raw_Data!B65&amp;"|"&amp;Raw_Data!C65&amp;"|"&amp;Raw_Data!D65&amp;"|"&amp;Raw_Data!E65&amp;"|"&amp;Raw_Data!F65&amp;"|"&amp;Raw_Data!G65&amp;"|"&amp;Raw_Data!H65&amp;"|"&amp;Raw_Data!I65&amp;"|"&amp;Raw_Data!J65&amp;"|"&amp;Raw_Data!K65&amp;"|"&amp;Raw_Data!L65&amp;"|"&amp;Raw_Data!M65&amp;"|"&amp;Raw_Data!N65&amp;"|"&amp;Raw_Data!O65&amp;"|"&amp;Raw_Data!P65&amp;"|"&amp;Raw_Data!Q65&amp;"|"&amp;Raw_Data!R65&amp;"|"&amp;Raw_Data!S65&amp;"|"&amp;Raw_Data!T65&amp;"|"&amp;Raw_Data!U65&amp;"|"&amp;Raw_Data!V65&amp;"|"&amp;Raw_Data!W65&amp;"|"&amp;Raw_Data!X65&amp;"|"&amp;Raw_Data!Y65&amp;"|"&amp;Raw_Data!Z65&amp;"|"&amp;Raw_Data!AA65&amp;"|"&amp;Raw_Data!AB65&amp;"|"&amp;Raw_Data!AC65&amp;"|"&amp;Raw_Data!AD65&amp;"|"&amp;Raw_Data!AE65&amp;"|"&amp;Raw_Data!AF65&amp;"|"&amp;Raw_Data!AG65&amp;"|"&amp;Raw_Data!AH65&amp;"|"&amp;Raw_Data!AI65&amp;"|"&amp;Raw_Data!AJ65&amp;"|"&amp;Raw_Data!AK65&amp;"|"&amp;Raw_Data!AL65&amp;"|"&amp;Raw_Data!AM65&amp;"|"&amp;Raw_Data!AN65&amp;"|"&amp;Raw_Data!AO65</f>
        <v>0|3|2|1|2|2|2|3|1|21|3|3|2|4|2|2|2|2|3|5|4|2|4|3|3|3|4|4|2|2|2|1|3|2|3|4|2|5|3|2|2</v>
      </c>
      <c r="Q67" s="3" t="n">
        <f aca="false">COUNTIF($P$4:$P$513,P67)</f>
        <v>1</v>
      </c>
    </row>
    <row r="68" customFormat="false" ht="15" hidden="false" customHeight="false" outlineLevel="0" collapsed="false">
      <c r="O68" s="3" t="n">
        <v>66</v>
      </c>
      <c r="P68" s="3" t="str">
        <f aca="false">Raw_Data!A66&amp;"|"&amp;Raw_Data!B66&amp;"|"&amp;Raw_Data!C66&amp;"|"&amp;Raw_Data!D66&amp;"|"&amp;Raw_Data!E66&amp;"|"&amp;Raw_Data!F66&amp;"|"&amp;Raw_Data!G66&amp;"|"&amp;Raw_Data!H66&amp;"|"&amp;Raw_Data!I66&amp;"|"&amp;Raw_Data!J66&amp;"|"&amp;Raw_Data!K66&amp;"|"&amp;Raw_Data!L66&amp;"|"&amp;Raw_Data!M66&amp;"|"&amp;Raw_Data!N66&amp;"|"&amp;Raw_Data!O66&amp;"|"&amp;Raw_Data!P66&amp;"|"&amp;Raw_Data!Q66&amp;"|"&amp;Raw_Data!R66&amp;"|"&amp;Raw_Data!S66&amp;"|"&amp;Raw_Data!T66&amp;"|"&amp;Raw_Data!U66&amp;"|"&amp;Raw_Data!V66&amp;"|"&amp;Raw_Data!W66&amp;"|"&amp;Raw_Data!X66&amp;"|"&amp;Raw_Data!Y66&amp;"|"&amp;Raw_Data!Z66&amp;"|"&amp;Raw_Data!AA66&amp;"|"&amp;Raw_Data!AB66&amp;"|"&amp;Raw_Data!AC66&amp;"|"&amp;Raw_Data!AD66&amp;"|"&amp;Raw_Data!AE66&amp;"|"&amp;Raw_Data!AF66&amp;"|"&amp;Raw_Data!AG66&amp;"|"&amp;Raw_Data!AH66&amp;"|"&amp;Raw_Data!AI66&amp;"|"&amp;Raw_Data!AJ66&amp;"|"&amp;Raw_Data!AK66&amp;"|"&amp;Raw_Data!AL66&amp;"|"&amp;Raw_Data!AM66&amp;"|"&amp;Raw_Data!AN66&amp;"|"&amp;Raw_Data!AO66</f>
        <v>0|3|1|1|2|2|3|2|3|24|3|2|4|3|2|4|4|1|3|3|4|3|4|2|3|4|4|2|1|1|2|2|2|4|4|2|3|3|3|2|2</v>
      </c>
      <c r="Q68" s="3" t="n">
        <f aca="false">COUNTIF($P$4:$P$513,P68)</f>
        <v>1</v>
      </c>
    </row>
    <row r="69" customFormat="false" ht="15" hidden="false" customHeight="false" outlineLevel="0" collapsed="false">
      <c r="O69" s="3" t="n">
        <v>67</v>
      </c>
      <c r="P69" s="3" t="str">
        <f aca="false">Raw_Data!A67&amp;"|"&amp;Raw_Data!B67&amp;"|"&amp;Raw_Data!C67&amp;"|"&amp;Raw_Data!D67&amp;"|"&amp;Raw_Data!E67&amp;"|"&amp;Raw_Data!F67&amp;"|"&amp;Raw_Data!G67&amp;"|"&amp;Raw_Data!H67&amp;"|"&amp;Raw_Data!I67&amp;"|"&amp;Raw_Data!J67&amp;"|"&amp;Raw_Data!K67&amp;"|"&amp;Raw_Data!L67&amp;"|"&amp;Raw_Data!M67&amp;"|"&amp;Raw_Data!N67&amp;"|"&amp;Raw_Data!O67&amp;"|"&amp;Raw_Data!P67&amp;"|"&amp;Raw_Data!Q67&amp;"|"&amp;Raw_Data!R67&amp;"|"&amp;Raw_Data!S67&amp;"|"&amp;Raw_Data!T67&amp;"|"&amp;Raw_Data!U67&amp;"|"&amp;Raw_Data!V67&amp;"|"&amp;Raw_Data!W67&amp;"|"&amp;Raw_Data!X67&amp;"|"&amp;Raw_Data!Y67&amp;"|"&amp;Raw_Data!Z67&amp;"|"&amp;Raw_Data!AA67&amp;"|"&amp;Raw_Data!AB67&amp;"|"&amp;Raw_Data!AC67&amp;"|"&amp;Raw_Data!AD67&amp;"|"&amp;Raw_Data!AE67&amp;"|"&amp;Raw_Data!AF67&amp;"|"&amp;Raw_Data!AG67&amp;"|"&amp;Raw_Data!AH67&amp;"|"&amp;Raw_Data!AI67&amp;"|"&amp;Raw_Data!AJ67&amp;"|"&amp;Raw_Data!AK67&amp;"|"&amp;Raw_Data!AL67&amp;"|"&amp;Raw_Data!AM67&amp;"|"&amp;Raw_Data!AN67&amp;"|"&amp;Raw_Data!AO67</f>
        <v>0|3|1|1|2|2|2|3|1|22|4|3|4|4|3|4|4|3|5|4|4|3|4|4|2|4|4|4|2|2|3|2|3|3|3|5|2|4|4|3|2</v>
      </c>
      <c r="Q69" s="3" t="n">
        <f aca="false">COUNTIF($P$4:$P$513,P69)</f>
        <v>1</v>
      </c>
    </row>
    <row r="70" customFormat="false" ht="15" hidden="false" customHeight="false" outlineLevel="0" collapsed="false">
      <c r="O70" s="3" t="n">
        <v>68</v>
      </c>
      <c r="P70" s="3" t="str">
        <f aca="false">Raw_Data!A68&amp;"|"&amp;Raw_Data!B68&amp;"|"&amp;Raw_Data!C68&amp;"|"&amp;Raw_Data!D68&amp;"|"&amp;Raw_Data!E68&amp;"|"&amp;Raw_Data!F68&amp;"|"&amp;Raw_Data!G68&amp;"|"&amp;Raw_Data!H68&amp;"|"&amp;Raw_Data!I68&amp;"|"&amp;Raw_Data!J68&amp;"|"&amp;Raw_Data!K68&amp;"|"&amp;Raw_Data!L68&amp;"|"&amp;Raw_Data!M68&amp;"|"&amp;Raw_Data!N68&amp;"|"&amp;Raw_Data!O68&amp;"|"&amp;Raw_Data!P68&amp;"|"&amp;Raw_Data!Q68&amp;"|"&amp;Raw_Data!R68&amp;"|"&amp;Raw_Data!S68&amp;"|"&amp;Raw_Data!T68&amp;"|"&amp;Raw_Data!U68&amp;"|"&amp;Raw_Data!V68&amp;"|"&amp;Raw_Data!W68&amp;"|"&amp;Raw_Data!X68&amp;"|"&amp;Raw_Data!Y68&amp;"|"&amp;Raw_Data!Z68&amp;"|"&amp;Raw_Data!AA68&amp;"|"&amp;Raw_Data!AB68&amp;"|"&amp;Raw_Data!AC68&amp;"|"&amp;Raw_Data!AD68&amp;"|"&amp;Raw_Data!AE68&amp;"|"&amp;Raw_Data!AF68&amp;"|"&amp;Raw_Data!AG68&amp;"|"&amp;Raw_Data!AH68&amp;"|"&amp;Raw_Data!AI68&amp;"|"&amp;Raw_Data!AJ68&amp;"|"&amp;Raw_Data!AK68&amp;"|"&amp;Raw_Data!AL68&amp;"|"&amp;Raw_Data!AM68&amp;"|"&amp;Raw_Data!AN68&amp;"|"&amp;Raw_Data!AO68</f>
        <v>1|4|1|2|2|2|3|2|2|24|3|4|4|4|3|3|3|4|4|5|4|3|4|4|4|4|4|2|1|2|4|3|4|4|4|3|4|4|4|4|3</v>
      </c>
      <c r="Q70" s="3" t="n">
        <f aca="false">COUNTIF($P$4:$P$513,P70)</f>
        <v>1</v>
      </c>
    </row>
    <row r="71" customFormat="false" ht="15" hidden="false" customHeight="false" outlineLevel="0" collapsed="false">
      <c r="O71" s="3" t="n">
        <v>69</v>
      </c>
      <c r="P71" s="3" t="str">
        <f aca="false">Raw_Data!A69&amp;"|"&amp;Raw_Data!B69&amp;"|"&amp;Raw_Data!C69&amp;"|"&amp;Raw_Data!D69&amp;"|"&amp;Raw_Data!E69&amp;"|"&amp;Raw_Data!F69&amp;"|"&amp;Raw_Data!G69&amp;"|"&amp;Raw_Data!H69&amp;"|"&amp;Raw_Data!I69&amp;"|"&amp;Raw_Data!J69&amp;"|"&amp;Raw_Data!K69&amp;"|"&amp;Raw_Data!L69&amp;"|"&amp;Raw_Data!M69&amp;"|"&amp;Raw_Data!N69&amp;"|"&amp;Raw_Data!O69&amp;"|"&amp;Raw_Data!P69&amp;"|"&amp;Raw_Data!Q69&amp;"|"&amp;Raw_Data!R69&amp;"|"&amp;Raw_Data!S69&amp;"|"&amp;Raw_Data!T69&amp;"|"&amp;Raw_Data!U69&amp;"|"&amp;Raw_Data!V69&amp;"|"&amp;Raw_Data!W69&amp;"|"&amp;Raw_Data!X69&amp;"|"&amp;Raw_Data!Y69&amp;"|"&amp;Raw_Data!Z69&amp;"|"&amp;Raw_Data!AA69&amp;"|"&amp;Raw_Data!AB69&amp;"|"&amp;Raw_Data!AC69&amp;"|"&amp;Raw_Data!AD69&amp;"|"&amp;Raw_Data!AE69&amp;"|"&amp;Raw_Data!AF69&amp;"|"&amp;Raw_Data!AG69&amp;"|"&amp;Raw_Data!AH69&amp;"|"&amp;Raw_Data!AI69&amp;"|"&amp;Raw_Data!AJ69&amp;"|"&amp;Raw_Data!AK69&amp;"|"&amp;Raw_Data!AL69&amp;"|"&amp;Raw_Data!AM69&amp;"|"&amp;Raw_Data!AN69&amp;"|"&amp;Raw_Data!AO69</f>
        <v>0|3|2|1|2|2|2|3|1|22|3|4|4|3|4|4|3|2|4|4|4|3|4|4|3|4|4|2|2|2|2|2|3|3|2|4|4|4|2|2|3</v>
      </c>
      <c r="Q71" s="3" t="n">
        <f aca="false">COUNTIF($P$4:$P$513,P71)</f>
        <v>1</v>
      </c>
    </row>
    <row r="72" customFormat="false" ht="15" hidden="false" customHeight="false" outlineLevel="0" collapsed="false">
      <c r="O72" s="3" t="n">
        <v>70</v>
      </c>
      <c r="P72" s="3" t="str">
        <f aca="false">Raw_Data!A70&amp;"|"&amp;Raw_Data!B70&amp;"|"&amp;Raw_Data!C70&amp;"|"&amp;Raw_Data!D70&amp;"|"&amp;Raw_Data!E70&amp;"|"&amp;Raw_Data!F70&amp;"|"&amp;Raw_Data!G70&amp;"|"&amp;Raw_Data!H70&amp;"|"&amp;Raw_Data!I70&amp;"|"&amp;Raw_Data!J70&amp;"|"&amp;Raw_Data!K70&amp;"|"&amp;Raw_Data!L70&amp;"|"&amp;Raw_Data!M70&amp;"|"&amp;Raw_Data!N70&amp;"|"&amp;Raw_Data!O70&amp;"|"&amp;Raw_Data!P70&amp;"|"&amp;Raw_Data!Q70&amp;"|"&amp;Raw_Data!R70&amp;"|"&amp;Raw_Data!S70&amp;"|"&amp;Raw_Data!T70&amp;"|"&amp;Raw_Data!U70&amp;"|"&amp;Raw_Data!V70&amp;"|"&amp;Raw_Data!W70&amp;"|"&amp;Raw_Data!X70&amp;"|"&amp;Raw_Data!Y70&amp;"|"&amp;Raw_Data!Z70&amp;"|"&amp;Raw_Data!AA70&amp;"|"&amp;Raw_Data!AB70&amp;"|"&amp;Raw_Data!AC70&amp;"|"&amp;Raw_Data!AD70&amp;"|"&amp;Raw_Data!AE70&amp;"|"&amp;Raw_Data!AF70&amp;"|"&amp;Raw_Data!AG70&amp;"|"&amp;Raw_Data!AH70&amp;"|"&amp;Raw_Data!AI70&amp;"|"&amp;Raw_Data!AJ70&amp;"|"&amp;Raw_Data!AK70&amp;"|"&amp;Raw_Data!AL70&amp;"|"&amp;Raw_Data!AM70&amp;"|"&amp;Raw_Data!AN70&amp;"|"&amp;Raw_Data!AO70</f>
        <v>1|3|1|1|2|2|1|2|1|21|2|3|3|2|3|4|3|4|3|5|3|5|5|4|4|4|4|1|2|2|3|2|2|3|4|4|4|5|4|3|4</v>
      </c>
      <c r="Q72" s="3" t="n">
        <f aca="false">COUNTIF($P$4:$P$513,P72)</f>
        <v>1</v>
      </c>
    </row>
    <row r="73" customFormat="false" ht="15" hidden="false" customHeight="false" outlineLevel="0" collapsed="false">
      <c r="O73" s="3" t="n">
        <v>71</v>
      </c>
      <c r="P73" s="3" t="str">
        <f aca="false">Raw_Data!A71&amp;"|"&amp;Raw_Data!B71&amp;"|"&amp;Raw_Data!C71&amp;"|"&amp;Raw_Data!D71&amp;"|"&amp;Raw_Data!E71&amp;"|"&amp;Raw_Data!F71&amp;"|"&amp;Raw_Data!G71&amp;"|"&amp;Raw_Data!H71&amp;"|"&amp;Raw_Data!I71&amp;"|"&amp;Raw_Data!J71&amp;"|"&amp;Raw_Data!K71&amp;"|"&amp;Raw_Data!L71&amp;"|"&amp;Raw_Data!M71&amp;"|"&amp;Raw_Data!N71&amp;"|"&amp;Raw_Data!O71&amp;"|"&amp;Raw_Data!P71&amp;"|"&amp;Raw_Data!Q71&amp;"|"&amp;Raw_Data!R71&amp;"|"&amp;Raw_Data!S71&amp;"|"&amp;Raw_Data!T71&amp;"|"&amp;Raw_Data!U71&amp;"|"&amp;Raw_Data!V71&amp;"|"&amp;Raw_Data!W71&amp;"|"&amp;Raw_Data!X71&amp;"|"&amp;Raw_Data!Y71&amp;"|"&amp;Raw_Data!Z71&amp;"|"&amp;Raw_Data!AA71&amp;"|"&amp;Raw_Data!AB71&amp;"|"&amp;Raw_Data!AC71&amp;"|"&amp;Raw_Data!AD71&amp;"|"&amp;Raw_Data!AE71&amp;"|"&amp;Raw_Data!AF71&amp;"|"&amp;Raw_Data!AG71&amp;"|"&amp;Raw_Data!AH71&amp;"|"&amp;Raw_Data!AI71&amp;"|"&amp;Raw_Data!AJ71&amp;"|"&amp;Raw_Data!AK71&amp;"|"&amp;Raw_Data!AL71&amp;"|"&amp;Raw_Data!AM71&amp;"|"&amp;Raw_Data!AN71&amp;"|"&amp;Raw_Data!AO71</f>
        <v>0|4|2|1|2|2|3|1|1|23|4|4|4|2|4|3|3|3|4|5|5|2|3|3|2|5|5|3|2|2|4|3|4|4|4|4|2|3|3|3|4</v>
      </c>
      <c r="Q73" s="3" t="n">
        <f aca="false">COUNTIF($P$4:$P$513,P73)</f>
        <v>1</v>
      </c>
    </row>
    <row r="74" customFormat="false" ht="15" hidden="false" customHeight="false" outlineLevel="0" collapsed="false">
      <c r="O74" s="3" t="n">
        <v>72</v>
      </c>
      <c r="P74" s="3" t="str">
        <f aca="false">Raw_Data!A72&amp;"|"&amp;Raw_Data!B72&amp;"|"&amp;Raw_Data!C72&amp;"|"&amp;Raw_Data!D72&amp;"|"&amp;Raw_Data!E72&amp;"|"&amp;Raw_Data!F72&amp;"|"&amp;Raw_Data!G72&amp;"|"&amp;Raw_Data!H72&amp;"|"&amp;Raw_Data!I72&amp;"|"&amp;Raw_Data!J72&amp;"|"&amp;Raw_Data!K72&amp;"|"&amp;Raw_Data!L72&amp;"|"&amp;Raw_Data!M72&amp;"|"&amp;Raw_Data!N72&amp;"|"&amp;Raw_Data!O72&amp;"|"&amp;Raw_Data!P72&amp;"|"&amp;Raw_Data!Q72&amp;"|"&amp;Raw_Data!R72&amp;"|"&amp;Raw_Data!S72&amp;"|"&amp;Raw_Data!T72&amp;"|"&amp;Raw_Data!U72&amp;"|"&amp;Raw_Data!V72&amp;"|"&amp;Raw_Data!W72&amp;"|"&amp;Raw_Data!X72&amp;"|"&amp;Raw_Data!Y72&amp;"|"&amp;Raw_Data!Z72&amp;"|"&amp;Raw_Data!AA72&amp;"|"&amp;Raw_Data!AB72&amp;"|"&amp;Raw_Data!AC72&amp;"|"&amp;Raw_Data!AD72&amp;"|"&amp;Raw_Data!AE72&amp;"|"&amp;Raw_Data!AF72&amp;"|"&amp;Raw_Data!AG72&amp;"|"&amp;Raw_Data!AH72&amp;"|"&amp;Raw_Data!AI72&amp;"|"&amp;Raw_Data!AJ72&amp;"|"&amp;Raw_Data!AK72&amp;"|"&amp;Raw_Data!AL72&amp;"|"&amp;Raw_Data!AM72&amp;"|"&amp;Raw_Data!AN72&amp;"|"&amp;Raw_Data!AO72</f>
        <v>0|3|1|1|2|2|3|3|1|24|3|5|5|3|5|3|3|3|5|5|5|3|4|4|4|3|5|3|2|2|5|3|5|5|5|4|5|4|4|3|3</v>
      </c>
      <c r="Q74" s="3" t="n">
        <f aca="false">COUNTIF($P$4:$P$513,P74)</f>
        <v>1</v>
      </c>
    </row>
    <row r="75" customFormat="false" ht="15" hidden="false" customHeight="false" outlineLevel="0" collapsed="false">
      <c r="O75" s="3" t="n">
        <v>73</v>
      </c>
      <c r="P75" s="3" t="str">
        <f aca="false">Raw_Data!A73&amp;"|"&amp;Raw_Data!B73&amp;"|"&amp;Raw_Data!C73&amp;"|"&amp;Raw_Data!D73&amp;"|"&amp;Raw_Data!E73&amp;"|"&amp;Raw_Data!F73&amp;"|"&amp;Raw_Data!G73&amp;"|"&amp;Raw_Data!H73&amp;"|"&amp;Raw_Data!I73&amp;"|"&amp;Raw_Data!J73&amp;"|"&amp;Raw_Data!K73&amp;"|"&amp;Raw_Data!L73&amp;"|"&amp;Raw_Data!M73&amp;"|"&amp;Raw_Data!N73&amp;"|"&amp;Raw_Data!O73&amp;"|"&amp;Raw_Data!P73&amp;"|"&amp;Raw_Data!Q73&amp;"|"&amp;Raw_Data!R73&amp;"|"&amp;Raw_Data!S73&amp;"|"&amp;Raw_Data!T73&amp;"|"&amp;Raw_Data!U73&amp;"|"&amp;Raw_Data!V73&amp;"|"&amp;Raw_Data!W73&amp;"|"&amp;Raw_Data!X73&amp;"|"&amp;Raw_Data!Y73&amp;"|"&amp;Raw_Data!Z73&amp;"|"&amp;Raw_Data!AA73&amp;"|"&amp;Raw_Data!AB73&amp;"|"&amp;Raw_Data!AC73&amp;"|"&amp;Raw_Data!AD73&amp;"|"&amp;Raw_Data!AE73&amp;"|"&amp;Raw_Data!AF73&amp;"|"&amp;Raw_Data!AG73&amp;"|"&amp;Raw_Data!AH73&amp;"|"&amp;Raw_Data!AI73&amp;"|"&amp;Raw_Data!AJ73&amp;"|"&amp;Raw_Data!AK73&amp;"|"&amp;Raw_Data!AL73&amp;"|"&amp;Raw_Data!AM73&amp;"|"&amp;Raw_Data!AN73&amp;"|"&amp;Raw_Data!AO73</f>
        <v>0|4|2|1|2|2|4|2|3|24|4|4|2|5|2|5|4|2|4|5|5|5|5|4|5|5|2|1|1|2|5|4|5|4|4|5|4|4|4|2|2</v>
      </c>
      <c r="Q75" s="3" t="n">
        <f aca="false">COUNTIF($P$4:$P$513,P75)</f>
        <v>1</v>
      </c>
    </row>
    <row r="76" customFormat="false" ht="15" hidden="false" customHeight="false" outlineLevel="0" collapsed="false">
      <c r="O76" s="3" t="n">
        <v>74</v>
      </c>
      <c r="P76" s="3" t="str">
        <f aca="false">Raw_Data!A74&amp;"|"&amp;Raw_Data!B74&amp;"|"&amp;Raw_Data!C74&amp;"|"&amp;Raw_Data!D74&amp;"|"&amp;Raw_Data!E74&amp;"|"&amp;Raw_Data!F74&amp;"|"&amp;Raw_Data!G74&amp;"|"&amp;Raw_Data!H74&amp;"|"&amp;Raw_Data!I74&amp;"|"&amp;Raw_Data!J74&amp;"|"&amp;Raw_Data!K74&amp;"|"&amp;Raw_Data!L74&amp;"|"&amp;Raw_Data!M74&amp;"|"&amp;Raw_Data!N74&amp;"|"&amp;Raw_Data!O74&amp;"|"&amp;Raw_Data!P74&amp;"|"&amp;Raw_Data!Q74&amp;"|"&amp;Raw_Data!R74&amp;"|"&amp;Raw_Data!S74&amp;"|"&amp;Raw_Data!T74&amp;"|"&amp;Raw_Data!U74&amp;"|"&amp;Raw_Data!V74&amp;"|"&amp;Raw_Data!W74&amp;"|"&amp;Raw_Data!X74&amp;"|"&amp;Raw_Data!Y74&amp;"|"&amp;Raw_Data!Z74&amp;"|"&amp;Raw_Data!AA74&amp;"|"&amp;Raw_Data!AB74&amp;"|"&amp;Raw_Data!AC74&amp;"|"&amp;Raw_Data!AD74&amp;"|"&amp;Raw_Data!AE74&amp;"|"&amp;Raw_Data!AF74&amp;"|"&amp;Raw_Data!AG74&amp;"|"&amp;Raw_Data!AH74&amp;"|"&amp;Raw_Data!AI74&amp;"|"&amp;Raw_Data!AJ74&amp;"|"&amp;Raw_Data!AK74&amp;"|"&amp;Raw_Data!AL74&amp;"|"&amp;Raw_Data!AM74&amp;"|"&amp;Raw_Data!AN74&amp;"|"&amp;Raw_Data!AO74</f>
        <v>0|4|1|2|2|2|2|2|1|25|2|4|5|4|5|4|4|4|4|5|5|4|5|5|4|5|2|2|2|2|4|4|4|5|4|5|4|5|4|3|3</v>
      </c>
      <c r="Q76" s="3" t="n">
        <f aca="false">COUNTIF($P$4:$P$513,P76)</f>
        <v>1</v>
      </c>
    </row>
    <row r="77" customFormat="false" ht="15" hidden="false" customHeight="false" outlineLevel="0" collapsed="false">
      <c r="O77" s="3" t="n">
        <v>75</v>
      </c>
      <c r="P77" s="3" t="str">
        <f aca="false">Raw_Data!A75&amp;"|"&amp;Raw_Data!B75&amp;"|"&amp;Raw_Data!C75&amp;"|"&amp;Raw_Data!D75&amp;"|"&amp;Raw_Data!E75&amp;"|"&amp;Raw_Data!F75&amp;"|"&amp;Raw_Data!G75&amp;"|"&amp;Raw_Data!H75&amp;"|"&amp;Raw_Data!I75&amp;"|"&amp;Raw_Data!J75&amp;"|"&amp;Raw_Data!K75&amp;"|"&amp;Raw_Data!L75&amp;"|"&amp;Raw_Data!M75&amp;"|"&amp;Raw_Data!N75&amp;"|"&amp;Raw_Data!O75&amp;"|"&amp;Raw_Data!P75&amp;"|"&amp;Raw_Data!Q75&amp;"|"&amp;Raw_Data!R75&amp;"|"&amp;Raw_Data!S75&amp;"|"&amp;Raw_Data!T75&amp;"|"&amp;Raw_Data!U75&amp;"|"&amp;Raw_Data!V75&amp;"|"&amp;Raw_Data!W75&amp;"|"&amp;Raw_Data!X75&amp;"|"&amp;Raw_Data!Y75&amp;"|"&amp;Raw_Data!Z75&amp;"|"&amp;Raw_Data!AA75&amp;"|"&amp;Raw_Data!AB75&amp;"|"&amp;Raw_Data!AC75&amp;"|"&amp;Raw_Data!AD75&amp;"|"&amp;Raw_Data!AE75&amp;"|"&amp;Raw_Data!AF75&amp;"|"&amp;Raw_Data!AG75&amp;"|"&amp;Raw_Data!AH75&amp;"|"&amp;Raw_Data!AI75&amp;"|"&amp;Raw_Data!AJ75&amp;"|"&amp;Raw_Data!AK75&amp;"|"&amp;Raw_Data!AL75&amp;"|"&amp;Raw_Data!AM75&amp;"|"&amp;Raw_Data!AN75&amp;"|"&amp;Raw_Data!AO75</f>
        <v>0|4|1|1|1|2|2|1|1|23|3|4|4|3|5|2|2|4|4|5|4|4|5|4|5|5|4|4|1|1|4|1|4|2|2|2|2|4|2|3|4</v>
      </c>
      <c r="Q77" s="3" t="n">
        <f aca="false">COUNTIF($P$4:$P$513,P77)</f>
        <v>1</v>
      </c>
    </row>
    <row r="78" customFormat="false" ht="15" hidden="false" customHeight="false" outlineLevel="0" collapsed="false">
      <c r="O78" s="3" t="n">
        <v>76</v>
      </c>
      <c r="P78" s="3" t="str">
        <f aca="false">Raw_Data!A76&amp;"|"&amp;Raw_Data!B76&amp;"|"&amp;Raw_Data!C76&amp;"|"&amp;Raw_Data!D76&amp;"|"&amp;Raw_Data!E76&amp;"|"&amp;Raw_Data!F76&amp;"|"&amp;Raw_Data!G76&amp;"|"&amp;Raw_Data!H76&amp;"|"&amp;Raw_Data!I76&amp;"|"&amp;Raw_Data!J76&amp;"|"&amp;Raw_Data!K76&amp;"|"&amp;Raw_Data!L76&amp;"|"&amp;Raw_Data!M76&amp;"|"&amp;Raw_Data!N76&amp;"|"&amp;Raw_Data!O76&amp;"|"&amp;Raw_Data!P76&amp;"|"&amp;Raw_Data!Q76&amp;"|"&amp;Raw_Data!R76&amp;"|"&amp;Raw_Data!S76&amp;"|"&amp;Raw_Data!T76&amp;"|"&amp;Raw_Data!U76&amp;"|"&amp;Raw_Data!V76&amp;"|"&amp;Raw_Data!W76&amp;"|"&amp;Raw_Data!X76&amp;"|"&amp;Raw_Data!Y76&amp;"|"&amp;Raw_Data!Z76&amp;"|"&amp;Raw_Data!AA76&amp;"|"&amp;Raw_Data!AB76&amp;"|"&amp;Raw_Data!AC76&amp;"|"&amp;Raw_Data!AD76&amp;"|"&amp;Raw_Data!AE76&amp;"|"&amp;Raw_Data!AF76&amp;"|"&amp;Raw_Data!AG76&amp;"|"&amp;Raw_Data!AH76&amp;"|"&amp;Raw_Data!AI76&amp;"|"&amp;Raw_Data!AJ76&amp;"|"&amp;Raw_Data!AK76&amp;"|"&amp;Raw_Data!AL76&amp;"|"&amp;Raw_Data!AM76&amp;"|"&amp;Raw_Data!AN76&amp;"|"&amp;Raw_Data!AO76</f>
        <v>0|4|1|1|2|2|3|3|1|24|3|2|5|4|3|2|4|3|5|5|5|4|5|3|2|1|1|2|1|2|4|1|5|5|4|3|5|5|4|2|2</v>
      </c>
      <c r="Q78" s="3" t="n">
        <f aca="false">COUNTIF($P$4:$P$513,P78)</f>
        <v>1</v>
      </c>
    </row>
    <row r="79" customFormat="false" ht="15" hidden="false" customHeight="false" outlineLevel="0" collapsed="false">
      <c r="O79" s="3" t="n">
        <v>77</v>
      </c>
      <c r="P79" s="3" t="str">
        <f aca="false">Raw_Data!A77&amp;"|"&amp;Raw_Data!B77&amp;"|"&amp;Raw_Data!C77&amp;"|"&amp;Raw_Data!D77&amp;"|"&amp;Raw_Data!E77&amp;"|"&amp;Raw_Data!F77&amp;"|"&amp;Raw_Data!G77&amp;"|"&amp;Raw_Data!H77&amp;"|"&amp;Raw_Data!I77&amp;"|"&amp;Raw_Data!J77&amp;"|"&amp;Raw_Data!K77&amp;"|"&amp;Raw_Data!L77&amp;"|"&amp;Raw_Data!M77&amp;"|"&amp;Raw_Data!N77&amp;"|"&amp;Raw_Data!O77&amp;"|"&amp;Raw_Data!P77&amp;"|"&amp;Raw_Data!Q77&amp;"|"&amp;Raw_Data!R77&amp;"|"&amp;Raw_Data!S77&amp;"|"&amp;Raw_Data!T77&amp;"|"&amp;Raw_Data!U77&amp;"|"&amp;Raw_Data!V77&amp;"|"&amp;Raw_Data!W77&amp;"|"&amp;Raw_Data!X77&amp;"|"&amp;Raw_Data!Y77&amp;"|"&amp;Raw_Data!Z77&amp;"|"&amp;Raw_Data!AA77&amp;"|"&amp;Raw_Data!AB77&amp;"|"&amp;Raw_Data!AC77&amp;"|"&amp;Raw_Data!AD77&amp;"|"&amp;Raw_Data!AE77&amp;"|"&amp;Raw_Data!AF77&amp;"|"&amp;Raw_Data!AG77&amp;"|"&amp;Raw_Data!AH77&amp;"|"&amp;Raw_Data!AI77&amp;"|"&amp;Raw_Data!AJ77&amp;"|"&amp;Raw_Data!AK77&amp;"|"&amp;Raw_Data!AL77&amp;"|"&amp;Raw_Data!AM77&amp;"|"&amp;Raw_Data!AN77&amp;"|"&amp;Raw_Data!AO77</f>
        <v>0|2|1|1|2|2|3|2|1|23|5|3|3|3|3|4|4|4|5|4|4|3|4|4|3|4|4|2|4|3|3|3|3|3|3|5|4|4|5|3|3</v>
      </c>
      <c r="Q79" s="3" t="n">
        <f aca="false">COUNTIF($P$4:$P$513,P79)</f>
        <v>1</v>
      </c>
    </row>
    <row r="80" customFormat="false" ht="15" hidden="false" customHeight="false" outlineLevel="0" collapsed="false">
      <c r="O80" s="3" t="n">
        <v>78</v>
      </c>
      <c r="P80" s="3" t="str">
        <f aca="false">Raw_Data!A78&amp;"|"&amp;Raw_Data!B78&amp;"|"&amp;Raw_Data!C78&amp;"|"&amp;Raw_Data!D78&amp;"|"&amp;Raw_Data!E78&amp;"|"&amp;Raw_Data!F78&amp;"|"&amp;Raw_Data!G78&amp;"|"&amp;Raw_Data!H78&amp;"|"&amp;Raw_Data!I78&amp;"|"&amp;Raw_Data!J78&amp;"|"&amp;Raw_Data!K78&amp;"|"&amp;Raw_Data!L78&amp;"|"&amp;Raw_Data!M78&amp;"|"&amp;Raw_Data!N78&amp;"|"&amp;Raw_Data!O78&amp;"|"&amp;Raw_Data!P78&amp;"|"&amp;Raw_Data!Q78&amp;"|"&amp;Raw_Data!R78&amp;"|"&amp;Raw_Data!S78&amp;"|"&amp;Raw_Data!T78&amp;"|"&amp;Raw_Data!U78&amp;"|"&amp;Raw_Data!V78&amp;"|"&amp;Raw_Data!W78&amp;"|"&amp;Raw_Data!X78&amp;"|"&amp;Raw_Data!Y78&amp;"|"&amp;Raw_Data!Z78&amp;"|"&amp;Raw_Data!AA78&amp;"|"&amp;Raw_Data!AB78&amp;"|"&amp;Raw_Data!AC78&amp;"|"&amp;Raw_Data!AD78&amp;"|"&amp;Raw_Data!AE78&amp;"|"&amp;Raw_Data!AF78&amp;"|"&amp;Raw_Data!AG78&amp;"|"&amp;Raw_Data!AH78&amp;"|"&amp;Raw_Data!AI78&amp;"|"&amp;Raw_Data!AJ78&amp;"|"&amp;Raw_Data!AK78&amp;"|"&amp;Raw_Data!AL78&amp;"|"&amp;Raw_Data!AM78&amp;"|"&amp;Raw_Data!AN78&amp;"|"&amp;Raw_Data!AO78</f>
        <v>0|3|1|1|2|2|2|1|1|23|3|3|2|4|5|2|3|3|4|4|5|2|3|3|1|2|4|2|1|2|4|4|3|5|4|4|3|5|4|1|2</v>
      </c>
      <c r="Q80" s="3" t="n">
        <f aca="false">COUNTIF($P$4:$P$513,P80)</f>
        <v>1</v>
      </c>
    </row>
    <row r="81" customFormat="false" ht="15" hidden="false" customHeight="false" outlineLevel="0" collapsed="false">
      <c r="O81" s="3" t="n">
        <v>79</v>
      </c>
      <c r="P81" s="3" t="str">
        <f aca="false">Raw_Data!A79&amp;"|"&amp;Raw_Data!B79&amp;"|"&amp;Raw_Data!C79&amp;"|"&amp;Raw_Data!D79&amp;"|"&amp;Raw_Data!E79&amp;"|"&amp;Raw_Data!F79&amp;"|"&amp;Raw_Data!G79&amp;"|"&amp;Raw_Data!H79&amp;"|"&amp;Raw_Data!I79&amp;"|"&amp;Raw_Data!J79&amp;"|"&amp;Raw_Data!K79&amp;"|"&amp;Raw_Data!L79&amp;"|"&amp;Raw_Data!M79&amp;"|"&amp;Raw_Data!N79&amp;"|"&amp;Raw_Data!O79&amp;"|"&amp;Raw_Data!P79&amp;"|"&amp;Raw_Data!Q79&amp;"|"&amp;Raw_Data!R79&amp;"|"&amp;Raw_Data!S79&amp;"|"&amp;Raw_Data!T79&amp;"|"&amp;Raw_Data!U79&amp;"|"&amp;Raw_Data!V79&amp;"|"&amp;Raw_Data!W79&amp;"|"&amp;Raw_Data!X79&amp;"|"&amp;Raw_Data!Y79&amp;"|"&amp;Raw_Data!Z79&amp;"|"&amp;Raw_Data!AA79&amp;"|"&amp;Raw_Data!AB79&amp;"|"&amp;Raw_Data!AC79&amp;"|"&amp;Raw_Data!AD79&amp;"|"&amp;Raw_Data!AE79&amp;"|"&amp;Raw_Data!AF79&amp;"|"&amp;Raw_Data!AG79&amp;"|"&amp;Raw_Data!AH79&amp;"|"&amp;Raw_Data!AI79&amp;"|"&amp;Raw_Data!AJ79&amp;"|"&amp;Raw_Data!AK79&amp;"|"&amp;Raw_Data!AL79&amp;"|"&amp;Raw_Data!AM79&amp;"|"&amp;Raw_Data!AN79&amp;"|"&amp;Raw_Data!AO79</f>
        <v>0|3|2|1|2|2|3|1|1|23|4|4|5|4|5|3|4|4|4|5|4|4|4|4|4|4|2|1|1|3|3|3|1|3|5|5|3|5|5|3|3</v>
      </c>
      <c r="Q81" s="3" t="n">
        <f aca="false">COUNTIF($P$4:$P$513,P81)</f>
        <v>1</v>
      </c>
    </row>
    <row r="82" customFormat="false" ht="15" hidden="false" customHeight="false" outlineLevel="0" collapsed="false">
      <c r="O82" s="3" t="n">
        <v>80</v>
      </c>
      <c r="P82" s="3" t="str">
        <f aca="false">Raw_Data!A80&amp;"|"&amp;Raw_Data!B80&amp;"|"&amp;Raw_Data!C80&amp;"|"&amp;Raw_Data!D80&amp;"|"&amp;Raw_Data!E80&amp;"|"&amp;Raw_Data!F80&amp;"|"&amp;Raw_Data!G80&amp;"|"&amp;Raw_Data!H80&amp;"|"&amp;Raw_Data!I80&amp;"|"&amp;Raw_Data!J80&amp;"|"&amp;Raw_Data!K80&amp;"|"&amp;Raw_Data!L80&amp;"|"&amp;Raw_Data!M80&amp;"|"&amp;Raw_Data!N80&amp;"|"&amp;Raw_Data!O80&amp;"|"&amp;Raw_Data!P80&amp;"|"&amp;Raw_Data!Q80&amp;"|"&amp;Raw_Data!R80&amp;"|"&amp;Raw_Data!S80&amp;"|"&amp;Raw_Data!T80&amp;"|"&amp;Raw_Data!U80&amp;"|"&amp;Raw_Data!V80&amp;"|"&amp;Raw_Data!W80&amp;"|"&amp;Raw_Data!X80&amp;"|"&amp;Raw_Data!Y80&amp;"|"&amp;Raw_Data!Z80&amp;"|"&amp;Raw_Data!AA80&amp;"|"&amp;Raw_Data!AB80&amp;"|"&amp;Raw_Data!AC80&amp;"|"&amp;Raw_Data!AD80&amp;"|"&amp;Raw_Data!AE80&amp;"|"&amp;Raw_Data!AF80&amp;"|"&amp;Raw_Data!AG80&amp;"|"&amp;Raw_Data!AH80&amp;"|"&amp;Raw_Data!AI80&amp;"|"&amp;Raw_Data!AJ80&amp;"|"&amp;Raw_Data!AK80&amp;"|"&amp;Raw_Data!AL80&amp;"|"&amp;Raw_Data!AM80&amp;"|"&amp;Raw_Data!AN80&amp;"|"&amp;Raw_Data!AO80</f>
        <v>0|3|1|1|2|2|2|3|1|22|3|3|3|3|4|2|3|2|1|4|5|4|3|4|2|4|4|2|1|2|3|3|4|2|3|2|2|5|4|1|2</v>
      </c>
      <c r="Q82" s="3" t="n">
        <f aca="false">COUNTIF($P$4:$P$513,P82)</f>
        <v>1</v>
      </c>
    </row>
    <row r="83" customFormat="false" ht="15" hidden="false" customHeight="false" outlineLevel="0" collapsed="false">
      <c r="O83" s="3" t="n">
        <v>81</v>
      </c>
      <c r="P83" s="3" t="str">
        <f aca="false">Raw_Data!A81&amp;"|"&amp;Raw_Data!B81&amp;"|"&amp;Raw_Data!C81&amp;"|"&amp;Raw_Data!D81&amp;"|"&amp;Raw_Data!E81&amp;"|"&amp;Raw_Data!F81&amp;"|"&amp;Raw_Data!G81&amp;"|"&amp;Raw_Data!H81&amp;"|"&amp;Raw_Data!I81&amp;"|"&amp;Raw_Data!J81&amp;"|"&amp;Raw_Data!K81&amp;"|"&amp;Raw_Data!L81&amp;"|"&amp;Raw_Data!M81&amp;"|"&amp;Raw_Data!N81&amp;"|"&amp;Raw_Data!O81&amp;"|"&amp;Raw_Data!P81&amp;"|"&amp;Raw_Data!Q81&amp;"|"&amp;Raw_Data!R81&amp;"|"&amp;Raw_Data!S81&amp;"|"&amp;Raw_Data!T81&amp;"|"&amp;Raw_Data!U81&amp;"|"&amp;Raw_Data!V81&amp;"|"&amp;Raw_Data!W81&amp;"|"&amp;Raw_Data!X81&amp;"|"&amp;Raw_Data!Y81&amp;"|"&amp;Raw_Data!Z81&amp;"|"&amp;Raw_Data!AA81&amp;"|"&amp;Raw_Data!AB81&amp;"|"&amp;Raw_Data!AC81&amp;"|"&amp;Raw_Data!AD81&amp;"|"&amp;Raw_Data!AE81&amp;"|"&amp;Raw_Data!AF81&amp;"|"&amp;Raw_Data!AG81&amp;"|"&amp;Raw_Data!AH81&amp;"|"&amp;Raw_Data!AI81&amp;"|"&amp;Raw_Data!AJ81&amp;"|"&amp;Raw_Data!AK81&amp;"|"&amp;Raw_Data!AL81&amp;"|"&amp;Raw_Data!AM81&amp;"|"&amp;Raw_Data!AN81&amp;"|"&amp;Raw_Data!AO81</f>
        <v>0|3|2|1|2|2|3|3|1|22|2|2|2|4|2|4|4|1|5|5|5|4|4|3|3|4|2|1|1|1|4|3|3|4|4|5|4|4|2|2|3</v>
      </c>
      <c r="Q83" s="3" t="n">
        <f aca="false">COUNTIF($P$4:$P$513,P83)</f>
        <v>1</v>
      </c>
    </row>
    <row r="84" customFormat="false" ht="15" hidden="false" customHeight="false" outlineLevel="0" collapsed="false">
      <c r="O84" s="3" t="n">
        <v>82</v>
      </c>
      <c r="P84" s="3" t="str">
        <f aca="false">Raw_Data!A82&amp;"|"&amp;Raw_Data!B82&amp;"|"&amp;Raw_Data!C82&amp;"|"&amp;Raw_Data!D82&amp;"|"&amp;Raw_Data!E82&amp;"|"&amp;Raw_Data!F82&amp;"|"&amp;Raw_Data!G82&amp;"|"&amp;Raw_Data!H82&amp;"|"&amp;Raw_Data!I82&amp;"|"&amp;Raw_Data!J82&amp;"|"&amp;Raw_Data!K82&amp;"|"&amp;Raw_Data!L82&amp;"|"&amp;Raw_Data!M82&amp;"|"&amp;Raw_Data!N82&amp;"|"&amp;Raw_Data!O82&amp;"|"&amp;Raw_Data!P82&amp;"|"&amp;Raw_Data!Q82&amp;"|"&amp;Raw_Data!R82&amp;"|"&amp;Raw_Data!S82&amp;"|"&amp;Raw_Data!T82&amp;"|"&amp;Raw_Data!U82&amp;"|"&amp;Raw_Data!V82&amp;"|"&amp;Raw_Data!W82&amp;"|"&amp;Raw_Data!X82&amp;"|"&amp;Raw_Data!Y82&amp;"|"&amp;Raw_Data!Z82&amp;"|"&amp;Raw_Data!AA82&amp;"|"&amp;Raw_Data!AB82&amp;"|"&amp;Raw_Data!AC82&amp;"|"&amp;Raw_Data!AD82&amp;"|"&amp;Raw_Data!AE82&amp;"|"&amp;Raw_Data!AF82&amp;"|"&amp;Raw_Data!AG82&amp;"|"&amp;Raw_Data!AH82&amp;"|"&amp;Raw_Data!AI82&amp;"|"&amp;Raw_Data!AJ82&amp;"|"&amp;Raw_Data!AK82&amp;"|"&amp;Raw_Data!AL82&amp;"|"&amp;Raw_Data!AM82&amp;"|"&amp;Raw_Data!AN82&amp;"|"&amp;Raw_Data!AO82</f>
        <v>0|3|2|1|2|2|1|2|1|23|2|4|4|3|3|3|4|2|3|4|4|2|4|4|2|3|3|2|3|3|3|3|3|4|4|3|4|3|3|3|3</v>
      </c>
      <c r="Q84" s="3" t="n">
        <f aca="false">COUNTIF($P$4:$P$513,P84)</f>
        <v>1</v>
      </c>
    </row>
    <row r="85" customFormat="false" ht="15" hidden="false" customHeight="false" outlineLevel="0" collapsed="false">
      <c r="O85" s="3" t="n">
        <v>83</v>
      </c>
      <c r="P85" s="3" t="str">
        <f aca="false">Raw_Data!A83&amp;"|"&amp;Raw_Data!B83&amp;"|"&amp;Raw_Data!C83&amp;"|"&amp;Raw_Data!D83&amp;"|"&amp;Raw_Data!E83&amp;"|"&amp;Raw_Data!F83&amp;"|"&amp;Raw_Data!G83&amp;"|"&amp;Raw_Data!H83&amp;"|"&amp;Raw_Data!I83&amp;"|"&amp;Raw_Data!J83&amp;"|"&amp;Raw_Data!K83&amp;"|"&amp;Raw_Data!L83&amp;"|"&amp;Raw_Data!M83&amp;"|"&amp;Raw_Data!N83&amp;"|"&amp;Raw_Data!O83&amp;"|"&amp;Raw_Data!P83&amp;"|"&amp;Raw_Data!Q83&amp;"|"&amp;Raw_Data!R83&amp;"|"&amp;Raw_Data!S83&amp;"|"&amp;Raw_Data!T83&amp;"|"&amp;Raw_Data!U83&amp;"|"&amp;Raw_Data!V83&amp;"|"&amp;Raw_Data!W83&amp;"|"&amp;Raw_Data!X83&amp;"|"&amp;Raw_Data!Y83&amp;"|"&amp;Raw_Data!Z83&amp;"|"&amp;Raw_Data!AA83&amp;"|"&amp;Raw_Data!AB83&amp;"|"&amp;Raw_Data!AC83&amp;"|"&amp;Raw_Data!AD83&amp;"|"&amp;Raw_Data!AE83&amp;"|"&amp;Raw_Data!AF83&amp;"|"&amp;Raw_Data!AG83&amp;"|"&amp;Raw_Data!AH83&amp;"|"&amp;Raw_Data!AI83&amp;"|"&amp;Raw_Data!AJ83&amp;"|"&amp;Raw_Data!AK83&amp;"|"&amp;Raw_Data!AL83&amp;"|"&amp;Raw_Data!AM83&amp;"|"&amp;Raw_Data!AN83&amp;"|"&amp;Raw_Data!AO83</f>
        <v>0|4|1|2|2|2|1|3|3|24|3|3|5|4|5|4|3|3|4|5|4|4|5|4|4|4|2|3|2|2|4|3|3|3|2|5|2|5|4|4|3</v>
      </c>
      <c r="Q85" s="3" t="n">
        <f aca="false">COUNTIF($P$4:$P$513,P85)</f>
        <v>1</v>
      </c>
    </row>
    <row r="86" customFormat="false" ht="15" hidden="false" customHeight="false" outlineLevel="0" collapsed="false">
      <c r="O86" s="3" t="n">
        <v>84</v>
      </c>
      <c r="P86" s="3" t="str">
        <f aca="false">Raw_Data!A84&amp;"|"&amp;Raw_Data!B84&amp;"|"&amp;Raw_Data!C84&amp;"|"&amp;Raw_Data!D84&amp;"|"&amp;Raw_Data!E84&amp;"|"&amp;Raw_Data!F84&amp;"|"&amp;Raw_Data!G84&amp;"|"&amp;Raw_Data!H84&amp;"|"&amp;Raw_Data!I84&amp;"|"&amp;Raw_Data!J84&amp;"|"&amp;Raw_Data!K84&amp;"|"&amp;Raw_Data!L84&amp;"|"&amp;Raw_Data!M84&amp;"|"&amp;Raw_Data!N84&amp;"|"&amp;Raw_Data!O84&amp;"|"&amp;Raw_Data!P84&amp;"|"&amp;Raw_Data!Q84&amp;"|"&amp;Raw_Data!R84&amp;"|"&amp;Raw_Data!S84&amp;"|"&amp;Raw_Data!T84&amp;"|"&amp;Raw_Data!U84&amp;"|"&amp;Raw_Data!V84&amp;"|"&amp;Raw_Data!W84&amp;"|"&amp;Raw_Data!X84&amp;"|"&amp;Raw_Data!Y84&amp;"|"&amp;Raw_Data!Z84&amp;"|"&amp;Raw_Data!AA84&amp;"|"&amp;Raw_Data!AB84&amp;"|"&amp;Raw_Data!AC84&amp;"|"&amp;Raw_Data!AD84&amp;"|"&amp;Raw_Data!AE84&amp;"|"&amp;Raw_Data!AF84&amp;"|"&amp;Raw_Data!AG84&amp;"|"&amp;Raw_Data!AH84&amp;"|"&amp;Raw_Data!AI84&amp;"|"&amp;Raw_Data!AJ84&amp;"|"&amp;Raw_Data!AK84&amp;"|"&amp;Raw_Data!AL84&amp;"|"&amp;Raw_Data!AM84&amp;"|"&amp;Raw_Data!AN84&amp;"|"&amp;Raw_Data!AO84</f>
        <v>0|4|1|2|2|2|1|2|3|25|3|4|2|3|2|3|4|2|3|5|4|4|4|4|2|4|4|2|2|2|3|2|3|3|4|4|3|4|3|4|3</v>
      </c>
      <c r="Q86" s="3" t="n">
        <f aca="false">COUNTIF($P$4:$P$513,P86)</f>
        <v>1</v>
      </c>
    </row>
    <row r="87" customFormat="false" ht="15" hidden="false" customHeight="false" outlineLevel="0" collapsed="false">
      <c r="O87" s="3" t="n">
        <v>85</v>
      </c>
      <c r="P87" s="3" t="str">
        <f aca="false">Raw_Data!A85&amp;"|"&amp;Raw_Data!B85&amp;"|"&amp;Raw_Data!C85&amp;"|"&amp;Raw_Data!D85&amp;"|"&amp;Raw_Data!E85&amp;"|"&amp;Raw_Data!F85&amp;"|"&amp;Raw_Data!G85&amp;"|"&amp;Raw_Data!H85&amp;"|"&amp;Raw_Data!I85&amp;"|"&amp;Raw_Data!J85&amp;"|"&amp;Raw_Data!K85&amp;"|"&amp;Raw_Data!L85&amp;"|"&amp;Raw_Data!M85&amp;"|"&amp;Raw_Data!N85&amp;"|"&amp;Raw_Data!O85&amp;"|"&amp;Raw_Data!P85&amp;"|"&amp;Raw_Data!Q85&amp;"|"&amp;Raw_Data!R85&amp;"|"&amp;Raw_Data!S85&amp;"|"&amp;Raw_Data!T85&amp;"|"&amp;Raw_Data!U85&amp;"|"&amp;Raw_Data!V85&amp;"|"&amp;Raw_Data!W85&amp;"|"&amp;Raw_Data!X85&amp;"|"&amp;Raw_Data!Y85&amp;"|"&amp;Raw_Data!Z85&amp;"|"&amp;Raw_Data!AA85&amp;"|"&amp;Raw_Data!AB85&amp;"|"&amp;Raw_Data!AC85&amp;"|"&amp;Raw_Data!AD85&amp;"|"&amp;Raw_Data!AE85&amp;"|"&amp;Raw_Data!AF85&amp;"|"&amp;Raw_Data!AG85&amp;"|"&amp;Raw_Data!AH85&amp;"|"&amp;Raw_Data!AI85&amp;"|"&amp;Raw_Data!AJ85&amp;"|"&amp;Raw_Data!AK85&amp;"|"&amp;Raw_Data!AL85&amp;"|"&amp;Raw_Data!AM85&amp;"|"&amp;Raw_Data!AN85&amp;"|"&amp;Raw_Data!AO85</f>
        <v>0|4|1|2|2|2|2|2|2|24|4|3|4|1|4|2|2|3|5|4|4|3|5|3|4|5|2|3|3|4|5|2|4|3|4|4|4|5|3|3|3</v>
      </c>
      <c r="Q87" s="3" t="n">
        <f aca="false">COUNTIF($P$4:$P$513,P87)</f>
        <v>1</v>
      </c>
    </row>
    <row r="88" customFormat="false" ht="15" hidden="false" customHeight="false" outlineLevel="0" collapsed="false">
      <c r="O88" s="3" t="n">
        <v>86</v>
      </c>
      <c r="P88" s="3" t="str">
        <f aca="false">Raw_Data!A86&amp;"|"&amp;Raw_Data!B86&amp;"|"&amp;Raw_Data!C86&amp;"|"&amp;Raw_Data!D86&amp;"|"&amp;Raw_Data!E86&amp;"|"&amp;Raw_Data!F86&amp;"|"&amp;Raw_Data!G86&amp;"|"&amp;Raw_Data!H86&amp;"|"&amp;Raw_Data!I86&amp;"|"&amp;Raw_Data!J86&amp;"|"&amp;Raw_Data!K86&amp;"|"&amp;Raw_Data!L86&amp;"|"&amp;Raw_Data!M86&amp;"|"&amp;Raw_Data!N86&amp;"|"&amp;Raw_Data!O86&amp;"|"&amp;Raw_Data!P86&amp;"|"&amp;Raw_Data!Q86&amp;"|"&amp;Raw_Data!R86&amp;"|"&amp;Raw_Data!S86&amp;"|"&amp;Raw_Data!T86&amp;"|"&amp;Raw_Data!U86&amp;"|"&amp;Raw_Data!V86&amp;"|"&amp;Raw_Data!W86&amp;"|"&amp;Raw_Data!X86&amp;"|"&amp;Raw_Data!Y86&amp;"|"&amp;Raw_Data!Z86&amp;"|"&amp;Raw_Data!AA86&amp;"|"&amp;Raw_Data!AB86&amp;"|"&amp;Raw_Data!AC86&amp;"|"&amp;Raw_Data!AD86&amp;"|"&amp;Raw_Data!AE86&amp;"|"&amp;Raw_Data!AF86&amp;"|"&amp;Raw_Data!AG86&amp;"|"&amp;Raw_Data!AH86&amp;"|"&amp;Raw_Data!AI86&amp;"|"&amp;Raw_Data!AJ86&amp;"|"&amp;Raw_Data!AK86&amp;"|"&amp;Raw_Data!AL86&amp;"|"&amp;Raw_Data!AM86&amp;"|"&amp;Raw_Data!AN86&amp;"|"&amp;Raw_Data!AO86</f>
        <v>1|4|1|1|2|2|2|1|1|24|4|2|2|5|5|2|2|4|5|5|5|4|5|5|5|5|4|1|2|3|5|4|5|3|3|3|3|5|4|2|2</v>
      </c>
      <c r="Q88" s="3" t="n">
        <f aca="false">COUNTIF($P$4:$P$513,P88)</f>
        <v>1</v>
      </c>
    </row>
    <row r="89" customFormat="false" ht="15" hidden="false" customHeight="false" outlineLevel="0" collapsed="false">
      <c r="O89" s="3" t="n">
        <v>87</v>
      </c>
      <c r="P89" s="3" t="str">
        <f aca="false">Raw_Data!A87&amp;"|"&amp;Raw_Data!B87&amp;"|"&amp;Raw_Data!C87&amp;"|"&amp;Raw_Data!D87&amp;"|"&amp;Raw_Data!E87&amp;"|"&amp;Raw_Data!F87&amp;"|"&amp;Raw_Data!G87&amp;"|"&amp;Raw_Data!H87&amp;"|"&amp;Raw_Data!I87&amp;"|"&amp;Raw_Data!J87&amp;"|"&amp;Raw_Data!K87&amp;"|"&amp;Raw_Data!L87&amp;"|"&amp;Raw_Data!M87&amp;"|"&amp;Raw_Data!N87&amp;"|"&amp;Raw_Data!O87&amp;"|"&amp;Raw_Data!P87&amp;"|"&amp;Raw_Data!Q87&amp;"|"&amp;Raw_Data!R87&amp;"|"&amp;Raw_Data!S87&amp;"|"&amp;Raw_Data!T87&amp;"|"&amp;Raw_Data!U87&amp;"|"&amp;Raw_Data!V87&amp;"|"&amp;Raw_Data!W87&amp;"|"&amp;Raw_Data!X87&amp;"|"&amp;Raw_Data!Y87&amp;"|"&amp;Raw_Data!Z87&amp;"|"&amp;Raw_Data!AA87&amp;"|"&amp;Raw_Data!AB87&amp;"|"&amp;Raw_Data!AC87&amp;"|"&amp;Raw_Data!AD87&amp;"|"&amp;Raw_Data!AE87&amp;"|"&amp;Raw_Data!AF87&amp;"|"&amp;Raw_Data!AG87&amp;"|"&amp;Raw_Data!AH87&amp;"|"&amp;Raw_Data!AI87&amp;"|"&amp;Raw_Data!AJ87&amp;"|"&amp;Raw_Data!AK87&amp;"|"&amp;Raw_Data!AL87&amp;"|"&amp;Raw_Data!AM87&amp;"|"&amp;Raw_Data!AN87&amp;"|"&amp;Raw_Data!AO87</f>
        <v>1|4|1|1|2|2|2|3|1|24|4|2|4|5|4|2|2|3|4|5|5|4|5|4|5|5|5|2|1|2|5|4|5|3|3|5|5|5|5|3|4</v>
      </c>
      <c r="Q89" s="3" t="n">
        <f aca="false">COUNTIF($P$4:$P$513,P89)</f>
        <v>1</v>
      </c>
    </row>
    <row r="90" customFormat="false" ht="15" hidden="false" customHeight="false" outlineLevel="0" collapsed="false">
      <c r="O90" s="3" t="n">
        <v>88</v>
      </c>
      <c r="P90" s="3" t="str">
        <f aca="false">Raw_Data!A88&amp;"|"&amp;Raw_Data!B88&amp;"|"&amp;Raw_Data!C88&amp;"|"&amp;Raw_Data!D88&amp;"|"&amp;Raw_Data!E88&amp;"|"&amp;Raw_Data!F88&amp;"|"&amp;Raw_Data!G88&amp;"|"&amp;Raw_Data!H88&amp;"|"&amp;Raw_Data!I88&amp;"|"&amp;Raw_Data!J88&amp;"|"&amp;Raw_Data!K88&amp;"|"&amp;Raw_Data!L88&amp;"|"&amp;Raw_Data!M88&amp;"|"&amp;Raw_Data!N88&amp;"|"&amp;Raw_Data!O88&amp;"|"&amp;Raw_Data!P88&amp;"|"&amp;Raw_Data!Q88&amp;"|"&amp;Raw_Data!R88&amp;"|"&amp;Raw_Data!S88&amp;"|"&amp;Raw_Data!T88&amp;"|"&amp;Raw_Data!U88&amp;"|"&amp;Raw_Data!V88&amp;"|"&amp;Raw_Data!W88&amp;"|"&amp;Raw_Data!X88&amp;"|"&amp;Raw_Data!Y88&amp;"|"&amp;Raw_Data!Z88&amp;"|"&amp;Raw_Data!AA88&amp;"|"&amp;Raw_Data!AB88&amp;"|"&amp;Raw_Data!AC88&amp;"|"&amp;Raw_Data!AD88&amp;"|"&amp;Raw_Data!AE88&amp;"|"&amp;Raw_Data!AF88&amp;"|"&amp;Raw_Data!AG88&amp;"|"&amp;Raw_Data!AH88&amp;"|"&amp;Raw_Data!AI88&amp;"|"&amp;Raw_Data!AJ88&amp;"|"&amp;Raw_Data!AK88&amp;"|"&amp;Raw_Data!AL88&amp;"|"&amp;Raw_Data!AM88&amp;"|"&amp;Raw_Data!AN88&amp;"|"&amp;Raw_Data!AO88</f>
        <v>0|4|2|2|2|2|4|2|3|25|3|3|4|3|3|4|3|2|4|5|4|4|4|3|2|3|3|3|2|2|4|4|4|4|4|4|3|4|4|2|2</v>
      </c>
      <c r="Q90" s="3" t="n">
        <f aca="false">COUNTIF($P$4:$P$513,P90)</f>
        <v>1</v>
      </c>
    </row>
    <row r="91" customFormat="false" ht="15" hidden="false" customHeight="false" outlineLevel="0" collapsed="false">
      <c r="O91" s="3" t="n">
        <v>89</v>
      </c>
      <c r="P91" s="3" t="str">
        <f aca="false">Raw_Data!A89&amp;"|"&amp;Raw_Data!B89&amp;"|"&amp;Raw_Data!C89&amp;"|"&amp;Raw_Data!D89&amp;"|"&amp;Raw_Data!E89&amp;"|"&amp;Raw_Data!F89&amp;"|"&amp;Raw_Data!G89&amp;"|"&amp;Raw_Data!H89&amp;"|"&amp;Raw_Data!I89&amp;"|"&amp;Raw_Data!J89&amp;"|"&amp;Raw_Data!K89&amp;"|"&amp;Raw_Data!L89&amp;"|"&amp;Raw_Data!M89&amp;"|"&amp;Raw_Data!N89&amp;"|"&amp;Raw_Data!O89&amp;"|"&amp;Raw_Data!P89&amp;"|"&amp;Raw_Data!Q89&amp;"|"&amp;Raw_Data!R89&amp;"|"&amp;Raw_Data!S89&amp;"|"&amp;Raw_Data!T89&amp;"|"&amp;Raw_Data!U89&amp;"|"&amp;Raw_Data!V89&amp;"|"&amp;Raw_Data!W89&amp;"|"&amp;Raw_Data!X89&amp;"|"&amp;Raw_Data!Y89&amp;"|"&amp;Raw_Data!Z89&amp;"|"&amp;Raw_Data!AA89&amp;"|"&amp;Raw_Data!AB89&amp;"|"&amp;Raw_Data!AC89&amp;"|"&amp;Raw_Data!AD89&amp;"|"&amp;Raw_Data!AE89&amp;"|"&amp;Raw_Data!AF89&amp;"|"&amp;Raw_Data!AG89&amp;"|"&amp;Raw_Data!AH89&amp;"|"&amp;Raw_Data!AI89&amp;"|"&amp;Raw_Data!AJ89&amp;"|"&amp;Raw_Data!AK89&amp;"|"&amp;Raw_Data!AL89&amp;"|"&amp;Raw_Data!AM89&amp;"|"&amp;Raw_Data!AN89&amp;"|"&amp;Raw_Data!AO89</f>
        <v>1|4|1|1|2|2|2|2|2|23|4|2|3|2|3|4|4|4|3|4|4|5|4|5|4|4|4|4|1|2|4|4|4|4|4|2|2|4|3|4|4</v>
      </c>
      <c r="Q91" s="3" t="n">
        <f aca="false">COUNTIF($P$4:$P$513,P91)</f>
        <v>1</v>
      </c>
    </row>
    <row r="92" customFormat="false" ht="15" hidden="false" customHeight="false" outlineLevel="0" collapsed="false">
      <c r="O92" s="3" t="n">
        <v>90</v>
      </c>
      <c r="P92" s="3" t="str">
        <f aca="false">Raw_Data!A90&amp;"|"&amp;Raw_Data!B90&amp;"|"&amp;Raw_Data!C90&amp;"|"&amp;Raw_Data!D90&amp;"|"&amp;Raw_Data!E90&amp;"|"&amp;Raw_Data!F90&amp;"|"&amp;Raw_Data!G90&amp;"|"&amp;Raw_Data!H90&amp;"|"&amp;Raw_Data!I90&amp;"|"&amp;Raw_Data!J90&amp;"|"&amp;Raw_Data!K90&amp;"|"&amp;Raw_Data!L90&amp;"|"&amp;Raw_Data!M90&amp;"|"&amp;Raw_Data!N90&amp;"|"&amp;Raw_Data!O90&amp;"|"&amp;Raw_Data!P90&amp;"|"&amp;Raw_Data!Q90&amp;"|"&amp;Raw_Data!R90&amp;"|"&amp;Raw_Data!S90&amp;"|"&amp;Raw_Data!T90&amp;"|"&amp;Raw_Data!U90&amp;"|"&amp;Raw_Data!V90&amp;"|"&amp;Raw_Data!W90&amp;"|"&amp;Raw_Data!X90&amp;"|"&amp;Raw_Data!Y90&amp;"|"&amp;Raw_Data!Z90&amp;"|"&amp;Raw_Data!AA90&amp;"|"&amp;Raw_Data!AB90&amp;"|"&amp;Raw_Data!AC90&amp;"|"&amp;Raw_Data!AD90&amp;"|"&amp;Raw_Data!AE90&amp;"|"&amp;Raw_Data!AF90&amp;"|"&amp;Raw_Data!AG90&amp;"|"&amp;Raw_Data!AH90&amp;"|"&amp;Raw_Data!AI90&amp;"|"&amp;Raw_Data!AJ90&amp;"|"&amp;Raw_Data!AK90&amp;"|"&amp;Raw_Data!AL90&amp;"|"&amp;Raw_Data!AM90&amp;"|"&amp;Raw_Data!AN90&amp;"|"&amp;Raw_Data!AO90</f>
        <v>0|4|1|1|2|2|3|3|1|23|3|4|3|4|4|4|3|2|3|3|3|4|4|2|4|4|4|4|2|3|3|1|3|4|2|2|4|2|2|3|4</v>
      </c>
      <c r="Q92" s="3" t="n">
        <f aca="false">COUNTIF($P$4:$P$513,P92)</f>
        <v>1</v>
      </c>
    </row>
    <row r="93" customFormat="false" ht="15" hidden="false" customHeight="false" outlineLevel="0" collapsed="false">
      <c r="O93" s="3" t="n">
        <v>91</v>
      </c>
      <c r="P93" s="3" t="str">
        <f aca="false">Raw_Data!A91&amp;"|"&amp;Raw_Data!B91&amp;"|"&amp;Raw_Data!C91&amp;"|"&amp;Raw_Data!D91&amp;"|"&amp;Raw_Data!E91&amp;"|"&amp;Raw_Data!F91&amp;"|"&amp;Raw_Data!G91&amp;"|"&amp;Raw_Data!H91&amp;"|"&amp;Raw_Data!I91&amp;"|"&amp;Raw_Data!J91&amp;"|"&amp;Raw_Data!K91&amp;"|"&amp;Raw_Data!L91&amp;"|"&amp;Raw_Data!M91&amp;"|"&amp;Raw_Data!N91&amp;"|"&amp;Raw_Data!O91&amp;"|"&amp;Raw_Data!P91&amp;"|"&amp;Raw_Data!Q91&amp;"|"&amp;Raw_Data!R91&amp;"|"&amp;Raw_Data!S91&amp;"|"&amp;Raw_Data!T91&amp;"|"&amp;Raw_Data!U91&amp;"|"&amp;Raw_Data!V91&amp;"|"&amp;Raw_Data!W91&amp;"|"&amp;Raw_Data!X91&amp;"|"&amp;Raw_Data!Y91&amp;"|"&amp;Raw_Data!Z91&amp;"|"&amp;Raw_Data!AA91&amp;"|"&amp;Raw_Data!AB91&amp;"|"&amp;Raw_Data!AC91&amp;"|"&amp;Raw_Data!AD91&amp;"|"&amp;Raw_Data!AE91&amp;"|"&amp;Raw_Data!AF91&amp;"|"&amp;Raw_Data!AG91&amp;"|"&amp;Raw_Data!AH91&amp;"|"&amp;Raw_Data!AI91&amp;"|"&amp;Raw_Data!AJ91&amp;"|"&amp;Raw_Data!AK91&amp;"|"&amp;Raw_Data!AL91&amp;"|"&amp;Raw_Data!AM91&amp;"|"&amp;Raw_Data!AN91&amp;"|"&amp;Raw_Data!AO91</f>
        <v>0|1|2|2|2|2|3|1|1|21|4|4|4|4|4|3|4|3|5|5|4|3|5|3|3|3|4|4|2|2|4|2|4|3|4|1|2|4|3|3|3</v>
      </c>
      <c r="Q93" s="3" t="n">
        <f aca="false">COUNTIF($P$4:$P$513,P93)</f>
        <v>1</v>
      </c>
    </row>
    <row r="94" customFormat="false" ht="15" hidden="false" customHeight="false" outlineLevel="0" collapsed="false">
      <c r="O94" s="3" t="n">
        <v>92</v>
      </c>
      <c r="P94" s="3" t="str">
        <f aca="false">Raw_Data!A92&amp;"|"&amp;Raw_Data!B92&amp;"|"&amp;Raw_Data!C92&amp;"|"&amp;Raw_Data!D92&amp;"|"&amp;Raw_Data!E92&amp;"|"&amp;Raw_Data!F92&amp;"|"&amp;Raw_Data!G92&amp;"|"&amp;Raw_Data!H92&amp;"|"&amp;Raw_Data!I92&amp;"|"&amp;Raw_Data!J92&amp;"|"&amp;Raw_Data!K92&amp;"|"&amp;Raw_Data!L92&amp;"|"&amp;Raw_Data!M92&amp;"|"&amp;Raw_Data!N92&amp;"|"&amp;Raw_Data!O92&amp;"|"&amp;Raw_Data!P92&amp;"|"&amp;Raw_Data!Q92&amp;"|"&amp;Raw_Data!R92&amp;"|"&amp;Raw_Data!S92&amp;"|"&amp;Raw_Data!T92&amp;"|"&amp;Raw_Data!U92&amp;"|"&amp;Raw_Data!V92&amp;"|"&amp;Raw_Data!W92&amp;"|"&amp;Raw_Data!X92&amp;"|"&amp;Raw_Data!Y92&amp;"|"&amp;Raw_Data!Z92&amp;"|"&amp;Raw_Data!AA92&amp;"|"&amp;Raw_Data!AB92&amp;"|"&amp;Raw_Data!AC92&amp;"|"&amp;Raw_Data!AD92&amp;"|"&amp;Raw_Data!AE92&amp;"|"&amp;Raw_Data!AF92&amp;"|"&amp;Raw_Data!AG92&amp;"|"&amp;Raw_Data!AH92&amp;"|"&amp;Raw_Data!AI92&amp;"|"&amp;Raw_Data!AJ92&amp;"|"&amp;Raw_Data!AK92&amp;"|"&amp;Raw_Data!AL92&amp;"|"&amp;Raw_Data!AM92&amp;"|"&amp;Raw_Data!AN92&amp;"|"&amp;Raw_Data!AO92</f>
        <v>0|3|2|1|2|2|3|2|1|22|3|4|4|4|3|4|3|2|4|5|4|3|4|3|3|4|3|3|2|2|4|4|5|4|4|4|2|4|3|4|3</v>
      </c>
      <c r="Q94" s="3" t="n">
        <f aca="false">COUNTIF($P$4:$P$513,P94)</f>
        <v>1</v>
      </c>
    </row>
    <row r="95" customFormat="false" ht="15" hidden="false" customHeight="false" outlineLevel="0" collapsed="false">
      <c r="O95" s="3" t="n">
        <v>93</v>
      </c>
      <c r="P95" s="3" t="str">
        <f aca="false">Raw_Data!A93&amp;"|"&amp;Raw_Data!B93&amp;"|"&amp;Raw_Data!C93&amp;"|"&amp;Raw_Data!D93&amp;"|"&amp;Raw_Data!E93&amp;"|"&amp;Raw_Data!F93&amp;"|"&amp;Raw_Data!G93&amp;"|"&amp;Raw_Data!H93&amp;"|"&amp;Raw_Data!I93&amp;"|"&amp;Raw_Data!J93&amp;"|"&amp;Raw_Data!K93&amp;"|"&amp;Raw_Data!L93&amp;"|"&amp;Raw_Data!M93&amp;"|"&amp;Raw_Data!N93&amp;"|"&amp;Raw_Data!O93&amp;"|"&amp;Raw_Data!P93&amp;"|"&amp;Raw_Data!Q93&amp;"|"&amp;Raw_Data!R93&amp;"|"&amp;Raw_Data!S93&amp;"|"&amp;Raw_Data!T93&amp;"|"&amp;Raw_Data!U93&amp;"|"&amp;Raw_Data!V93&amp;"|"&amp;Raw_Data!W93&amp;"|"&amp;Raw_Data!X93&amp;"|"&amp;Raw_Data!Y93&amp;"|"&amp;Raw_Data!Z93&amp;"|"&amp;Raw_Data!AA93&amp;"|"&amp;Raw_Data!AB93&amp;"|"&amp;Raw_Data!AC93&amp;"|"&amp;Raw_Data!AD93&amp;"|"&amp;Raw_Data!AE93&amp;"|"&amp;Raw_Data!AF93&amp;"|"&amp;Raw_Data!AG93&amp;"|"&amp;Raw_Data!AH93&amp;"|"&amp;Raw_Data!AI93&amp;"|"&amp;Raw_Data!AJ93&amp;"|"&amp;Raw_Data!AK93&amp;"|"&amp;Raw_Data!AL93&amp;"|"&amp;Raw_Data!AM93&amp;"|"&amp;Raw_Data!AN93&amp;"|"&amp;Raw_Data!AO93</f>
        <v>0|3|2|1|2|2|2|2|2|23|2|4|2|2|2|2|4|2|2|4|2|2|2|3|2|2|4|4|4|4|2|4|2|4|4|2|4|2|4|4|5</v>
      </c>
      <c r="Q95" s="3" t="n">
        <f aca="false">COUNTIF($P$4:$P$513,P95)</f>
        <v>1</v>
      </c>
    </row>
    <row r="96" customFormat="false" ht="15" hidden="false" customHeight="false" outlineLevel="0" collapsed="false">
      <c r="O96" s="3" t="n">
        <v>94</v>
      </c>
      <c r="P96" s="3" t="str">
        <f aca="false">Raw_Data!A94&amp;"|"&amp;Raw_Data!B94&amp;"|"&amp;Raw_Data!C94&amp;"|"&amp;Raw_Data!D94&amp;"|"&amp;Raw_Data!E94&amp;"|"&amp;Raw_Data!F94&amp;"|"&amp;Raw_Data!G94&amp;"|"&amp;Raw_Data!H94&amp;"|"&amp;Raw_Data!I94&amp;"|"&amp;Raw_Data!J94&amp;"|"&amp;Raw_Data!K94&amp;"|"&amp;Raw_Data!L94&amp;"|"&amp;Raw_Data!M94&amp;"|"&amp;Raw_Data!N94&amp;"|"&amp;Raw_Data!O94&amp;"|"&amp;Raw_Data!P94&amp;"|"&amp;Raw_Data!Q94&amp;"|"&amp;Raw_Data!R94&amp;"|"&amp;Raw_Data!S94&amp;"|"&amp;Raw_Data!T94&amp;"|"&amp;Raw_Data!U94&amp;"|"&amp;Raw_Data!V94&amp;"|"&amp;Raw_Data!W94&amp;"|"&amp;Raw_Data!X94&amp;"|"&amp;Raw_Data!Y94&amp;"|"&amp;Raw_Data!Z94&amp;"|"&amp;Raw_Data!AA94&amp;"|"&amp;Raw_Data!AB94&amp;"|"&amp;Raw_Data!AC94&amp;"|"&amp;Raw_Data!AD94&amp;"|"&amp;Raw_Data!AE94&amp;"|"&amp;Raw_Data!AF94&amp;"|"&amp;Raw_Data!AG94&amp;"|"&amp;Raw_Data!AH94&amp;"|"&amp;Raw_Data!AI94&amp;"|"&amp;Raw_Data!AJ94&amp;"|"&amp;Raw_Data!AK94&amp;"|"&amp;Raw_Data!AL94&amp;"|"&amp;Raw_Data!AM94&amp;"|"&amp;Raw_Data!AN94&amp;"|"&amp;Raw_Data!AO94</f>
        <v>0|4|2|1|2|2|1|3|1|26|2|3|2|2|3|3|3|4|4|3|4|2|4|3|2|3|2|1|3|2|3|3|4|3|5|2|3|2|3|4|3</v>
      </c>
      <c r="Q96" s="3" t="n">
        <f aca="false">COUNTIF($P$4:$P$513,P96)</f>
        <v>1</v>
      </c>
    </row>
    <row r="97" customFormat="false" ht="15" hidden="false" customHeight="false" outlineLevel="0" collapsed="false">
      <c r="O97" s="3" t="n">
        <v>95</v>
      </c>
      <c r="P97" s="3" t="str">
        <f aca="false">Raw_Data!A95&amp;"|"&amp;Raw_Data!B95&amp;"|"&amp;Raw_Data!C95&amp;"|"&amp;Raw_Data!D95&amp;"|"&amp;Raw_Data!E95&amp;"|"&amp;Raw_Data!F95&amp;"|"&amp;Raw_Data!G95&amp;"|"&amp;Raw_Data!H95&amp;"|"&amp;Raw_Data!I95&amp;"|"&amp;Raw_Data!J95&amp;"|"&amp;Raw_Data!K95&amp;"|"&amp;Raw_Data!L95&amp;"|"&amp;Raw_Data!M95&amp;"|"&amp;Raw_Data!N95&amp;"|"&amp;Raw_Data!O95&amp;"|"&amp;Raw_Data!P95&amp;"|"&amp;Raw_Data!Q95&amp;"|"&amp;Raw_Data!R95&amp;"|"&amp;Raw_Data!S95&amp;"|"&amp;Raw_Data!T95&amp;"|"&amp;Raw_Data!U95&amp;"|"&amp;Raw_Data!V95&amp;"|"&amp;Raw_Data!W95&amp;"|"&amp;Raw_Data!X95&amp;"|"&amp;Raw_Data!Y95&amp;"|"&amp;Raw_Data!Z95&amp;"|"&amp;Raw_Data!AA95&amp;"|"&amp;Raw_Data!AB95&amp;"|"&amp;Raw_Data!AC95&amp;"|"&amp;Raw_Data!AD95&amp;"|"&amp;Raw_Data!AE95&amp;"|"&amp;Raw_Data!AF95&amp;"|"&amp;Raw_Data!AG95&amp;"|"&amp;Raw_Data!AH95&amp;"|"&amp;Raw_Data!AI95&amp;"|"&amp;Raw_Data!AJ95&amp;"|"&amp;Raw_Data!AK95&amp;"|"&amp;Raw_Data!AL95&amp;"|"&amp;Raw_Data!AM95&amp;"|"&amp;Raw_Data!AN95&amp;"|"&amp;Raw_Data!AO95</f>
        <v>0|3|2|1|2|2|4|1|3|26|2|4|2|3|4|4|2|3|4|4|4|4|3|3|4|3|4|2|1|1|3|4|4|4|3|4|3|3|3|3|3</v>
      </c>
      <c r="Q97" s="3" t="n">
        <f aca="false">COUNTIF($P$4:$P$513,P97)</f>
        <v>1</v>
      </c>
    </row>
    <row r="98" customFormat="false" ht="15" hidden="false" customHeight="false" outlineLevel="0" collapsed="false">
      <c r="O98" s="3" t="n">
        <v>96</v>
      </c>
      <c r="P98" s="3" t="str">
        <f aca="false">Raw_Data!A96&amp;"|"&amp;Raw_Data!B96&amp;"|"&amp;Raw_Data!C96&amp;"|"&amp;Raw_Data!D96&amp;"|"&amp;Raw_Data!E96&amp;"|"&amp;Raw_Data!F96&amp;"|"&amp;Raw_Data!G96&amp;"|"&amp;Raw_Data!H96&amp;"|"&amp;Raw_Data!I96&amp;"|"&amp;Raw_Data!J96&amp;"|"&amp;Raw_Data!K96&amp;"|"&amp;Raw_Data!L96&amp;"|"&amp;Raw_Data!M96&amp;"|"&amp;Raw_Data!N96&amp;"|"&amp;Raw_Data!O96&amp;"|"&amp;Raw_Data!P96&amp;"|"&amp;Raw_Data!Q96&amp;"|"&amp;Raw_Data!R96&amp;"|"&amp;Raw_Data!S96&amp;"|"&amp;Raw_Data!T96&amp;"|"&amp;Raw_Data!U96&amp;"|"&amp;Raw_Data!V96&amp;"|"&amp;Raw_Data!W96&amp;"|"&amp;Raw_Data!X96&amp;"|"&amp;Raw_Data!Y96&amp;"|"&amp;Raw_Data!Z96&amp;"|"&amp;Raw_Data!AA96&amp;"|"&amp;Raw_Data!AB96&amp;"|"&amp;Raw_Data!AC96&amp;"|"&amp;Raw_Data!AD96&amp;"|"&amp;Raw_Data!AE96&amp;"|"&amp;Raw_Data!AF96&amp;"|"&amp;Raw_Data!AG96&amp;"|"&amp;Raw_Data!AH96&amp;"|"&amp;Raw_Data!AI96&amp;"|"&amp;Raw_Data!AJ96&amp;"|"&amp;Raw_Data!AK96&amp;"|"&amp;Raw_Data!AL96&amp;"|"&amp;Raw_Data!AM96&amp;"|"&amp;Raw_Data!AN96&amp;"|"&amp;Raw_Data!AO96</f>
        <v>1|4|1|1|2|2|1|2|2|24|3|2|4|2|2|3|4|1|4|5|4|4|4|5|4|4|4|4|1|1|3|2|4|2|3|3|4|5|3|3|3</v>
      </c>
      <c r="Q98" s="3" t="n">
        <f aca="false">COUNTIF($P$4:$P$513,P98)</f>
        <v>1</v>
      </c>
    </row>
    <row r="99" customFormat="false" ht="15" hidden="false" customHeight="false" outlineLevel="0" collapsed="false">
      <c r="O99" s="3" t="n">
        <v>97</v>
      </c>
      <c r="P99" s="3" t="str">
        <f aca="false">Raw_Data!A97&amp;"|"&amp;Raw_Data!B97&amp;"|"&amp;Raw_Data!C97&amp;"|"&amp;Raw_Data!D97&amp;"|"&amp;Raw_Data!E97&amp;"|"&amp;Raw_Data!F97&amp;"|"&amp;Raw_Data!G97&amp;"|"&amp;Raw_Data!H97&amp;"|"&amp;Raw_Data!I97&amp;"|"&amp;Raw_Data!J97&amp;"|"&amp;Raw_Data!K97&amp;"|"&amp;Raw_Data!L97&amp;"|"&amp;Raw_Data!M97&amp;"|"&amp;Raw_Data!N97&amp;"|"&amp;Raw_Data!O97&amp;"|"&amp;Raw_Data!P97&amp;"|"&amp;Raw_Data!Q97&amp;"|"&amp;Raw_Data!R97&amp;"|"&amp;Raw_Data!S97&amp;"|"&amp;Raw_Data!T97&amp;"|"&amp;Raw_Data!U97&amp;"|"&amp;Raw_Data!V97&amp;"|"&amp;Raw_Data!W97&amp;"|"&amp;Raw_Data!X97&amp;"|"&amp;Raw_Data!Y97&amp;"|"&amp;Raw_Data!Z97&amp;"|"&amp;Raw_Data!AA97&amp;"|"&amp;Raw_Data!AB97&amp;"|"&amp;Raw_Data!AC97&amp;"|"&amp;Raw_Data!AD97&amp;"|"&amp;Raw_Data!AE97&amp;"|"&amp;Raw_Data!AF97&amp;"|"&amp;Raw_Data!AG97&amp;"|"&amp;Raw_Data!AH97&amp;"|"&amp;Raw_Data!AI97&amp;"|"&amp;Raw_Data!AJ97&amp;"|"&amp;Raw_Data!AK97&amp;"|"&amp;Raw_Data!AL97&amp;"|"&amp;Raw_Data!AM97&amp;"|"&amp;Raw_Data!AN97&amp;"|"&amp;Raw_Data!AO97</f>
        <v>0|3|1|1|2|2|1|1|1|23|3|4|3|4|4|4|4|5|4|5|4|4|2|4|3|4|4|4|1|2|4|3|5|2|2|5|3|5|4|4|4</v>
      </c>
      <c r="Q99" s="3" t="n">
        <f aca="false">COUNTIF($P$4:$P$513,P99)</f>
        <v>1</v>
      </c>
    </row>
    <row r="100" customFormat="false" ht="15" hidden="false" customHeight="false" outlineLevel="0" collapsed="false">
      <c r="O100" s="3" t="n">
        <v>98</v>
      </c>
      <c r="P100" s="3" t="str">
        <f aca="false">Raw_Data!A98&amp;"|"&amp;Raw_Data!B98&amp;"|"&amp;Raw_Data!C98&amp;"|"&amp;Raw_Data!D98&amp;"|"&amp;Raw_Data!E98&amp;"|"&amp;Raw_Data!F98&amp;"|"&amp;Raw_Data!G98&amp;"|"&amp;Raw_Data!H98&amp;"|"&amp;Raw_Data!I98&amp;"|"&amp;Raw_Data!J98&amp;"|"&amp;Raw_Data!K98&amp;"|"&amp;Raw_Data!L98&amp;"|"&amp;Raw_Data!M98&amp;"|"&amp;Raw_Data!N98&amp;"|"&amp;Raw_Data!O98&amp;"|"&amp;Raw_Data!P98&amp;"|"&amp;Raw_Data!Q98&amp;"|"&amp;Raw_Data!R98&amp;"|"&amp;Raw_Data!S98&amp;"|"&amp;Raw_Data!T98&amp;"|"&amp;Raw_Data!U98&amp;"|"&amp;Raw_Data!V98&amp;"|"&amp;Raw_Data!W98&amp;"|"&amp;Raw_Data!X98&amp;"|"&amp;Raw_Data!Y98&amp;"|"&amp;Raw_Data!Z98&amp;"|"&amp;Raw_Data!AA98&amp;"|"&amp;Raw_Data!AB98&amp;"|"&amp;Raw_Data!AC98&amp;"|"&amp;Raw_Data!AD98&amp;"|"&amp;Raw_Data!AE98&amp;"|"&amp;Raw_Data!AF98&amp;"|"&amp;Raw_Data!AG98&amp;"|"&amp;Raw_Data!AH98&amp;"|"&amp;Raw_Data!AI98&amp;"|"&amp;Raw_Data!AJ98&amp;"|"&amp;Raw_Data!AK98&amp;"|"&amp;Raw_Data!AL98&amp;"|"&amp;Raw_Data!AM98&amp;"|"&amp;Raw_Data!AN98&amp;"|"&amp;Raw_Data!AO98</f>
        <v>0|3|2|1|2|2|1|2|1|22|4|2|4|4|3|2|4|4|3|5|4|4|5|4|4|3|4|1|1|4|3|2|3|3|4|5|3|3|3|4|3</v>
      </c>
      <c r="Q100" s="3" t="n">
        <f aca="false">COUNTIF($P$4:$P$513,P100)</f>
        <v>1</v>
      </c>
    </row>
    <row r="101" customFormat="false" ht="15" hidden="false" customHeight="false" outlineLevel="0" collapsed="false">
      <c r="O101" s="3" t="n">
        <v>99</v>
      </c>
      <c r="P101" s="3" t="str">
        <f aca="false">Raw_Data!A99&amp;"|"&amp;Raw_Data!B99&amp;"|"&amp;Raw_Data!C99&amp;"|"&amp;Raw_Data!D99&amp;"|"&amp;Raw_Data!E99&amp;"|"&amp;Raw_Data!F99&amp;"|"&amp;Raw_Data!G99&amp;"|"&amp;Raw_Data!H99&amp;"|"&amp;Raw_Data!I99&amp;"|"&amp;Raw_Data!J99&amp;"|"&amp;Raw_Data!K99&amp;"|"&amp;Raw_Data!L99&amp;"|"&amp;Raw_Data!M99&amp;"|"&amp;Raw_Data!N99&amp;"|"&amp;Raw_Data!O99&amp;"|"&amp;Raw_Data!P99&amp;"|"&amp;Raw_Data!Q99&amp;"|"&amp;Raw_Data!R99&amp;"|"&amp;Raw_Data!S99&amp;"|"&amp;Raw_Data!T99&amp;"|"&amp;Raw_Data!U99&amp;"|"&amp;Raw_Data!V99&amp;"|"&amp;Raw_Data!W99&amp;"|"&amp;Raw_Data!X99&amp;"|"&amp;Raw_Data!Y99&amp;"|"&amp;Raw_Data!Z99&amp;"|"&amp;Raw_Data!AA99&amp;"|"&amp;Raw_Data!AB99&amp;"|"&amp;Raw_Data!AC99&amp;"|"&amp;Raw_Data!AD99&amp;"|"&amp;Raw_Data!AE99&amp;"|"&amp;Raw_Data!AF99&amp;"|"&amp;Raw_Data!AG99&amp;"|"&amp;Raw_Data!AH99&amp;"|"&amp;Raw_Data!AI99&amp;"|"&amp;Raw_Data!AJ99&amp;"|"&amp;Raw_Data!AK99&amp;"|"&amp;Raw_Data!AL99&amp;"|"&amp;Raw_Data!AM99&amp;"|"&amp;Raw_Data!AN99&amp;"|"&amp;Raw_Data!AO99</f>
        <v>|1|1|1|2|2|1|1|2|24|3|3|3|3|4|2|4|2|4|4|4|4|4|3|1|4|4|2|2|3|3|3|3|4|4|4|4|4|2|3|3</v>
      </c>
      <c r="Q101" s="3" t="n">
        <f aca="false">COUNTIF($P$4:$P$513,P101)</f>
        <v>1</v>
      </c>
    </row>
    <row r="102" customFormat="false" ht="15" hidden="false" customHeight="false" outlineLevel="0" collapsed="false">
      <c r="O102" s="3" t="n">
        <v>100</v>
      </c>
      <c r="P102" s="3" t="str">
        <f aca="false">Raw_Data!A100&amp;"|"&amp;Raw_Data!B100&amp;"|"&amp;Raw_Data!C100&amp;"|"&amp;Raw_Data!D100&amp;"|"&amp;Raw_Data!E100&amp;"|"&amp;Raw_Data!F100&amp;"|"&amp;Raw_Data!G100&amp;"|"&amp;Raw_Data!H100&amp;"|"&amp;Raw_Data!I100&amp;"|"&amp;Raw_Data!J100&amp;"|"&amp;Raw_Data!K100&amp;"|"&amp;Raw_Data!L100&amp;"|"&amp;Raw_Data!M100&amp;"|"&amp;Raw_Data!N100&amp;"|"&amp;Raw_Data!O100&amp;"|"&amp;Raw_Data!P100&amp;"|"&amp;Raw_Data!Q100&amp;"|"&amp;Raw_Data!R100&amp;"|"&amp;Raw_Data!S100&amp;"|"&amp;Raw_Data!T100&amp;"|"&amp;Raw_Data!U100&amp;"|"&amp;Raw_Data!V100&amp;"|"&amp;Raw_Data!W100&amp;"|"&amp;Raw_Data!X100&amp;"|"&amp;Raw_Data!Y100&amp;"|"&amp;Raw_Data!Z100&amp;"|"&amp;Raw_Data!AA100&amp;"|"&amp;Raw_Data!AB100&amp;"|"&amp;Raw_Data!AC100&amp;"|"&amp;Raw_Data!AD100&amp;"|"&amp;Raw_Data!AE100&amp;"|"&amp;Raw_Data!AF100&amp;"|"&amp;Raw_Data!AG100&amp;"|"&amp;Raw_Data!AH100&amp;"|"&amp;Raw_Data!AI100&amp;"|"&amp;Raw_Data!AJ100&amp;"|"&amp;Raw_Data!AK100&amp;"|"&amp;Raw_Data!AL100&amp;"|"&amp;Raw_Data!AM100&amp;"|"&amp;Raw_Data!AN100&amp;"|"&amp;Raw_Data!AO100</f>
        <v>0|3|1|1|2|2|1|2|1|25|3|3|2|3|3|4|4|4|5|3|4|3|5|3|3|4|4|2|3|2|4|2|4|3|4|5|4|5|5|5|3</v>
      </c>
      <c r="Q102" s="3" t="n">
        <f aca="false">COUNTIF($P$4:$P$513,P102)</f>
        <v>1</v>
      </c>
    </row>
    <row r="103" customFormat="false" ht="15" hidden="false" customHeight="false" outlineLevel="0" collapsed="false">
      <c r="O103" s="3" t="n">
        <v>101</v>
      </c>
      <c r="P103" s="3" t="str">
        <f aca="false">Raw_Data!A101&amp;"|"&amp;Raw_Data!B101&amp;"|"&amp;Raw_Data!C101&amp;"|"&amp;Raw_Data!D101&amp;"|"&amp;Raw_Data!E101&amp;"|"&amp;Raw_Data!F101&amp;"|"&amp;Raw_Data!G101&amp;"|"&amp;Raw_Data!H101&amp;"|"&amp;Raw_Data!I101&amp;"|"&amp;Raw_Data!J101&amp;"|"&amp;Raw_Data!K101&amp;"|"&amp;Raw_Data!L101&amp;"|"&amp;Raw_Data!M101&amp;"|"&amp;Raw_Data!N101&amp;"|"&amp;Raw_Data!O101&amp;"|"&amp;Raw_Data!P101&amp;"|"&amp;Raw_Data!Q101&amp;"|"&amp;Raw_Data!R101&amp;"|"&amp;Raw_Data!S101&amp;"|"&amp;Raw_Data!T101&amp;"|"&amp;Raw_Data!U101&amp;"|"&amp;Raw_Data!V101&amp;"|"&amp;Raw_Data!W101&amp;"|"&amp;Raw_Data!X101&amp;"|"&amp;Raw_Data!Y101&amp;"|"&amp;Raw_Data!Z101&amp;"|"&amp;Raw_Data!AA101&amp;"|"&amp;Raw_Data!AB101&amp;"|"&amp;Raw_Data!AC101&amp;"|"&amp;Raw_Data!AD101&amp;"|"&amp;Raw_Data!AE101&amp;"|"&amp;Raw_Data!AF101&amp;"|"&amp;Raw_Data!AG101&amp;"|"&amp;Raw_Data!AH101&amp;"|"&amp;Raw_Data!AI101&amp;"|"&amp;Raw_Data!AJ101&amp;"|"&amp;Raw_Data!AK101&amp;"|"&amp;Raw_Data!AL101&amp;"|"&amp;Raw_Data!AM101&amp;"|"&amp;Raw_Data!AN101&amp;"|"&amp;Raw_Data!AO101</f>
        <v>0|3|1|2|2|2|1|1|1|23|4|3|4|4|3|4|3|3|4|4|4|4|4|4|2|4|3|3|2|3|3|3|3|3|3|4|3|4|4|2|3</v>
      </c>
      <c r="Q103" s="3" t="n">
        <f aca="false">COUNTIF($P$4:$P$513,P103)</f>
        <v>1</v>
      </c>
    </row>
    <row r="104" customFormat="false" ht="15" hidden="false" customHeight="false" outlineLevel="0" collapsed="false">
      <c r="O104" s="3" t="n">
        <v>102</v>
      </c>
      <c r="P104" s="3" t="str">
        <f aca="false">Raw_Data!A102&amp;"|"&amp;Raw_Data!B102&amp;"|"&amp;Raw_Data!C102&amp;"|"&amp;Raw_Data!D102&amp;"|"&amp;Raw_Data!E102&amp;"|"&amp;Raw_Data!F102&amp;"|"&amp;Raw_Data!G102&amp;"|"&amp;Raw_Data!H102&amp;"|"&amp;Raw_Data!I102&amp;"|"&amp;Raw_Data!J102&amp;"|"&amp;Raw_Data!K102&amp;"|"&amp;Raw_Data!L102&amp;"|"&amp;Raw_Data!M102&amp;"|"&amp;Raw_Data!N102&amp;"|"&amp;Raw_Data!O102&amp;"|"&amp;Raw_Data!P102&amp;"|"&amp;Raw_Data!Q102&amp;"|"&amp;Raw_Data!R102&amp;"|"&amp;Raw_Data!S102&amp;"|"&amp;Raw_Data!T102&amp;"|"&amp;Raw_Data!U102&amp;"|"&amp;Raw_Data!V102&amp;"|"&amp;Raw_Data!W102&amp;"|"&amp;Raw_Data!X102&amp;"|"&amp;Raw_Data!Y102&amp;"|"&amp;Raw_Data!Z102&amp;"|"&amp;Raw_Data!AA102&amp;"|"&amp;Raw_Data!AB102&amp;"|"&amp;Raw_Data!AC102&amp;"|"&amp;Raw_Data!AD102&amp;"|"&amp;Raw_Data!AE102&amp;"|"&amp;Raw_Data!AF102&amp;"|"&amp;Raw_Data!AG102&amp;"|"&amp;Raw_Data!AH102&amp;"|"&amp;Raw_Data!AI102&amp;"|"&amp;Raw_Data!AJ102&amp;"|"&amp;Raw_Data!AK102&amp;"|"&amp;Raw_Data!AL102&amp;"|"&amp;Raw_Data!AM102&amp;"|"&amp;Raw_Data!AN102&amp;"|"&amp;Raw_Data!AO102</f>
        <v>0|3|1|1|2|2|1|2|1|24|3|5|3|4|4|4|3|4|4|4|4|4|4|4|4|4|3|3|3|2|3|3|3|4|4|5|3|5|4|4|4</v>
      </c>
      <c r="Q104" s="3" t="n">
        <f aca="false">COUNTIF($P$4:$P$513,P104)</f>
        <v>1</v>
      </c>
    </row>
    <row r="105" customFormat="false" ht="15" hidden="false" customHeight="false" outlineLevel="0" collapsed="false">
      <c r="O105" s="3" t="n">
        <v>103</v>
      </c>
      <c r="P105" s="3" t="str">
        <f aca="false">Raw_Data!A103&amp;"|"&amp;Raw_Data!B103&amp;"|"&amp;Raw_Data!C103&amp;"|"&amp;Raw_Data!D103&amp;"|"&amp;Raw_Data!E103&amp;"|"&amp;Raw_Data!F103&amp;"|"&amp;Raw_Data!G103&amp;"|"&amp;Raw_Data!H103&amp;"|"&amp;Raw_Data!I103&amp;"|"&amp;Raw_Data!J103&amp;"|"&amp;Raw_Data!K103&amp;"|"&amp;Raw_Data!L103&amp;"|"&amp;Raw_Data!M103&amp;"|"&amp;Raw_Data!N103&amp;"|"&amp;Raw_Data!O103&amp;"|"&amp;Raw_Data!P103&amp;"|"&amp;Raw_Data!Q103&amp;"|"&amp;Raw_Data!R103&amp;"|"&amp;Raw_Data!S103&amp;"|"&amp;Raw_Data!T103&amp;"|"&amp;Raw_Data!U103&amp;"|"&amp;Raw_Data!V103&amp;"|"&amp;Raw_Data!W103&amp;"|"&amp;Raw_Data!X103&amp;"|"&amp;Raw_Data!Y103&amp;"|"&amp;Raw_Data!Z103&amp;"|"&amp;Raw_Data!AA103&amp;"|"&amp;Raw_Data!AB103&amp;"|"&amp;Raw_Data!AC103&amp;"|"&amp;Raw_Data!AD103&amp;"|"&amp;Raw_Data!AE103&amp;"|"&amp;Raw_Data!AF103&amp;"|"&amp;Raw_Data!AG103&amp;"|"&amp;Raw_Data!AH103&amp;"|"&amp;Raw_Data!AI103&amp;"|"&amp;Raw_Data!AJ103&amp;"|"&amp;Raw_Data!AK103&amp;"|"&amp;Raw_Data!AL103&amp;"|"&amp;Raw_Data!AM103&amp;"|"&amp;Raw_Data!AN103&amp;"|"&amp;Raw_Data!AO103</f>
        <v>|4|1|1|2|2|2|3|3|26|3|3|5|5|5|4|4|5|5|5|5|4|2|3|2|2|2|2|3|3|5|5|5|4|5|5|5|5|5|3|4</v>
      </c>
      <c r="Q105" s="3" t="n">
        <f aca="false">COUNTIF($P$4:$P$513,P105)</f>
        <v>1</v>
      </c>
    </row>
    <row r="106" customFormat="false" ht="15" hidden="false" customHeight="false" outlineLevel="0" collapsed="false">
      <c r="O106" s="3" t="n">
        <v>104</v>
      </c>
      <c r="P106" s="3" t="str">
        <f aca="false">Raw_Data!A104&amp;"|"&amp;Raw_Data!B104&amp;"|"&amp;Raw_Data!C104&amp;"|"&amp;Raw_Data!D104&amp;"|"&amp;Raw_Data!E104&amp;"|"&amp;Raw_Data!F104&amp;"|"&amp;Raw_Data!G104&amp;"|"&amp;Raw_Data!H104&amp;"|"&amp;Raw_Data!I104&amp;"|"&amp;Raw_Data!J104&amp;"|"&amp;Raw_Data!K104&amp;"|"&amp;Raw_Data!L104&amp;"|"&amp;Raw_Data!M104&amp;"|"&amp;Raw_Data!N104&amp;"|"&amp;Raw_Data!O104&amp;"|"&amp;Raw_Data!P104&amp;"|"&amp;Raw_Data!Q104&amp;"|"&amp;Raw_Data!R104&amp;"|"&amp;Raw_Data!S104&amp;"|"&amp;Raw_Data!T104&amp;"|"&amp;Raw_Data!U104&amp;"|"&amp;Raw_Data!V104&amp;"|"&amp;Raw_Data!W104&amp;"|"&amp;Raw_Data!X104&amp;"|"&amp;Raw_Data!Y104&amp;"|"&amp;Raw_Data!Z104&amp;"|"&amp;Raw_Data!AA104&amp;"|"&amp;Raw_Data!AB104&amp;"|"&amp;Raw_Data!AC104&amp;"|"&amp;Raw_Data!AD104&amp;"|"&amp;Raw_Data!AE104&amp;"|"&amp;Raw_Data!AF104&amp;"|"&amp;Raw_Data!AG104&amp;"|"&amp;Raw_Data!AH104&amp;"|"&amp;Raw_Data!AI104&amp;"|"&amp;Raw_Data!AJ104&amp;"|"&amp;Raw_Data!AK104&amp;"|"&amp;Raw_Data!AL104&amp;"|"&amp;Raw_Data!AM104&amp;"|"&amp;Raw_Data!AN104&amp;"|"&amp;Raw_Data!AO104</f>
        <v>0|6|2|1|2|2|1|3|1|23|3|4|4|3|3|3|4|4|4|4|4|4|4|4|4|4|4|4|2|4|3|2|4|4|4|4|3|3|3|2|4</v>
      </c>
      <c r="Q106" s="3" t="n">
        <f aca="false">COUNTIF($P$4:$P$513,P106)</f>
        <v>1</v>
      </c>
    </row>
    <row r="107" customFormat="false" ht="15" hidden="false" customHeight="false" outlineLevel="0" collapsed="false">
      <c r="O107" s="3" t="n">
        <v>105</v>
      </c>
      <c r="P107" s="3" t="str">
        <f aca="false">Raw_Data!A105&amp;"|"&amp;Raw_Data!B105&amp;"|"&amp;Raw_Data!C105&amp;"|"&amp;Raw_Data!D105&amp;"|"&amp;Raw_Data!E105&amp;"|"&amp;Raw_Data!F105&amp;"|"&amp;Raw_Data!G105&amp;"|"&amp;Raw_Data!H105&amp;"|"&amp;Raw_Data!I105&amp;"|"&amp;Raw_Data!J105&amp;"|"&amp;Raw_Data!K105&amp;"|"&amp;Raw_Data!L105&amp;"|"&amp;Raw_Data!M105&amp;"|"&amp;Raw_Data!N105&amp;"|"&amp;Raw_Data!O105&amp;"|"&amp;Raw_Data!P105&amp;"|"&amp;Raw_Data!Q105&amp;"|"&amp;Raw_Data!R105&amp;"|"&amp;Raw_Data!S105&amp;"|"&amp;Raw_Data!T105&amp;"|"&amp;Raw_Data!U105&amp;"|"&amp;Raw_Data!V105&amp;"|"&amp;Raw_Data!W105&amp;"|"&amp;Raw_Data!X105&amp;"|"&amp;Raw_Data!Y105&amp;"|"&amp;Raw_Data!Z105&amp;"|"&amp;Raw_Data!AA105&amp;"|"&amp;Raw_Data!AB105&amp;"|"&amp;Raw_Data!AC105&amp;"|"&amp;Raw_Data!AD105&amp;"|"&amp;Raw_Data!AE105&amp;"|"&amp;Raw_Data!AF105&amp;"|"&amp;Raw_Data!AG105&amp;"|"&amp;Raw_Data!AH105&amp;"|"&amp;Raw_Data!AI105&amp;"|"&amp;Raw_Data!AJ105&amp;"|"&amp;Raw_Data!AK105&amp;"|"&amp;Raw_Data!AL105&amp;"|"&amp;Raw_Data!AM105&amp;"|"&amp;Raw_Data!AN105&amp;"|"&amp;Raw_Data!AO105</f>
        <v>0|4|1|1|2|2|3|2|1|24|4|3|4|3|4|2|4|2|3|4|4|2|2|4|2|3|4|2|4|3|3|4|4|4|4|4|2|5|4|2|3</v>
      </c>
      <c r="Q107" s="3" t="n">
        <f aca="false">COUNTIF($P$4:$P$513,P107)</f>
        <v>1</v>
      </c>
    </row>
    <row r="108" customFormat="false" ht="15" hidden="false" customHeight="false" outlineLevel="0" collapsed="false">
      <c r="O108" s="3" t="n">
        <v>106</v>
      </c>
      <c r="P108" s="3" t="str">
        <f aca="false">Raw_Data!A106&amp;"|"&amp;Raw_Data!B106&amp;"|"&amp;Raw_Data!C106&amp;"|"&amp;Raw_Data!D106&amp;"|"&amp;Raw_Data!E106&amp;"|"&amp;Raw_Data!F106&amp;"|"&amp;Raw_Data!G106&amp;"|"&amp;Raw_Data!H106&amp;"|"&amp;Raw_Data!I106&amp;"|"&amp;Raw_Data!J106&amp;"|"&amp;Raw_Data!K106&amp;"|"&amp;Raw_Data!L106&amp;"|"&amp;Raw_Data!M106&amp;"|"&amp;Raw_Data!N106&amp;"|"&amp;Raw_Data!O106&amp;"|"&amp;Raw_Data!P106&amp;"|"&amp;Raw_Data!Q106&amp;"|"&amp;Raw_Data!R106&amp;"|"&amp;Raw_Data!S106&amp;"|"&amp;Raw_Data!T106&amp;"|"&amp;Raw_Data!U106&amp;"|"&amp;Raw_Data!V106&amp;"|"&amp;Raw_Data!W106&amp;"|"&amp;Raw_Data!X106&amp;"|"&amp;Raw_Data!Y106&amp;"|"&amp;Raw_Data!Z106&amp;"|"&amp;Raw_Data!AA106&amp;"|"&amp;Raw_Data!AB106&amp;"|"&amp;Raw_Data!AC106&amp;"|"&amp;Raw_Data!AD106&amp;"|"&amp;Raw_Data!AE106&amp;"|"&amp;Raw_Data!AF106&amp;"|"&amp;Raw_Data!AG106&amp;"|"&amp;Raw_Data!AH106&amp;"|"&amp;Raw_Data!AI106&amp;"|"&amp;Raw_Data!AJ106&amp;"|"&amp;Raw_Data!AK106&amp;"|"&amp;Raw_Data!AL106&amp;"|"&amp;Raw_Data!AM106&amp;"|"&amp;Raw_Data!AN106&amp;"|"&amp;Raw_Data!AO106</f>
        <v>0|4|1|1|2|2|4|2|1|22|4|1|2|1|1|2|1|1|4|5|5|4|4|4|2|4|4|5|1|1|2|1|2|5|4|2|2|4|2|4|1</v>
      </c>
      <c r="Q108" s="3" t="n">
        <f aca="false">COUNTIF($P$4:$P$513,P108)</f>
        <v>1</v>
      </c>
    </row>
    <row r="109" customFormat="false" ht="15" hidden="false" customHeight="false" outlineLevel="0" collapsed="false">
      <c r="O109" s="3" t="n">
        <v>107</v>
      </c>
      <c r="P109" s="3" t="str">
        <f aca="false">Raw_Data!A107&amp;"|"&amp;Raw_Data!B107&amp;"|"&amp;Raw_Data!C107&amp;"|"&amp;Raw_Data!D107&amp;"|"&amp;Raw_Data!E107&amp;"|"&amp;Raw_Data!F107&amp;"|"&amp;Raw_Data!G107&amp;"|"&amp;Raw_Data!H107&amp;"|"&amp;Raw_Data!I107&amp;"|"&amp;Raw_Data!J107&amp;"|"&amp;Raw_Data!K107&amp;"|"&amp;Raw_Data!L107&amp;"|"&amp;Raw_Data!M107&amp;"|"&amp;Raw_Data!N107&amp;"|"&amp;Raw_Data!O107&amp;"|"&amp;Raw_Data!P107&amp;"|"&amp;Raw_Data!Q107&amp;"|"&amp;Raw_Data!R107&amp;"|"&amp;Raw_Data!S107&amp;"|"&amp;Raw_Data!T107&amp;"|"&amp;Raw_Data!U107&amp;"|"&amp;Raw_Data!V107&amp;"|"&amp;Raw_Data!W107&amp;"|"&amp;Raw_Data!X107&amp;"|"&amp;Raw_Data!Y107&amp;"|"&amp;Raw_Data!Z107&amp;"|"&amp;Raw_Data!AA107&amp;"|"&amp;Raw_Data!AB107&amp;"|"&amp;Raw_Data!AC107&amp;"|"&amp;Raw_Data!AD107&amp;"|"&amp;Raw_Data!AE107&amp;"|"&amp;Raw_Data!AF107&amp;"|"&amp;Raw_Data!AG107&amp;"|"&amp;Raw_Data!AH107&amp;"|"&amp;Raw_Data!AI107&amp;"|"&amp;Raw_Data!AJ107&amp;"|"&amp;Raw_Data!AK107&amp;"|"&amp;Raw_Data!AL107&amp;"|"&amp;Raw_Data!AM107&amp;"|"&amp;Raw_Data!AN107&amp;"|"&amp;Raw_Data!AO107</f>
        <v>1|4|1|1|1|2|2|2|3|25|4|2|4|4|4|2|3|1|5|5|5|3|2|2|1|3|3|4|1|2|5|5|5|4|4|5|2|5|3|4|1</v>
      </c>
      <c r="Q109" s="3" t="n">
        <f aca="false">COUNTIF($P$4:$P$513,P109)</f>
        <v>1</v>
      </c>
    </row>
    <row r="110" customFormat="false" ht="15" hidden="false" customHeight="false" outlineLevel="0" collapsed="false">
      <c r="O110" s="3" t="n">
        <v>108</v>
      </c>
      <c r="P110" s="3" t="str">
        <f aca="false">Raw_Data!A108&amp;"|"&amp;Raw_Data!B108&amp;"|"&amp;Raw_Data!C108&amp;"|"&amp;Raw_Data!D108&amp;"|"&amp;Raw_Data!E108&amp;"|"&amp;Raw_Data!F108&amp;"|"&amp;Raw_Data!G108&amp;"|"&amp;Raw_Data!H108&amp;"|"&amp;Raw_Data!I108&amp;"|"&amp;Raw_Data!J108&amp;"|"&amp;Raw_Data!K108&amp;"|"&amp;Raw_Data!L108&amp;"|"&amp;Raw_Data!M108&amp;"|"&amp;Raw_Data!N108&amp;"|"&amp;Raw_Data!O108&amp;"|"&amp;Raw_Data!P108&amp;"|"&amp;Raw_Data!Q108&amp;"|"&amp;Raw_Data!R108&amp;"|"&amp;Raw_Data!S108&amp;"|"&amp;Raw_Data!T108&amp;"|"&amp;Raw_Data!U108&amp;"|"&amp;Raw_Data!V108&amp;"|"&amp;Raw_Data!W108&amp;"|"&amp;Raw_Data!X108&amp;"|"&amp;Raw_Data!Y108&amp;"|"&amp;Raw_Data!Z108&amp;"|"&amp;Raw_Data!AA108&amp;"|"&amp;Raw_Data!AB108&amp;"|"&amp;Raw_Data!AC108&amp;"|"&amp;Raw_Data!AD108&amp;"|"&amp;Raw_Data!AE108&amp;"|"&amp;Raw_Data!AF108&amp;"|"&amp;Raw_Data!AG108&amp;"|"&amp;Raw_Data!AH108&amp;"|"&amp;Raw_Data!AI108&amp;"|"&amp;Raw_Data!AJ108&amp;"|"&amp;Raw_Data!AK108&amp;"|"&amp;Raw_Data!AL108&amp;"|"&amp;Raw_Data!AM108&amp;"|"&amp;Raw_Data!AN108&amp;"|"&amp;Raw_Data!AO108</f>
        <v>0|1|2|1|2|2|1|2|1|23|4|4|4|4|4|4|4|4|4|3|4|4|4|3|3|4|4|2|4|3|4|2|4|3|4|4|3|3|3|3|3</v>
      </c>
      <c r="Q110" s="3" t="n">
        <f aca="false">COUNTIF($P$4:$P$513,P110)</f>
        <v>1</v>
      </c>
    </row>
    <row r="111" customFormat="false" ht="15" hidden="false" customHeight="false" outlineLevel="0" collapsed="false">
      <c r="O111" s="3" t="n">
        <v>109</v>
      </c>
      <c r="P111" s="3" t="str">
        <f aca="false">Raw_Data!A109&amp;"|"&amp;Raw_Data!B109&amp;"|"&amp;Raw_Data!C109&amp;"|"&amp;Raw_Data!D109&amp;"|"&amp;Raw_Data!E109&amp;"|"&amp;Raw_Data!F109&amp;"|"&amp;Raw_Data!G109&amp;"|"&amp;Raw_Data!H109&amp;"|"&amp;Raw_Data!I109&amp;"|"&amp;Raw_Data!J109&amp;"|"&amp;Raw_Data!K109&amp;"|"&amp;Raw_Data!L109&amp;"|"&amp;Raw_Data!M109&amp;"|"&amp;Raw_Data!N109&amp;"|"&amp;Raw_Data!O109&amp;"|"&amp;Raw_Data!P109&amp;"|"&amp;Raw_Data!Q109&amp;"|"&amp;Raw_Data!R109&amp;"|"&amp;Raw_Data!S109&amp;"|"&amp;Raw_Data!T109&amp;"|"&amp;Raw_Data!U109&amp;"|"&amp;Raw_Data!V109&amp;"|"&amp;Raw_Data!W109&amp;"|"&amp;Raw_Data!X109&amp;"|"&amp;Raw_Data!Y109&amp;"|"&amp;Raw_Data!Z109&amp;"|"&amp;Raw_Data!AA109&amp;"|"&amp;Raw_Data!AB109&amp;"|"&amp;Raw_Data!AC109&amp;"|"&amp;Raw_Data!AD109&amp;"|"&amp;Raw_Data!AE109&amp;"|"&amp;Raw_Data!AF109&amp;"|"&amp;Raw_Data!AG109&amp;"|"&amp;Raw_Data!AH109&amp;"|"&amp;Raw_Data!AI109&amp;"|"&amp;Raw_Data!AJ109&amp;"|"&amp;Raw_Data!AK109&amp;"|"&amp;Raw_Data!AL109&amp;"|"&amp;Raw_Data!AM109&amp;"|"&amp;Raw_Data!AN109&amp;"|"&amp;Raw_Data!AO109</f>
        <v>1|3|1|1|2|2|4|3|3|24|3|3|3|3|3|3|3|4|4|5|4|4|4|4|3|4|4|2|1|1|2|2|3|2|2|3|3|3|2|2|2</v>
      </c>
      <c r="Q111" s="3" t="n">
        <f aca="false">COUNTIF($P$4:$P$513,P111)</f>
        <v>1</v>
      </c>
    </row>
    <row r="112" customFormat="false" ht="15" hidden="false" customHeight="false" outlineLevel="0" collapsed="false">
      <c r="O112" s="3" t="n">
        <v>110</v>
      </c>
      <c r="P112" s="3" t="str">
        <f aca="false">Raw_Data!A110&amp;"|"&amp;Raw_Data!B110&amp;"|"&amp;Raw_Data!C110&amp;"|"&amp;Raw_Data!D110&amp;"|"&amp;Raw_Data!E110&amp;"|"&amp;Raw_Data!F110&amp;"|"&amp;Raw_Data!G110&amp;"|"&amp;Raw_Data!H110&amp;"|"&amp;Raw_Data!I110&amp;"|"&amp;Raw_Data!J110&amp;"|"&amp;Raw_Data!K110&amp;"|"&amp;Raw_Data!L110&amp;"|"&amp;Raw_Data!M110&amp;"|"&amp;Raw_Data!N110&amp;"|"&amp;Raw_Data!O110&amp;"|"&amp;Raw_Data!P110&amp;"|"&amp;Raw_Data!Q110&amp;"|"&amp;Raw_Data!R110&amp;"|"&amp;Raw_Data!S110&amp;"|"&amp;Raw_Data!T110&amp;"|"&amp;Raw_Data!U110&amp;"|"&amp;Raw_Data!V110&amp;"|"&amp;Raw_Data!W110&amp;"|"&amp;Raw_Data!X110&amp;"|"&amp;Raw_Data!Y110&amp;"|"&amp;Raw_Data!Z110&amp;"|"&amp;Raw_Data!AA110&amp;"|"&amp;Raw_Data!AB110&amp;"|"&amp;Raw_Data!AC110&amp;"|"&amp;Raw_Data!AD110&amp;"|"&amp;Raw_Data!AE110&amp;"|"&amp;Raw_Data!AF110&amp;"|"&amp;Raw_Data!AG110&amp;"|"&amp;Raw_Data!AH110&amp;"|"&amp;Raw_Data!AI110&amp;"|"&amp;Raw_Data!AJ110&amp;"|"&amp;Raw_Data!AK110&amp;"|"&amp;Raw_Data!AL110&amp;"|"&amp;Raw_Data!AM110&amp;"|"&amp;Raw_Data!AN110&amp;"|"&amp;Raw_Data!AO110</f>
        <v>0|4|2|1|2|2|2|3|1|24|3|4|2|4|4|3|4|5|4|5|4|3|4|4|3|4|4|4|2|3|4|2|4|4|4|3|2|2|3|2|2</v>
      </c>
      <c r="Q112" s="3" t="n">
        <f aca="false">COUNTIF($P$4:$P$513,P112)</f>
        <v>1</v>
      </c>
    </row>
    <row r="113" customFormat="false" ht="15" hidden="false" customHeight="false" outlineLevel="0" collapsed="false">
      <c r="O113" s="3" t="n">
        <v>111</v>
      </c>
      <c r="P113" s="3" t="str">
        <f aca="false">Raw_Data!A111&amp;"|"&amp;Raw_Data!B111&amp;"|"&amp;Raw_Data!C111&amp;"|"&amp;Raw_Data!D111&amp;"|"&amp;Raw_Data!E111&amp;"|"&amp;Raw_Data!F111&amp;"|"&amp;Raw_Data!G111&amp;"|"&amp;Raw_Data!H111&amp;"|"&amp;Raw_Data!I111&amp;"|"&amp;Raw_Data!J111&amp;"|"&amp;Raw_Data!K111&amp;"|"&amp;Raw_Data!L111&amp;"|"&amp;Raw_Data!M111&amp;"|"&amp;Raw_Data!N111&amp;"|"&amp;Raw_Data!O111&amp;"|"&amp;Raw_Data!P111&amp;"|"&amp;Raw_Data!Q111&amp;"|"&amp;Raw_Data!R111&amp;"|"&amp;Raw_Data!S111&amp;"|"&amp;Raw_Data!T111&amp;"|"&amp;Raw_Data!U111&amp;"|"&amp;Raw_Data!V111&amp;"|"&amp;Raw_Data!W111&amp;"|"&amp;Raw_Data!X111&amp;"|"&amp;Raw_Data!Y111&amp;"|"&amp;Raw_Data!Z111&amp;"|"&amp;Raw_Data!AA111&amp;"|"&amp;Raw_Data!AB111&amp;"|"&amp;Raw_Data!AC111&amp;"|"&amp;Raw_Data!AD111&amp;"|"&amp;Raw_Data!AE111&amp;"|"&amp;Raw_Data!AF111&amp;"|"&amp;Raw_Data!AG111&amp;"|"&amp;Raw_Data!AH111&amp;"|"&amp;Raw_Data!AI111&amp;"|"&amp;Raw_Data!AJ111&amp;"|"&amp;Raw_Data!AK111&amp;"|"&amp;Raw_Data!AL111&amp;"|"&amp;Raw_Data!AM111&amp;"|"&amp;Raw_Data!AN111&amp;"|"&amp;Raw_Data!AO111</f>
        <v>1|4|2|1|2|2|2|2|1|23|4|4|5|3|4|4|5|4|4|5|5|4|3|4|2|5|4|4|4|3|4|3|5|5|4|5|3|5|4|2|4</v>
      </c>
      <c r="Q113" s="3" t="n">
        <f aca="false">COUNTIF($P$4:$P$513,P113)</f>
        <v>1</v>
      </c>
    </row>
    <row r="114" customFormat="false" ht="15" hidden="false" customHeight="false" outlineLevel="0" collapsed="false">
      <c r="O114" s="3" t="n">
        <v>112</v>
      </c>
      <c r="P114" s="3" t="str">
        <f aca="false">Raw_Data!A112&amp;"|"&amp;Raw_Data!B112&amp;"|"&amp;Raw_Data!C112&amp;"|"&amp;Raw_Data!D112&amp;"|"&amp;Raw_Data!E112&amp;"|"&amp;Raw_Data!F112&amp;"|"&amp;Raw_Data!G112&amp;"|"&amp;Raw_Data!H112&amp;"|"&amp;Raw_Data!I112&amp;"|"&amp;Raw_Data!J112&amp;"|"&amp;Raw_Data!K112&amp;"|"&amp;Raw_Data!L112&amp;"|"&amp;Raw_Data!M112&amp;"|"&amp;Raw_Data!N112&amp;"|"&amp;Raw_Data!O112&amp;"|"&amp;Raw_Data!P112&amp;"|"&amp;Raw_Data!Q112&amp;"|"&amp;Raw_Data!R112&amp;"|"&amp;Raw_Data!S112&amp;"|"&amp;Raw_Data!T112&amp;"|"&amp;Raw_Data!U112&amp;"|"&amp;Raw_Data!V112&amp;"|"&amp;Raw_Data!W112&amp;"|"&amp;Raw_Data!X112&amp;"|"&amp;Raw_Data!Y112&amp;"|"&amp;Raw_Data!Z112&amp;"|"&amp;Raw_Data!AA112&amp;"|"&amp;Raw_Data!AB112&amp;"|"&amp;Raw_Data!AC112&amp;"|"&amp;Raw_Data!AD112&amp;"|"&amp;Raw_Data!AE112&amp;"|"&amp;Raw_Data!AF112&amp;"|"&amp;Raw_Data!AG112&amp;"|"&amp;Raw_Data!AH112&amp;"|"&amp;Raw_Data!AI112&amp;"|"&amp;Raw_Data!AJ112&amp;"|"&amp;Raw_Data!AK112&amp;"|"&amp;Raw_Data!AL112&amp;"|"&amp;Raw_Data!AM112&amp;"|"&amp;Raw_Data!AN112&amp;"|"&amp;Raw_Data!AO112</f>
        <v>0|4|1|1|2|2|2|1|1|23|3|3|4|3|2|2|2|4|3|3|4|4|4|4|4|4|4|4|3|2|3|2|4|4|4|4|4|4|4|2|3</v>
      </c>
      <c r="Q114" s="3" t="n">
        <f aca="false">COUNTIF($P$4:$P$513,P114)</f>
        <v>1</v>
      </c>
    </row>
    <row r="115" customFormat="false" ht="15" hidden="false" customHeight="false" outlineLevel="0" collapsed="false">
      <c r="O115" s="3" t="n">
        <v>113</v>
      </c>
      <c r="P115" s="3" t="str">
        <f aca="false">Raw_Data!A113&amp;"|"&amp;Raw_Data!B113&amp;"|"&amp;Raw_Data!C113&amp;"|"&amp;Raw_Data!D113&amp;"|"&amp;Raw_Data!E113&amp;"|"&amp;Raw_Data!F113&amp;"|"&amp;Raw_Data!G113&amp;"|"&amp;Raw_Data!H113&amp;"|"&amp;Raw_Data!I113&amp;"|"&amp;Raw_Data!J113&amp;"|"&amp;Raw_Data!K113&amp;"|"&amp;Raw_Data!L113&amp;"|"&amp;Raw_Data!M113&amp;"|"&amp;Raw_Data!N113&amp;"|"&amp;Raw_Data!O113&amp;"|"&amp;Raw_Data!P113&amp;"|"&amp;Raw_Data!Q113&amp;"|"&amp;Raw_Data!R113&amp;"|"&amp;Raw_Data!S113&amp;"|"&amp;Raw_Data!T113&amp;"|"&amp;Raw_Data!U113&amp;"|"&amp;Raw_Data!V113&amp;"|"&amp;Raw_Data!W113&amp;"|"&amp;Raw_Data!X113&amp;"|"&amp;Raw_Data!Y113&amp;"|"&amp;Raw_Data!Z113&amp;"|"&amp;Raw_Data!AA113&amp;"|"&amp;Raw_Data!AB113&amp;"|"&amp;Raw_Data!AC113&amp;"|"&amp;Raw_Data!AD113&amp;"|"&amp;Raw_Data!AE113&amp;"|"&amp;Raw_Data!AF113&amp;"|"&amp;Raw_Data!AG113&amp;"|"&amp;Raw_Data!AH113&amp;"|"&amp;Raw_Data!AI113&amp;"|"&amp;Raw_Data!AJ113&amp;"|"&amp;Raw_Data!AK113&amp;"|"&amp;Raw_Data!AL113&amp;"|"&amp;Raw_Data!AM113&amp;"|"&amp;Raw_Data!AN113&amp;"|"&amp;Raw_Data!AO113</f>
        <v>1|1|1|1|2|2|1|2|1|23|2|2|1|2|3|1|1|2|2|3|4|2|4|2|4|5|1|2|3|3|1|1|4|2|4|2|5|3|2|2|5</v>
      </c>
      <c r="Q115" s="3" t="n">
        <f aca="false">COUNTIF($P$4:$P$513,P115)</f>
        <v>1</v>
      </c>
    </row>
    <row r="116" customFormat="false" ht="15" hidden="false" customHeight="false" outlineLevel="0" collapsed="false">
      <c r="O116" s="3" t="n">
        <v>114</v>
      </c>
      <c r="P116" s="3" t="str">
        <f aca="false">Raw_Data!A114&amp;"|"&amp;Raw_Data!B114&amp;"|"&amp;Raw_Data!C114&amp;"|"&amp;Raw_Data!D114&amp;"|"&amp;Raw_Data!E114&amp;"|"&amp;Raw_Data!F114&amp;"|"&amp;Raw_Data!G114&amp;"|"&amp;Raw_Data!H114&amp;"|"&amp;Raw_Data!I114&amp;"|"&amp;Raw_Data!J114&amp;"|"&amp;Raw_Data!K114&amp;"|"&amp;Raw_Data!L114&amp;"|"&amp;Raw_Data!M114&amp;"|"&amp;Raw_Data!N114&amp;"|"&amp;Raw_Data!O114&amp;"|"&amp;Raw_Data!P114&amp;"|"&amp;Raw_Data!Q114&amp;"|"&amp;Raw_Data!R114&amp;"|"&amp;Raw_Data!S114&amp;"|"&amp;Raw_Data!T114&amp;"|"&amp;Raw_Data!U114&amp;"|"&amp;Raw_Data!V114&amp;"|"&amp;Raw_Data!W114&amp;"|"&amp;Raw_Data!X114&amp;"|"&amp;Raw_Data!Y114&amp;"|"&amp;Raw_Data!Z114&amp;"|"&amp;Raw_Data!AA114&amp;"|"&amp;Raw_Data!AB114&amp;"|"&amp;Raw_Data!AC114&amp;"|"&amp;Raw_Data!AD114&amp;"|"&amp;Raw_Data!AE114&amp;"|"&amp;Raw_Data!AF114&amp;"|"&amp;Raw_Data!AG114&amp;"|"&amp;Raw_Data!AH114&amp;"|"&amp;Raw_Data!AI114&amp;"|"&amp;Raw_Data!AJ114&amp;"|"&amp;Raw_Data!AK114&amp;"|"&amp;Raw_Data!AL114&amp;"|"&amp;Raw_Data!AM114&amp;"|"&amp;Raw_Data!AN114&amp;"|"&amp;Raw_Data!AO114</f>
        <v>0|4|2|1|2|2|1|3|1|23|2|4|4|3|4|2|3|3|1|4|5|4|3|4|2|4|4|4|3|4|4|3|4|2|3|3|4|3|3|4|2</v>
      </c>
      <c r="Q116" s="3" t="n">
        <f aca="false">COUNTIF($P$4:$P$513,P116)</f>
        <v>1</v>
      </c>
    </row>
    <row r="117" customFormat="false" ht="15" hidden="false" customHeight="false" outlineLevel="0" collapsed="false">
      <c r="O117" s="3" t="n">
        <v>115</v>
      </c>
      <c r="P117" s="3" t="str">
        <f aca="false">Raw_Data!A115&amp;"|"&amp;Raw_Data!B115&amp;"|"&amp;Raw_Data!C115&amp;"|"&amp;Raw_Data!D115&amp;"|"&amp;Raw_Data!E115&amp;"|"&amp;Raw_Data!F115&amp;"|"&amp;Raw_Data!G115&amp;"|"&amp;Raw_Data!H115&amp;"|"&amp;Raw_Data!I115&amp;"|"&amp;Raw_Data!J115&amp;"|"&amp;Raw_Data!K115&amp;"|"&amp;Raw_Data!L115&amp;"|"&amp;Raw_Data!M115&amp;"|"&amp;Raw_Data!N115&amp;"|"&amp;Raw_Data!O115&amp;"|"&amp;Raw_Data!P115&amp;"|"&amp;Raw_Data!Q115&amp;"|"&amp;Raw_Data!R115&amp;"|"&amp;Raw_Data!S115&amp;"|"&amp;Raw_Data!T115&amp;"|"&amp;Raw_Data!U115&amp;"|"&amp;Raw_Data!V115&amp;"|"&amp;Raw_Data!W115&amp;"|"&amp;Raw_Data!X115&amp;"|"&amp;Raw_Data!Y115&amp;"|"&amp;Raw_Data!Z115&amp;"|"&amp;Raw_Data!AA115&amp;"|"&amp;Raw_Data!AB115&amp;"|"&amp;Raw_Data!AC115&amp;"|"&amp;Raw_Data!AD115&amp;"|"&amp;Raw_Data!AE115&amp;"|"&amp;Raw_Data!AF115&amp;"|"&amp;Raw_Data!AG115&amp;"|"&amp;Raw_Data!AH115&amp;"|"&amp;Raw_Data!AI115&amp;"|"&amp;Raw_Data!AJ115&amp;"|"&amp;Raw_Data!AK115&amp;"|"&amp;Raw_Data!AL115&amp;"|"&amp;Raw_Data!AM115&amp;"|"&amp;Raw_Data!AN115&amp;"|"&amp;Raw_Data!AO115</f>
        <v>0|4|1|1|2|2|2|3|1|22|3|4|4|4|5|4|4|1|3|4|4|4|4|4|3|4|5|4|1|1|3|3|4|3|4|4|4|4|3|4|2</v>
      </c>
      <c r="Q117" s="3" t="n">
        <f aca="false">COUNTIF($P$4:$P$513,P117)</f>
        <v>1</v>
      </c>
    </row>
    <row r="118" customFormat="false" ht="15" hidden="false" customHeight="false" outlineLevel="0" collapsed="false">
      <c r="O118" s="3" t="n">
        <v>116</v>
      </c>
      <c r="P118" s="3" t="str">
        <f aca="false">Raw_Data!A116&amp;"|"&amp;Raw_Data!B116&amp;"|"&amp;Raw_Data!C116&amp;"|"&amp;Raw_Data!D116&amp;"|"&amp;Raw_Data!E116&amp;"|"&amp;Raw_Data!F116&amp;"|"&amp;Raw_Data!G116&amp;"|"&amp;Raw_Data!H116&amp;"|"&amp;Raw_Data!I116&amp;"|"&amp;Raw_Data!J116&amp;"|"&amp;Raw_Data!K116&amp;"|"&amp;Raw_Data!L116&amp;"|"&amp;Raw_Data!M116&amp;"|"&amp;Raw_Data!N116&amp;"|"&amp;Raw_Data!O116&amp;"|"&amp;Raw_Data!P116&amp;"|"&amp;Raw_Data!Q116&amp;"|"&amp;Raw_Data!R116&amp;"|"&amp;Raw_Data!S116&amp;"|"&amp;Raw_Data!T116&amp;"|"&amp;Raw_Data!U116&amp;"|"&amp;Raw_Data!V116&amp;"|"&amp;Raw_Data!W116&amp;"|"&amp;Raw_Data!X116&amp;"|"&amp;Raw_Data!Y116&amp;"|"&amp;Raw_Data!Z116&amp;"|"&amp;Raw_Data!AA116&amp;"|"&amp;Raw_Data!AB116&amp;"|"&amp;Raw_Data!AC116&amp;"|"&amp;Raw_Data!AD116&amp;"|"&amp;Raw_Data!AE116&amp;"|"&amp;Raw_Data!AF116&amp;"|"&amp;Raw_Data!AG116&amp;"|"&amp;Raw_Data!AH116&amp;"|"&amp;Raw_Data!AI116&amp;"|"&amp;Raw_Data!AJ116&amp;"|"&amp;Raw_Data!AK116&amp;"|"&amp;Raw_Data!AL116&amp;"|"&amp;Raw_Data!AM116&amp;"|"&amp;Raw_Data!AN116&amp;"|"&amp;Raw_Data!AO116</f>
        <v>1|1|2|2|2|2|3|2|1|23|2|3|2|2|4|4|3|4|4|5|5|4|4|4|4|4|2|1|1|1|3|3|4|5|5|4|4|2|3|3|3</v>
      </c>
      <c r="Q118" s="3" t="n">
        <f aca="false">COUNTIF($P$4:$P$513,P118)</f>
        <v>1</v>
      </c>
    </row>
    <row r="119" customFormat="false" ht="15" hidden="false" customHeight="false" outlineLevel="0" collapsed="false">
      <c r="O119" s="3" t="n">
        <v>117</v>
      </c>
      <c r="P119" s="3" t="str">
        <f aca="false">Raw_Data!A117&amp;"|"&amp;Raw_Data!B117&amp;"|"&amp;Raw_Data!C117&amp;"|"&amp;Raw_Data!D117&amp;"|"&amp;Raw_Data!E117&amp;"|"&amp;Raw_Data!F117&amp;"|"&amp;Raw_Data!G117&amp;"|"&amp;Raw_Data!H117&amp;"|"&amp;Raw_Data!I117&amp;"|"&amp;Raw_Data!J117&amp;"|"&amp;Raw_Data!K117&amp;"|"&amp;Raw_Data!L117&amp;"|"&amp;Raw_Data!M117&amp;"|"&amp;Raw_Data!N117&amp;"|"&amp;Raw_Data!O117&amp;"|"&amp;Raw_Data!P117&amp;"|"&amp;Raw_Data!Q117&amp;"|"&amp;Raw_Data!R117&amp;"|"&amp;Raw_Data!S117&amp;"|"&amp;Raw_Data!T117&amp;"|"&amp;Raw_Data!U117&amp;"|"&amp;Raw_Data!V117&amp;"|"&amp;Raw_Data!W117&amp;"|"&amp;Raw_Data!X117&amp;"|"&amp;Raw_Data!Y117&amp;"|"&amp;Raw_Data!Z117&amp;"|"&amp;Raw_Data!AA117&amp;"|"&amp;Raw_Data!AB117&amp;"|"&amp;Raw_Data!AC117&amp;"|"&amp;Raw_Data!AD117&amp;"|"&amp;Raw_Data!AE117&amp;"|"&amp;Raw_Data!AF117&amp;"|"&amp;Raw_Data!AG117&amp;"|"&amp;Raw_Data!AH117&amp;"|"&amp;Raw_Data!AI117&amp;"|"&amp;Raw_Data!AJ117&amp;"|"&amp;Raw_Data!AK117&amp;"|"&amp;Raw_Data!AL117&amp;"|"&amp;Raw_Data!AM117&amp;"|"&amp;Raw_Data!AN117&amp;"|"&amp;Raw_Data!AO117</f>
        <v>0|4|1|1|2|2|2|2|1|23|3|3|2|3|3|4|2|3|4|3|4|3|4|4|2|4|4|4|4|4|2|2|4|4|3|4|4|4|3|4|4</v>
      </c>
      <c r="Q119" s="3" t="n">
        <f aca="false">COUNTIF($P$4:$P$513,P119)</f>
        <v>1</v>
      </c>
    </row>
    <row r="120" customFormat="false" ht="15" hidden="false" customHeight="false" outlineLevel="0" collapsed="false">
      <c r="O120" s="3" t="n">
        <v>118</v>
      </c>
      <c r="P120" s="3" t="str">
        <f aca="false">Raw_Data!A118&amp;"|"&amp;Raw_Data!B118&amp;"|"&amp;Raw_Data!C118&amp;"|"&amp;Raw_Data!D118&amp;"|"&amp;Raw_Data!E118&amp;"|"&amp;Raw_Data!F118&amp;"|"&amp;Raw_Data!G118&amp;"|"&amp;Raw_Data!H118&amp;"|"&amp;Raw_Data!I118&amp;"|"&amp;Raw_Data!J118&amp;"|"&amp;Raw_Data!K118&amp;"|"&amp;Raw_Data!L118&amp;"|"&amp;Raw_Data!M118&amp;"|"&amp;Raw_Data!N118&amp;"|"&amp;Raw_Data!O118&amp;"|"&amp;Raw_Data!P118&amp;"|"&amp;Raw_Data!Q118&amp;"|"&amp;Raw_Data!R118&amp;"|"&amp;Raw_Data!S118&amp;"|"&amp;Raw_Data!T118&amp;"|"&amp;Raw_Data!U118&amp;"|"&amp;Raw_Data!V118&amp;"|"&amp;Raw_Data!W118&amp;"|"&amp;Raw_Data!X118&amp;"|"&amp;Raw_Data!Y118&amp;"|"&amp;Raw_Data!Z118&amp;"|"&amp;Raw_Data!AA118&amp;"|"&amp;Raw_Data!AB118&amp;"|"&amp;Raw_Data!AC118&amp;"|"&amp;Raw_Data!AD118&amp;"|"&amp;Raw_Data!AE118&amp;"|"&amp;Raw_Data!AF118&amp;"|"&amp;Raw_Data!AG118&amp;"|"&amp;Raw_Data!AH118&amp;"|"&amp;Raw_Data!AI118&amp;"|"&amp;Raw_Data!AJ118&amp;"|"&amp;Raw_Data!AK118&amp;"|"&amp;Raw_Data!AL118&amp;"|"&amp;Raw_Data!AM118&amp;"|"&amp;Raw_Data!AN118&amp;"|"&amp;Raw_Data!AO118</f>
        <v>|4|2|1|2|2|2|3|1|22|3|4|4|3|5|4|4|4|5|5|5|4|5|3|3|5|4|2|2|3|5|5|4|4|3|4|3|4|3|4|3</v>
      </c>
      <c r="Q120" s="3" t="n">
        <f aca="false">COUNTIF($P$4:$P$513,P120)</f>
        <v>1</v>
      </c>
    </row>
    <row r="121" customFormat="false" ht="15" hidden="false" customHeight="false" outlineLevel="0" collapsed="false">
      <c r="O121" s="3" t="n">
        <v>119</v>
      </c>
      <c r="P121" s="3" t="str">
        <f aca="false">Raw_Data!A119&amp;"|"&amp;Raw_Data!B119&amp;"|"&amp;Raw_Data!C119&amp;"|"&amp;Raw_Data!D119&amp;"|"&amp;Raw_Data!E119&amp;"|"&amp;Raw_Data!F119&amp;"|"&amp;Raw_Data!G119&amp;"|"&amp;Raw_Data!H119&amp;"|"&amp;Raw_Data!I119&amp;"|"&amp;Raw_Data!J119&amp;"|"&amp;Raw_Data!K119&amp;"|"&amp;Raw_Data!L119&amp;"|"&amp;Raw_Data!M119&amp;"|"&amp;Raw_Data!N119&amp;"|"&amp;Raw_Data!O119&amp;"|"&amp;Raw_Data!P119&amp;"|"&amp;Raw_Data!Q119&amp;"|"&amp;Raw_Data!R119&amp;"|"&amp;Raw_Data!S119&amp;"|"&amp;Raw_Data!T119&amp;"|"&amp;Raw_Data!U119&amp;"|"&amp;Raw_Data!V119&amp;"|"&amp;Raw_Data!W119&amp;"|"&amp;Raw_Data!X119&amp;"|"&amp;Raw_Data!Y119&amp;"|"&amp;Raw_Data!Z119&amp;"|"&amp;Raw_Data!AA119&amp;"|"&amp;Raw_Data!AB119&amp;"|"&amp;Raw_Data!AC119&amp;"|"&amp;Raw_Data!AD119&amp;"|"&amp;Raw_Data!AE119&amp;"|"&amp;Raw_Data!AF119&amp;"|"&amp;Raw_Data!AG119&amp;"|"&amp;Raw_Data!AH119&amp;"|"&amp;Raw_Data!AI119&amp;"|"&amp;Raw_Data!AJ119&amp;"|"&amp;Raw_Data!AK119&amp;"|"&amp;Raw_Data!AL119&amp;"|"&amp;Raw_Data!AM119&amp;"|"&amp;Raw_Data!AN119&amp;"|"&amp;Raw_Data!AO119</f>
        <v>0|4|2|1|2|2|2|3|3|26|3|3|4|2|4|4|3|3|4|5|4|2|3|3|2|2|4|2|1|1|3|1|2|4|4|2|3|4|3|4|2</v>
      </c>
      <c r="Q121" s="3" t="n">
        <f aca="false">COUNTIF($P$4:$P$513,P121)</f>
        <v>1</v>
      </c>
    </row>
    <row r="122" customFormat="false" ht="15" hidden="false" customHeight="false" outlineLevel="0" collapsed="false">
      <c r="O122" s="3" t="n">
        <v>120</v>
      </c>
      <c r="P122" s="3" t="str">
        <f aca="false">Raw_Data!A120&amp;"|"&amp;Raw_Data!B120&amp;"|"&amp;Raw_Data!C120&amp;"|"&amp;Raw_Data!D120&amp;"|"&amp;Raw_Data!E120&amp;"|"&amp;Raw_Data!F120&amp;"|"&amp;Raw_Data!G120&amp;"|"&amp;Raw_Data!H120&amp;"|"&amp;Raw_Data!I120&amp;"|"&amp;Raw_Data!J120&amp;"|"&amp;Raw_Data!K120&amp;"|"&amp;Raw_Data!L120&amp;"|"&amp;Raw_Data!M120&amp;"|"&amp;Raw_Data!N120&amp;"|"&amp;Raw_Data!O120&amp;"|"&amp;Raw_Data!P120&amp;"|"&amp;Raw_Data!Q120&amp;"|"&amp;Raw_Data!R120&amp;"|"&amp;Raw_Data!S120&amp;"|"&amp;Raw_Data!T120&amp;"|"&amp;Raw_Data!U120&amp;"|"&amp;Raw_Data!V120&amp;"|"&amp;Raw_Data!W120&amp;"|"&amp;Raw_Data!X120&amp;"|"&amp;Raw_Data!Y120&amp;"|"&amp;Raw_Data!Z120&amp;"|"&amp;Raw_Data!AA120&amp;"|"&amp;Raw_Data!AB120&amp;"|"&amp;Raw_Data!AC120&amp;"|"&amp;Raw_Data!AD120&amp;"|"&amp;Raw_Data!AE120&amp;"|"&amp;Raw_Data!AF120&amp;"|"&amp;Raw_Data!AG120&amp;"|"&amp;Raw_Data!AH120&amp;"|"&amp;Raw_Data!AI120&amp;"|"&amp;Raw_Data!AJ120&amp;"|"&amp;Raw_Data!AK120&amp;"|"&amp;Raw_Data!AL120&amp;"|"&amp;Raw_Data!AM120&amp;"|"&amp;Raw_Data!AN120&amp;"|"&amp;Raw_Data!AO120</f>
        <v>1|3|2|1|2|2|3|1|3|24|2|4|3|4|4|4|2|4|4|4|4|4|4|4|4|4|4|1|4|2|3|2|3|3|2|2|4|2|4|3|3</v>
      </c>
      <c r="Q122" s="3" t="n">
        <f aca="false">COUNTIF($P$4:$P$513,P122)</f>
        <v>1</v>
      </c>
    </row>
    <row r="123" customFormat="false" ht="15" hidden="false" customHeight="false" outlineLevel="0" collapsed="false">
      <c r="O123" s="3" t="n">
        <v>121</v>
      </c>
      <c r="P123" s="3" t="str">
        <f aca="false">Raw_Data!A121&amp;"|"&amp;Raw_Data!B121&amp;"|"&amp;Raw_Data!C121&amp;"|"&amp;Raw_Data!D121&amp;"|"&amp;Raw_Data!E121&amp;"|"&amp;Raw_Data!F121&amp;"|"&amp;Raw_Data!G121&amp;"|"&amp;Raw_Data!H121&amp;"|"&amp;Raw_Data!I121&amp;"|"&amp;Raw_Data!J121&amp;"|"&amp;Raw_Data!K121&amp;"|"&amp;Raw_Data!L121&amp;"|"&amp;Raw_Data!M121&amp;"|"&amp;Raw_Data!N121&amp;"|"&amp;Raw_Data!O121&amp;"|"&amp;Raw_Data!P121&amp;"|"&amp;Raw_Data!Q121&amp;"|"&amp;Raw_Data!R121&amp;"|"&amp;Raw_Data!S121&amp;"|"&amp;Raw_Data!T121&amp;"|"&amp;Raw_Data!U121&amp;"|"&amp;Raw_Data!V121&amp;"|"&amp;Raw_Data!W121&amp;"|"&amp;Raw_Data!X121&amp;"|"&amp;Raw_Data!Y121&amp;"|"&amp;Raw_Data!Z121&amp;"|"&amp;Raw_Data!AA121&amp;"|"&amp;Raw_Data!AB121&amp;"|"&amp;Raw_Data!AC121&amp;"|"&amp;Raw_Data!AD121&amp;"|"&amp;Raw_Data!AE121&amp;"|"&amp;Raw_Data!AF121&amp;"|"&amp;Raw_Data!AG121&amp;"|"&amp;Raw_Data!AH121&amp;"|"&amp;Raw_Data!AI121&amp;"|"&amp;Raw_Data!AJ121&amp;"|"&amp;Raw_Data!AK121&amp;"|"&amp;Raw_Data!AL121&amp;"|"&amp;Raw_Data!AM121&amp;"|"&amp;Raw_Data!AN121&amp;"|"&amp;Raw_Data!AO121</f>
        <v>|3|1|1|2|2|2|2|1|23|4|3|4|4|4|2|3|3|5|4|3|4|1|2|5|4|3|4|4|1|4|3|4|1|4|3|2|3|3|1|3</v>
      </c>
      <c r="Q123" s="3" t="n">
        <f aca="false">COUNTIF($P$4:$P$513,P123)</f>
        <v>1</v>
      </c>
    </row>
    <row r="124" customFormat="false" ht="15" hidden="false" customHeight="false" outlineLevel="0" collapsed="false">
      <c r="O124" s="3" t="n">
        <v>122</v>
      </c>
      <c r="P124" s="3" t="str">
        <f aca="false">Raw_Data!A122&amp;"|"&amp;Raw_Data!B122&amp;"|"&amp;Raw_Data!C122&amp;"|"&amp;Raw_Data!D122&amp;"|"&amp;Raw_Data!E122&amp;"|"&amp;Raw_Data!F122&amp;"|"&amp;Raw_Data!G122&amp;"|"&amp;Raw_Data!H122&amp;"|"&amp;Raw_Data!I122&amp;"|"&amp;Raw_Data!J122&amp;"|"&amp;Raw_Data!K122&amp;"|"&amp;Raw_Data!L122&amp;"|"&amp;Raw_Data!M122&amp;"|"&amp;Raw_Data!N122&amp;"|"&amp;Raw_Data!O122&amp;"|"&amp;Raw_Data!P122&amp;"|"&amp;Raw_Data!Q122&amp;"|"&amp;Raw_Data!R122&amp;"|"&amp;Raw_Data!S122&amp;"|"&amp;Raw_Data!T122&amp;"|"&amp;Raw_Data!U122&amp;"|"&amp;Raw_Data!V122&amp;"|"&amp;Raw_Data!W122&amp;"|"&amp;Raw_Data!X122&amp;"|"&amp;Raw_Data!Y122&amp;"|"&amp;Raw_Data!Z122&amp;"|"&amp;Raw_Data!AA122&amp;"|"&amp;Raw_Data!AB122&amp;"|"&amp;Raw_Data!AC122&amp;"|"&amp;Raw_Data!AD122&amp;"|"&amp;Raw_Data!AE122&amp;"|"&amp;Raw_Data!AF122&amp;"|"&amp;Raw_Data!AG122&amp;"|"&amp;Raw_Data!AH122&amp;"|"&amp;Raw_Data!AI122&amp;"|"&amp;Raw_Data!AJ122&amp;"|"&amp;Raw_Data!AK122&amp;"|"&amp;Raw_Data!AL122&amp;"|"&amp;Raw_Data!AM122&amp;"|"&amp;Raw_Data!AN122&amp;"|"&amp;Raw_Data!AO122</f>
        <v>|4|1|1|2|2|1|2|3|29|3|4|4|4|3|4|4|2|4|4|4|4|4|3|3|4|3|3|2|2|4|4|4|4|4|2|2|4|3|2|3</v>
      </c>
      <c r="Q124" s="3" t="n">
        <f aca="false">COUNTIF($P$4:$P$513,P124)</f>
        <v>1</v>
      </c>
    </row>
    <row r="125" customFormat="false" ht="15" hidden="false" customHeight="false" outlineLevel="0" collapsed="false">
      <c r="O125" s="3" t="n">
        <v>123</v>
      </c>
      <c r="P125" s="3" t="str">
        <f aca="false">Raw_Data!A123&amp;"|"&amp;Raw_Data!B123&amp;"|"&amp;Raw_Data!C123&amp;"|"&amp;Raw_Data!D123&amp;"|"&amp;Raw_Data!E123&amp;"|"&amp;Raw_Data!F123&amp;"|"&amp;Raw_Data!G123&amp;"|"&amp;Raw_Data!H123&amp;"|"&amp;Raw_Data!I123&amp;"|"&amp;Raw_Data!J123&amp;"|"&amp;Raw_Data!K123&amp;"|"&amp;Raw_Data!L123&amp;"|"&amp;Raw_Data!M123&amp;"|"&amp;Raw_Data!N123&amp;"|"&amp;Raw_Data!O123&amp;"|"&amp;Raw_Data!P123&amp;"|"&amp;Raw_Data!Q123&amp;"|"&amp;Raw_Data!R123&amp;"|"&amp;Raw_Data!S123&amp;"|"&amp;Raw_Data!T123&amp;"|"&amp;Raw_Data!U123&amp;"|"&amp;Raw_Data!V123&amp;"|"&amp;Raw_Data!W123&amp;"|"&amp;Raw_Data!X123&amp;"|"&amp;Raw_Data!Y123&amp;"|"&amp;Raw_Data!Z123&amp;"|"&amp;Raw_Data!AA123&amp;"|"&amp;Raw_Data!AB123&amp;"|"&amp;Raw_Data!AC123&amp;"|"&amp;Raw_Data!AD123&amp;"|"&amp;Raw_Data!AE123&amp;"|"&amp;Raw_Data!AF123&amp;"|"&amp;Raw_Data!AG123&amp;"|"&amp;Raw_Data!AH123&amp;"|"&amp;Raw_Data!AI123&amp;"|"&amp;Raw_Data!AJ123&amp;"|"&amp;Raw_Data!AK123&amp;"|"&amp;Raw_Data!AL123&amp;"|"&amp;Raw_Data!AM123&amp;"|"&amp;Raw_Data!AN123&amp;"|"&amp;Raw_Data!AO123</f>
        <v>0|1|1|2|2|2|4|3|3|26|4|4|2|4|1|3|2|1|4|1|4|1|2|1|3|2|4|3|1|1|3|2|2|4|3|5|1|4|3|2|2</v>
      </c>
      <c r="Q125" s="3" t="n">
        <f aca="false">COUNTIF($P$4:$P$513,P125)</f>
        <v>1</v>
      </c>
    </row>
    <row r="126" customFormat="false" ht="15" hidden="false" customHeight="false" outlineLevel="0" collapsed="false">
      <c r="O126" s="3" t="n">
        <v>124</v>
      </c>
      <c r="P126" s="3" t="str">
        <f aca="false">Raw_Data!A124&amp;"|"&amp;Raw_Data!B124&amp;"|"&amp;Raw_Data!C124&amp;"|"&amp;Raw_Data!D124&amp;"|"&amp;Raw_Data!E124&amp;"|"&amp;Raw_Data!F124&amp;"|"&amp;Raw_Data!G124&amp;"|"&amp;Raw_Data!H124&amp;"|"&amp;Raw_Data!I124&amp;"|"&amp;Raw_Data!J124&amp;"|"&amp;Raw_Data!K124&amp;"|"&amp;Raw_Data!L124&amp;"|"&amp;Raw_Data!M124&amp;"|"&amp;Raw_Data!N124&amp;"|"&amp;Raw_Data!O124&amp;"|"&amp;Raw_Data!P124&amp;"|"&amp;Raw_Data!Q124&amp;"|"&amp;Raw_Data!R124&amp;"|"&amp;Raw_Data!S124&amp;"|"&amp;Raw_Data!T124&amp;"|"&amp;Raw_Data!U124&amp;"|"&amp;Raw_Data!V124&amp;"|"&amp;Raw_Data!W124&amp;"|"&amp;Raw_Data!X124&amp;"|"&amp;Raw_Data!Y124&amp;"|"&amp;Raw_Data!Z124&amp;"|"&amp;Raw_Data!AA124&amp;"|"&amp;Raw_Data!AB124&amp;"|"&amp;Raw_Data!AC124&amp;"|"&amp;Raw_Data!AD124&amp;"|"&amp;Raw_Data!AE124&amp;"|"&amp;Raw_Data!AF124&amp;"|"&amp;Raw_Data!AG124&amp;"|"&amp;Raw_Data!AH124&amp;"|"&amp;Raw_Data!AI124&amp;"|"&amp;Raw_Data!AJ124&amp;"|"&amp;Raw_Data!AK124&amp;"|"&amp;Raw_Data!AL124&amp;"|"&amp;Raw_Data!AM124&amp;"|"&amp;Raw_Data!AN124&amp;"|"&amp;Raw_Data!AO124</f>
        <v>1|4|1|1|2|2|2|2|2|24|5|3|4|4|5|4|4|4|5|5|5|4|5|4|4|5|5|5|2|4|4|4|5|5|4|5|4|5|5|2|4</v>
      </c>
      <c r="Q126" s="3" t="n">
        <f aca="false">COUNTIF($P$4:$P$513,P126)</f>
        <v>1</v>
      </c>
    </row>
    <row r="127" customFormat="false" ht="15" hidden="false" customHeight="false" outlineLevel="0" collapsed="false">
      <c r="O127" s="3" t="n">
        <v>125</v>
      </c>
      <c r="P127" s="3" t="str">
        <f aca="false">Raw_Data!A125&amp;"|"&amp;Raw_Data!B125&amp;"|"&amp;Raw_Data!C125&amp;"|"&amp;Raw_Data!D125&amp;"|"&amp;Raw_Data!E125&amp;"|"&amp;Raw_Data!F125&amp;"|"&amp;Raw_Data!G125&amp;"|"&amp;Raw_Data!H125&amp;"|"&amp;Raw_Data!I125&amp;"|"&amp;Raw_Data!J125&amp;"|"&amp;Raw_Data!K125&amp;"|"&amp;Raw_Data!L125&amp;"|"&amp;Raw_Data!M125&amp;"|"&amp;Raw_Data!N125&amp;"|"&amp;Raw_Data!O125&amp;"|"&amp;Raw_Data!P125&amp;"|"&amp;Raw_Data!Q125&amp;"|"&amp;Raw_Data!R125&amp;"|"&amp;Raw_Data!S125&amp;"|"&amp;Raw_Data!T125&amp;"|"&amp;Raw_Data!U125&amp;"|"&amp;Raw_Data!V125&amp;"|"&amp;Raw_Data!W125&amp;"|"&amp;Raw_Data!X125&amp;"|"&amp;Raw_Data!Y125&amp;"|"&amp;Raw_Data!Z125&amp;"|"&amp;Raw_Data!AA125&amp;"|"&amp;Raw_Data!AB125&amp;"|"&amp;Raw_Data!AC125&amp;"|"&amp;Raw_Data!AD125&amp;"|"&amp;Raw_Data!AE125&amp;"|"&amp;Raw_Data!AF125&amp;"|"&amp;Raw_Data!AG125&amp;"|"&amp;Raw_Data!AH125&amp;"|"&amp;Raw_Data!AI125&amp;"|"&amp;Raw_Data!AJ125&amp;"|"&amp;Raw_Data!AK125&amp;"|"&amp;Raw_Data!AL125&amp;"|"&amp;Raw_Data!AM125&amp;"|"&amp;Raw_Data!AN125&amp;"|"&amp;Raw_Data!AO125</f>
        <v>0|3|2|1|2|2|3|3|3|26|3|3|3|3|3|3|3|4|5|5|5|4|4|4|3|4|4|2|2|3|4|4|5|3|4|4|3|4|3|3|3</v>
      </c>
      <c r="Q127" s="3" t="n">
        <f aca="false">COUNTIF($P$4:$P$513,P127)</f>
        <v>1</v>
      </c>
    </row>
    <row r="128" customFormat="false" ht="15" hidden="false" customHeight="false" outlineLevel="0" collapsed="false">
      <c r="O128" s="3" t="n">
        <v>126</v>
      </c>
      <c r="P128" s="3" t="str">
        <f aca="false">Raw_Data!A126&amp;"|"&amp;Raw_Data!B126&amp;"|"&amp;Raw_Data!C126&amp;"|"&amp;Raw_Data!D126&amp;"|"&amp;Raw_Data!E126&amp;"|"&amp;Raw_Data!F126&amp;"|"&amp;Raw_Data!G126&amp;"|"&amp;Raw_Data!H126&amp;"|"&amp;Raw_Data!I126&amp;"|"&amp;Raw_Data!J126&amp;"|"&amp;Raw_Data!K126&amp;"|"&amp;Raw_Data!L126&amp;"|"&amp;Raw_Data!M126&amp;"|"&amp;Raw_Data!N126&amp;"|"&amp;Raw_Data!O126&amp;"|"&amp;Raw_Data!P126&amp;"|"&amp;Raw_Data!Q126&amp;"|"&amp;Raw_Data!R126&amp;"|"&amp;Raw_Data!S126&amp;"|"&amp;Raw_Data!T126&amp;"|"&amp;Raw_Data!U126&amp;"|"&amp;Raw_Data!V126&amp;"|"&amp;Raw_Data!W126&amp;"|"&amp;Raw_Data!X126&amp;"|"&amp;Raw_Data!Y126&amp;"|"&amp;Raw_Data!Z126&amp;"|"&amp;Raw_Data!AA126&amp;"|"&amp;Raw_Data!AB126&amp;"|"&amp;Raw_Data!AC126&amp;"|"&amp;Raw_Data!AD126&amp;"|"&amp;Raw_Data!AE126&amp;"|"&amp;Raw_Data!AF126&amp;"|"&amp;Raw_Data!AG126&amp;"|"&amp;Raw_Data!AH126&amp;"|"&amp;Raw_Data!AI126&amp;"|"&amp;Raw_Data!AJ126&amp;"|"&amp;Raw_Data!AK126&amp;"|"&amp;Raw_Data!AL126&amp;"|"&amp;Raw_Data!AM126&amp;"|"&amp;Raw_Data!AN126&amp;"|"&amp;Raw_Data!AO126</f>
        <v>0|4|2|2|1|1|4|1|3|26|3|3|3|2|4|4|3|3|5|3|4|3|3|4|2|2|3|4|2|3|4|3|4|4|4|5|3|3|3|3|2</v>
      </c>
      <c r="Q128" s="3" t="n">
        <f aca="false">COUNTIF($P$4:$P$513,P128)</f>
        <v>1</v>
      </c>
    </row>
    <row r="129" customFormat="false" ht="15" hidden="false" customHeight="false" outlineLevel="0" collapsed="false">
      <c r="O129" s="3" t="n">
        <v>127</v>
      </c>
      <c r="P129" s="3" t="str">
        <f aca="false">Raw_Data!A127&amp;"|"&amp;Raw_Data!B127&amp;"|"&amp;Raw_Data!C127&amp;"|"&amp;Raw_Data!D127&amp;"|"&amp;Raw_Data!E127&amp;"|"&amp;Raw_Data!F127&amp;"|"&amp;Raw_Data!G127&amp;"|"&amp;Raw_Data!H127&amp;"|"&amp;Raw_Data!I127&amp;"|"&amp;Raw_Data!J127&amp;"|"&amp;Raw_Data!K127&amp;"|"&amp;Raw_Data!L127&amp;"|"&amp;Raw_Data!M127&amp;"|"&amp;Raw_Data!N127&amp;"|"&amp;Raw_Data!O127&amp;"|"&amp;Raw_Data!P127&amp;"|"&amp;Raw_Data!Q127&amp;"|"&amp;Raw_Data!R127&amp;"|"&amp;Raw_Data!S127&amp;"|"&amp;Raw_Data!T127&amp;"|"&amp;Raw_Data!U127&amp;"|"&amp;Raw_Data!V127&amp;"|"&amp;Raw_Data!W127&amp;"|"&amp;Raw_Data!X127&amp;"|"&amp;Raw_Data!Y127&amp;"|"&amp;Raw_Data!Z127&amp;"|"&amp;Raw_Data!AA127&amp;"|"&amp;Raw_Data!AB127&amp;"|"&amp;Raw_Data!AC127&amp;"|"&amp;Raw_Data!AD127&amp;"|"&amp;Raw_Data!AE127&amp;"|"&amp;Raw_Data!AF127&amp;"|"&amp;Raw_Data!AG127&amp;"|"&amp;Raw_Data!AH127&amp;"|"&amp;Raw_Data!AI127&amp;"|"&amp;Raw_Data!AJ127&amp;"|"&amp;Raw_Data!AK127&amp;"|"&amp;Raw_Data!AL127&amp;"|"&amp;Raw_Data!AM127&amp;"|"&amp;Raw_Data!AN127&amp;"|"&amp;Raw_Data!AO127</f>
        <v>1|4|1|1|2|2|2|3|3|26|2|4|2|3|5|2|2|2|5|5|5|4|5|5|4|4|4|2|2|2|4|3|4|3|4|4|3|5|4|4|2</v>
      </c>
      <c r="Q129" s="3" t="n">
        <f aca="false">COUNTIF($P$4:$P$513,P129)</f>
        <v>1</v>
      </c>
    </row>
    <row r="130" customFormat="false" ht="15" hidden="false" customHeight="false" outlineLevel="0" collapsed="false">
      <c r="O130" s="3" t="n">
        <v>128</v>
      </c>
      <c r="P130" s="3" t="str">
        <f aca="false">Raw_Data!A128&amp;"|"&amp;Raw_Data!B128&amp;"|"&amp;Raw_Data!C128&amp;"|"&amp;Raw_Data!D128&amp;"|"&amp;Raw_Data!E128&amp;"|"&amp;Raw_Data!F128&amp;"|"&amp;Raw_Data!G128&amp;"|"&amp;Raw_Data!H128&amp;"|"&amp;Raw_Data!I128&amp;"|"&amp;Raw_Data!J128&amp;"|"&amp;Raw_Data!K128&amp;"|"&amp;Raw_Data!L128&amp;"|"&amp;Raw_Data!M128&amp;"|"&amp;Raw_Data!N128&amp;"|"&amp;Raw_Data!O128&amp;"|"&amp;Raw_Data!P128&amp;"|"&amp;Raw_Data!Q128&amp;"|"&amp;Raw_Data!R128&amp;"|"&amp;Raw_Data!S128&amp;"|"&amp;Raw_Data!T128&amp;"|"&amp;Raw_Data!U128&amp;"|"&amp;Raw_Data!V128&amp;"|"&amp;Raw_Data!W128&amp;"|"&amp;Raw_Data!X128&amp;"|"&amp;Raw_Data!Y128&amp;"|"&amp;Raw_Data!Z128&amp;"|"&amp;Raw_Data!AA128&amp;"|"&amp;Raw_Data!AB128&amp;"|"&amp;Raw_Data!AC128&amp;"|"&amp;Raw_Data!AD128&amp;"|"&amp;Raw_Data!AE128&amp;"|"&amp;Raw_Data!AF128&amp;"|"&amp;Raw_Data!AG128&amp;"|"&amp;Raw_Data!AH128&amp;"|"&amp;Raw_Data!AI128&amp;"|"&amp;Raw_Data!AJ128&amp;"|"&amp;Raw_Data!AK128&amp;"|"&amp;Raw_Data!AL128&amp;"|"&amp;Raw_Data!AM128&amp;"|"&amp;Raw_Data!AN128&amp;"|"&amp;Raw_Data!AO128</f>
        <v>0|1|1|1|2|2|2|3|3|25|3|4|5|5|2|4|5|3|5|5|4|3|5|5|4|4|5|3|2|4|4|4|4|2|3|5|4|5|4|4|4</v>
      </c>
      <c r="Q130" s="3" t="n">
        <f aca="false">COUNTIF($P$4:$P$513,P130)</f>
        <v>1</v>
      </c>
    </row>
    <row r="131" customFormat="false" ht="15" hidden="false" customHeight="false" outlineLevel="0" collapsed="false">
      <c r="O131" s="3" t="n">
        <v>129</v>
      </c>
      <c r="P131" s="3" t="str">
        <f aca="false">Raw_Data!A129&amp;"|"&amp;Raw_Data!B129&amp;"|"&amp;Raw_Data!C129&amp;"|"&amp;Raw_Data!D129&amp;"|"&amp;Raw_Data!E129&amp;"|"&amp;Raw_Data!F129&amp;"|"&amp;Raw_Data!G129&amp;"|"&amp;Raw_Data!H129&amp;"|"&amp;Raw_Data!I129&amp;"|"&amp;Raw_Data!J129&amp;"|"&amp;Raw_Data!K129&amp;"|"&amp;Raw_Data!L129&amp;"|"&amp;Raw_Data!M129&amp;"|"&amp;Raw_Data!N129&amp;"|"&amp;Raw_Data!O129&amp;"|"&amp;Raw_Data!P129&amp;"|"&amp;Raw_Data!Q129&amp;"|"&amp;Raw_Data!R129&amp;"|"&amp;Raw_Data!S129&amp;"|"&amp;Raw_Data!T129&amp;"|"&amp;Raw_Data!U129&amp;"|"&amp;Raw_Data!V129&amp;"|"&amp;Raw_Data!W129&amp;"|"&amp;Raw_Data!X129&amp;"|"&amp;Raw_Data!Y129&amp;"|"&amp;Raw_Data!Z129&amp;"|"&amp;Raw_Data!AA129&amp;"|"&amp;Raw_Data!AB129&amp;"|"&amp;Raw_Data!AC129&amp;"|"&amp;Raw_Data!AD129&amp;"|"&amp;Raw_Data!AE129&amp;"|"&amp;Raw_Data!AF129&amp;"|"&amp;Raw_Data!AG129&amp;"|"&amp;Raw_Data!AH129&amp;"|"&amp;Raw_Data!AI129&amp;"|"&amp;Raw_Data!AJ129&amp;"|"&amp;Raw_Data!AK129&amp;"|"&amp;Raw_Data!AL129&amp;"|"&amp;Raw_Data!AM129&amp;"|"&amp;Raw_Data!AN129&amp;"|"&amp;Raw_Data!AO129</f>
        <v>|4|2|1|2|2|3|2|1|22|3|2|4|3|4|2|2|3|3|4|3|3|4|3|2|3|4|3|2|3|3|3|3|3|3|4|4|4|3|3|2</v>
      </c>
      <c r="Q131" s="3" t="n">
        <f aca="false">COUNTIF($P$4:$P$513,P131)</f>
        <v>1</v>
      </c>
    </row>
    <row r="132" customFormat="false" ht="15" hidden="false" customHeight="false" outlineLevel="0" collapsed="false">
      <c r="O132" s="3" t="n">
        <v>130</v>
      </c>
      <c r="P132" s="3" t="str">
        <f aca="false">Raw_Data!A130&amp;"|"&amp;Raw_Data!B130&amp;"|"&amp;Raw_Data!C130&amp;"|"&amp;Raw_Data!D130&amp;"|"&amp;Raw_Data!E130&amp;"|"&amp;Raw_Data!F130&amp;"|"&amp;Raw_Data!G130&amp;"|"&amp;Raw_Data!H130&amp;"|"&amp;Raw_Data!I130&amp;"|"&amp;Raw_Data!J130&amp;"|"&amp;Raw_Data!K130&amp;"|"&amp;Raw_Data!L130&amp;"|"&amp;Raw_Data!M130&amp;"|"&amp;Raw_Data!N130&amp;"|"&amp;Raw_Data!O130&amp;"|"&amp;Raw_Data!P130&amp;"|"&amp;Raw_Data!Q130&amp;"|"&amp;Raw_Data!R130&amp;"|"&amp;Raw_Data!S130&amp;"|"&amp;Raw_Data!T130&amp;"|"&amp;Raw_Data!U130&amp;"|"&amp;Raw_Data!V130&amp;"|"&amp;Raw_Data!W130&amp;"|"&amp;Raw_Data!X130&amp;"|"&amp;Raw_Data!Y130&amp;"|"&amp;Raw_Data!Z130&amp;"|"&amp;Raw_Data!AA130&amp;"|"&amp;Raw_Data!AB130&amp;"|"&amp;Raw_Data!AC130&amp;"|"&amp;Raw_Data!AD130&amp;"|"&amp;Raw_Data!AE130&amp;"|"&amp;Raw_Data!AF130&amp;"|"&amp;Raw_Data!AG130&amp;"|"&amp;Raw_Data!AH130&amp;"|"&amp;Raw_Data!AI130&amp;"|"&amp;Raw_Data!AJ130&amp;"|"&amp;Raw_Data!AK130&amp;"|"&amp;Raw_Data!AL130&amp;"|"&amp;Raw_Data!AM130&amp;"|"&amp;Raw_Data!AN130&amp;"|"&amp;Raw_Data!AO130</f>
        <v>0|3|2|1|2|2|1|2|1|23|3|3|4|2|4|4|4|3|4|4|4|3|2|3|3|2|4|3|2|2|2|2|2|5|4|4|4|5|3|2|3</v>
      </c>
      <c r="Q132" s="3" t="n">
        <f aca="false">COUNTIF($P$4:$P$513,P132)</f>
        <v>1</v>
      </c>
    </row>
    <row r="133" customFormat="false" ht="15" hidden="false" customHeight="false" outlineLevel="0" collapsed="false">
      <c r="O133" s="3" t="n">
        <v>131</v>
      </c>
      <c r="P133" s="3" t="str">
        <f aca="false">Raw_Data!A131&amp;"|"&amp;Raw_Data!B131&amp;"|"&amp;Raw_Data!C131&amp;"|"&amp;Raw_Data!D131&amp;"|"&amp;Raw_Data!E131&amp;"|"&amp;Raw_Data!F131&amp;"|"&amp;Raw_Data!G131&amp;"|"&amp;Raw_Data!H131&amp;"|"&amp;Raw_Data!I131&amp;"|"&amp;Raw_Data!J131&amp;"|"&amp;Raw_Data!K131&amp;"|"&amp;Raw_Data!L131&amp;"|"&amp;Raw_Data!M131&amp;"|"&amp;Raw_Data!N131&amp;"|"&amp;Raw_Data!O131&amp;"|"&amp;Raw_Data!P131&amp;"|"&amp;Raw_Data!Q131&amp;"|"&amp;Raw_Data!R131&amp;"|"&amp;Raw_Data!S131&amp;"|"&amp;Raw_Data!T131&amp;"|"&amp;Raw_Data!U131&amp;"|"&amp;Raw_Data!V131&amp;"|"&amp;Raw_Data!W131&amp;"|"&amp;Raw_Data!X131&amp;"|"&amp;Raw_Data!Y131&amp;"|"&amp;Raw_Data!Z131&amp;"|"&amp;Raw_Data!AA131&amp;"|"&amp;Raw_Data!AB131&amp;"|"&amp;Raw_Data!AC131&amp;"|"&amp;Raw_Data!AD131&amp;"|"&amp;Raw_Data!AE131&amp;"|"&amp;Raw_Data!AF131&amp;"|"&amp;Raw_Data!AG131&amp;"|"&amp;Raw_Data!AH131&amp;"|"&amp;Raw_Data!AI131&amp;"|"&amp;Raw_Data!AJ131&amp;"|"&amp;Raw_Data!AK131&amp;"|"&amp;Raw_Data!AL131&amp;"|"&amp;Raw_Data!AM131&amp;"|"&amp;Raw_Data!AN131&amp;"|"&amp;Raw_Data!AO131</f>
        <v>1|3|1|2|2|2|1|1|2|21|3|4|2|2|4|2|2|2|4|3|4|3|5|4|4|5|2|2|2|2|4|2|3|4|4|2|2|3|2|2|2</v>
      </c>
      <c r="Q133" s="3" t="n">
        <f aca="false">COUNTIF($P$4:$P$513,P133)</f>
        <v>1</v>
      </c>
    </row>
    <row r="134" customFormat="false" ht="15" hidden="false" customHeight="false" outlineLevel="0" collapsed="false">
      <c r="O134" s="3" t="n">
        <v>132</v>
      </c>
      <c r="P134" s="3" t="str">
        <f aca="false">Raw_Data!A132&amp;"|"&amp;Raw_Data!B132&amp;"|"&amp;Raw_Data!C132&amp;"|"&amp;Raw_Data!D132&amp;"|"&amp;Raw_Data!E132&amp;"|"&amp;Raw_Data!F132&amp;"|"&amp;Raw_Data!G132&amp;"|"&amp;Raw_Data!H132&amp;"|"&amp;Raw_Data!I132&amp;"|"&amp;Raw_Data!J132&amp;"|"&amp;Raw_Data!K132&amp;"|"&amp;Raw_Data!L132&amp;"|"&amp;Raw_Data!M132&amp;"|"&amp;Raw_Data!N132&amp;"|"&amp;Raw_Data!O132&amp;"|"&amp;Raw_Data!P132&amp;"|"&amp;Raw_Data!Q132&amp;"|"&amp;Raw_Data!R132&amp;"|"&amp;Raw_Data!S132&amp;"|"&amp;Raw_Data!T132&amp;"|"&amp;Raw_Data!U132&amp;"|"&amp;Raw_Data!V132&amp;"|"&amp;Raw_Data!W132&amp;"|"&amp;Raw_Data!X132&amp;"|"&amp;Raw_Data!Y132&amp;"|"&amp;Raw_Data!Z132&amp;"|"&amp;Raw_Data!AA132&amp;"|"&amp;Raw_Data!AB132&amp;"|"&amp;Raw_Data!AC132&amp;"|"&amp;Raw_Data!AD132&amp;"|"&amp;Raw_Data!AE132&amp;"|"&amp;Raw_Data!AF132&amp;"|"&amp;Raw_Data!AG132&amp;"|"&amp;Raw_Data!AH132&amp;"|"&amp;Raw_Data!AI132&amp;"|"&amp;Raw_Data!AJ132&amp;"|"&amp;Raw_Data!AK132&amp;"|"&amp;Raw_Data!AL132&amp;"|"&amp;Raw_Data!AM132&amp;"|"&amp;Raw_Data!AN132&amp;"|"&amp;Raw_Data!AO132</f>
        <v>0|4|1|1|2|2|2|1|2|23|2|2|5|3|4|4|3|4|4|5|5|4|4|4|3|4|5|3|1|2|3|2|4|3|3|3|5|5|2|3|2</v>
      </c>
      <c r="Q134" s="3" t="n">
        <f aca="false">COUNTIF($P$4:$P$513,P134)</f>
        <v>1</v>
      </c>
    </row>
    <row r="135" customFormat="false" ht="15" hidden="false" customHeight="false" outlineLevel="0" collapsed="false">
      <c r="O135" s="3" t="n">
        <v>133</v>
      </c>
      <c r="P135" s="3" t="str">
        <f aca="false">Raw_Data!A133&amp;"|"&amp;Raw_Data!B133&amp;"|"&amp;Raw_Data!C133&amp;"|"&amp;Raw_Data!D133&amp;"|"&amp;Raw_Data!E133&amp;"|"&amp;Raw_Data!F133&amp;"|"&amp;Raw_Data!G133&amp;"|"&amp;Raw_Data!H133&amp;"|"&amp;Raw_Data!I133&amp;"|"&amp;Raw_Data!J133&amp;"|"&amp;Raw_Data!K133&amp;"|"&amp;Raw_Data!L133&amp;"|"&amp;Raw_Data!M133&amp;"|"&amp;Raw_Data!N133&amp;"|"&amp;Raw_Data!O133&amp;"|"&amp;Raw_Data!P133&amp;"|"&amp;Raw_Data!Q133&amp;"|"&amp;Raw_Data!R133&amp;"|"&amp;Raw_Data!S133&amp;"|"&amp;Raw_Data!T133&amp;"|"&amp;Raw_Data!U133&amp;"|"&amp;Raw_Data!V133&amp;"|"&amp;Raw_Data!W133&amp;"|"&amp;Raw_Data!X133&amp;"|"&amp;Raw_Data!Y133&amp;"|"&amp;Raw_Data!Z133&amp;"|"&amp;Raw_Data!AA133&amp;"|"&amp;Raw_Data!AB133&amp;"|"&amp;Raw_Data!AC133&amp;"|"&amp;Raw_Data!AD133&amp;"|"&amp;Raw_Data!AE133&amp;"|"&amp;Raw_Data!AF133&amp;"|"&amp;Raw_Data!AG133&amp;"|"&amp;Raw_Data!AH133&amp;"|"&amp;Raw_Data!AI133&amp;"|"&amp;Raw_Data!AJ133&amp;"|"&amp;Raw_Data!AK133&amp;"|"&amp;Raw_Data!AL133&amp;"|"&amp;Raw_Data!AM133&amp;"|"&amp;Raw_Data!AN133&amp;"|"&amp;Raw_Data!AO133</f>
        <v>|2|1|1|2|2|1|2|1|22|3|3|4|4|3|3|3|4|4|4|4|3|4|4|3|4|4|4|1|3|4|4|4|4|4|2|2|4|3|2|3</v>
      </c>
      <c r="Q135" s="3" t="n">
        <f aca="false">COUNTIF($P$4:$P$513,P135)</f>
        <v>1</v>
      </c>
    </row>
    <row r="136" customFormat="false" ht="15" hidden="false" customHeight="false" outlineLevel="0" collapsed="false">
      <c r="O136" s="3" t="n">
        <v>134</v>
      </c>
      <c r="P136" s="3" t="str">
        <f aca="false">Raw_Data!A134&amp;"|"&amp;Raw_Data!B134&amp;"|"&amp;Raw_Data!C134&amp;"|"&amp;Raw_Data!D134&amp;"|"&amp;Raw_Data!E134&amp;"|"&amp;Raw_Data!F134&amp;"|"&amp;Raw_Data!G134&amp;"|"&amp;Raw_Data!H134&amp;"|"&amp;Raw_Data!I134&amp;"|"&amp;Raw_Data!J134&amp;"|"&amp;Raw_Data!K134&amp;"|"&amp;Raw_Data!L134&amp;"|"&amp;Raw_Data!M134&amp;"|"&amp;Raw_Data!N134&amp;"|"&amp;Raw_Data!O134&amp;"|"&amp;Raw_Data!P134&amp;"|"&amp;Raw_Data!Q134&amp;"|"&amp;Raw_Data!R134&amp;"|"&amp;Raw_Data!S134&amp;"|"&amp;Raw_Data!T134&amp;"|"&amp;Raw_Data!U134&amp;"|"&amp;Raw_Data!V134&amp;"|"&amp;Raw_Data!W134&amp;"|"&amp;Raw_Data!X134&amp;"|"&amp;Raw_Data!Y134&amp;"|"&amp;Raw_Data!Z134&amp;"|"&amp;Raw_Data!AA134&amp;"|"&amp;Raw_Data!AB134&amp;"|"&amp;Raw_Data!AC134&amp;"|"&amp;Raw_Data!AD134&amp;"|"&amp;Raw_Data!AE134&amp;"|"&amp;Raw_Data!AF134&amp;"|"&amp;Raw_Data!AG134&amp;"|"&amp;Raw_Data!AH134&amp;"|"&amp;Raw_Data!AI134&amp;"|"&amp;Raw_Data!AJ134&amp;"|"&amp;Raw_Data!AK134&amp;"|"&amp;Raw_Data!AL134&amp;"|"&amp;Raw_Data!AM134&amp;"|"&amp;Raw_Data!AN134&amp;"|"&amp;Raw_Data!AO134</f>
        <v>1|1|1|1|2|2|3|1|3|25|4|4|5|5|5|4|2|2|4|5|5|5|5|5|5|5|4|1|1|1|4|3|4|5|5|4|3|5|4|2|3</v>
      </c>
      <c r="Q136" s="3" t="n">
        <f aca="false">COUNTIF($P$4:$P$513,P136)</f>
        <v>1</v>
      </c>
    </row>
    <row r="137" customFormat="false" ht="15" hidden="false" customHeight="false" outlineLevel="0" collapsed="false">
      <c r="O137" s="3" t="n">
        <v>135</v>
      </c>
      <c r="P137" s="3" t="str">
        <f aca="false">Raw_Data!A135&amp;"|"&amp;Raw_Data!B135&amp;"|"&amp;Raw_Data!C135&amp;"|"&amp;Raw_Data!D135&amp;"|"&amp;Raw_Data!E135&amp;"|"&amp;Raw_Data!F135&amp;"|"&amp;Raw_Data!G135&amp;"|"&amp;Raw_Data!H135&amp;"|"&amp;Raw_Data!I135&amp;"|"&amp;Raw_Data!J135&amp;"|"&amp;Raw_Data!K135&amp;"|"&amp;Raw_Data!L135&amp;"|"&amp;Raw_Data!M135&amp;"|"&amp;Raw_Data!N135&amp;"|"&amp;Raw_Data!O135&amp;"|"&amp;Raw_Data!P135&amp;"|"&amp;Raw_Data!Q135&amp;"|"&amp;Raw_Data!R135&amp;"|"&amp;Raw_Data!S135&amp;"|"&amp;Raw_Data!T135&amp;"|"&amp;Raw_Data!U135&amp;"|"&amp;Raw_Data!V135&amp;"|"&amp;Raw_Data!W135&amp;"|"&amp;Raw_Data!X135&amp;"|"&amp;Raw_Data!Y135&amp;"|"&amp;Raw_Data!Z135&amp;"|"&amp;Raw_Data!AA135&amp;"|"&amp;Raw_Data!AB135&amp;"|"&amp;Raw_Data!AC135&amp;"|"&amp;Raw_Data!AD135&amp;"|"&amp;Raw_Data!AE135&amp;"|"&amp;Raw_Data!AF135&amp;"|"&amp;Raw_Data!AG135&amp;"|"&amp;Raw_Data!AH135&amp;"|"&amp;Raw_Data!AI135&amp;"|"&amp;Raw_Data!AJ135&amp;"|"&amp;Raw_Data!AK135&amp;"|"&amp;Raw_Data!AL135&amp;"|"&amp;Raw_Data!AM135&amp;"|"&amp;Raw_Data!AN135&amp;"|"&amp;Raw_Data!AO135</f>
        <v>0|4|1|1|2|2|1|2|1|25|4|4|2|4|5|5|5|2|3|5|4|5|5|5|5|5|5|3|2|2|3|2|5|4|4|4|5|5|5|2|3</v>
      </c>
      <c r="Q137" s="3" t="n">
        <f aca="false">COUNTIF($P$4:$P$513,P137)</f>
        <v>1</v>
      </c>
    </row>
    <row r="138" customFormat="false" ht="15" hidden="false" customHeight="false" outlineLevel="0" collapsed="false">
      <c r="O138" s="3" t="n">
        <v>136</v>
      </c>
      <c r="P138" s="3" t="str">
        <f aca="false">Raw_Data!A136&amp;"|"&amp;Raw_Data!B136&amp;"|"&amp;Raw_Data!C136&amp;"|"&amp;Raw_Data!D136&amp;"|"&amp;Raw_Data!E136&amp;"|"&amp;Raw_Data!F136&amp;"|"&amp;Raw_Data!G136&amp;"|"&amp;Raw_Data!H136&amp;"|"&amp;Raw_Data!I136&amp;"|"&amp;Raw_Data!J136&amp;"|"&amp;Raw_Data!K136&amp;"|"&amp;Raw_Data!L136&amp;"|"&amp;Raw_Data!M136&amp;"|"&amp;Raw_Data!N136&amp;"|"&amp;Raw_Data!O136&amp;"|"&amp;Raw_Data!P136&amp;"|"&amp;Raw_Data!Q136&amp;"|"&amp;Raw_Data!R136&amp;"|"&amp;Raw_Data!S136&amp;"|"&amp;Raw_Data!T136&amp;"|"&amp;Raw_Data!U136&amp;"|"&amp;Raw_Data!V136&amp;"|"&amp;Raw_Data!W136&amp;"|"&amp;Raw_Data!X136&amp;"|"&amp;Raw_Data!Y136&amp;"|"&amp;Raw_Data!Z136&amp;"|"&amp;Raw_Data!AA136&amp;"|"&amp;Raw_Data!AB136&amp;"|"&amp;Raw_Data!AC136&amp;"|"&amp;Raw_Data!AD136&amp;"|"&amp;Raw_Data!AE136&amp;"|"&amp;Raw_Data!AF136&amp;"|"&amp;Raw_Data!AG136&amp;"|"&amp;Raw_Data!AH136&amp;"|"&amp;Raw_Data!AI136&amp;"|"&amp;Raw_Data!AJ136&amp;"|"&amp;Raw_Data!AK136&amp;"|"&amp;Raw_Data!AL136&amp;"|"&amp;Raw_Data!AM136&amp;"|"&amp;Raw_Data!AN136&amp;"|"&amp;Raw_Data!AO136</f>
        <v>|4|2|1|2|2|2|3|1|26|4|4|4|4|2|4|4|2|4|4|4|4|4|2|3|3|5|4|2|2|4|3|5|2|2|4|2|4|3|2|4</v>
      </c>
      <c r="Q138" s="3" t="n">
        <f aca="false">COUNTIF($P$4:$P$513,P138)</f>
        <v>1</v>
      </c>
    </row>
    <row r="139" customFormat="false" ht="15" hidden="false" customHeight="false" outlineLevel="0" collapsed="false">
      <c r="O139" s="3" t="n">
        <v>137</v>
      </c>
      <c r="P139" s="3" t="str">
        <f aca="false">Raw_Data!A137&amp;"|"&amp;Raw_Data!B137&amp;"|"&amp;Raw_Data!C137&amp;"|"&amp;Raw_Data!D137&amp;"|"&amp;Raw_Data!E137&amp;"|"&amp;Raw_Data!F137&amp;"|"&amp;Raw_Data!G137&amp;"|"&amp;Raw_Data!H137&amp;"|"&amp;Raw_Data!I137&amp;"|"&amp;Raw_Data!J137&amp;"|"&amp;Raw_Data!K137&amp;"|"&amp;Raw_Data!L137&amp;"|"&amp;Raw_Data!M137&amp;"|"&amp;Raw_Data!N137&amp;"|"&amp;Raw_Data!O137&amp;"|"&amp;Raw_Data!P137&amp;"|"&amp;Raw_Data!Q137&amp;"|"&amp;Raw_Data!R137&amp;"|"&amp;Raw_Data!S137&amp;"|"&amp;Raw_Data!T137&amp;"|"&amp;Raw_Data!U137&amp;"|"&amp;Raw_Data!V137&amp;"|"&amp;Raw_Data!W137&amp;"|"&amp;Raw_Data!X137&amp;"|"&amp;Raw_Data!Y137&amp;"|"&amp;Raw_Data!Z137&amp;"|"&amp;Raw_Data!AA137&amp;"|"&amp;Raw_Data!AB137&amp;"|"&amp;Raw_Data!AC137&amp;"|"&amp;Raw_Data!AD137&amp;"|"&amp;Raw_Data!AE137&amp;"|"&amp;Raw_Data!AF137&amp;"|"&amp;Raw_Data!AG137&amp;"|"&amp;Raw_Data!AH137&amp;"|"&amp;Raw_Data!AI137&amp;"|"&amp;Raw_Data!AJ137&amp;"|"&amp;Raw_Data!AK137&amp;"|"&amp;Raw_Data!AL137&amp;"|"&amp;Raw_Data!AM137&amp;"|"&amp;Raw_Data!AN137&amp;"|"&amp;Raw_Data!AO137</f>
        <v>1|3|1|1|2|2|1|3|1|23|3|2|4|3|5|1|4|2|4|4|4|4|3|2|3|3|5|1|2|2|1|2|2|4|4|4|2|4|2|2|3</v>
      </c>
      <c r="Q139" s="3" t="n">
        <f aca="false">COUNTIF($P$4:$P$513,P139)</f>
        <v>1</v>
      </c>
    </row>
    <row r="140" customFormat="false" ht="15" hidden="false" customHeight="false" outlineLevel="0" collapsed="false">
      <c r="O140" s="3" t="n">
        <v>138</v>
      </c>
      <c r="P140" s="3" t="str">
        <f aca="false">Raw_Data!A138&amp;"|"&amp;Raw_Data!B138&amp;"|"&amp;Raw_Data!C138&amp;"|"&amp;Raw_Data!D138&amp;"|"&amp;Raw_Data!E138&amp;"|"&amp;Raw_Data!F138&amp;"|"&amp;Raw_Data!G138&amp;"|"&amp;Raw_Data!H138&amp;"|"&amp;Raw_Data!I138&amp;"|"&amp;Raw_Data!J138&amp;"|"&amp;Raw_Data!K138&amp;"|"&amp;Raw_Data!L138&amp;"|"&amp;Raw_Data!M138&amp;"|"&amp;Raw_Data!N138&amp;"|"&amp;Raw_Data!O138&amp;"|"&amp;Raw_Data!P138&amp;"|"&amp;Raw_Data!Q138&amp;"|"&amp;Raw_Data!R138&amp;"|"&amp;Raw_Data!S138&amp;"|"&amp;Raw_Data!T138&amp;"|"&amp;Raw_Data!U138&amp;"|"&amp;Raw_Data!V138&amp;"|"&amp;Raw_Data!W138&amp;"|"&amp;Raw_Data!X138&amp;"|"&amp;Raw_Data!Y138&amp;"|"&amp;Raw_Data!Z138&amp;"|"&amp;Raw_Data!AA138&amp;"|"&amp;Raw_Data!AB138&amp;"|"&amp;Raw_Data!AC138&amp;"|"&amp;Raw_Data!AD138&amp;"|"&amp;Raw_Data!AE138&amp;"|"&amp;Raw_Data!AF138&amp;"|"&amp;Raw_Data!AG138&amp;"|"&amp;Raw_Data!AH138&amp;"|"&amp;Raw_Data!AI138&amp;"|"&amp;Raw_Data!AJ138&amp;"|"&amp;Raw_Data!AK138&amp;"|"&amp;Raw_Data!AL138&amp;"|"&amp;Raw_Data!AM138&amp;"|"&amp;Raw_Data!AN138&amp;"|"&amp;Raw_Data!AO138</f>
        <v>1|4|1|1|2|2|1|3|1|23|2|3|3|3|3|2|3|3|4|4|4|4|4|4|4|4|3|3|2|2|3|2|4|3|3|4|4|3|4|3|2</v>
      </c>
      <c r="Q140" s="3" t="n">
        <f aca="false">COUNTIF($P$4:$P$513,P140)</f>
        <v>1</v>
      </c>
    </row>
    <row r="141" customFormat="false" ht="15" hidden="false" customHeight="false" outlineLevel="0" collapsed="false">
      <c r="O141" s="3" t="n">
        <v>139</v>
      </c>
      <c r="P141" s="3" t="str">
        <f aca="false">Raw_Data!A139&amp;"|"&amp;Raw_Data!B139&amp;"|"&amp;Raw_Data!C139&amp;"|"&amp;Raw_Data!D139&amp;"|"&amp;Raw_Data!E139&amp;"|"&amp;Raw_Data!F139&amp;"|"&amp;Raw_Data!G139&amp;"|"&amp;Raw_Data!H139&amp;"|"&amp;Raw_Data!I139&amp;"|"&amp;Raw_Data!J139&amp;"|"&amp;Raw_Data!K139&amp;"|"&amp;Raw_Data!L139&amp;"|"&amp;Raw_Data!M139&amp;"|"&amp;Raw_Data!N139&amp;"|"&amp;Raw_Data!O139&amp;"|"&amp;Raw_Data!P139&amp;"|"&amp;Raw_Data!Q139&amp;"|"&amp;Raw_Data!R139&amp;"|"&amp;Raw_Data!S139&amp;"|"&amp;Raw_Data!T139&amp;"|"&amp;Raw_Data!U139&amp;"|"&amp;Raw_Data!V139&amp;"|"&amp;Raw_Data!W139&amp;"|"&amp;Raw_Data!X139&amp;"|"&amp;Raw_Data!Y139&amp;"|"&amp;Raw_Data!Z139&amp;"|"&amp;Raw_Data!AA139&amp;"|"&amp;Raw_Data!AB139&amp;"|"&amp;Raw_Data!AC139&amp;"|"&amp;Raw_Data!AD139&amp;"|"&amp;Raw_Data!AE139&amp;"|"&amp;Raw_Data!AF139&amp;"|"&amp;Raw_Data!AG139&amp;"|"&amp;Raw_Data!AH139&amp;"|"&amp;Raw_Data!AI139&amp;"|"&amp;Raw_Data!AJ139&amp;"|"&amp;Raw_Data!AK139&amp;"|"&amp;Raw_Data!AL139&amp;"|"&amp;Raw_Data!AM139&amp;"|"&amp;Raw_Data!AN139&amp;"|"&amp;Raw_Data!AO139</f>
        <v>0|3|1|1|2|2|1|3|1|25|5|3|5|4|5|5|3|1|4|5|4|3|4|3|3|4|5|4|1|2|3|1|4|3|5|4|5|5|4|2|3</v>
      </c>
      <c r="Q141" s="3" t="n">
        <f aca="false">COUNTIF($P$4:$P$513,P141)</f>
        <v>2</v>
      </c>
    </row>
    <row r="142" customFormat="false" ht="15" hidden="false" customHeight="false" outlineLevel="0" collapsed="false">
      <c r="O142" s="3" t="n">
        <v>140</v>
      </c>
      <c r="P142" s="3" t="str">
        <f aca="false">Raw_Data!A140&amp;"|"&amp;Raw_Data!B140&amp;"|"&amp;Raw_Data!C140&amp;"|"&amp;Raw_Data!D140&amp;"|"&amp;Raw_Data!E140&amp;"|"&amp;Raw_Data!F140&amp;"|"&amp;Raw_Data!G140&amp;"|"&amp;Raw_Data!H140&amp;"|"&amp;Raw_Data!I140&amp;"|"&amp;Raw_Data!J140&amp;"|"&amp;Raw_Data!K140&amp;"|"&amp;Raw_Data!L140&amp;"|"&amp;Raw_Data!M140&amp;"|"&amp;Raw_Data!N140&amp;"|"&amp;Raw_Data!O140&amp;"|"&amp;Raw_Data!P140&amp;"|"&amp;Raw_Data!Q140&amp;"|"&amp;Raw_Data!R140&amp;"|"&amp;Raw_Data!S140&amp;"|"&amp;Raw_Data!T140&amp;"|"&amp;Raw_Data!U140&amp;"|"&amp;Raw_Data!V140&amp;"|"&amp;Raw_Data!W140&amp;"|"&amp;Raw_Data!X140&amp;"|"&amp;Raw_Data!Y140&amp;"|"&amp;Raw_Data!Z140&amp;"|"&amp;Raw_Data!AA140&amp;"|"&amp;Raw_Data!AB140&amp;"|"&amp;Raw_Data!AC140&amp;"|"&amp;Raw_Data!AD140&amp;"|"&amp;Raw_Data!AE140&amp;"|"&amp;Raw_Data!AF140&amp;"|"&amp;Raw_Data!AG140&amp;"|"&amp;Raw_Data!AH140&amp;"|"&amp;Raw_Data!AI140&amp;"|"&amp;Raw_Data!AJ140&amp;"|"&amp;Raw_Data!AK140&amp;"|"&amp;Raw_Data!AL140&amp;"|"&amp;Raw_Data!AM140&amp;"|"&amp;Raw_Data!AN140&amp;"|"&amp;Raw_Data!AO140</f>
        <v>1|3|2|1|2|2|3|2|1|25|2|1|3|1|3|2|3|2|3|2|3|3|4|3|3|3|3|2|1|2|1|1|2|1|1|2|2|1|2|2|1</v>
      </c>
      <c r="Q142" s="3" t="n">
        <f aca="false">COUNTIF($P$4:$P$513,P142)</f>
        <v>1</v>
      </c>
    </row>
    <row r="143" customFormat="false" ht="15" hidden="false" customHeight="false" outlineLevel="0" collapsed="false">
      <c r="O143" s="3" t="n">
        <v>141</v>
      </c>
      <c r="P143" s="3" t="str">
        <f aca="false">Raw_Data!A141&amp;"|"&amp;Raw_Data!B141&amp;"|"&amp;Raw_Data!C141&amp;"|"&amp;Raw_Data!D141&amp;"|"&amp;Raw_Data!E141&amp;"|"&amp;Raw_Data!F141&amp;"|"&amp;Raw_Data!G141&amp;"|"&amp;Raw_Data!H141&amp;"|"&amp;Raw_Data!I141&amp;"|"&amp;Raw_Data!J141&amp;"|"&amp;Raw_Data!K141&amp;"|"&amp;Raw_Data!L141&amp;"|"&amp;Raw_Data!M141&amp;"|"&amp;Raw_Data!N141&amp;"|"&amp;Raw_Data!O141&amp;"|"&amp;Raw_Data!P141&amp;"|"&amp;Raw_Data!Q141&amp;"|"&amp;Raw_Data!R141&amp;"|"&amp;Raw_Data!S141&amp;"|"&amp;Raw_Data!T141&amp;"|"&amp;Raw_Data!U141&amp;"|"&amp;Raw_Data!V141&amp;"|"&amp;Raw_Data!W141&amp;"|"&amp;Raw_Data!X141&amp;"|"&amp;Raw_Data!Y141&amp;"|"&amp;Raw_Data!Z141&amp;"|"&amp;Raw_Data!AA141&amp;"|"&amp;Raw_Data!AB141&amp;"|"&amp;Raw_Data!AC141&amp;"|"&amp;Raw_Data!AD141&amp;"|"&amp;Raw_Data!AE141&amp;"|"&amp;Raw_Data!AF141&amp;"|"&amp;Raw_Data!AG141&amp;"|"&amp;Raw_Data!AH141&amp;"|"&amp;Raw_Data!AI141&amp;"|"&amp;Raw_Data!AJ141&amp;"|"&amp;Raw_Data!AK141&amp;"|"&amp;Raw_Data!AL141&amp;"|"&amp;Raw_Data!AM141&amp;"|"&amp;Raw_Data!AN141&amp;"|"&amp;Raw_Data!AO141</f>
        <v>0|4|1|1|2|2|3|2|3|27|3|4|3|3|3|3|4|3|4|5|5|4|5|3|4|4|4|3|3|3|4|4|4|4|4|4|3|4|3|3|3</v>
      </c>
      <c r="Q143" s="3" t="n">
        <f aca="false">COUNTIF($P$4:$P$513,P143)</f>
        <v>1</v>
      </c>
    </row>
    <row r="144" customFormat="false" ht="15" hidden="false" customHeight="false" outlineLevel="0" collapsed="false">
      <c r="O144" s="3" t="n">
        <v>142</v>
      </c>
      <c r="P144" s="3" t="str">
        <f aca="false">Raw_Data!A142&amp;"|"&amp;Raw_Data!B142&amp;"|"&amp;Raw_Data!C142&amp;"|"&amp;Raw_Data!D142&amp;"|"&amp;Raw_Data!E142&amp;"|"&amp;Raw_Data!F142&amp;"|"&amp;Raw_Data!G142&amp;"|"&amp;Raw_Data!H142&amp;"|"&amp;Raw_Data!I142&amp;"|"&amp;Raw_Data!J142&amp;"|"&amp;Raw_Data!K142&amp;"|"&amp;Raw_Data!L142&amp;"|"&amp;Raw_Data!M142&amp;"|"&amp;Raw_Data!N142&amp;"|"&amp;Raw_Data!O142&amp;"|"&amp;Raw_Data!P142&amp;"|"&amp;Raw_Data!Q142&amp;"|"&amp;Raw_Data!R142&amp;"|"&amp;Raw_Data!S142&amp;"|"&amp;Raw_Data!T142&amp;"|"&amp;Raw_Data!U142&amp;"|"&amp;Raw_Data!V142&amp;"|"&amp;Raw_Data!W142&amp;"|"&amp;Raw_Data!X142&amp;"|"&amp;Raw_Data!Y142&amp;"|"&amp;Raw_Data!Z142&amp;"|"&amp;Raw_Data!AA142&amp;"|"&amp;Raw_Data!AB142&amp;"|"&amp;Raw_Data!AC142&amp;"|"&amp;Raw_Data!AD142&amp;"|"&amp;Raw_Data!AE142&amp;"|"&amp;Raw_Data!AF142&amp;"|"&amp;Raw_Data!AG142&amp;"|"&amp;Raw_Data!AH142&amp;"|"&amp;Raw_Data!AI142&amp;"|"&amp;Raw_Data!AJ142&amp;"|"&amp;Raw_Data!AK142&amp;"|"&amp;Raw_Data!AL142&amp;"|"&amp;Raw_Data!AM142&amp;"|"&amp;Raw_Data!AN142&amp;"|"&amp;Raw_Data!AO142</f>
        <v>0|3|1|1|2|2|1|3|1|25|5|3|5|4|5|5|3|1|4|5|4|3|4|3|3|4|5|4|1|2|3|1|4|3|5|4|5|5|4|2|3</v>
      </c>
      <c r="Q144" s="3" t="n">
        <f aca="false">COUNTIF($P$4:$P$513,P144)</f>
        <v>2</v>
      </c>
    </row>
    <row r="145" customFormat="false" ht="15" hidden="false" customHeight="false" outlineLevel="0" collapsed="false">
      <c r="O145" s="3" t="n">
        <v>143</v>
      </c>
      <c r="P145" s="3" t="str">
        <f aca="false">Raw_Data!A143&amp;"|"&amp;Raw_Data!B143&amp;"|"&amp;Raw_Data!C143&amp;"|"&amp;Raw_Data!D143&amp;"|"&amp;Raw_Data!E143&amp;"|"&amp;Raw_Data!F143&amp;"|"&amp;Raw_Data!G143&amp;"|"&amp;Raw_Data!H143&amp;"|"&amp;Raw_Data!I143&amp;"|"&amp;Raw_Data!J143&amp;"|"&amp;Raw_Data!K143&amp;"|"&amp;Raw_Data!L143&amp;"|"&amp;Raw_Data!M143&amp;"|"&amp;Raw_Data!N143&amp;"|"&amp;Raw_Data!O143&amp;"|"&amp;Raw_Data!P143&amp;"|"&amp;Raw_Data!Q143&amp;"|"&amp;Raw_Data!R143&amp;"|"&amp;Raw_Data!S143&amp;"|"&amp;Raw_Data!T143&amp;"|"&amp;Raw_Data!U143&amp;"|"&amp;Raw_Data!V143&amp;"|"&amp;Raw_Data!W143&amp;"|"&amp;Raw_Data!X143&amp;"|"&amp;Raw_Data!Y143&amp;"|"&amp;Raw_Data!Z143&amp;"|"&amp;Raw_Data!AA143&amp;"|"&amp;Raw_Data!AB143&amp;"|"&amp;Raw_Data!AC143&amp;"|"&amp;Raw_Data!AD143&amp;"|"&amp;Raw_Data!AE143&amp;"|"&amp;Raw_Data!AF143&amp;"|"&amp;Raw_Data!AG143&amp;"|"&amp;Raw_Data!AH143&amp;"|"&amp;Raw_Data!AI143&amp;"|"&amp;Raw_Data!AJ143&amp;"|"&amp;Raw_Data!AK143&amp;"|"&amp;Raw_Data!AL143&amp;"|"&amp;Raw_Data!AM143&amp;"|"&amp;Raw_Data!AN143&amp;"|"&amp;Raw_Data!AO143</f>
        <v>0|4|1|1|2|2|1|1|3|25|3|2|4|3|4|2|3|4|4|4|4|4|5|4|4|4|4|2|2|4|4|2|3|4|4|4|4|4|2|3|4</v>
      </c>
      <c r="Q145" s="3" t="n">
        <f aca="false">COUNTIF($P$4:$P$513,P145)</f>
        <v>1</v>
      </c>
    </row>
    <row r="146" customFormat="false" ht="15" hidden="false" customHeight="false" outlineLevel="0" collapsed="false">
      <c r="O146" s="3" t="n">
        <v>144</v>
      </c>
      <c r="P146" s="3" t="str">
        <f aca="false">Raw_Data!A144&amp;"|"&amp;Raw_Data!B144&amp;"|"&amp;Raw_Data!C144&amp;"|"&amp;Raw_Data!D144&amp;"|"&amp;Raw_Data!E144&amp;"|"&amp;Raw_Data!F144&amp;"|"&amp;Raw_Data!G144&amp;"|"&amp;Raw_Data!H144&amp;"|"&amp;Raw_Data!I144&amp;"|"&amp;Raw_Data!J144&amp;"|"&amp;Raw_Data!K144&amp;"|"&amp;Raw_Data!L144&amp;"|"&amp;Raw_Data!M144&amp;"|"&amp;Raw_Data!N144&amp;"|"&amp;Raw_Data!O144&amp;"|"&amp;Raw_Data!P144&amp;"|"&amp;Raw_Data!Q144&amp;"|"&amp;Raw_Data!R144&amp;"|"&amp;Raw_Data!S144&amp;"|"&amp;Raw_Data!T144&amp;"|"&amp;Raw_Data!U144&amp;"|"&amp;Raw_Data!V144&amp;"|"&amp;Raw_Data!W144&amp;"|"&amp;Raw_Data!X144&amp;"|"&amp;Raw_Data!Y144&amp;"|"&amp;Raw_Data!Z144&amp;"|"&amp;Raw_Data!AA144&amp;"|"&amp;Raw_Data!AB144&amp;"|"&amp;Raw_Data!AC144&amp;"|"&amp;Raw_Data!AD144&amp;"|"&amp;Raw_Data!AE144&amp;"|"&amp;Raw_Data!AF144&amp;"|"&amp;Raw_Data!AG144&amp;"|"&amp;Raw_Data!AH144&amp;"|"&amp;Raw_Data!AI144&amp;"|"&amp;Raw_Data!AJ144&amp;"|"&amp;Raw_Data!AK144&amp;"|"&amp;Raw_Data!AL144&amp;"|"&amp;Raw_Data!AM144&amp;"|"&amp;Raw_Data!AN144&amp;"|"&amp;Raw_Data!AO144</f>
        <v>0|4|2|1|2|2|2|2|1|23|3|4|3|3|3|3|4|2|5|5|5|4|4|4|4|4|4|4|3|3|3|4|4|4|3|4|3|5|3|3|3</v>
      </c>
      <c r="Q146" s="3" t="n">
        <f aca="false">COUNTIF($P$4:$P$513,P146)</f>
        <v>1</v>
      </c>
    </row>
    <row r="147" customFormat="false" ht="15" hidden="false" customHeight="false" outlineLevel="0" collapsed="false">
      <c r="O147" s="3" t="n">
        <v>145</v>
      </c>
      <c r="P147" s="3" t="str">
        <f aca="false">Raw_Data!A145&amp;"|"&amp;Raw_Data!B145&amp;"|"&amp;Raw_Data!C145&amp;"|"&amp;Raw_Data!D145&amp;"|"&amp;Raw_Data!E145&amp;"|"&amp;Raw_Data!F145&amp;"|"&amp;Raw_Data!G145&amp;"|"&amp;Raw_Data!H145&amp;"|"&amp;Raw_Data!I145&amp;"|"&amp;Raw_Data!J145&amp;"|"&amp;Raw_Data!K145&amp;"|"&amp;Raw_Data!L145&amp;"|"&amp;Raw_Data!M145&amp;"|"&amp;Raw_Data!N145&amp;"|"&amp;Raw_Data!O145&amp;"|"&amp;Raw_Data!P145&amp;"|"&amp;Raw_Data!Q145&amp;"|"&amp;Raw_Data!R145&amp;"|"&amp;Raw_Data!S145&amp;"|"&amp;Raw_Data!T145&amp;"|"&amp;Raw_Data!U145&amp;"|"&amp;Raw_Data!V145&amp;"|"&amp;Raw_Data!W145&amp;"|"&amp;Raw_Data!X145&amp;"|"&amp;Raw_Data!Y145&amp;"|"&amp;Raw_Data!Z145&amp;"|"&amp;Raw_Data!AA145&amp;"|"&amp;Raw_Data!AB145&amp;"|"&amp;Raw_Data!AC145&amp;"|"&amp;Raw_Data!AD145&amp;"|"&amp;Raw_Data!AE145&amp;"|"&amp;Raw_Data!AF145&amp;"|"&amp;Raw_Data!AG145&amp;"|"&amp;Raw_Data!AH145&amp;"|"&amp;Raw_Data!AI145&amp;"|"&amp;Raw_Data!AJ145&amp;"|"&amp;Raw_Data!AK145&amp;"|"&amp;Raw_Data!AL145&amp;"|"&amp;Raw_Data!AM145&amp;"|"&amp;Raw_Data!AN145&amp;"|"&amp;Raw_Data!AO145</f>
        <v>0|3|1|2|2|2|1|1|1|24|2|3|4|3|4|3|4|3|5|5|5|1|1|1|1|4|2|1|1|1|3|1|1|5|1|4|3|4|3|3|3</v>
      </c>
      <c r="Q147" s="3" t="n">
        <f aca="false">COUNTIF($P$4:$P$513,P147)</f>
        <v>1</v>
      </c>
    </row>
    <row r="148" customFormat="false" ht="15" hidden="false" customHeight="false" outlineLevel="0" collapsed="false">
      <c r="O148" s="3" t="n">
        <v>146</v>
      </c>
      <c r="P148" s="3" t="str">
        <f aca="false">Raw_Data!A146&amp;"|"&amp;Raw_Data!B146&amp;"|"&amp;Raw_Data!C146&amp;"|"&amp;Raw_Data!D146&amp;"|"&amp;Raw_Data!E146&amp;"|"&amp;Raw_Data!F146&amp;"|"&amp;Raw_Data!G146&amp;"|"&amp;Raw_Data!H146&amp;"|"&amp;Raw_Data!I146&amp;"|"&amp;Raw_Data!J146&amp;"|"&amp;Raw_Data!K146&amp;"|"&amp;Raw_Data!L146&amp;"|"&amp;Raw_Data!M146&amp;"|"&amp;Raw_Data!N146&amp;"|"&amp;Raw_Data!O146&amp;"|"&amp;Raw_Data!P146&amp;"|"&amp;Raw_Data!Q146&amp;"|"&amp;Raw_Data!R146&amp;"|"&amp;Raw_Data!S146&amp;"|"&amp;Raw_Data!T146&amp;"|"&amp;Raw_Data!U146&amp;"|"&amp;Raw_Data!V146&amp;"|"&amp;Raw_Data!W146&amp;"|"&amp;Raw_Data!X146&amp;"|"&amp;Raw_Data!Y146&amp;"|"&amp;Raw_Data!Z146&amp;"|"&amp;Raw_Data!AA146&amp;"|"&amp;Raw_Data!AB146&amp;"|"&amp;Raw_Data!AC146&amp;"|"&amp;Raw_Data!AD146&amp;"|"&amp;Raw_Data!AE146&amp;"|"&amp;Raw_Data!AF146&amp;"|"&amp;Raw_Data!AG146&amp;"|"&amp;Raw_Data!AH146&amp;"|"&amp;Raw_Data!AI146&amp;"|"&amp;Raw_Data!AJ146&amp;"|"&amp;Raw_Data!AK146&amp;"|"&amp;Raw_Data!AL146&amp;"|"&amp;Raw_Data!AM146&amp;"|"&amp;Raw_Data!AN146&amp;"|"&amp;Raw_Data!AO146</f>
        <v>0|1|2|2|2|2|4|2|3|24|3|4|2|2|4|3|4|3|4|5|2|5|4|4|4|3|4|4|2|1|3|3|1|4|2|2|3|3|3|4|2</v>
      </c>
      <c r="Q148" s="3" t="n">
        <f aca="false">COUNTIF($P$4:$P$513,P148)</f>
        <v>1</v>
      </c>
    </row>
    <row r="149" customFormat="false" ht="15" hidden="false" customHeight="false" outlineLevel="0" collapsed="false">
      <c r="O149" s="3" t="n">
        <v>147</v>
      </c>
      <c r="P149" s="3" t="str">
        <f aca="false">Raw_Data!A147&amp;"|"&amp;Raw_Data!B147&amp;"|"&amp;Raw_Data!C147&amp;"|"&amp;Raw_Data!D147&amp;"|"&amp;Raw_Data!E147&amp;"|"&amp;Raw_Data!F147&amp;"|"&amp;Raw_Data!G147&amp;"|"&amp;Raw_Data!H147&amp;"|"&amp;Raw_Data!I147&amp;"|"&amp;Raw_Data!J147&amp;"|"&amp;Raw_Data!K147&amp;"|"&amp;Raw_Data!L147&amp;"|"&amp;Raw_Data!M147&amp;"|"&amp;Raw_Data!N147&amp;"|"&amp;Raw_Data!O147&amp;"|"&amp;Raw_Data!P147&amp;"|"&amp;Raw_Data!Q147&amp;"|"&amp;Raw_Data!R147&amp;"|"&amp;Raw_Data!S147&amp;"|"&amp;Raw_Data!T147&amp;"|"&amp;Raw_Data!U147&amp;"|"&amp;Raw_Data!V147&amp;"|"&amp;Raw_Data!W147&amp;"|"&amp;Raw_Data!X147&amp;"|"&amp;Raw_Data!Y147&amp;"|"&amp;Raw_Data!Z147&amp;"|"&amp;Raw_Data!AA147&amp;"|"&amp;Raw_Data!AB147&amp;"|"&amp;Raw_Data!AC147&amp;"|"&amp;Raw_Data!AD147&amp;"|"&amp;Raw_Data!AE147&amp;"|"&amp;Raw_Data!AF147&amp;"|"&amp;Raw_Data!AG147&amp;"|"&amp;Raw_Data!AH147&amp;"|"&amp;Raw_Data!AI147&amp;"|"&amp;Raw_Data!AJ147&amp;"|"&amp;Raw_Data!AK147&amp;"|"&amp;Raw_Data!AL147&amp;"|"&amp;Raw_Data!AM147&amp;"|"&amp;Raw_Data!AN147&amp;"|"&amp;Raw_Data!AO147</f>
        <v>0|4|2|1|2|2|2|3|3|26|3|3|4|4|3|2|3|3|4|5|5|4|4|4|4|4|2|4|3|3|4|4|3|4|4|4|3|3|3|3|3</v>
      </c>
      <c r="Q149" s="3" t="n">
        <f aca="false">COUNTIF($P$4:$P$513,P149)</f>
        <v>1</v>
      </c>
    </row>
    <row r="150" customFormat="false" ht="15" hidden="false" customHeight="false" outlineLevel="0" collapsed="false">
      <c r="O150" s="3" t="n">
        <v>148</v>
      </c>
      <c r="P150" s="3" t="str">
        <f aca="false">Raw_Data!A148&amp;"|"&amp;Raw_Data!B148&amp;"|"&amp;Raw_Data!C148&amp;"|"&amp;Raw_Data!D148&amp;"|"&amp;Raw_Data!E148&amp;"|"&amp;Raw_Data!F148&amp;"|"&amp;Raw_Data!G148&amp;"|"&amp;Raw_Data!H148&amp;"|"&amp;Raw_Data!I148&amp;"|"&amp;Raw_Data!J148&amp;"|"&amp;Raw_Data!K148&amp;"|"&amp;Raw_Data!L148&amp;"|"&amp;Raw_Data!M148&amp;"|"&amp;Raw_Data!N148&amp;"|"&amp;Raw_Data!O148&amp;"|"&amp;Raw_Data!P148&amp;"|"&amp;Raw_Data!Q148&amp;"|"&amp;Raw_Data!R148&amp;"|"&amp;Raw_Data!S148&amp;"|"&amp;Raw_Data!T148&amp;"|"&amp;Raw_Data!U148&amp;"|"&amp;Raw_Data!V148&amp;"|"&amp;Raw_Data!W148&amp;"|"&amp;Raw_Data!X148&amp;"|"&amp;Raw_Data!Y148&amp;"|"&amp;Raw_Data!Z148&amp;"|"&amp;Raw_Data!AA148&amp;"|"&amp;Raw_Data!AB148&amp;"|"&amp;Raw_Data!AC148&amp;"|"&amp;Raw_Data!AD148&amp;"|"&amp;Raw_Data!AE148&amp;"|"&amp;Raw_Data!AF148&amp;"|"&amp;Raw_Data!AG148&amp;"|"&amp;Raw_Data!AH148&amp;"|"&amp;Raw_Data!AI148&amp;"|"&amp;Raw_Data!AJ148&amp;"|"&amp;Raw_Data!AK148&amp;"|"&amp;Raw_Data!AL148&amp;"|"&amp;Raw_Data!AM148&amp;"|"&amp;Raw_Data!AN148&amp;"|"&amp;Raw_Data!AO148</f>
        <v>0|6|2|1|2|2|1|2|1|23|2|2|3|3|3|2|3|4|4|4|5|3|4|4|4|4|3|2|3|3|3|2|4|2|2|3|2|3|3|4|3</v>
      </c>
      <c r="Q150" s="3" t="n">
        <f aca="false">COUNTIF($P$4:$P$513,P150)</f>
        <v>1</v>
      </c>
    </row>
    <row r="151" customFormat="false" ht="15" hidden="false" customHeight="false" outlineLevel="0" collapsed="false">
      <c r="O151" s="3" t="n">
        <v>149</v>
      </c>
      <c r="P151" s="3" t="str">
        <f aca="false">Raw_Data!A149&amp;"|"&amp;Raw_Data!B149&amp;"|"&amp;Raw_Data!C149&amp;"|"&amp;Raw_Data!D149&amp;"|"&amp;Raw_Data!E149&amp;"|"&amp;Raw_Data!F149&amp;"|"&amp;Raw_Data!G149&amp;"|"&amp;Raw_Data!H149&amp;"|"&amp;Raw_Data!I149&amp;"|"&amp;Raw_Data!J149&amp;"|"&amp;Raw_Data!K149&amp;"|"&amp;Raw_Data!L149&amp;"|"&amp;Raw_Data!M149&amp;"|"&amp;Raw_Data!N149&amp;"|"&amp;Raw_Data!O149&amp;"|"&amp;Raw_Data!P149&amp;"|"&amp;Raw_Data!Q149&amp;"|"&amp;Raw_Data!R149&amp;"|"&amp;Raw_Data!S149&amp;"|"&amp;Raw_Data!T149&amp;"|"&amp;Raw_Data!U149&amp;"|"&amp;Raw_Data!V149&amp;"|"&amp;Raw_Data!W149&amp;"|"&amp;Raw_Data!X149&amp;"|"&amp;Raw_Data!Y149&amp;"|"&amp;Raw_Data!Z149&amp;"|"&amp;Raw_Data!AA149&amp;"|"&amp;Raw_Data!AB149&amp;"|"&amp;Raw_Data!AC149&amp;"|"&amp;Raw_Data!AD149&amp;"|"&amp;Raw_Data!AE149&amp;"|"&amp;Raw_Data!AF149&amp;"|"&amp;Raw_Data!AG149&amp;"|"&amp;Raw_Data!AH149&amp;"|"&amp;Raw_Data!AI149&amp;"|"&amp;Raw_Data!AJ149&amp;"|"&amp;Raw_Data!AK149&amp;"|"&amp;Raw_Data!AL149&amp;"|"&amp;Raw_Data!AM149&amp;"|"&amp;Raw_Data!AN149&amp;"|"&amp;Raw_Data!AO149</f>
        <v>0|4|1|1|2|2|2|2|1|24|3|3|3|3|3|2|2|2|4|4|4|4|5|4|4|4|4|2|2|2|3|2|4|4|3|2|2|4|4|2|2</v>
      </c>
      <c r="Q151" s="3" t="n">
        <f aca="false">COUNTIF($P$4:$P$513,P151)</f>
        <v>1</v>
      </c>
    </row>
    <row r="152" customFormat="false" ht="15" hidden="false" customHeight="false" outlineLevel="0" collapsed="false">
      <c r="O152" s="3" t="n">
        <v>150</v>
      </c>
      <c r="P152" s="3" t="str">
        <f aca="false">Raw_Data!A150&amp;"|"&amp;Raw_Data!B150&amp;"|"&amp;Raw_Data!C150&amp;"|"&amp;Raw_Data!D150&amp;"|"&amp;Raw_Data!E150&amp;"|"&amp;Raw_Data!F150&amp;"|"&amp;Raw_Data!G150&amp;"|"&amp;Raw_Data!H150&amp;"|"&amp;Raw_Data!I150&amp;"|"&amp;Raw_Data!J150&amp;"|"&amp;Raw_Data!K150&amp;"|"&amp;Raw_Data!L150&amp;"|"&amp;Raw_Data!M150&amp;"|"&amp;Raw_Data!N150&amp;"|"&amp;Raw_Data!O150&amp;"|"&amp;Raw_Data!P150&amp;"|"&amp;Raw_Data!Q150&amp;"|"&amp;Raw_Data!R150&amp;"|"&amp;Raw_Data!S150&amp;"|"&amp;Raw_Data!T150&amp;"|"&amp;Raw_Data!U150&amp;"|"&amp;Raw_Data!V150&amp;"|"&amp;Raw_Data!W150&amp;"|"&amp;Raw_Data!X150&amp;"|"&amp;Raw_Data!Y150&amp;"|"&amp;Raw_Data!Z150&amp;"|"&amp;Raw_Data!AA150&amp;"|"&amp;Raw_Data!AB150&amp;"|"&amp;Raw_Data!AC150&amp;"|"&amp;Raw_Data!AD150&amp;"|"&amp;Raw_Data!AE150&amp;"|"&amp;Raw_Data!AF150&amp;"|"&amp;Raw_Data!AG150&amp;"|"&amp;Raw_Data!AH150&amp;"|"&amp;Raw_Data!AI150&amp;"|"&amp;Raw_Data!AJ150&amp;"|"&amp;Raw_Data!AK150&amp;"|"&amp;Raw_Data!AL150&amp;"|"&amp;Raw_Data!AM150&amp;"|"&amp;Raw_Data!AN150&amp;"|"&amp;Raw_Data!AO150</f>
        <v>|3|1|1|2|2|3|2|1|23|3|4|4|4|4|3|3|2|4|4|4|3|3|4|3|3|4|2|2|2|3|4|4|3|3|4|3|4|4|3|3</v>
      </c>
      <c r="Q152" s="3" t="n">
        <f aca="false">COUNTIF($P$4:$P$513,P152)</f>
        <v>1</v>
      </c>
    </row>
    <row r="153" customFormat="false" ht="15" hidden="false" customHeight="false" outlineLevel="0" collapsed="false">
      <c r="O153" s="3" t="n">
        <v>151</v>
      </c>
      <c r="P153" s="3" t="str">
        <f aca="false">Raw_Data!A151&amp;"|"&amp;Raw_Data!B151&amp;"|"&amp;Raw_Data!C151&amp;"|"&amp;Raw_Data!D151&amp;"|"&amp;Raw_Data!E151&amp;"|"&amp;Raw_Data!F151&amp;"|"&amp;Raw_Data!G151&amp;"|"&amp;Raw_Data!H151&amp;"|"&amp;Raw_Data!I151&amp;"|"&amp;Raw_Data!J151&amp;"|"&amp;Raw_Data!K151&amp;"|"&amp;Raw_Data!L151&amp;"|"&amp;Raw_Data!M151&amp;"|"&amp;Raw_Data!N151&amp;"|"&amp;Raw_Data!O151&amp;"|"&amp;Raw_Data!P151&amp;"|"&amp;Raw_Data!Q151&amp;"|"&amp;Raw_Data!R151&amp;"|"&amp;Raw_Data!S151&amp;"|"&amp;Raw_Data!T151&amp;"|"&amp;Raw_Data!U151&amp;"|"&amp;Raw_Data!V151&amp;"|"&amp;Raw_Data!W151&amp;"|"&amp;Raw_Data!X151&amp;"|"&amp;Raw_Data!Y151&amp;"|"&amp;Raw_Data!Z151&amp;"|"&amp;Raw_Data!AA151&amp;"|"&amp;Raw_Data!AB151&amp;"|"&amp;Raw_Data!AC151&amp;"|"&amp;Raw_Data!AD151&amp;"|"&amp;Raw_Data!AE151&amp;"|"&amp;Raw_Data!AF151&amp;"|"&amp;Raw_Data!AG151&amp;"|"&amp;Raw_Data!AH151&amp;"|"&amp;Raw_Data!AI151&amp;"|"&amp;Raw_Data!AJ151&amp;"|"&amp;Raw_Data!AK151&amp;"|"&amp;Raw_Data!AL151&amp;"|"&amp;Raw_Data!AM151&amp;"|"&amp;Raw_Data!AN151&amp;"|"&amp;Raw_Data!AO151</f>
        <v>1|4|1|1|2|2|2|2|2|25|3|4|4|4|4|4|4|4|4|4|3|4|4|4|2|4|4|4|1|1|4|2|4|4|4|4|1|4|4|4|2</v>
      </c>
      <c r="Q153" s="3" t="n">
        <f aca="false">COUNTIF($P$4:$P$513,P153)</f>
        <v>1</v>
      </c>
    </row>
    <row r="154" customFormat="false" ht="15" hidden="false" customHeight="false" outlineLevel="0" collapsed="false">
      <c r="O154" s="3" t="n">
        <v>152</v>
      </c>
      <c r="P154" s="3" t="str">
        <f aca="false">Raw_Data!A152&amp;"|"&amp;Raw_Data!B152&amp;"|"&amp;Raw_Data!C152&amp;"|"&amp;Raw_Data!D152&amp;"|"&amp;Raw_Data!E152&amp;"|"&amp;Raw_Data!F152&amp;"|"&amp;Raw_Data!G152&amp;"|"&amp;Raw_Data!H152&amp;"|"&amp;Raw_Data!I152&amp;"|"&amp;Raw_Data!J152&amp;"|"&amp;Raw_Data!K152&amp;"|"&amp;Raw_Data!L152&amp;"|"&amp;Raw_Data!M152&amp;"|"&amp;Raw_Data!N152&amp;"|"&amp;Raw_Data!O152&amp;"|"&amp;Raw_Data!P152&amp;"|"&amp;Raw_Data!Q152&amp;"|"&amp;Raw_Data!R152&amp;"|"&amp;Raw_Data!S152&amp;"|"&amp;Raw_Data!T152&amp;"|"&amp;Raw_Data!U152&amp;"|"&amp;Raw_Data!V152&amp;"|"&amp;Raw_Data!W152&amp;"|"&amp;Raw_Data!X152&amp;"|"&amp;Raw_Data!Y152&amp;"|"&amp;Raw_Data!Z152&amp;"|"&amp;Raw_Data!AA152&amp;"|"&amp;Raw_Data!AB152&amp;"|"&amp;Raw_Data!AC152&amp;"|"&amp;Raw_Data!AD152&amp;"|"&amp;Raw_Data!AE152&amp;"|"&amp;Raw_Data!AF152&amp;"|"&amp;Raw_Data!AG152&amp;"|"&amp;Raw_Data!AH152&amp;"|"&amp;Raw_Data!AI152&amp;"|"&amp;Raw_Data!AJ152&amp;"|"&amp;Raw_Data!AK152&amp;"|"&amp;Raw_Data!AL152&amp;"|"&amp;Raw_Data!AM152&amp;"|"&amp;Raw_Data!AN152&amp;"|"&amp;Raw_Data!AO152</f>
        <v>1|4|1|1|2|2|1|3|3|29|2|4|4|3|3|2|3|2|4|4|4|3|3|3|2|4|2|2|2|2|3|2|2|3|2|3|3|2|4|4|4</v>
      </c>
      <c r="Q154" s="3" t="n">
        <f aca="false">COUNTIF($P$4:$P$513,P154)</f>
        <v>1</v>
      </c>
    </row>
    <row r="155" customFormat="false" ht="15" hidden="false" customHeight="false" outlineLevel="0" collapsed="false">
      <c r="O155" s="3" t="n">
        <v>153</v>
      </c>
      <c r="P155" s="3" t="str">
        <f aca="false">Raw_Data!A153&amp;"|"&amp;Raw_Data!B153&amp;"|"&amp;Raw_Data!C153&amp;"|"&amp;Raw_Data!D153&amp;"|"&amp;Raw_Data!E153&amp;"|"&amp;Raw_Data!F153&amp;"|"&amp;Raw_Data!G153&amp;"|"&amp;Raw_Data!H153&amp;"|"&amp;Raw_Data!I153&amp;"|"&amp;Raw_Data!J153&amp;"|"&amp;Raw_Data!K153&amp;"|"&amp;Raw_Data!L153&amp;"|"&amp;Raw_Data!M153&amp;"|"&amp;Raw_Data!N153&amp;"|"&amp;Raw_Data!O153&amp;"|"&amp;Raw_Data!P153&amp;"|"&amp;Raw_Data!Q153&amp;"|"&amp;Raw_Data!R153&amp;"|"&amp;Raw_Data!S153&amp;"|"&amp;Raw_Data!T153&amp;"|"&amp;Raw_Data!U153&amp;"|"&amp;Raw_Data!V153&amp;"|"&amp;Raw_Data!W153&amp;"|"&amp;Raw_Data!X153&amp;"|"&amp;Raw_Data!Y153&amp;"|"&amp;Raw_Data!Z153&amp;"|"&amp;Raw_Data!AA153&amp;"|"&amp;Raw_Data!AB153&amp;"|"&amp;Raw_Data!AC153&amp;"|"&amp;Raw_Data!AD153&amp;"|"&amp;Raw_Data!AE153&amp;"|"&amp;Raw_Data!AF153&amp;"|"&amp;Raw_Data!AG153&amp;"|"&amp;Raw_Data!AH153&amp;"|"&amp;Raw_Data!AI153&amp;"|"&amp;Raw_Data!AJ153&amp;"|"&amp;Raw_Data!AK153&amp;"|"&amp;Raw_Data!AL153&amp;"|"&amp;Raw_Data!AM153&amp;"|"&amp;Raw_Data!AN153&amp;"|"&amp;Raw_Data!AO153</f>
        <v>0|4|1|1|2|2|1|2|3|25|4|3|4|2|3|2|3|2|4|4|4|4|4|2|2|4|2|2|2|2|3|3|4|4|3|4|3|4|3|3|2</v>
      </c>
      <c r="Q155" s="3" t="n">
        <f aca="false">COUNTIF($P$4:$P$513,P155)</f>
        <v>1</v>
      </c>
    </row>
    <row r="156" customFormat="false" ht="15" hidden="false" customHeight="false" outlineLevel="0" collapsed="false">
      <c r="O156" s="3" t="n">
        <v>154</v>
      </c>
      <c r="P156" s="3" t="str">
        <f aca="false">Raw_Data!A154&amp;"|"&amp;Raw_Data!B154&amp;"|"&amp;Raw_Data!C154&amp;"|"&amp;Raw_Data!D154&amp;"|"&amp;Raw_Data!E154&amp;"|"&amp;Raw_Data!F154&amp;"|"&amp;Raw_Data!G154&amp;"|"&amp;Raw_Data!H154&amp;"|"&amp;Raw_Data!I154&amp;"|"&amp;Raw_Data!J154&amp;"|"&amp;Raw_Data!K154&amp;"|"&amp;Raw_Data!L154&amp;"|"&amp;Raw_Data!M154&amp;"|"&amp;Raw_Data!N154&amp;"|"&amp;Raw_Data!O154&amp;"|"&amp;Raw_Data!P154&amp;"|"&amp;Raw_Data!Q154&amp;"|"&amp;Raw_Data!R154&amp;"|"&amp;Raw_Data!S154&amp;"|"&amp;Raw_Data!T154&amp;"|"&amp;Raw_Data!U154&amp;"|"&amp;Raw_Data!V154&amp;"|"&amp;Raw_Data!W154&amp;"|"&amp;Raw_Data!X154&amp;"|"&amp;Raw_Data!Y154&amp;"|"&amp;Raw_Data!Z154&amp;"|"&amp;Raw_Data!AA154&amp;"|"&amp;Raw_Data!AB154&amp;"|"&amp;Raw_Data!AC154&amp;"|"&amp;Raw_Data!AD154&amp;"|"&amp;Raw_Data!AE154&amp;"|"&amp;Raw_Data!AF154&amp;"|"&amp;Raw_Data!AG154&amp;"|"&amp;Raw_Data!AH154&amp;"|"&amp;Raw_Data!AI154&amp;"|"&amp;Raw_Data!AJ154&amp;"|"&amp;Raw_Data!AK154&amp;"|"&amp;Raw_Data!AL154&amp;"|"&amp;Raw_Data!AM154&amp;"|"&amp;Raw_Data!AN154&amp;"|"&amp;Raw_Data!AO154</f>
        <v>0|3|2|1|2|2|1|2|1|22|3|3|4|3|1|2|2|4|5|5|5|5|4|4|3|4|2|3|2|2|5|5|4|2|2|5|2|3|3|4|3</v>
      </c>
      <c r="Q156" s="3" t="n">
        <f aca="false">COUNTIF($P$4:$P$513,P156)</f>
        <v>1</v>
      </c>
    </row>
    <row r="157" customFormat="false" ht="15" hidden="false" customHeight="false" outlineLevel="0" collapsed="false">
      <c r="O157" s="3" t="n">
        <v>155</v>
      </c>
      <c r="P157" s="3" t="str">
        <f aca="false">Raw_Data!A155&amp;"|"&amp;Raw_Data!B155&amp;"|"&amp;Raw_Data!C155&amp;"|"&amp;Raw_Data!D155&amp;"|"&amp;Raw_Data!E155&amp;"|"&amp;Raw_Data!F155&amp;"|"&amp;Raw_Data!G155&amp;"|"&amp;Raw_Data!H155&amp;"|"&amp;Raw_Data!I155&amp;"|"&amp;Raw_Data!J155&amp;"|"&amp;Raw_Data!K155&amp;"|"&amp;Raw_Data!L155&amp;"|"&amp;Raw_Data!M155&amp;"|"&amp;Raw_Data!N155&amp;"|"&amp;Raw_Data!O155&amp;"|"&amp;Raw_Data!P155&amp;"|"&amp;Raw_Data!Q155&amp;"|"&amp;Raw_Data!R155&amp;"|"&amp;Raw_Data!S155&amp;"|"&amp;Raw_Data!T155&amp;"|"&amp;Raw_Data!U155&amp;"|"&amp;Raw_Data!V155&amp;"|"&amp;Raw_Data!W155&amp;"|"&amp;Raw_Data!X155&amp;"|"&amp;Raw_Data!Y155&amp;"|"&amp;Raw_Data!Z155&amp;"|"&amp;Raw_Data!AA155&amp;"|"&amp;Raw_Data!AB155&amp;"|"&amp;Raw_Data!AC155&amp;"|"&amp;Raw_Data!AD155&amp;"|"&amp;Raw_Data!AE155&amp;"|"&amp;Raw_Data!AF155&amp;"|"&amp;Raw_Data!AG155&amp;"|"&amp;Raw_Data!AH155&amp;"|"&amp;Raw_Data!AI155&amp;"|"&amp;Raw_Data!AJ155&amp;"|"&amp;Raw_Data!AK155&amp;"|"&amp;Raw_Data!AL155&amp;"|"&amp;Raw_Data!AM155&amp;"|"&amp;Raw_Data!AN155&amp;"|"&amp;Raw_Data!AO155</f>
        <v>|4|1|1|2|2|2|2|3|28|4|3|4|3|5|3|4|1|5|5|5|4|5|4|5|5|4|3|1|1|3|3|4|3|4|4|2|5|3|1|2</v>
      </c>
      <c r="Q157" s="3" t="n">
        <f aca="false">COUNTIF($P$4:$P$513,P157)</f>
        <v>1</v>
      </c>
    </row>
    <row r="158" customFormat="false" ht="15" hidden="false" customHeight="false" outlineLevel="0" collapsed="false">
      <c r="O158" s="3" t="n">
        <v>156</v>
      </c>
      <c r="P158" s="3" t="str">
        <f aca="false">Raw_Data!A156&amp;"|"&amp;Raw_Data!B156&amp;"|"&amp;Raw_Data!C156&amp;"|"&amp;Raw_Data!D156&amp;"|"&amp;Raw_Data!E156&amp;"|"&amp;Raw_Data!F156&amp;"|"&amp;Raw_Data!G156&amp;"|"&amp;Raw_Data!H156&amp;"|"&amp;Raw_Data!I156&amp;"|"&amp;Raw_Data!J156&amp;"|"&amp;Raw_Data!K156&amp;"|"&amp;Raw_Data!L156&amp;"|"&amp;Raw_Data!M156&amp;"|"&amp;Raw_Data!N156&amp;"|"&amp;Raw_Data!O156&amp;"|"&amp;Raw_Data!P156&amp;"|"&amp;Raw_Data!Q156&amp;"|"&amp;Raw_Data!R156&amp;"|"&amp;Raw_Data!S156&amp;"|"&amp;Raw_Data!T156&amp;"|"&amp;Raw_Data!U156&amp;"|"&amp;Raw_Data!V156&amp;"|"&amp;Raw_Data!W156&amp;"|"&amp;Raw_Data!X156&amp;"|"&amp;Raw_Data!Y156&amp;"|"&amp;Raw_Data!Z156&amp;"|"&amp;Raw_Data!AA156&amp;"|"&amp;Raw_Data!AB156&amp;"|"&amp;Raw_Data!AC156&amp;"|"&amp;Raw_Data!AD156&amp;"|"&amp;Raw_Data!AE156&amp;"|"&amp;Raw_Data!AF156&amp;"|"&amp;Raw_Data!AG156&amp;"|"&amp;Raw_Data!AH156&amp;"|"&amp;Raw_Data!AI156&amp;"|"&amp;Raw_Data!AJ156&amp;"|"&amp;Raw_Data!AK156&amp;"|"&amp;Raw_Data!AL156&amp;"|"&amp;Raw_Data!AM156&amp;"|"&amp;Raw_Data!AN156&amp;"|"&amp;Raw_Data!AO156</f>
        <v>0|4|1|1|2|2|3|3|1|24|4|2|4|4|4|3|3|4|5|4|4|4|5|3|4|4|4|2|4|3|3|2|3|4|5|3|3|3|2|3|4</v>
      </c>
      <c r="Q158" s="3" t="n">
        <f aca="false">COUNTIF($P$4:$P$513,P158)</f>
        <v>1</v>
      </c>
    </row>
    <row r="159" customFormat="false" ht="15" hidden="false" customHeight="false" outlineLevel="0" collapsed="false">
      <c r="O159" s="3" t="n">
        <v>157</v>
      </c>
      <c r="P159" s="3" t="str">
        <f aca="false">Raw_Data!A157&amp;"|"&amp;Raw_Data!B157&amp;"|"&amp;Raw_Data!C157&amp;"|"&amp;Raw_Data!D157&amp;"|"&amp;Raw_Data!E157&amp;"|"&amp;Raw_Data!F157&amp;"|"&amp;Raw_Data!G157&amp;"|"&amp;Raw_Data!H157&amp;"|"&amp;Raw_Data!I157&amp;"|"&amp;Raw_Data!J157&amp;"|"&amp;Raw_Data!K157&amp;"|"&amp;Raw_Data!L157&amp;"|"&amp;Raw_Data!M157&amp;"|"&amp;Raw_Data!N157&amp;"|"&amp;Raw_Data!O157&amp;"|"&amp;Raw_Data!P157&amp;"|"&amp;Raw_Data!Q157&amp;"|"&amp;Raw_Data!R157&amp;"|"&amp;Raw_Data!S157&amp;"|"&amp;Raw_Data!T157&amp;"|"&amp;Raw_Data!U157&amp;"|"&amp;Raw_Data!V157&amp;"|"&amp;Raw_Data!W157&amp;"|"&amp;Raw_Data!X157&amp;"|"&amp;Raw_Data!Y157&amp;"|"&amp;Raw_Data!Z157&amp;"|"&amp;Raw_Data!AA157&amp;"|"&amp;Raw_Data!AB157&amp;"|"&amp;Raw_Data!AC157&amp;"|"&amp;Raw_Data!AD157&amp;"|"&amp;Raw_Data!AE157&amp;"|"&amp;Raw_Data!AF157&amp;"|"&amp;Raw_Data!AG157&amp;"|"&amp;Raw_Data!AH157&amp;"|"&amp;Raw_Data!AI157&amp;"|"&amp;Raw_Data!AJ157&amp;"|"&amp;Raw_Data!AK157&amp;"|"&amp;Raw_Data!AL157&amp;"|"&amp;Raw_Data!AM157&amp;"|"&amp;Raw_Data!AN157&amp;"|"&amp;Raw_Data!AO157</f>
        <v>|3|2|1|2|2|1|3|1|23|4|4|4|5|4|2|5|4|4|5|3|4|4|2|2|2|5|4|2|2|4|4|5|4|4|5|2|4|4|5|4</v>
      </c>
      <c r="Q159" s="3" t="n">
        <f aca="false">COUNTIF($P$4:$P$513,P159)</f>
        <v>1</v>
      </c>
    </row>
    <row r="160" customFormat="false" ht="15" hidden="false" customHeight="false" outlineLevel="0" collapsed="false">
      <c r="O160" s="3" t="n">
        <v>158</v>
      </c>
      <c r="P160" s="3" t="str">
        <f aca="false">Raw_Data!A158&amp;"|"&amp;Raw_Data!B158&amp;"|"&amp;Raw_Data!C158&amp;"|"&amp;Raw_Data!D158&amp;"|"&amp;Raw_Data!E158&amp;"|"&amp;Raw_Data!F158&amp;"|"&amp;Raw_Data!G158&amp;"|"&amp;Raw_Data!H158&amp;"|"&amp;Raw_Data!I158&amp;"|"&amp;Raw_Data!J158&amp;"|"&amp;Raw_Data!K158&amp;"|"&amp;Raw_Data!L158&amp;"|"&amp;Raw_Data!M158&amp;"|"&amp;Raw_Data!N158&amp;"|"&amp;Raw_Data!O158&amp;"|"&amp;Raw_Data!P158&amp;"|"&amp;Raw_Data!Q158&amp;"|"&amp;Raw_Data!R158&amp;"|"&amp;Raw_Data!S158&amp;"|"&amp;Raw_Data!T158&amp;"|"&amp;Raw_Data!U158&amp;"|"&amp;Raw_Data!V158&amp;"|"&amp;Raw_Data!W158&amp;"|"&amp;Raw_Data!X158&amp;"|"&amp;Raw_Data!Y158&amp;"|"&amp;Raw_Data!Z158&amp;"|"&amp;Raw_Data!AA158&amp;"|"&amp;Raw_Data!AB158&amp;"|"&amp;Raw_Data!AC158&amp;"|"&amp;Raw_Data!AD158&amp;"|"&amp;Raw_Data!AE158&amp;"|"&amp;Raw_Data!AF158&amp;"|"&amp;Raw_Data!AG158&amp;"|"&amp;Raw_Data!AH158&amp;"|"&amp;Raw_Data!AI158&amp;"|"&amp;Raw_Data!AJ158&amp;"|"&amp;Raw_Data!AK158&amp;"|"&amp;Raw_Data!AL158&amp;"|"&amp;Raw_Data!AM158&amp;"|"&amp;Raw_Data!AN158&amp;"|"&amp;Raw_Data!AO158</f>
        <v>0|1|2|1|2|2|3|2|1|23|4|4|4|4|3|3|4|3|4|5|3|4|5|3|4|4|4|4|4|4|2|3|2|5|4|3|3|4|3|3|3</v>
      </c>
      <c r="Q160" s="3" t="n">
        <f aca="false">COUNTIF($P$4:$P$513,P160)</f>
        <v>1</v>
      </c>
    </row>
    <row r="161" customFormat="false" ht="15" hidden="false" customHeight="false" outlineLevel="0" collapsed="false">
      <c r="O161" s="3" t="n">
        <v>159</v>
      </c>
      <c r="P161" s="3" t="str">
        <f aca="false">Raw_Data!A159&amp;"|"&amp;Raw_Data!B159&amp;"|"&amp;Raw_Data!C159&amp;"|"&amp;Raw_Data!D159&amp;"|"&amp;Raw_Data!E159&amp;"|"&amp;Raw_Data!F159&amp;"|"&amp;Raw_Data!G159&amp;"|"&amp;Raw_Data!H159&amp;"|"&amp;Raw_Data!I159&amp;"|"&amp;Raw_Data!J159&amp;"|"&amp;Raw_Data!K159&amp;"|"&amp;Raw_Data!L159&amp;"|"&amp;Raw_Data!M159&amp;"|"&amp;Raw_Data!N159&amp;"|"&amp;Raw_Data!O159&amp;"|"&amp;Raw_Data!P159&amp;"|"&amp;Raw_Data!Q159&amp;"|"&amp;Raw_Data!R159&amp;"|"&amp;Raw_Data!S159&amp;"|"&amp;Raw_Data!T159&amp;"|"&amp;Raw_Data!U159&amp;"|"&amp;Raw_Data!V159&amp;"|"&amp;Raw_Data!W159&amp;"|"&amp;Raw_Data!X159&amp;"|"&amp;Raw_Data!Y159&amp;"|"&amp;Raw_Data!Z159&amp;"|"&amp;Raw_Data!AA159&amp;"|"&amp;Raw_Data!AB159&amp;"|"&amp;Raw_Data!AC159&amp;"|"&amp;Raw_Data!AD159&amp;"|"&amp;Raw_Data!AE159&amp;"|"&amp;Raw_Data!AF159&amp;"|"&amp;Raw_Data!AG159&amp;"|"&amp;Raw_Data!AH159&amp;"|"&amp;Raw_Data!AI159&amp;"|"&amp;Raw_Data!AJ159&amp;"|"&amp;Raw_Data!AK159&amp;"|"&amp;Raw_Data!AL159&amp;"|"&amp;Raw_Data!AM159&amp;"|"&amp;Raw_Data!AN159&amp;"|"&amp;Raw_Data!AO159</f>
        <v>0|4|1|2|2|2|3|1|1|24|3|3|2|2|2|4|4|2|5|4|4|4|4|4|4|4|4|2|2|2|4|2|4|4|4|4|4|4|2|2|4</v>
      </c>
      <c r="Q161" s="3" t="n">
        <f aca="false">COUNTIF($P$4:$P$513,P161)</f>
        <v>1</v>
      </c>
    </row>
    <row r="162" customFormat="false" ht="15" hidden="false" customHeight="false" outlineLevel="0" collapsed="false">
      <c r="O162" s="3" t="n">
        <v>160</v>
      </c>
      <c r="P162" s="3" t="str">
        <f aca="false">Raw_Data!A160&amp;"|"&amp;Raw_Data!B160&amp;"|"&amp;Raw_Data!C160&amp;"|"&amp;Raw_Data!D160&amp;"|"&amp;Raw_Data!E160&amp;"|"&amp;Raw_Data!F160&amp;"|"&amp;Raw_Data!G160&amp;"|"&amp;Raw_Data!H160&amp;"|"&amp;Raw_Data!I160&amp;"|"&amp;Raw_Data!J160&amp;"|"&amp;Raw_Data!K160&amp;"|"&amp;Raw_Data!L160&amp;"|"&amp;Raw_Data!M160&amp;"|"&amp;Raw_Data!N160&amp;"|"&amp;Raw_Data!O160&amp;"|"&amp;Raw_Data!P160&amp;"|"&amp;Raw_Data!Q160&amp;"|"&amp;Raw_Data!R160&amp;"|"&amp;Raw_Data!S160&amp;"|"&amp;Raw_Data!T160&amp;"|"&amp;Raw_Data!U160&amp;"|"&amp;Raw_Data!V160&amp;"|"&amp;Raw_Data!W160&amp;"|"&amp;Raw_Data!X160&amp;"|"&amp;Raw_Data!Y160&amp;"|"&amp;Raw_Data!Z160&amp;"|"&amp;Raw_Data!AA160&amp;"|"&amp;Raw_Data!AB160&amp;"|"&amp;Raw_Data!AC160&amp;"|"&amp;Raw_Data!AD160&amp;"|"&amp;Raw_Data!AE160&amp;"|"&amp;Raw_Data!AF160&amp;"|"&amp;Raw_Data!AG160&amp;"|"&amp;Raw_Data!AH160&amp;"|"&amp;Raw_Data!AI160&amp;"|"&amp;Raw_Data!AJ160&amp;"|"&amp;Raw_Data!AK160&amp;"|"&amp;Raw_Data!AL160&amp;"|"&amp;Raw_Data!AM160&amp;"|"&amp;Raw_Data!AN160&amp;"|"&amp;Raw_Data!AO160</f>
        <v>0|4|2|1|2|2|3|3|3|25|2|4|2|3|2|2|4|2|4|5|4|4|2|4|4|4|4|4|2|2|4|3|4|4|4|2|2|4|2|2|2</v>
      </c>
      <c r="Q162" s="3" t="n">
        <f aca="false">COUNTIF($P$4:$P$513,P162)</f>
        <v>1</v>
      </c>
    </row>
    <row r="163" customFormat="false" ht="15" hidden="false" customHeight="false" outlineLevel="0" collapsed="false">
      <c r="O163" s="3" t="n">
        <v>161</v>
      </c>
      <c r="P163" s="3" t="str">
        <f aca="false">Raw_Data!A161&amp;"|"&amp;Raw_Data!B161&amp;"|"&amp;Raw_Data!C161&amp;"|"&amp;Raw_Data!D161&amp;"|"&amp;Raw_Data!E161&amp;"|"&amp;Raw_Data!F161&amp;"|"&amp;Raw_Data!G161&amp;"|"&amp;Raw_Data!H161&amp;"|"&amp;Raw_Data!I161&amp;"|"&amp;Raw_Data!J161&amp;"|"&amp;Raw_Data!K161&amp;"|"&amp;Raw_Data!L161&amp;"|"&amp;Raw_Data!M161&amp;"|"&amp;Raw_Data!N161&amp;"|"&amp;Raw_Data!O161&amp;"|"&amp;Raw_Data!P161&amp;"|"&amp;Raw_Data!Q161&amp;"|"&amp;Raw_Data!R161&amp;"|"&amp;Raw_Data!S161&amp;"|"&amp;Raw_Data!T161&amp;"|"&amp;Raw_Data!U161&amp;"|"&amp;Raw_Data!V161&amp;"|"&amp;Raw_Data!W161&amp;"|"&amp;Raw_Data!X161&amp;"|"&amp;Raw_Data!Y161&amp;"|"&amp;Raw_Data!Z161&amp;"|"&amp;Raw_Data!AA161&amp;"|"&amp;Raw_Data!AB161&amp;"|"&amp;Raw_Data!AC161&amp;"|"&amp;Raw_Data!AD161&amp;"|"&amp;Raw_Data!AE161&amp;"|"&amp;Raw_Data!AF161&amp;"|"&amp;Raw_Data!AG161&amp;"|"&amp;Raw_Data!AH161&amp;"|"&amp;Raw_Data!AI161&amp;"|"&amp;Raw_Data!AJ161&amp;"|"&amp;Raw_Data!AK161&amp;"|"&amp;Raw_Data!AL161&amp;"|"&amp;Raw_Data!AM161&amp;"|"&amp;Raw_Data!AN161&amp;"|"&amp;Raw_Data!AO161</f>
        <v>0|1|2|1|2|2|4|3|1|22|4|4|4|4|4|4|4|4|3|5|4|3|3|3|3|4|4|2|3|2|3|2|3|4|4|4|3|4|3|4|3</v>
      </c>
      <c r="Q163" s="3" t="n">
        <f aca="false">COUNTIF($P$4:$P$513,P163)</f>
        <v>1</v>
      </c>
    </row>
    <row r="164" customFormat="false" ht="15" hidden="false" customHeight="false" outlineLevel="0" collapsed="false">
      <c r="O164" s="3" t="n">
        <v>162</v>
      </c>
      <c r="P164" s="3" t="str">
        <f aca="false">Raw_Data!A162&amp;"|"&amp;Raw_Data!B162&amp;"|"&amp;Raw_Data!C162&amp;"|"&amp;Raw_Data!D162&amp;"|"&amp;Raw_Data!E162&amp;"|"&amp;Raw_Data!F162&amp;"|"&amp;Raw_Data!G162&amp;"|"&amp;Raw_Data!H162&amp;"|"&amp;Raw_Data!I162&amp;"|"&amp;Raw_Data!J162&amp;"|"&amp;Raw_Data!K162&amp;"|"&amp;Raw_Data!L162&amp;"|"&amp;Raw_Data!M162&amp;"|"&amp;Raw_Data!N162&amp;"|"&amp;Raw_Data!O162&amp;"|"&amp;Raw_Data!P162&amp;"|"&amp;Raw_Data!Q162&amp;"|"&amp;Raw_Data!R162&amp;"|"&amp;Raw_Data!S162&amp;"|"&amp;Raw_Data!T162&amp;"|"&amp;Raw_Data!U162&amp;"|"&amp;Raw_Data!V162&amp;"|"&amp;Raw_Data!W162&amp;"|"&amp;Raw_Data!X162&amp;"|"&amp;Raw_Data!Y162&amp;"|"&amp;Raw_Data!Z162&amp;"|"&amp;Raw_Data!AA162&amp;"|"&amp;Raw_Data!AB162&amp;"|"&amp;Raw_Data!AC162&amp;"|"&amp;Raw_Data!AD162&amp;"|"&amp;Raw_Data!AE162&amp;"|"&amp;Raw_Data!AF162&amp;"|"&amp;Raw_Data!AG162&amp;"|"&amp;Raw_Data!AH162&amp;"|"&amp;Raw_Data!AI162&amp;"|"&amp;Raw_Data!AJ162&amp;"|"&amp;Raw_Data!AK162&amp;"|"&amp;Raw_Data!AL162&amp;"|"&amp;Raw_Data!AM162&amp;"|"&amp;Raw_Data!AN162&amp;"|"&amp;Raw_Data!AO162</f>
        <v>1|4|1|1|2|2|2|1|2|25|4|4|4|4|4|5|4|1|4|5|5|4|3|2|2|4|4|4|2|1|4|5|4|4|4|2|2|4|4|2|4</v>
      </c>
      <c r="Q164" s="3" t="n">
        <f aca="false">COUNTIF($P$4:$P$513,P164)</f>
        <v>1</v>
      </c>
    </row>
    <row r="165" customFormat="false" ht="15" hidden="false" customHeight="false" outlineLevel="0" collapsed="false">
      <c r="O165" s="3" t="n">
        <v>163</v>
      </c>
      <c r="P165" s="3" t="str">
        <f aca="false">Raw_Data!A163&amp;"|"&amp;Raw_Data!B163&amp;"|"&amp;Raw_Data!C163&amp;"|"&amp;Raw_Data!D163&amp;"|"&amp;Raw_Data!E163&amp;"|"&amp;Raw_Data!F163&amp;"|"&amp;Raw_Data!G163&amp;"|"&amp;Raw_Data!H163&amp;"|"&amp;Raw_Data!I163&amp;"|"&amp;Raw_Data!J163&amp;"|"&amp;Raw_Data!K163&amp;"|"&amp;Raw_Data!L163&amp;"|"&amp;Raw_Data!M163&amp;"|"&amp;Raw_Data!N163&amp;"|"&amp;Raw_Data!O163&amp;"|"&amp;Raw_Data!P163&amp;"|"&amp;Raw_Data!Q163&amp;"|"&amp;Raw_Data!R163&amp;"|"&amp;Raw_Data!S163&amp;"|"&amp;Raw_Data!T163&amp;"|"&amp;Raw_Data!U163&amp;"|"&amp;Raw_Data!V163&amp;"|"&amp;Raw_Data!W163&amp;"|"&amp;Raw_Data!X163&amp;"|"&amp;Raw_Data!Y163&amp;"|"&amp;Raw_Data!Z163&amp;"|"&amp;Raw_Data!AA163&amp;"|"&amp;Raw_Data!AB163&amp;"|"&amp;Raw_Data!AC163&amp;"|"&amp;Raw_Data!AD163&amp;"|"&amp;Raw_Data!AE163&amp;"|"&amp;Raw_Data!AF163&amp;"|"&amp;Raw_Data!AG163&amp;"|"&amp;Raw_Data!AH163&amp;"|"&amp;Raw_Data!AI163&amp;"|"&amp;Raw_Data!AJ163&amp;"|"&amp;Raw_Data!AK163&amp;"|"&amp;Raw_Data!AL163&amp;"|"&amp;Raw_Data!AM163&amp;"|"&amp;Raw_Data!AN163&amp;"|"&amp;Raw_Data!AO163</f>
        <v>0|4|1|1|2|2|3|3|3|26|4|3|4|3|3|3|3|2|4|5|5|3|2|3|3|3|4|3|2|2|4|3|4|2|2|3|2|3|3|3|3</v>
      </c>
      <c r="Q165" s="3" t="n">
        <f aca="false">COUNTIF($P$4:$P$513,P165)</f>
        <v>1</v>
      </c>
    </row>
    <row r="166" customFormat="false" ht="15" hidden="false" customHeight="false" outlineLevel="0" collapsed="false">
      <c r="O166" s="3" t="n">
        <v>164</v>
      </c>
      <c r="P166" s="3" t="str">
        <f aca="false">Raw_Data!A164&amp;"|"&amp;Raw_Data!B164&amp;"|"&amp;Raw_Data!C164&amp;"|"&amp;Raw_Data!D164&amp;"|"&amp;Raw_Data!E164&amp;"|"&amp;Raw_Data!F164&amp;"|"&amp;Raw_Data!G164&amp;"|"&amp;Raw_Data!H164&amp;"|"&amp;Raw_Data!I164&amp;"|"&amp;Raw_Data!J164&amp;"|"&amp;Raw_Data!K164&amp;"|"&amp;Raw_Data!L164&amp;"|"&amp;Raw_Data!M164&amp;"|"&amp;Raw_Data!N164&amp;"|"&amp;Raw_Data!O164&amp;"|"&amp;Raw_Data!P164&amp;"|"&amp;Raw_Data!Q164&amp;"|"&amp;Raw_Data!R164&amp;"|"&amp;Raw_Data!S164&amp;"|"&amp;Raw_Data!T164&amp;"|"&amp;Raw_Data!U164&amp;"|"&amp;Raw_Data!V164&amp;"|"&amp;Raw_Data!W164&amp;"|"&amp;Raw_Data!X164&amp;"|"&amp;Raw_Data!Y164&amp;"|"&amp;Raw_Data!Z164&amp;"|"&amp;Raw_Data!AA164&amp;"|"&amp;Raw_Data!AB164&amp;"|"&amp;Raw_Data!AC164&amp;"|"&amp;Raw_Data!AD164&amp;"|"&amp;Raw_Data!AE164&amp;"|"&amp;Raw_Data!AF164&amp;"|"&amp;Raw_Data!AG164&amp;"|"&amp;Raw_Data!AH164&amp;"|"&amp;Raw_Data!AI164&amp;"|"&amp;Raw_Data!AJ164&amp;"|"&amp;Raw_Data!AK164&amp;"|"&amp;Raw_Data!AL164&amp;"|"&amp;Raw_Data!AM164&amp;"|"&amp;Raw_Data!AN164&amp;"|"&amp;Raw_Data!AO164</f>
        <v>1|3|1|1|2|2|1|2|1|24|3|2|2|2|5|4|3|5|4|5|4|4|2|2|2|3|3|4|5|5|2|3|4|5|2|3|3|4|2|3|4</v>
      </c>
      <c r="Q166" s="3" t="n">
        <f aca="false">COUNTIF($P$4:$P$513,P166)</f>
        <v>1</v>
      </c>
    </row>
    <row r="167" customFormat="false" ht="15" hidden="false" customHeight="false" outlineLevel="0" collapsed="false">
      <c r="O167" s="3" t="n">
        <v>165</v>
      </c>
      <c r="P167" s="3" t="str">
        <f aca="false">Raw_Data!A165&amp;"|"&amp;Raw_Data!B165&amp;"|"&amp;Raw_Data!C165&amp;"|"&amp;Raw_Data!D165&amp;"|"&amp;Raw_Data!E165&amp;"|"&amp;Raw_Data!F165&amp;"|"&amp;Raw_Data!G165&amp;"|"&amp;Raw_Data!H165&amp;"|"&amp;Raw_Data!I165&amp;"|"&amp;Raw_Data!J165&amp;"|"&amp;Raw_Data!K165&amp;"|"&amp;Raw_Data!L165&amp;"|"&amp;Raw_Data!M165&amp;"|"&amp;Raw_Data!N165&amp;"|"&amp;Raw_Data!O165&amp;"|"&amp;Raw_Data!P165&amp;"|"&amp;Raw_Data!Q165&amp;"|"&amp;Raw_Data!R165&amp;"|"&amp;Raw_Data!S165&amp;"|"&amp;Raw_Data!T165&amp;"|"&amp;Raw_Data!U165&amp;"|"&amp;Raw_Data!V165&amp;"|"&amp;Raw_Data!W165&amp;"|"&amp;Raw_Data!X165&amp;"|"&amp;Raw_Data!Y165&amp;"|"&amp;Raw_Data!Z165&amp;"|"&amp;Raw_Data!AA165&amp;"|"&amp;Raw_Data!AB165&amp;"|"&amp;Raw_Data!AC165&amp;"|"&amp;Raw_Data!AD165&amp;"|"&amp;Raw_Data!AE165&amp;"|"&amp;Raw_Data!AF165&amp;"|"&amp;Raw_Data!AG165&amp;"|"&amp;Raw_Data!AH165&amp;"|"&amp;Raw_Data!AI165&amp;"|"&amp;Raw_Data!AJ165&amp;"|"&amp;Raw_Data!AK165&amp;"|"&amp;Raw_Data!AL165&amp;"|"&amp;Raw_Data!AM165&amp;"|"&amp;Raw_Data!AN165&amp;"|"&amp;Raw_Data!AO165</f>
        <v>1|4|1|1|2|2|4|1|3|29|3|4|5|3|4|4|5|2|4|5|5|5|5|3|5|4|4|4|1|4|4|2|4|4|4|4|4|4|3|5|5</v>
      </c>
      <c r="Q167" s="3" t="n">
        <f aca="false">COUNTIF($P$4:$P$513,P167)</f>
        <v>1</v>
      </c>
    </row>
    <row r="168" customFormat="false" ht="15" hidden="false" customHeight="false" outlineLevel="0" collapsed="false">
      <c r="O168" s="3" t="n">
        <v>166</v>
      </c>
      <c r="P168" s="3" t="str">
        <f aca="false">Raw_Data!A166&amp;"|"&amp;Raw_Data!B166&amp;"|"&amp;Raw_Data!C166&amp;"|"&amp;Raw_Data!D166&amp;"|"&amp;Raw_Data!E166&amp;"|"&amp;Raw_Data!F166&amp;"|"&amp;Raw_Data!G166&amp;"|"&amp;Raw_Data!H166&amp;"|"&amp;Raw_Data!I166&amp;"|"&amp;Raw_Data!J166&amp;"|"&amp;Raw_Data!K166&amp;"|"&amp;Raw_Data!L166&amp;"|"&amp;Raw_Data!M166&amp;"|"&amp;Raw_Data!N166&amp;"|"&amp;Raw_Data!O166&amp;"|"&amp;Raw_Data!P166&amp;"|"&amp;Raw_Data!Q166&amp;"|"&amp;Raw_Data!R166&amp;"|"&amp;Raw_Data!S166&amp;"|"&amp;Raw_Data!T166&amp;"|"&amp;Raw_Data!U166&amp;"|"&amp;Raw_Data!V166&amp;"|"&amp;Raw_Data!W166&amp;"|"&amp;Raw_Data!X166&amp;"|"&amp;Raw_Data!Y166&amp;"|"&amp;Raw_Data!Z166&amp;"|"&amp;Raw_Data!AA166&amp;"|"&amp;Raw_Data!AB166&amp;"|"&amp;Raw_Data!AC166&amp;"|"&amp;Raw_Data!AD166&amp;"|"&amp;Raw_Data!AE166&amp;"|"&amp;Raw_Data!AF166&amp;"|"&amp;Raw_Data!AG166&amp;"|"&amp;Raw_Data!AH166&amp;"|"&amp;Raw_Data!AI166&amp;"|"&amp;Raw_Data!AJ166&amp;"|"&amp;Raw_Data!AK166&amp;"|"&amp;Raw_Data!AL166&amp;"|"&amp;Raw_Data!AM166&amp;"|"&amp;Raw_Data!AN166&amp;"|"&amp;Raw_Data!AO166</f>
        <v>|4|1|1|2|2|1|3|2|26|4|3|4|4|4|4|3|3|3|5|4|3|4|4|2|3|4|2|2|2|2|1|2|3|4|4|2|5|3|4|3</v>
      </c>
      <c r="Q168" s="3" t="n">
        <f aca="false">COUNTIF($P$4:$P$513,P168)</f>
        <v>1</v>
      </c>
    </row>
    <row r="169" customFormat="false" ht="15" hidden="false" customHeight="false" outlineLevel="0" collapsed="false">
      <c r="O169" s="3" t="n">
        <v>167</v>
      </c>
      <c r="P169" s="3" t="str">
        <f aca="false">Raw_Data!A167&amp;"|"&amp;Raw_Data!B167&amp;"|"&amp;Raw_Data!C167&amp;"|"&amp;Raw_Data!D167&amp;"|"&amp;Raw_Data!E167&amp;"|"&amp;Raw_Data!F167&amp;"|"&amp;Raw_Data!G167&amp;"|"&amp;Raw_Data!H167&amp;"|"&amp;Raw_Data!I167&amp;"|"&amp;Raw_Data!J167&amp;"|"&amp;Raw_Data!K167&amp;"|"&amp;Raw_Data!L167&amp;"|"&amp;Raw_Data!M167&amp;"|"&amp;Raw_Data!N167&amp;"|"&amp;Raw_Data!O167&amp;"|"&amp;Raw_Data!P167&amp;"|"&amp;Raw_Data!Q167&amp;"|"&amp;Raw_Data!R167&amp;"|"&amp;Raw_Data!S167&amp;"|"&amp;Raw_Data!T167&amp;"|"&amp;Raw_Data!U167&amp;"|"&amp;Raw_Data!V167&amp;"|"&amp;Raw_Data!W167&amp;"|"&amp;Raw_Data!X167&amp;"|"&amp;Raw_Data!Y167&amp;"|"&amp;Raw_Data!Z167&amp;"|"&amp;Raw_Data!AA167&amp;"|"&amp;Raw_Data!AB167&amp;"|"&amp;Raw_Data!AC167&amp;"|"&amp;Raw_Data!AD167&amp;"|"&amp;Raw_Data!AE167&amp;"|"&amp;Raw_Data!AF167&amp;"|"&amp;Raw_Data!AG167&amp;"|"&amp;Raw_Data!AH167&amp;"|"&amp;Raw_Data!AI167&amp;"|"&amp;Raw_Data!AJ167&amp;"|"&amp;Raw_Data!AK167&amp;"|"&amp;Raw_Data!AL167&amp;"|"&amp;Raw_Data!AM167&amp;"|"&amp;Raw_Data!AN167&amp;"|"&amp;Raw_Data!AO167</f>
        <v>0|3|1|1|2|2|3|3|3|24|2|2|4|2|4|4|2|4|3|5|4|2|2|4|4|4|2|2|2|2|2|2|2|3|4|4|4|2|3|2|2</v>
      </c>
      <c r="Q169" s="3" t="n">
        <f aca="false">COUNTIF($P$4:$P$513,P169)</f>
        <v>1</v>
      </c>
    </row>
    <row r="170" customFormat="false" ht="15" hidden="false" customHeight="false" outlineLevel="0" collapsed="false">
      <c r="O170" s="3" t="n">
        <v>168</v>
      </c>
      <c r="P170" s="3" t="str">
        <f aca="false">Raw_Data!A168&amp;"|"&amp;Raw_Data!B168&amp;"|"&amp;Raw_Data!C168&amp;"|"&amp;Raw_Data!D168&amp;"|"&amp;Raw_Data!E168&amp;"|"&amp;Raw_Data!F168&amp;"|"&amp;Raw_Data!G168&amp;"|"&amp;Raw_Data!H168&amp;"|"&amp;Raw_Data!I168&amp;"|"&amp;Raw_Data!J168&amp;"|"&amp;Raw_Data!K168&amp;"|"&amp;Raw_Data!L168&amp;"|"&amp;Raw_Data!M168&amp;"|"&amp;Raw_Data!N168&amp;"|"&amp;Raw_Data!O168&amp;"|"&amp;Raw_Data!P168&amp;"|"&amp;Raw_Data!Q168&amp;"|"&amp;Raw_Data!R168&amp;"|"&amp;Raw_Data!S168&amp;"|"&amp;Raw_Data!T168&amp;"|"&amp;Raw_Data!U168&amp;"|"&amp;Raw_Data!V168&amp;"|"&amp;Raw_Data!W168&amp;"|"&amp;Raw_Data!X168&amp;"|"&amp;Raw_Data!Y168&amp;"|"&amp;Raw_Data!Z168&amp;"|"&amp;Raw_Data!AA168&amp;"|"&amp;Raw_Data!AB168&amp;"|"&amp;Raw_Data!AC168&amp;"|"&amp;Raw_Data!AD168&amp;"|"&amp;Raw_Data!AE168&amp;"|"&amp;Raw_Data!AF168&amp;"|"&amp;Raw_Data!AG168&amp;"|"&amp;Raw_Data!AH168&amp;"|"&amp;Raw_Data!AI168&amp;"|"&amp;Raw_Data!AJ168&amp;"|"&amp;Raw_Data!AK168&amp;"|"&amp;Raw_Data!AL168&amp;"|"&amp;Raw_Data!AM168&amp;"|"&amp;Raw_Data!AN168&amp;"|"&amp;Raw_Data!AO168</f>
        <v>1|3|2|1|2|2|1|2|1|24|4|4|3|4|4|4|3|4|5|4|4|4|4|3|2|2|4|4|2|2|4|4|4|4|4|4|4|4|3|4|4</v>
      </c>
      <c r="Q170" s="3" t="n">
        <f aca="false">COUNTIF($P$4:$P$513,P170)</f>
        <v>1</v>
      </c>
    </row>
    <row r="171" customFormat="false" ht="15" hidden="false" customHeight="false" outlineLevel="0" collapsed="false">
      <c r="O171" s="3" t="n">
        <v>169</v>
      </c>
      <c r="P171" s="3" t="str">
        <f aca="false">Raw_Data!A169&amp;"|"&amp;Raw_Data!B169&amp;"|"&amp;Raw_Data!C169&amp;"|"&amp;Raw_Data!D169&amp;"|"&amp;Raw_Data!E169&amp;"|"&amp;Raw_Data!F169&amp;"|"&amp;Raw_Data!G169&amp;"|"&amp;Raw_Data!H169&amp;"|"&amp;Raw_Data!I169&amp;"|"&amp;Raw_Data!J169&amp;"|"&amp;Raw_Data!K169&amp;"|"&amp;Raw_Data!L169&amp;"|"&amp;Raw_Data!M169&amp;"|"&amp;Raw_Data!N169&amp;"|"&amp;Raw_Data!O169&amp;"|"&amp;Raw_Data!P169&amp;"|"&amp;Raw_Data!Q169&amp;"|"&amp;Raw_Data!R169&amp;"|"&amp;Raw_Data!S169&amp;"|"&amp;Raw_Data!T169&amp;"|"&amp;Raw_Data!U169&amp;"|"&amp;Raw_Data!V169&amp;"|"&amp;Raw_Data!W169&amp;"|"&amp;Raw_Data!X169&amp;"|"&amp;Raw_Data!Y169&amp;"|"&amp;Raw_Data!Z169&amp;"|"&amp;Raw_Data!AA169&amp;"|"&amp;Raw_Data!AB169&amp;"|"&amp;Raw_Data!AC169&amp;"|"&amp;Raw_Data!AD169&amp;"|"&amp;Raw_Data!AE169&amp;"|"&amp;Raw_Data!AF169&amp;"|"&amp;Raw_Data!AG169&amp;"|"&amp;Raw_Data!AH169&amp;"|"&amp;Raw_Data!AI169&amp;"|"&amp;Raw_Data!AJ169&amp;"|"&amp;Raw_Data!AK169&amp;"|"&amp;Raw_Data!AL169&amp;"|"&amp;Raw_Data!AM169&amp;"|"&amp;Raw_Data!AN169&amp;"|"&amp;Raw_Data!AO169</f>
        <v>0|4|1|1|2|2|2|1|3|24|4|4|4|4|5|4|2|4|5|4|5|5|4|2|4|5|4|2|2|1|4|4|4|4|4|5|4|5|5|2|4</v>
      </c>
      <c r="Q171" s="3" t="n">
        <f aca="false">COUNTIF($P$4:$P$513,P171)</f>
        <v>1</v>
      </c>
    </row>
    <row r="172" customFormat="false" ht="15" hidden="false" customHeight="false" outlineLevel="0" collapsed="false">
      <c r="O172" s="3" t="n">
        <v>170</v>
      </c>
      <c r="P172" s="3" t="str">
        <f aca="false">Raw_Data!A170&amp;"|"&amp;Raw_Data!B170&amp;"|"&amp;Raw_Data!C170&amp;"|"&amp;Raw_Data!D170&amp;"|"&amp;Raw_Data!E170&amp;"|"&amp;Raw_Data!F170&amp;"|"&amp;Raw_Data!G170&amp;"|"&amp;Raw_Data!H170&amp;"|"&amp;Raw_Data!I170&amp;"|"&amp;Raw_Data!J170&amp;"|"&amp;Raw_Data!K170&amp;"|"&amp;Raw_Data!L170&amp;"|"&amp;Raw_Data!M170&amp;"|"&amp;Raw_Data!N170&amp;"|"&amp;Raw_Data!O170&amp;"|"&amp;Raw_Data!P170&amp;"|"&amp;Raw_Data!Q170&amp;"|"&amp;Raw_Data!R170&amp;"|"&amp;Raw_Data!S170&amp;"|"&amp;Raw_Data!T170&amp;"|"&amp;Raw_Data!U170&amp;"|"&amp;Raw_Data!V170&amp;"|"&amp;Raw_Data!W170&amp;"|"&amp;Raw_Data!X170&amp;"|"&amp;Raw_Data!Y170&amp;"|"&amp;Raw_Data!Z170&amp;"|"&amp;Raw_Data!AA170&amp;"|"&amp;Raw_Data!AB170&amp;"|"&amp;Raw_Data!AC170&amp;"|"&amp;Raw_Data!AD170&amp;"|"&amp;Raw_Data!AE170&amp;"|"&amp;Raw_Data!AF170&amp;"|"&amp;Raw_Data!AG170&amp;"|"&amp;Raw_Data!AH170&amp;"|"&amp;Raw_Data!AI170&amp;"|"&amp;Raw_Data!AJ170&amp;"|"&amp;Raw_Data!AK170&amp;"|"&amp;Raw_Data!AL170&amp;"|"&amp;Raw_Data!AM170&amp;"|"&amp;Raw_Data!AN170&amp;"|"&amp;Raw_Data!AO170</f>
        <v>1|4|1|1|2|2|1|3|3|25|3|2|4|2|4|4|3|2|4|3|4|4|4|4|3|3|4|2|2|2|2|2|2|4|3|4|4|4|2|3|2</v>
      </c>
      <c r="Q172" s="3" t="n">
        <f aca="false">COUNTIF($P$4:$P$513,P172)</f>
        <v>1</v>
      </c>
    </row>
    <row r="173" customFormat="false" ht="15" hidden="false" customHeight="false" outlineLevel="0" collapsed="false">
      <c r="O173" s="3" t="n">
        <v>171</v>
      </c>
      <c r="P173" s="3" t="str">
        <f aca="false">Raw_Data!A171&amp;"|"&amp;Raw_Data!B171&amp;"|"&amp;Raw_Data!C171&amp;"|"&amp;Raw_Data!D171&amp;"|"&amp;Raw_Data!E171&amp;"|"&amp;Raw_Data!F171&amp;"|"&amp;Raw_Data!G171&amp;"|"&amp;Raw_Data!H171&amp;"|"&amp;Raw_Data!I171&amp;"|"&amp;Raw_Data!J171&amp;"|"&amp;Raw_Data!K171&amp;"|"&amp;Raw_Data!L171&amp;"|"&amp;Raw_Data!M171&amp;"|"&amp;Raw_Data!N171&amp;"|"&amp;Raw_Data!O171&amp;"|"&amp;Raw_Data!P171&amp;"|"&amp;Raw_Data!Q171&amp;"|"&amp;Raw_Data!R171&amp;"|"&amp;Raw_Data!S171&amp;"|"&amp;Raw_Data!T171&amp;"|"&amp;Raw_Data!U171&amp;"|"&amp;Raw_Data!V171&amp;"|"&amp;Raw_Data!W171&amp;"|"&amp;Raw_Data!X171&amp;"|"&amp;Raw_Data!Y171&amp;"|"&amp;Raw_Data!Z171&amp;"|"&amp;Raw_Data!AA171&amp;"|"&amp;Raw_Data!AB171&amp;"|"&amp;Raw_Data!AC171&amp;"|"&amp;Raw_Data!AD171&amp;"|"&amp;Raw_Data!AE171&amp;"|"&amp;Raw_Data!AF171&amp;"|"&amp;Raw_Data!AG171&amp;"|"&amp;Raw_Data!AH171&amp;"|"&amp;Raw_Data!AI171&amp;"|"&amp;Raw_Data!AJ171&amp;"|"&amp;Raw_Data!AK171&amp;"|"&amp;Raw_Data!AL171&amp;"|"&amp;Raw_Data!AM171&amp;"|"&amp;Raw_Data!AN171&amp;"|"&amp;Raw_Data!AO171</f>
        <v>|4|1|1|2|2|1|3|3|24|4|4|4|3|4|4|4|3|4|4|4|4|4|4|4|4|4|5|5|2|4|2|2|4|4|4|4|5|3|2|3</v>
      </c>
      <c r="Q173" s="3" t="n">
        <f aca="false">COUNTIF($P$4:$P$513,P173)</f>
        <v>1</v>
      </c>
    </row>
    <row r="174" customFormat="false" ht="15" hidden="false" customHeight="false" outlineLevel="0" collapsed="false">
      <c r="O174" s="3" t="n">
        <v>172</v>
      </c>
      <c r="P174" s="3" t="str">
        <f aca="false">Raw_Data!A172&amp;"|"&amp;Raw_Data!B172&amp;"|"&amp;Raw_Data!C172&amp;"|"&amp;Raw_Data!D172&amp;"|"&amp;Raw_Data!E172&amp;"|"&amp;Raw_Data!F172&amp;"|"&amp;Raw_Data!G172&amp;"|"&amp;Raw_Data!H172&amp;"|"&amp;Raw_Data!I172&amp;"|"&amp;Raw_Data!J172&amp;"|"&amp;Raw_Data!K172&amp;"|"&amp;Raw_Data!L172&amp;"|"&amp;Raw_Data!M172&amp;"|"&amp;Raw_Data!N172&amp;"|"&amp;Raw_Data!O172&amp;"|"&amp;Raw_Data!P172&amp;"|"&amp;Raw_Data!Q172&amp;"|"&amp;Raw_Data!R172&amp;"|"&amp;Raw_Data!S172&amp;"|"&amp;Raw_Data!T172&amp;"|"&amp;Raw_Data!U172&amp;"|"&amp;Raw_Data!V172&amp;"|"&amp;Raw_Data!W172&amp;"|"&amp;Raw_Data!X172&amp;"|"&amp;Raw_Data!Y172&amp;"|"&amp;Raw_Data!Z172&amp;"|"&amp;Raw_Data!AA172&amp;"|"&amp;Raw_Data!AB172&amp;"|"&amp;Raw_Data!AC172&amp;"|"&amp;Raw_Data!AD172&amp;"|"&amp;Raw_Data!AE172&amp;"|"&amp;Raw_Data!AF172&amp;"|"&amp;Raw_Data!AG172&amp;"|"&amp;Raw_Data!AH172&amp;"|"&amp;Raw_Data!AI172&amp;"|"&amp;Raw_Data!AJ172&amp;"|"&amp;Raw_Data!AK172&amp;"|"&amp;Raw_Data!AL172&amp;"|"&amp;Raw_Data!AM172&amp;"|"&amp;Raw_Data!AN172&amp;"|"&amp;Raw_Data!AO172</f>
        <v>0|3|2|1|2|2|1|2|3|23|2|4|4|3|5|2|2|3|4|3|5|4|3|2|3|4|4|2|3|4|4|3|4|3|2|5|2|4|3|3|3</v>
      </c>
      <c r="Q174" s="3" t="n">
        <f aca="false">COUNTIF($P$4:$P$513,P174)</f>
        <v>1</v>
      </c>
    </row>
    <row r="175" customFormat="false" ht="15" hidden="false" customHeight="false" outlineLevel="0" collapsed="false">
      <c r="O175" s="3" t="n">
        <v>173</v>
      </c>
      <c r="P175" s="3" t="str">
        <f aca="false">Raw_Data!A173&amp;"|"&amp;Raw_Data!B173&amp;"|"&amp;Raw_Data!C173&amp;"|"&amp;Raw_Data!D173&amp;"|"&amp;Raw_Data!E173&amp;"|"&amp;Raw_Data!F173&amp;"|"&amp;Raw_Data!G173&amp;"|"&amp;Raw_Data!H173&amp;"|"&amp;Raw_Data!I173&amp;"|"&amp;Raw_Data!J173&amp;"|"&amp;Raw_Data!K173&amp;"|"&amp;Raw_Data!L173&amp;"|"&amp;Raw_Data!M173&amp;"|"&amp;Raw_Data!N173&amp;"|"&amp;Raw_Data!O173&amp;"|"&amp;Raw_Data!P173&amp;"|"&amp;Raw_Data!Q173&amp;"|"&amp;Raw_Data!R173&amp;"|"&amp;Raw_Data!S173&amp;"|"&amp;Raw_Data!T173&amp;"|"&amp;Raw_Data!U173&amp;"|"&amp;Raw_Data!V173&amp;"|"&amp;Raw_Data!W173&amp;"|"&amp;Raw_Data!X173&amp;"|"&amp;Raw_Data!Y173&amp;"|"&amp;Raw_Data!Z173&amp;"|"&amp;Raw_Data!AA173&amp;"|"&amp;Raw_Data!AB173&amp;"|"&amp;Raw_Data!AC173&amp;"|"&amp;Raw_Data!AD173&amp;"|"&amp;Raw_Data!AE173&amp;"|"&amp;Raw_Data!AF173&amp;"|"&amp;Raw_Data!AG173&amp;"|"&amp;Raw_Data!AH173&amp;"|"&amp;Raw_Data!AI173&amp;"|"&amp;Raw_Data!AJ173&amp;"|"&amp;Raw_Data!AK173&amp;"|"&amp;Raw_Data!AL173&amp;"|"&amp;Raw_Data!AM173&amp;"|"&amp;Raw_Data!AN173&amp;"|"&amp;Raw_Data!AO173</f>
        <v>1|4|2|1|2|2|3|3|1|25|4|3|4|3|4|4|3|4|5|5|5|3|4|3|2|2|4|3|2|2|3|3|4|4|2|3|2|4|3|3|4</v>
      </c>
      <c r="Q175" s="3" t="n">
        <f aca="false">COUNTIF($P$4:$P$513,P175)</f>
        <v>1</v>
      </c>
    </row>
    <row r="176" customFormat="false" ht="15" hidden="false" customHeight="false" outlineLevel="0" collapsed="false">
      <c r="O176" s="3" t="n">
        <v>174</v>
      </c>
      <c r="P176" s="3" t="str">
        <f aca="false">Raw_Data!A174&amp;"|"&amp;Raw_Data!B174&amp;"|"&amp;Raw_Data!C174&amp;"|"&amp;Raw_Data!D174&amp;"|"&amp;Raw_Data!E174&amp;"|"&amp;Raw_Data!F174&amp;"|"&amp;Raw_Data!G174&amp;"|"&amp;Raw_Data!H174&amp;"|"&amp;Raw_Data!I174&amp;"|"&amp;Raw_Data!J174&amp;"|"&amp;Raw_Data!K174&amp;"|"&amp;Raw_Data!L174&amp;"|"&amp;Raw_Data!M174&amp;"|"&amp;Raw_Data!N174&amp;"|"&amp;Raw_Data!O174&amp;"|"&amp;Raw_Data!P174&amp;"|"&amp;Raw_Data!Q174&amp;"|"&amp;Raw_Data!R174&amp;"|"&amp;Raw_Data!S174&amp;"|"&amp;Raw_Data!T174&amp;"|"&amp;Raw_Data!U174&amp;"|"&amp;Raw_Data!V174&amp;"|"&amp;Raw_Data!W174&amp;"|"&amp;Raw_Data!X174&amp;"|"&amp;Raw_Data!Y174&amp;"|"&amp;Raw_Data!Z174&amp;"|"&amp;Raw_Data!AA174&amp;"|"&amp;Raw_Data!AB174&amp;"|"&amp;Raw_Data!AC174&amp;"|"&amp;Raw_Data!AD174&amp;"|"&amp;Raw_Data!AE174&amp;"|"&amp;Raw_Data!AF174&amp;"|"&amp;Raw_Data!AG174&amp;"|"&amp;Raw_Data!AH174&amp;"|"&amp;Raw_Data!AI174&amp;"|"&amp;Raw_Data!AJ174&amp;"|"&amp;Raw_Data!AK174&amp;"|"&amp;Raw_Data!AL174&amp;"|"&amp;Raw_Data!AM174&amp;"|"&amp;Raw_Data!AN174&amp;"|"&amp;Raw_Data!AO174</f>
        <v>|3|1|1|2|2|3|3|3|28|4|4|4|4|5|5|3|5|5|5|5|1|2|2|1|1|1|1|1|1|5|5|5|2|4|5|3|5|4|2|4</v>
      </c>
      <c r="Q176" s="3" t="n">
        <f aca="false">COUNTIF($P$4:$P$513,P176)</f>
        <v>1</v>
      </c>
    </row>
    <row r="177" customFormat="false" ht="15" hidden="false" customHeight="false" outlineLevel="0" collapsed="false">
      <c r="O177" s="3" t="n">
        <v>175</v>
      </c>
      <c r="P177" s="3" t="str">
        <f aca="false">Raw_Data!A175&amp;"|"&amp;Raw_Data!B175&amp;"|"&amp;Raw_Data!C175&amp;"|"&amp;Raw_Data!D175&amp;"|"&amp;Raw_Data!E175&amp;"|"&amp;Raw_Data!F175&amp;"|"&amp;Raw_Data!G175&amp;"|"&amp;Raw_Data!H175&amp;"|"&amp;Raw_Data!I175&amp;"|"&amp;Raw_Data!J175&amp;"|"&amp;Raw_Data!K175&amp;"|"&amp;Raw_Data!L175&amp;"|"&amp;Raw_Data!M175&amp;"|"&amp;Raw_Data!N175&amp;"|"&amp;Raw_Data!O175&amp;"|"&amp;Raw_Data!P175&amp;"|"&amp;Raw_Data!Q175&amp;"|"&amp;Raw_Data!R175&amp;"|"&amp;Raw_Data!S175&amp;"|"&amp;Raw_Data!T175&amp;"|"&amp;Raw_Data!U175&amp;"|"&amp;Raw_Data!V175&amp;"|"&amp;Raw_Data!W175&amp;"|"&amp;Raw_Data!X175&amp;"|"&amp;Raw_Data!Y175&amp;"|"&amp;Raw_Data!Z175&amp;"|"&amp;Raw_Data!AA175&amp;"|"&amp;Raw_Data!AB175&amp;"|"&amp;Raw_Data!AC175&amp;"|"&amp;Raw_Data!AD175&amp;"|"&amp;Raw_Data!AE175&amp;"|"&amp;Raw_Data!AF175&amp;"|"&amp;Raw_Data!AG175&amp;"|"&amp;Raw_Data!AH175&amp;"|"&amp;Raw_Data!AI175&amp;"|"&amp;Raw_Data!AJ175&amp;"|"&amp;Raw_Data!AK175&amp;"|"&amp;Raw_Data!AL175&amp;"|"&amp;Raw_Data!AM175&amp;"|"&amp;Raw_Data!AN175&amp;"|"&amp;Raw_Data!AO175</f>
        <v>0|4|1|1|1|2|2|1|3|25|3|3|2|3|4|3|4|4|4|4|4|4|4|4|4|4|4|3|2|2|3|3|4|4|4|3|3|4|3|4|2</v>
      </c>
      <c r="Q177" s="3" t="n">
        <f aca="false">COUNTIF($P$4:$P$513,P177)</f>
        <v>1</v>
      </c>
    </row>
    <row r="178" customFormat="false" ht="15" hidden="false" customHeight="false" outlineLevel="0" collapsed="false">
      <c r="O178" s="3" t="n">
        <v>176</v>
      </c>
      <c r="P178" s="3" t="str">
        <f aca="false">Raw_Data!A176&amp;"|"&amp;Raw_Data!B176&amp;"|"&amp;Raw_Data!C176&amp;"|"&amp;Raw_Data!D176&amp;"|"&amp;Raw_Data!E176&amp;"|"&amp;Raw_Data!F176&amp;"|"&amp;Raw_Data!G176&amp;"|"&amp;Raw_Data!H176&amp;"|"&amp;Raw_Data!I176&amp;"|"&amp;Raw_Data!J176&amp;"|"&amp;Raw_Data!K176&amp;"|"&amp;Raw_Data!L176&amp;"|"&amp;Raw_Data!M176&amp;"|"&amp;Raw_Data!N176&amp;"|"&amp;Raw_Data!O176&amp;"|"&amp;Raw_Data!P176&amp;"|"&amp;Raw_Data!Q176&amp;"|"&amp;Raw_Data!R176&amp;"|"&amp;Raw_Data!S176&amp;"|"&amp;Raw_Data!T176&amp;"|"&amp;Raw_Data!U176&amp;"|"&amp;Raw_Data!V176&amp;"|"&amp;Raw_Data!W176&amp;"|"&amp;Raw_Data!X176&amp;"|"&amp;Raw_Data!Y176&amp;"|"&amp;Raw_Data!Z176&amp;"|"&amp;Raw_Data!AA176&amp;"|"&amp;Raw_Data!AB176&amp;"|"&amp;Raw_Data!AC176&amp;"|"&amp;Raw_Data!AD176&amp;"|"&amp;Raw_Data!AE176&amp;"|"&amp;Raw_Data!AF176&amp;"|"&amp;Raw_Data!AG176&amp;"|"&amp;Raw_Data!AH176&amp;"|"&amp;Raw_Data!AI176&amp;"|"&amp;Raw_Data!AJ176&amp;"|"&amp;Raw_Data!AK176&amp;"|"&amp;Raw_Data!AL176&amp;"|"&amp;Raw_Data!AM176&amp;"|"&amp;Raw_Data!AN176&amp;"|"&amp;Raw_Data!AO176</f>
        <v>0|3|2|1|2|2|3|2|1|23|4|3|2|4|4|2|3|3|5|5|5|3|4|3|3|4|3|4|2|3|4|4|3|4|4|4|3|5|3|2|3</v>
      </c>
      <c r="Q178" s="3" t="n">
        <f aca="false">COUNTIF($P$4:$P$513,P178)</f>
        <v>1</v>
      </c>
    </row>
    <row r="179" customFormat="false" ht="15" hidden="false" customHeight="false" outlineLevel="0" collapsed="false">
      <c r="O179" s="3" t="n">
        <v>177</v>
      </c>
      <c r="P179" s="3" t="str">
        <f aca="false">Raw_Data!A177&amp;"|"&amp;Raw_Data!B177&amp;"|"&amp;Raw_Data!C177&amp;"|"&amp;Raw_Data!D177&amp;"|"&amp;Raw_Data!E177&amp;"|"&amp;Raw_Data!F177&amp;"|"&amp;Raw_Data!G177&amp;"|"&amp;Raw_Data!H177&amp;"|"&amp;Raw_Data!I177&amp;"|"&amp;Raw_Data!J177&amp;"|"&amp;Raw_Data!K177&amp;"|"&amp;Raw_Data!L177&amp;"|"&amp;Raw_Data!M177&amp;"|"&amp;Raw_Data!N177&amp;"|"&amp;Raw_Data!O177&amp;"|"&amp;Raw_Data!P177&amp;"|"&amp;Raw_Data!Q177&amp;"|"&amp;Raw_Data!R177&amp;"|"&amp;Raw_Data!S177&amp;"|"&amp;Raw_Data!T177&amp;"|"&amp;Raw_Data!U177&amp;"|"&amp;Raw_Data!V177&amp;"|"&amp;Raw_Data!W177&amp;"|"&amp;Raw_Data!X177&amp;"|"&amp;Raw_Data!Y177&amp;"|"&amp;Raw_Data!Z177&amp;"|"&amp;Raw_Data!AA177&amp;"|"&amp;Raw_Data!AB177&amp;"|"&amp;Raw_Data!AC177&amp;"|"&amp;Raw_Data!AD177&amp;"|"&amp;Raw_Data!AE177&amp;"|"&amp;Raw_Data!AF177&amp;"|"&amp;Raw_Data!AG177&amp;"|"&amp;Raw_Data!AH177&amp;"|"&amp;Raw_Data!AI177&amp;"|"&amp;Raw_Data!AJ177&amp;"|"&amp;Raw_Data!AK177&amp;"|"&amp;Raw_Data!AL177&amp;"|"&amp;Raw_Data!AM177&amp;"|"&amp;Raw_Data!AN177&amp;"|"&amp;Raw_Data!AO177</f>
        <v>0|4|2|1|2|2|4|2|3|25|4|3|4|4|4|2|2|3|3|5|4|4|5|4|4|4|3|1|2|3|3|2|4|4|4|5|2|3|3|3|2</v>
      </c>
      <c r="Q179" s="3" t="n">
        <f aca="false">COUNTIF($P$4:$P$513,P179)</f>
        <v>1</v>
      </c>
    </row>
    <row r="180" customFormat="false" ht="15" hidden="false" customHeight="false" outlineLevel="0" collapsed="false">
      <c r="O180" s="3" t="n">
        <v>178</v>
      </c>
      <c r="P180" s="3" t="str">
        <f aca="false">Raw_Data!A178&amp;"|"&amp;Raw_Data!B178&amp;"|"&amp;Raw_Data!C178&amp;"|"&amp;Raw_Data!D178&amp;"|"&amp;Raw_Data!E178&amp;"|"&amp;Raw_Data!F178&amp;"|"&amp;Raw_Data!G178&amp;"|"&amp;Raw_Data!H178&amp;"|"&amp;Raw_Data!I178&amp;"|"&amp;Raw_Data!J178&amp;"|"&amp;Raw_Data!K178&amp;"|"&amp;Raw_Data!L178&amp;"|"&amp;Raw_Data!M178&amp;"|"&amp;Raw_Data!N178&amp;"|"&amp;Raw_Data!O178&amp;"|"&amp;Raw_Data!P178&amp;"|"&amp;Raw_Data!Q178&amp;"|"&amp;Raw_Data!R178&amp;"|"&amp;Raw_Data!S178&amp;"|"&amp;Raw_Data!T178&amp;"|"&amp;Raw_Data!U178&amp;"|"&amp;Raw_Data!V178&amp;"|"&amp;Raw_Data!W178&amp;"|"&amp;Raw_Data!X178&amp;"|"&amp;Raw_Data!Y178&amp;"|"&amp;Raw_Data!Z178&amp;"|"&amp;Raw_Data!AA178&amp;"|"&amp;Raw_Data!AB178&amp;"|"&amp;Raw_Data!AC178&amp;"|"&amp;Raw_Data!AD178&amp;"|"&amp;Raw_Data!AE178&amp;"|"&amp;Raw_Data!AF178&amp;"|"&amp;Raw_Data!AG178&amp;"|"&amp;Raw_Data!AH178&amp;"|"&amp;Raw_Data!AI178&amp;"|"&amp;Raw_Data!AJ178&amp;"|"&amp;Raw_Data!AK178&amp;"|"&amp;Raw_Data!AL178&amp;"|"&amp;Raw_Data!AM178&amp;"|"&amp;Raw_Data!AN178&amp;"|"&amp;Raw_Data!AO178</f>
        <v>|3|2|2|2|2|3|3|1|24|3|1|5|5|4|1|4|3|4|5|4|3|3|3|3|3|4|2|3|3|2|1|2|4|4|4|2|4|5|4|3</v>
      </c>
      <c r="Q180" s="3" t="n">
        <f aca="false">COUNTIF($P$4:$P$513,P180)</f>
        <v>1</v>
      </c>
    </row>
    <row r="181" customFormat="false" ht="15" hidden="false" customHeight="false" outlineLevel="0" collapsed="false">
      <c r="O181" s="3" t="n">
        <v>179</v>
      </c>
      <c r="P181" s="3" t="str">
        <f aca="false">Raw_Data!A179&amp;"|"&amp;Raw_Data!B179&amp;"|"&amp;Raw_Data!C179&amp;"|"&amp;Raw_Data!D179&amp;"|"&amp;Raw_Data!E179&amp;"|"&amp;Raw_Data!F179&amp;"|"&amp;Raw_Data!G179&amp;"|"&amp;Raw_Data!H179&amp;"|"&amp;Raw_Data!I179&amp;"|"&amp;Raw_Data!J179&amp;"|"&amp;Raw_Data!K179&amp;"|"&amp;Raw_Data!L179&amp;"|"&amp;Raw_Data!M179&amp;"|"&amp;Raw_Data!N179&amp;"|"&amp;Raw_Data!O179&amp;"|"&amp;Raw_Data!P179&amp;"|"&amp;Raw_Data!Q179&amp;"|"&amp;Raw_Data!R179&amp;"|"&amp;Raw_Data!S179&amp;"|"&amp;Raw_Data!T179&amp;"|"&amp;Raw_Data!U179&amp;"|"&amp;Raw_Data!V179&amp;"|"&amp;Raw_Data!W179&amp;"|"&amp;Raw_Data!X179&amp;"|"&amp;Raw_Data!Y179&amp;"|"&amp;Raw_Data!Z179&amp;"|"&amp;Raw_Data!AA179&amp;"|"&amp;Raw_Data!AB179&amp;"|"&amp;Raw_Data!AC179&amp;"|"&amp;Raw_Data!AD179&amp;"|"&amp;Raw_Data!AE179&amp;"|"&amp;Raw_Data!AF179&amp;"|"&amp;Raw_Data!AG179&amp;"|"&amp;Raw_Data!AH179&amp;"|"&amp;Raw_Data!AI179&amp;"|"&amp;Raw_Data!AJ179&amp;"|"&amp;Raw_Data!AK179&amp;"|"&amp;Raw_Data!AL179&amp;"|"&amp;Raw_Data!AM179&amp;"|"&amp;Raw_Data!AN179&amp;"|"&amp;Raw_Data!AO179</f>
        <v>0|4|1|1|2|2|3|2|2|24|4|4|4|4|5|2|5|5|5|5|4|3|3|1|2|4|5|4|1|1|4|1|5|4|4|5|3|5|5|2|1</v>
      </c>
      <c r="Q181" s="3" t="n">
        <f aca="false">COUNTIF($P$4:$P$513,P181)</f>
        <v>1</v>
      </c>
    </row>
    <row r="182" customFormat="false" ht="15" hidden="false" customHeight="false" outlineLevel="0" collapsed="false">
      <c r="O182" s="3" t="n">
        <v>180</v>
      </c>
      <c r="P182" s="3" t="str">
        <f aca="false">Raw_Data!A180&amp;"|"&amp;Raw_Data!B180&amp;"|"&amp;Raw_Data!C180&amp;"|"&amp;Raw_Data!D180&amp;"|"&amp;Raw_Data!E180&amp;"|"&amp;Raw_Data!F180&amp;"|"&amp;Raw_Data!G180&amp;"|"&amp;Raw_Data!H180&amp;"|"&amp;Raw_Data!I180&amp;"|"&amp;Raw_Data!J180&amp;"|"&amp;Raw_Data!K180&amp;"|"&amp;Raw_Data!L180&amp;"|"&amp;Raw_Data!M180&amp;"|"&amp;Raw_Data!N180&amp;"|"&amp;Raw_Data!O180&amp;"|"&amp;Raw_Data!P180&amp;"|"&amp;Raw_Data!Q180&amp;"|"&amp;Raw_Data!R180&amp;"|"&amp;Raw_Data!S180&amp;"|"&amp;Raw_Data!T180&amp;"|"&amp;Raw_Data!U180&amp;"|"&amp;Raw_Data!V180&amp;"|"&amp;Raw_Data!W180&amp;"|"&amp;Raw_Data!X180&amp;"|"&amp;Raw_Data!Y180&amp;"|"&amp;Raw_Data!Z180&amp;"|"&amp;Raw_Data!AA180&amp;"|"&amp;Raw_Data!AB180&amp;"|"&amp;Raw_Data!AC180&amp;"|"&amp;Raw_Data!AD180&amp;"|"&amp;Raw_Data!AE180&amp;"|"&amp;Raw_Data!AF180&amp;"|"&amp;Raw_Data!AG180&amp;"|"&amp;Raw_Data!AH180&amp;"|"&amp;Raw_Data!AI180&amp;"|"&amp;Raw_Data!AJ180&amp;"|"&amp;Raw_Data!AK180&amp;"|"&amp;Raw_Data!AL180&amp;"|"&amp;Raw_Data!AM180&amp;"|"&amp;Raw_Data!AN180&amp;"|"&amp;Raw_Data!AO180</f>
        <v>0|3|1|1|2|2|2|3|1|22|3|2|4|3|4|4|2|3|1|5|5|3|3|3|3|4|4|3|3|2|4|4|5|4|4|3|4|5|2|4|3</v>
      </c>
      <c r="Q182" s="3" t="n">
        <f aca="false">COUNTIF($P$4:$P$513,P182)</f>
        <v>1</v>
      </c>
    </row>
    <row r="183" customFormat="false" ht="15" hidden="false" customHeight="false" outlineLevel="0" collapsed="false">
      <c r="O183" s="3" t="n">
        <v>181</v>
      </c>
      <c r="P183" s="3" t="str">
        <f aca="false">Raw_Data!A181&amp;"|"&amp;Raw_Data!B181&amp;"|"&amp;Raw_Data!C181&amp;"|"&amp;Raw_Data!D181&amp;"|"&amp;Raw_Data!E181&amp;"|"&amp;Raw_Data!F181&amp;"|"&amp;Raw_Data!G181&amp;"|"&amp;Raw_Data!H181&amp;"|"&amp;Raw_Data!I181&amp;"|"&amp;Raw_Data!J181&amp;"|"&amp;Raw_Data!K181&amp;"|"&amp;Raw_Data!L181&amp;"|"&amp;Raw_Data!M181&amp;"|"&amp;Raw_Data!N181&amp;"|"&amp;Raw_Data!O181&amp;"|"&amp;Raw_Data!P181&amp;"|"&amp;Raw_Data!Q181&amp;"|"&amp;Raw_Data!R181&amp;"|"&amp;Raw_Data!S181&amp;"|"&amp;Raw_Data!T181&amp;"|"&amp;Raw_Data!U181&amp;"|"&amp;Raw_Data!V181&amp;"|"&amp;Raw_Data!W181&amp;"|"&amp;Raw_Data!X181&amp;"|"&amp;Raw_Data!Y181&amp;"|"&amp;Raw_Data!Z181&amp;"|"&amp;Raw_Data!AA181&amp;"|"&amp;Raw_Data!AB181&amp;"|"&amp;Raw_Data!AC181&amp;"|"&amp;Raw_Data!AD181&amp;"|"&amp;Raw_Data!AE181&amp;"|"&amp;Raw_Data!AF181&amp;"|"&amp;Raw_Data!AG181&amp;"|"&amp;Raw_Data!AH181&amp;"|"&amp;Raw_Data!AI181&amp;"|"&amp;Raw_Data!AJ181&amp;"|"&amp;Raw_Data!AK181&amp;"|"&amp;Raw_Data!AL181&amp;"|"&amp;Raw_Data!AM181&amp;"|"&amp;Raw_Data!AN181&amp;"|"&amp;Raw_Data!AO181</f>
        <v>0|3|1|1|1|2|2|1|1|24|3|4|4|4|5|5|5|3|4|5|5|4|4|4|3|4|5|1|2|2|4|4|4|3|4|5|2|5|5|3|4</v>
      </c>
      <c r="Q183" s="3" t="n">
        <f aca="false">COUNTIF($P$4:$P$513,P183)</f>
        <v>1</v>
      </c>
    </row>
    <row r="184" customFormat="false" ht="15" hidden="false" customHeight="false" outlineLevel="0" collapsed="false">
      <c r="O184" s="3" t="n">
        <v>182</v>
      </c>
      <c r="P184" s="3" t="str">
        <f aca="false">Raw_Data!A182&amp;"|"&amp;Raw_Data!B182&amp;"|"&amp;Raw_Data!C182&amp;"|"&amp;Raw_Data!D182&amp;"|"&amp;Raw_Data!E182&amp;"|"&amp;Raw_Data!F182&amp;"|"&amp;Raw_Data!G182&amp;"|"&amp;Raw_Data!H182&amp;"|"&amp;Raw_Data!I182&amp;"|"&amp;Raw_Data!J182&amp;"|"&amp;Raw_Data!K182&amp;"|"&amp;Raw_Data!L182&amp;"|"&amp;Raw_Data!M182&amp;"|"&amp;Raw_Data!N182&amp;"|"&amp;Raw_Data!O182&amp;"|"&amp;Raw_Data!P182&amp;"|"&amp;Raw_Data!Q182&amp;"|"&amp;Raw_Data!R182&amp;"|"&amp;Raw_Data!S182&amp;"|"&amp;Raw_Data!T182&amp;"|"&amp;Raw_Data!U182&amp;"|"&amp;Raw_Data!V182&amp;"|"&amp;Raw_Data!W182&amp;"|"&amp;Raw_Data!X182&amp;"|"&amp;Raw_Data!Y182&amp;"|"&amp;Raw_Data!Z182&amp;"|"&amp;Raw_Data!AA182&amp;"|"&amp;Raw_Data!AB182&amp;"|"&amp;Raw_Data!AC182&amp;"|"&amp;Raw_Data!AD182&amp;"|"&amp;Raw_Data!AE182&amp;"|"&amp;Raw_Data!AF182&amp;"|"&amp;Raw_Data!AG182&amp;"|"&amp;Raw_Data!AH182&amp;"|"&amp;Raw_Data!AI182&amp;"|"&amp;Raw_Data!AJ182&amp;"|"&amp;Raw_Data!AK182&amp;"|"&amp;Raw_Data!AL182&amp;"|"&amp;Raw_Data!AM182&amp;"|"&amp;Raw_Data!AN182&amp;"|"&amp;Raw_Data!AO182</f>
        <v>|4|1|1|2|2|2|2|3|25|4|4|3|4|4|4|4|4|3|4|5|3|3|3|3|3|3|4|4|3|4|3|3|3|4|4|3|5|3|4|5</v>
      </c>
      <c r="Q184" s="3" t="n">
        <f aca="false">COUNTIF($P$4:$P$513,P184)</f>
        <v>1</v>
      </c>
    </row>
    <row r="185" customFormat="false" ht="15" hidden="false" customHeight="false" outlineLevel="0" collapsed="false">
      <c r="O185" s="3" t="n">
        <v>183</v>
      </c>
      <c r="P185" s="3" t="str">
        <f aca="false">Raw_Data!A183&amp;"|"&amp;Raw_Data!B183&amp;"|"&amp;Raw_Data!C183&amp;"|"&amp;Raw_Data!D183&amp;"|"&amp;Raw_Data!E183&amp;"|"&amp;Raw_Data!F183&amp;"|"&amp;Raw_Data!G183&amp;"|"&amp;Raw_Data!H183&amp;"|"&amp;Raw_Data!I183&amp;"|"&amp;Raw_Data!J183&amp;"|"&amp;Raw_Data!K183&amp;"|"&amp;Raw_Data!L183&amp;"|"&amp;Raw_Data!M183&amp;"|"&amp;Raw_Data!N183&amp;"|"&amp;Raw_Data!O183&amp;"|"&amp;Raw_Data!P183&amp;"|"&amp;Raw_Data!Q183&amp;"|"&amp;Raw_Data!R183&amp;"|"&amp;Raw_Data!S183&amp;"|"&amp;Raw_Data!T183&amp;"|"&amp;Raw_Data!U183&amp;"|"&amp;Raw_Data!V183&amp;"|"&amp;Raw_Data!W183&amp;"|"&amp;Raw_Data!X183&amp;"|"&amp;Raw_Data!Y183&amp;"|"&amp;Raw_Data!Z183&amp;"|"&amp;Raw_Data!AA183&amp;"|"&amp;Raw_Data!AB183&amp;"|"&amp;Raw_Data!AC183&amp;"|"&amp;Raw_Data!AD183&amp;"|"&amp;Raw_Data!AE183&amp;"|"&amp;Raw_Data!AF183&amp;"|"&amp;Raw_Data!AG183&amp;"|"&amp;Raw_Data!AH183&amp;"|"&amp;Raw_Data!AI183&amp;"|"&amp;Raw_Data!AJ183&amp;"|"&amp;Raw_Data!AK183&amp;"|"&amp;Raw_Data!AL183&amp;"|"&amp;Raw_Data!AM183&amp;"|"&amp;Raw_Data!AN183&amp;"|"&amp;Raw_Data!AO183</f>
        <v>0|4|1|1|2|2|1|2|3|27|4|2|2|3|5|3|4|2|5|5|5|3|4|4|3|4|4|4|2|3|4|3|4|4|4|4|2|4|3|4|2</v>
      </c>
      <c r="Q185" s="3" t="n">
        <f aca="false">COUNTIF($P$4:$P$513,P185)</f>
        <v>1</v>
      </c>
    </row>
    <row r="186" customFormat="false" ht="15" hidden="false" customHeight="false" outlineLevel="0" collapsed="false">
      <c r="O186" s="3" t="n">
        <v>184</v>
      </c>
      <c r="P186" s="3" t="str">
        <f aca="false">Raw_Data!A184&amp;"|"&amp;Raw_Data!B184&amp;"|"&amp;Raw_Data!C184&amp;"|"&amp;Raw_Data!D184&amp;"|"&amp;Raw_Data!E184&amp;"|"&amp;Raw_Data!F184&amp;"|"&amp;Raw_Data!G184&amp;"|"&amp;Raw_Data!H184&amp;"|"&amp;Raw_Data!I184&amp;"|"&amp;Raw_Data!J184&amp;"|"&amp;Raw_Data!K184&amp;"|"&amp;Raw_Data!L184&amp;"|"&amp;Raw_Data!M184&amp;"|"&amp;Raw_Data!N184&amp;"|"&amp;Raw_Data!O184&amp;"|"&amp;Raw_Data!P184&amp;"|"&amp;Raw_Data!Q184&amp;"|"&amp;Raw_Data!R184&amp;"|"&amp;Raw_Data!S184&amp;"|"&amp;Raw_Data!T184&amp;"|"&amp;Raw_Data!U184&amp;"|"&amp;Raw_Data!V184&amp;"|"&amp;Raw_Data!W184&amp;"|"&amp;Raw_Data!X184&amp;"|"&amp;Raw_Data!Y184&amp;"|"&amp;Raw_Data!Z184&amp;"|"&amp;Raw_Data!AA184&amp;"|"&amp;Raw_Data!AB184&amp;"|"&amp;Raw_Data!AC184&amp;"|"&amp;Raw_Data!AD184&amp;"|"&amp;Raw_Data!AE184&amp;"|"&amp;Raw_Data!AF184&amp;"|"&amp;Raw_Data!AG184&amp;"|"&amp;Raw_Data!AH184&amp;"|"&amp;Raw_Data!AI184&amp;"|"&amp;Raw_Data!AJ184&amp;"|"&amp;Raw_Data!AK184&amp;"|"&amp;Raw_Data!AL184&amp;"|"&amp;Raw_Data!AM184&amp;"|"&amp;Raw_Data!AN184&amp;"|"&amp;Raw_Data!AO184</f>
        <v>|4|1|1|2|2|2|3|1|23|4|3|2|2|4|4|5|3|2|4|4|5|4|4|4|4|5|4|2|2|2|1|4|2|2|3|4|5|3|4|2</v>
      </c>
      <c r="Q186" s="3" t="n">
        <f aca="false">COUNTIF($P$4:$P$513,P186)</f>
        <v>1</v>
      </c>
    </row>
    <row r="187" customFormat="false" ht="15" hidden="false" customHeight="false" outlineLevel="0" collapsed="false">
      <c r="O187" s="3" t="n">
        <v>185</v>
      </c>
      <c r="P187" s="3" t="str">
        <f aca="false">Raw_Data!A185&amp;"|"&amp;Raw_Data!B185&amp;"|"&amp;Raw_Data!C185&amp;"|"&amp;Raw_Data!D185&amp;"|"&amp;Raw_Data!E185&amp;"|"&amp;Raw_Data!F185&amp;"|"&amp;Raw_Data!G185&amp;"|"&amp;Raw_Data!H185&amp;"|"&amp;Raw_Data!I185&amp;"|"&amp;Raw_Data!J185&amp;"|"&amp;Raw_Data!K185&amp;"|"&amp;Raw_Data!L185&amp;"|"&amp;Raw_Data!M185&amp;"|"&amp;Raw_Data!N185&amp;"|"&amp;Raw_Data!O185&amp;"|"&amp;Raw_Data!P185&amp;"|"&amp;Raw_Data!Q185&amp;"|"&amp;Raw_Data!R185&amp;"|"&amp;Raw_Data!S185&amp;"|"&amp;Raw_Data!T185&amp;"|"&amp;Raw_Data!U185&amp;"|"&amp;Raw_Data!V185&amp;"|"&amp;Raw_Data!W185&amp;"|"&amp;Raw_Data!X185&amp;"|"&amp;Raw_Data!Y185&amp;"|"&amp;Raw_Data!Z185&amp;"|"&amp;Raw_Data!AA185&amp;"|"&amp;Raw_Data!AB185&amp;"|"&amp;Raw_Data!AC185&amp;"|"&amp;Raw_Data!AD185&amp;"|"&amp;Raw_Data!AE185&amp;"|"&amp;Raw_Data!AF185&amp;"|"&amp;Raw_Data!AG185&amp;"|"&amp;Raw_Data!AH185&amp;"|"&amp;Raw_Data!AI185&amp;"|"&amp;Raw_Data!AJ185&amp;"|"&amp;Raw_Data!AK185&amp;"|"&amp;Raw_Data!AL185&amp;"|"&amp;Raw_Data!AM185&amp;"|"&amp;Raw_Data!AN185&amp;"|"&amp;Raw_Data!AO185</f>
        <v>1|4|1|1|2|2|4|3|3|28|1|1|2|1|5|4|4|2|3|5|4|4|4|4|2|5|4|2|2|1|3|2|2|4|4|4|5|5|4|5|1</v>
      </c>
      <c r="Q187" s="3" t="n">
        <f aca="false">COUNTIF($P$4:$P$513,P187)</f>
        <v>1</v>
      </c>
    </row>
    <row r="188" customFormat="false" ht="15" hidden="false" customHeight="false" outlineLevel="0" collapsed="false">
      <c r="O188" s="3" t="n">
        <v>186</v>
      </c>
      <c r="P188" s="3" t="str">
        <f aca="false">Raw_Data!A186&amp;"|"&amp;Raw_Data!B186&amp;"|"&amp;Raw_Data!C186&amp;"|"&amp;Raw_Data!D186&amp;"|"&amp;Raw_Data!E186&amp;"|"&amp;Raw_Data!F186&amp;"|"&amp;Raw_Data!G186&amp;"|"&amp;Raw_Data!H186&amp;"|"&amp;Raw_Data!I186&amp;"|"&amp;Raw_Data!J186&amp;"|"&amp;Raw_Data!K186&amp;"|"&amp;Raw_Data!L186&amp;"|"&amp;Raw_Data!M186&amp;"|"&amp;Raw_Data!N186&amp;"|"&amp;Raw_Data!O186&amp;"|"&amp;Raw_Data!P186&amp;"|"&amp;Raw_Data!Q186&amp;"|"&amp;Raw_Data!R186&amp;"|"&amp;Raw_Data!S186&amp;"|"&amp;Raw_Data!T186&amp;"|"&amp;Raw_Data!U186&amp;"|"&amp;Raw_Data!V186&amp;"|"&amp;Raw_Data!W186&amp;"|"&amp;Raw_Data!X186&amp;"|"&amp;Raw_Data!Y186&amp;"|"&amp;Raw_Data!Z186&amp;"|"&amp;Raw_Data!AA186&amp;"|"&amp;Raw_Data!AB186&amp;"|"&amp;Raw_Data!AC186&amp;"|"&amp;Raw_Data!AD186&amp;"|"&amp;Raw_Data!AE186&amp;"|"&amp;Raw_Data!AF186&amp;"|"&amp;Raw_Data!AG186&amp;"|"&amp;Raw_Data!AH186&amp;"|"&amp;Raw_Data!AI186&amp;"|"&amp;Raw_Data!AJ186&amp;"|"&amp;Raw_Data!AK186&amp;"|"&amp;Raw_Data!AL186&amp;"|"&amp;Raw_Data!AM186&amp;"|"&amp;Raw_Data!AN186&amp;"|"&amp;Raw_Data!AO186</f>
        <v>0|4|1|2|2|2|2|1|1|24|3|3|4|3|5|4|4|5|4|5|5|4|4|4|4|4|5|2|1|1|3|3|5|4|3|4|4|5|4|2|4</v>
      </c>
      <c r="Q188" s="3" t="n">
        <f aca="false">COUNTIF($P$4:$P$513,P188)</f>
        <v>1</v>
      </c>
    </row>
    <row r="189" customFormat="false" ht="15" hidden="false" customHeight="false" outlineLevel="0" collapsed="false">
      <c r="O189" s="3" t="n">
        <v>187</v>
      </c>
      <c r="P189" s="3" t="str">
        <f aca="false">Raw_Data!A187&amp;"|"&amp;Raw_Data!B187&amp;"|"&amp;Raw_Data!C187&amp;"|"&amp;Raw_Data!D187&amp;"|"&amp;Raw_Data!E187&amp;"|"&amp;Raw_Data!F187&amp;"|"&amp;Raw_Data!G187&amp;"|"&amp;Raw_Data!H187&amp;"|"&amp;Raw_Data!I187&amp;"|"&amp;Raw_Data!J187&amp;"|"&amp;Raw_Data!K187&amp;"|"&amp;Raw_Data!L187&amp;"|"&amp;Raw_Data!M187&amp;"|"&amp;Raw_Data!N187&amp;"|"&amp;Raw_Data!O187&amp;"|"&amp;Raw_Data!P187&amp;"|"&amp;Raw_Data!Q187&amp;"|"&amp;Raw_Data!R187&amp;"|"&amp;Raw_Data!S187&amp;"|"&amp;Raw_Data!T187&amp;"|"&amp;Raw_Data!U187&amp;"|"&amp;Raw_Data!V187&amp;"|"&amp;Raw_Data!W187&amp;"|"&amp;Raw_Data!X187&amp;"|"&amp;Raw_Data!Y187&amp;"|"&amp;Raw_Data!Z187&amp;"|"&amp;Raw_Data!AA187&amp;"|"&amp;Raw_Data!AB187&amp;"|"&amp;Raw_Data!AC187&amp;"|"&amp;Raw_Data!AD187&amp;"|"&amp;Raw_Data!AE187&amp;"|"&amp;Raw_Data!AF187&amp;"|"&amp;Raw_Data!AG187&amp;"|"&amp;Raw_Data!AH187&amp;"|"&amp;Raw_Data!AI187&amp;"|"&amp;Raw_Data!AJ187&amp;"|"&amp;Raw_Data!AK187&amp;"|"&amp;Raw_Data!AL187&amp;"|"&amp;Raw_Data!AM187&amp;"|"&amp;Raw_Data!AN187&amp;"|"&amp;Raw_Data!AO187</f>
        <v>0|3|1|1|2|2|1|2|1|23|3|3|4|3|2|3|2|4|4|4|3|4|4|3|4|2|3|3|2|3|3|2|3|3|4|4|3|3|4|4|3</v>
      </c>
      <c r="Q189" s="3" t="n">
        <f aca="false">COUNTIF($P$4:$P$513,P189)</f>
        <v>1</v>
      </c>
    </row>
    <row r="190" customFormat="false" ht="15" hidden="false" customHeight="false" outlineLevel="0" collapsed="false">
      <c r="O190" s="3" t="n">
        <v>188</v>
      </c>
      <c r="P190" s="3" t="str">
        <f aca="false">Raw_Data!A188&amp;"|"&amp;Raw_Data!B188&amp;"|"&amp;Raw_Data!C188&amp;"|"&amp;Raw_Data!D188&amp;"|"&amp;Raw_Data!E188&amp;"|"&amp;Raw_Data!F188&amp;"|"&amp;Raw_Data!G188&amp;"|"&amp;Raw_Data!H188&amp;"|"&amp;Raw_Data!I188&amp;"|"&amp;Raw_Data!J188&amp;"|"&amp;Raw_Data!K188&amp;"|"&amp;Raw_Data!L188&amp;"|"&amp;Raw_Data!M188&amp;"|"&amp;Raw_Data!N188&amp;"|"&amp;Raw_Data!O188&amp;"|"&amp;Raw_Data!P188&amp;"|"&amp;Raw_Data!Q188&amp;"|"&amp;Raw_Data!R188&amp;"|"&amp;Raw_Data!S188&amp;"|"&amp;Raw_Data!T188&amp;"|"&amp;Raw_Data!U188&amp;"|"&amp;Raw_Data!V188&amp;"|"&amp;Raw_Data!W188&amp;"|"&amp;Raw_Data!X188&amp;"|"&amp;Raw_Data!Y188&amp;"|"&amp;Raw_Data!Z188&amp;"|"&amp;Raw_Data!AA188&amp;"|"&amp;Raw_Data!AB188&amp;"|"&amp;Raw_Data!AC188&amp;"|"&amp;Raw_Data!AD188&amp;"|"&amp;Raw_Data!AE188&amp;"|"&amp;Raw_Data!AF188&amp;"|"&amp;Raw_Data!AG188&amp;"|"&amp;Raw_Data!AH188&amp;"|"&amp;Raw_Data!AI188&amp;"|"&amp;Raw_Data!AJ188&amp;"|"&amp;Raw_Data!AK188&amp;"|"&amp;Raw_Data!AL188&amp;"|"&amp;Raw_Data!AM188&amp;"|"&amp;Raw_Data!AN188&amp;"|"&amp;Raw_Data!AO188</f>
        <v>1|4|1|1|2|2|4|2|3|26|4|4|5|4|3|4|4|2|4|4|5|3|3|3|3|3|4|3|1|2|3|3|3|3|3|4|3|5|3|2|3</v>
      </c>
      <c r="Q190" s="3" t="n">
        <f aca="false">COUNTIF($P$4:$P$513,P190)</f>
        <v>1</v>
      </c>
    </row>
    <row r="191" customFormat="false" ht="15" hidden="false" customHeight="false" outlineLevel="0" collapsed="false">
      <c r="O191" s="3" t="n">
        <v>189</v>
      </c>
      <c r="P191" s="3" t="str">
        <f aca="false">Raw_Data!A189&amp;"|"&amp;Raw_Data!B189&amp;"|"&amp;Raw_Data!C189&amp;"|"&amp;Raw_Data!D189&amp;"|"&amp;Raw_Data!E189&amp;"|"&amp;Raw_Data!F189&amp;"|"&amp;Raw_Data!G189&amp;"|"&amp;Raw_Data!H189&amp;"|"&amp;Raw_Data!I189&amp;"|"&amp;Raw_Data!J189&amp;"|"&amp;Raw_Data!K189&amp;"|"&amp;Raw_Data!L189&amp;"|"&amp;Raw_Data!M189&amp;"|"&amp;Raw_Data!N189&amp;"|"&amp;Raw_Data!O189&amp;"|"&amp;Raw_Data!P189&amp;"|"&amp;Raw_Data!Q189&amp;"|"&amp;Raw_Data!R189&amp;"|"&amp;Raw_Data!S189&amp;"|"&amp;Raw_Data!T189&amp;"|"&amp;Raw_Data!U189&amp;"|"&amp;Raw_Data!V189&amp;"|"&amp;Raw_Data!W189&amp;"|"&amp;Raw_Data!X189&amp;"|"&amp;Raw_Data!Y189&amp;"|"&amp;Raw_Data!Z189&amp;"|"&amp;Raw_Data!AA189&amp;"|"&amp;Raw_Data!AB189&amp;"|"&amp;Raw_Data!AC189&amp;"|"&amp;Raw_Data!AD189&amp;"|"&amp;Raw_Data!AE189&amp;"|"&amp;Raw_Data!AF189&amp;"|"&amp;Raw_Data!AG189&amp;"|"&amp;Raw_Data!AH189&amp;"|"&amp;Raw_Data!AI189&amp;"|"&amp;Raw_Data!AJ189&amp;"|"&amp;Raw_Data!AK189&amp;"|"&amp;Raw_Data!AL189&amp;"|"&amp;Raw_Data!AM189&amp;"|"&amp;Raw_Data!AN189&amp;"|"&amp;Raw_Data!AO189</f>
        <v>0|4|1|1|2|2|1|2|1|23|5|5|5|5|5|1|5|1|5|5|5|3|5|5|3|5|5|5|1|1|4|5|5|5|3|5|1|5|5|3|5</v>
      </c>
      <c r="Q191" s="3" t="n">
        <f aca="false">COUNTIF($P$4:$P$513,P191)</f>
        <v>1</v>
      </c>
    </row>
    <row r="192" customFormat="false" ht="15" hidden="false" customHeight="false" outlineLevel="0" collapsed="false">
      <c r="O192" s="3" t="n">
        <v>190</v>
      </c>
      <c r="P192" s="3" t="str">
        <f aca="false">Raw_Data!A190&amp;"|"&amp;Raw_Data!B190&amp;"|"&amp;Raw_Data!C190&amp;"|"&amp;Raw_Data!D190&amp;"|"&amp;Raw_Data!E190&amp;"|"&amp;Raw_Data!F190&amp;"|"&amp;Raw_Data!G190&amp;"|"&amp;Raw_Data!H190&amp;"|"&amp;Raw_Data!I190&amp;"|"&amp;Raw_Data!J190&amp;"|"&amp;Raw_Data!K190&amp;"|"&amp;Raw_Data!L190&amp;"|"&amp;Raw_Data!M190&amp;"|"&amp;Raw_Data!N190&amp;"|"&amp;Raw_Data!O190&amp;"|"&amp;Raw_Data!P190&amp;"|"&amp;Raw_Data!Q190&amp;"|"&amp;Raw_Data!R190&amp;"|"&amp;Raw_Data!S190&amp;"|"&amp;Raw_Data!T190&amp;"|"&amp;Raw_Data!U190&amp;"|"&amp;Raw_Data!V190&amp;"|"&amp;Raw_Data!W190&amp;"|"&amp;Raw_Data!X190&amp;"|"&amp;Raw_Data!Y190&amp;"|"&amp;Raw_Data!Z190&amp;"|"&amp;Raw_Data!AA190&amp;"|"&amp;Raw_Data!AB190&amp;"|"&amp;Raw_Data!AC190&amp;"|"&amp;Raw_Data!AD190&amp;"|"&amp;Raw_Data!AE190&amp;"|"&amp;Raw_Data!AF190&amp;"|"&amp;Raw_Data!AG190&amp;"|"&amp;Raw_Data!AH190&amp;"|"&amp;Raw_Data!AI190&amp;"|"&amp;Raw_Data!AJ190&amp;"|"&amp;Raw_Data!AK190&amp;"|"&amp;Raw_Data!AL190&amp;"|"&amp;Raw_Data!AM190&amp;"|"&amp;Raw_Data!AN190&amp;"|"&amp;Raw_Data!AO190</f>
        <v>0|4|1|1|2|2|1|2|3|26|4|4|4|4|3|4|4|4|4|5|5|3|4|4|3|4|4|3|2|2|3|2|4|3|2|4|4|5|3|4|2</v>
      </c>
      <c r="Q192" s="3" t="n">
        <f aca="false">COUNTIF($P$4:$P$513,P192)</f>
        <v>1</v>
      </c>
    </row>
    <row r="193" customFormat="false" ht="15" hidden="false" customHeight="false" outlineLevel="0" collapsed="false">
      <c r="O193" s="3" t="n">
        <v>191</v>
      </c>
      <c r="P193" s="3" t="str">
        <f aca="false">Raw_Data!A191&amp;"|"&amp;Raw_Data!B191&amp;"|"&amp;Raw_Data!C191&amp;"|"&amp;Raw_Data!D191&amp;"|"&amp;Raw_Data!E191&amp;"|"&amp;Raw_Data!F191&amp;"|"&amp;Raw_Data!G191&amp;"|"&amp;Raw_Data!H191&amp;"|"&amp;Raw_Data!I191&amp;"|"&amp;Raw_Data!J191&amp;"|"&amp;Raw_Data!K191&amp;"|"&amp;Raw_Data!L191&amp;"|"&amp;Raw_Data!M191&amp;"|"&amp;Raw_Data!N191&amp;"|"&amp;Raw_Data!O191&amp;"|"&amp;Raw_Data!P191&amp;"|"&amp;Raw_Data!Q191&amp;"|"&amp;Raw_Data!R191&amp;"|"&amp;Raw_Data!S191&amp;"|"&amp;Raw_Data!T191&amp;"|"&amp;Raw_Data!U191&amp;"|"&amp;Raw_Data!V191&amp;"|"&amp;Raw_Data!W191&amp;"|"&amp;Raw_Data!X191&amp;"|"&amp;Raw_Data!Y191&amp;"|"&amp;Raw_Data!Z191&amp;"|"&amp;Raw_Data!AA191&amp;"|"&amp;Raw_Data!AB191&amp;"|"&amp;Raw_Data!AC191&amp;"|"&amp;Raw_Data!AD191&amp;"|"&amp;Raw_Data!AE191&amp;"|"&amp;Raw_Data!AF191&amp;"|"&amp;Raw_Data!AG191&amp;"|"&amp;Raw_Data!AH191&amp;"|"&amp;Raw_Data!AI191&amp;"|"&amp;Raw_Data!AJ191&amp;"|"&amp;Raw_Data!AK191&amp;"|"&amp;Raw_Data!AL191&amp;"|"&amp;Raw_Data!AM191&amp;"|"&amp;Raw_Data!AN191&amp;"|"&amp;Raw_Data!AO191</f>
        <v>0|6|2|1|2|2|2|3|1|23|1|2|2|1|2|1|1|1|2|4|1|2|2|2|2|2|1|2|1|1|2|1|2|2|2|2|1|1|2|2|1</v>
      </c>
      <c r="Q193" s="3" t="n">
        <f aca="false">COUNTIF($P$4:$P$513,P193)</f>
        <v>1</v>
      </c>
    </row>
    <row r="194" customFormat="false" ht="15" hidden="false" customHeight="false" outlineLevel="0" collapsed="false">
      <c r="O194" s="3" t="n">
        <v>192</v>
      </c>
      <c r="P194" s="3" t="str">
        <f aca="false">Raw_Data!A192&amp;"|"&amp;Raw_Data!B192&amp;"|"&amp;Raw_Data!C192&amp;"|"&amp;Raw_Data!D192&amp;"|"&amp;Raw_Data!E192&amp;"|"&amp;Raw_Data!F192&amp;"|"&amp;Raw_Data!G192&amp;"|"&amp;Raw_Data!H192&amp;"|"&amp;Raw_Data!I192&amp;"|"&amp;Raw_Data!J192&amp;"|"&amp;Raw_Data!K192&amp;"|"&amp;Raw_Data!L192&amp;"|"&amp;Raw_Data!M192&amp;"|"&amp;Raw_Data!N192&amp;"|"&amp;Raw_Data!O192&amp;"|"&amp;Raw_Data!P192&amp;"|"&amp;Raw_Data!Q192&amp;"|"&amp;Raw_Data!R192&amp;"|"&amp;Raw_Data!S192&amp;"|"&amp;Raw_Data!T192&amp;"|"&amp;Raw_Data!U192&amp;"|"&amp;Raw_Data!V192&amp;"|"&amp;Raw_Data!W192&amp;"|"&amp;Raw_Data!X192&amp;"|"&amp;Raw_Data!Y192&amp;"|"&amp;Raw_Data!Z192&amp;"|"&amp;Raw_Data!AA192&amp;"|"&amp;Raw_Data!AB192&amp;"|"&amp;Raw_Data!AC192&amp;"|"&amp;Raw_Data!AD192&amp;"|"&amp;Raw_Data!AE192&amp;"|"&amp;Raw_Data!AF192&amp;"|"&amp;Raw_Data!AG192&amp;"|"&amp;Raw_Data!AH192&amp;"|"&amp;Raw_Data!AI192&amp;"|"&amp;Raw_Data!AJ192&amp;"|"&amp;Raw_Data!AK192&amp;"|"&amp;Raw_Data!AL192&amp;"|"&amp;Raw_Data!AM192&amp;"|"&amp;Raw_Data!AN192&amp;"|"&amp;Raw_Data!AO192</f>
        <v>0|3|1|2|2|2|1|1|1|24|4|4|4|4|4|4|4|4|4|5|4|3|2|4|4|4|4|4|3|3|3|3|3|3|2|5|4|5|4|3|3</v>
      </c>
      <c r="Q194" s="3" t="n">
        <f aca="false">COUNTIF($P$4:$P$513,P194)</f>
        <v>1</v>
      </c>
    </row>
    <row r="195" customFormat="false" ht="15" hidden="false" customHeight="false" outlineLevel="0" collapsed="false">
      <c r="O195" s="3" t="n">
        <v>193</v>
      </c>
      <c r="P195" s="3" t="str">
        <f aca="false">Raw_Data!A193&amp;"|"&amp;Raw_Data!B193&amp;"|"&amp;Raw_Data!C193&amp;"|"&amp;Raw_Data!D193&amp;"|"&amp;Raw_Data!E193&amp;"|"&amp;Raw_Data!F193&amp;"|"&amp;Raw_Data!G193&amp;"|"&amp;Raw_Data!H193&amp;"|"&amp;Raw_Data!I193&amp;"|"&amp;Raw_Data!J193&amp;"|"&amp;Raw_Data!K193&amp;"|"&amp;Raw_Data!L193&amp;"|"&amp;Raw_Data!M193&amp;"|"&amp;Raw_Data!N193&amp;"|"&amp;Raw_Data!O193&amp;"|"&amp;Raw_Data!P193&amp;"|"&amp;Raw_Data!Q193&amp;"|"&amp;Raw_Data!R193&amp;"|"&amp;Raw_Data!S193&amp;"|"&amp;Raw_Data!T193&amp;"|"&amp;Raw_Data!U193&amp;"|"&amp;Raw_Data!V193&amp;"|"&amp;Raw_Data!W193&amp;"|"&amp;Raw_Data!X193&amp;"|"&amp;Raw_Data!Y193&amp;"|"&amp;Raw_Data!Z193&amp;"|"&amp;Raw_Data!AA193&amp;"|"&amp;Raw_Data!AB193&amp;"|"&amp;Raw_Data!AC193&amp;"|"&amp;Raw_Data!AD193&amp;"|"&amp;Raw_Data!AE193&amp;"|"&amp;Raw_Data!AF193&amp;"|"&amp;Raw_Data!AG193&amp;"|"&amp;Raw_Data!AH193&amp;"|"&amp;Raw_Data!AI193&amp;"|"&amp;Raw_Data!AJ193&amp;"|"&amp;Raw_Data!AK193&amp;"|"&amp;Raw_Data!AL193&amp;"|"&amp;Raw_Data!AM193&amp;"|"&amp;Raw_Data!AN193&amp;"|"&amp;Raw_Data!AO193</f>
        <v>0|3|1|1|2|2|2|1|1|22|5|5|5|5|5|2|5|4|5|5|5|5|5|5|3|5|5|3|1|1|5|4|5|2|5|5|2|5|5|2|4</v>
      </c>
      <c r="Q195" s="3" t="n">
        <f aca="false">COUNTIF($P$4:$P$513,P195)</f>
        <v>1</v>
      </c>
    </row>
    <row r="196" customFormat="false" ht="15" hidden="false" customHeight="false" outlineLevel="0" collapsed="false">
      <c r="O196" s="3" t="n">
        <v>194</v>
      </c>
      <c r="P196" s="3" t="str">
        <f aca="false">Raw_Data!A194&amp;"|"&amp;Raw_Data!B194&amp;"|"&amp;Raw_Data!C194&amp;"|"&amp;Raw_Data!D194&amp;"|"&amp;Raw_Data!E194&amp;"|"&amp;Raw_Data!F194&amp;"|"&amp;Raw_Data!G194&amp;"|"&amp;Raw_Data!H194&amp;"|"&amp;Raw_Data!I194&amp;"|"&amp;Raw_Data!J194&amp;"|"&amp;Raw_Data!K194&amp;"|"&amp;Raw_Data!L194&amp;"|"&amp;Raw_Data!M194&amp;"|"&amp;Raw_Data!N194&amp;"|"&amp;Raw_Data!O194&amp;"|"&amp;Raw_Data!P194&amp;"|"&amp;Raw_Data!Q194&amp;"|"&amp;Raw_Data!R194&amp;"|"&amp;Raw_Data!S194&amp;"|"&amp;Raw_Data!T194&amp;"|"&amp;Raw_Data!U194&amp;"|"&amp;Raw_Data!V194&amp;"|"&amp;Raw_Data!W194&amp;"|"&amp;Raw_Data!X194&amp;"|"&amp;Raw_Data!Y194&amp;"|"&amp;Raw_Data!Z194&amp;"|"&amp;Raw_Data!AA194&amp;"|"&amp;Raw_Data!AB194&amp;"|"&amp;Raw_Data!AC194&amp;"|"&amp;Raw_Data!AD194&amp;"|"&amp;Raw_Data!AE194&amp;"|"&amp;Raw_Data!AF194&amp;"|"&amp;Raw_Data!AG194&amp;"|"&amp;Raw_Data!AH194&amp;"|"&amp;Raw_Data!AI194&amp;"|"&amp;Raw_Data!AJ194&amp;"|"&amp;Raw_Data!AK194&amp;"|"&amp;Raw_Data!AL194&amp;"|"&amp;Raw_Data!AM194&amp;"|"&amp;Raw_Data!AN194&amp;"|"&amp;Raw_Data!AO194</f>
        <v>0|6|1|1|2|2|3|2|1|23|2|1|2|1|4|2|4|2|5|2|3|4|3|3|4|4|5|4|1|2|1|1|1|4|5|1|3|5|1|1|2</v>
      </c>
      <c r="Q196" s="3" t="n">
        <f aca="false">COUNTIF($P$4:$P$513,P196)</f>
        <v>1</v>
      </c>
    </row>
    <row r="197" customFormat="false" ht="15" hidden="false" customHeight="false" outlineLevel="0" collapsed="false">
      <c r="O197" s="3" t="n">
        <v>195</v>
      </c>
      <c r="P197" s="3" t="str">
        <f aca="false">Raw_Data!A195&amp;"|"&amp;Raw_Data!B195&amp;"|"&amp;Raw_Data!C195&amp;"|"&amp;Raw_Data!D195&amp;"|"&amp;Raw_Data!E195&amp;"|"&amp;Raw_Data!F195&amp;"|"&amp;Raw_Data!G195&amp;"|"&amp;Raw_Data!H195&amp;"|"&amp;Raw_Data!I195&amp;"|"&amp;Raw_Data!J195&amp;"|"&amp;Raw_Data!K195&amp;"|"&amp;Raw_Data!L195&amp;"|"&amp;Raw_Data!M195&amp;"|"&amp;Raw_Data!N195&amp;"|"&amp;Raw_Data!O195&amp;"|"&amp;Raw_Data!P195&amp;"|"&amp;Raw_Data!Q195&amp;"|"&amp;Raw_Data!R195&amp;"|"&amp;Raw_Data!S195&amp;"|"&amp;Raw_Data!T195&amp;"|"&amp;Raw_Data!U195&amp;"|"&amp;Raw_Data!V195&amp;"|"&amp;Raw_Data!W195&amp;"|"&amp;Raw_Data!X195&amp;"|"&amp;Raw_Data!Y195&amp;"|"&amp;Raw_Data!Z195&amp;"|"&amp;Raw_Data!AA195&amp;"|"&amp;Raw_Data!AB195&amp;"|"&amp;Raw_Data!AC195&amp;"|"&amp;Raw_Data!AD195&amp;"|"&amp;Raw_Data!AE195&amp;"|"&amp;Raw_Data!AF195&amp;"|"&amp;Raw_Data!AG195&amp;"|"&amp;Raw_Data!AH195&amp;"|"&amp;Raw_Data!AI195&amp;"|"&amp;Raw_Data!AJ195&amp;"|"&amp;Raw_Data!AK195&amp;"|"&amp;Raw_Data!AL195&amp;"|"&amp;Raw_Data!AM195&amp;"|"&amp;Raw_Data!AN195&amp;"|"&amp;Raw_Data!AO195</f>
        <v>0|4|1|1|2|2|2|2|3|26|2|4|2|2|4|2|4|3|1|1|4|2|4|4|2|4|4|1|2|2|4|2|4|2|3|2|4|4|3|3|4</v>
      </c>
      <c r="Q197" s="3" t="n">
        <f aca="false">COUNTIF($P$4:$P$513,P197)</f>
        <v>1</v>
      </c>
    </row>
    <row r="198" customFormat="false" ht="15" hidden="false" customHeight="false" outlineLevel="0" collapsed="false">
      <c r="O198" s="3" t="n">
        <v>196</v>
      </c>
      <c r="P198" s="3" t="str">
        <f aca="false">Raw_Data!A196&amp;"|"&amp;Raw_Data!B196&amp;"|"&amp;Raw_Data!C196&amp;"|"&amp;Raw_Data!D196&amp;"|"&amp;Raw_Data!E196&amp;"|"&amp;Raw_Data!F196&amp;"|"&amp;Raw_Data!G196&amp;"|"&amp;Raw_Data!H196&amp;"|"&amp;Raw_Data!I196&amp;"|"&amp;Raw_Data!J196&amp;"|"&amp;Raw_Data!K196&amp;"|"&amp;Raw_Data!L196&amp;"|"&amp;Raw_Data!M196&amp;"|"&amp;Raw_Data!N196&amp;"|"&amp;Raw_Data!O196&amp;"|"&amp;Raw_Data!P196&amp;"|"&amp;Raw_Data!Q196&amp;"|"&amp;Raw_Data!R196&amp;"|"&amp;Raw_Data!S196&amp;"|"&amp;Raw_Data!T196&amp;"|"&amp;Raw_Data!U196&amp;"|"&amp;Raw_Data!V196&amp;"|"&amp;Raw_Data!W196&amp;"|"&amp;Raw_Data!X196&amp;"|"&amp;Raw_Data!Y196&amp;"|"&amp;Raw_Data!Z196&amp;"|"&amp;Raw_Data!AA196&amp;"|"&amp;Raw_Data!AB196&amp;"|"&amp;Raw_Data!AC196&amp;"|"&amp;Raw_Data!AD196&amp;"|"&amp;Raw_Data!AE196&amp;"|"&amp;Raw_Data!AF196&amp;"|"&amp;Raw_Data!AG196&amp;"|"&amp;Raw_Data!AH196&amp;"|"&amp;Raw_Data!AI196&amp;"|"&amp;Raw_Data!AJ196&amp;"|"&amp;Raw_Data!AK196&amp;"|"&amp;Raw_Data!AL196&amp;"|"&amp;Raw_Data!AM196&amp;"|"&amp;Raw_Data!AN196&amp;"|"&amp;Raw_Data!AO196</f>
        <v>|6|2|2|2|2|2|1|1|24|3|4|3|3|2|1|3|4|5|5|4|5|5|5|5|5|5|1|1|2|5|3|5|4|5|5|2|4|5|2|2</v>
      </c>
      <c r="Q198" s="3" t="n">
        <f aca="false">COUNTIF($P$4:$P$513,P198)</f>
        <v>1</v>
      </c>
    </row>
    <row r="199" customFormat="false" ht="15" hidden="false" customHeight="false" outlineLevel="0" collapsed="false">
      <c r="O199" s="3" t="n">
        <v>197</v>
      </c>
      <c r="P199" s="3" t="str">
        <f aca="false">Raw_Data!A197&amp;"|"&amp;Raw_Data!B197&amp;"|"&amp;Raw_Data!C197&amp;"|"&amp;Raw_Data!D197&amp;"|"&amp;Raw_Data!E197&amp;"|"&amp;Raw_Data!F197&amp;"|"&amp;Raw_Data!G197&amp;"|"&amp;Raw_Data!H197&amp;"|"&amp;Raw_Data!I197&amp;"|"&amp;Raw_Data!J197&amp;"|"&amp;Raw_Data!K197&amp;"|"&amp;Raw_Data!L197&amp;"|"&amp;Raw_Data!M197&amp;"|"&amp;Raw_Data!N197&amp;"|"&amp;Raw_Data!O197&amp;"|"&amp;Raw_Data!P197&amp;"|"&amp;Raw_Data!Q197&amp;"|"&amp;Raw_Data!R197&amp;"|"&amp;Raw_Data!S197&amp;"|"&amp;Raw_Data!T197&amp;"|"&amp;Raw_Data!U197&amp;"|"&amp;Raw_Data!V197&amp;"|"&amp;Raw_Data!W197&amp;"|"&amp;Raw_Data!X197&amp;"|"&amp;Raw_Data!Y197&amp;"|"&amp;Raw_Data!Z197&amp;"|"&amp;Raw_Data!AA197&amp;"|"&amp;Raw_Data!AB197&amp;"|"&amp;Raw_Data!AC197&amp;"|"&amp;Raw_Data!AD197&amp;"|"&amp;Raw_Data!AE197&amp;"|"&amp;Raw_Data!AF197&amp;"|"&amp;Raw_Data!AG197&amp;"|"&amp;Raw_Data!AH197&amp;"|"&amp;Raw_Data!AI197&amp;"|"&amp;Raw_Data!AJ197&amp;"|"&amp;Raw_Data!AK197&amp;"|"&amp;Raw_Data!AL197&amp;"|"&amp;Raw_Data!AM197&amp;"|"&amp;Raw_Data!AN197&amp;"|"&amp;Raw_Data!AO197</f>
        <v>|3|2|2|2|2|2|1|1|23|3|4|4|4|3|2|4|3|4|4|2|3|4|3|3|4|3|4|3|2|4|4|4|3|3|5|2|4|3|3|4</v>
      </c>
      <c r="Q199" s="3" t="n">
        <f aca="false">COUNTIF($P$4:$P$513,P199)</f>
        <v>1</v>
      </c>
    </row>
    <row r="200" customFormat="false" ht="15" hidden="false" customHeight="false" outlineLevel="0" collapsed="false">
      <c r="O200" s="3" t="n">
        <v>198</v>
      </c>
      <c r="P200" s="3" t="str">
        <f aca="false">Raw_Data!A198&amp;"|"&amp;Raw_Data!B198&amp;"|"&amp;Raw_Data!C198&amp;"|"&amp;Raw_Data!D198&amp;"|"&amp;Raw_Data!E198&amp;"|"&amp;Raw_Data!F198&amp;"|"&amp;Raw_Data!G198&amp;"|"&amp;Raw_Data!H198&amp;"|"&amp;Raw_Data!I198&amp;"|"&amp;Raw_Data!J198&amp;"|"&amp;Raw_Data!K198&amp;"|"&amp;Raw_Data!L198&amp;"|"&amp;Raw_Data!M198&amp;"|"&amp;Raw_Data!N198&amp;"|"&amp;Raw_Data!O198&amp;"|"&amp;Raw_Data!P198&amp;"|"&amp;Raw_Data!Q198&amp;"|"&amp;Raw_Data!R198&amp;"|"&amp;Raw_Data!S198&amp;"|"&amp;Raw_Data!T198&amp;"|"&amp;Raw_Data!U198&amp;"|"&amp;Raw_Data!V198&amp;"|"&amp;Raw_Data!W198&amp;"|"&amp;Raw_Data!X198&amp;"|"&amp;Raw_Data!Y198&amp;"|"&amp;Raw_Data!Z198&amp;"|"&amp;Raw_Data!AA198&amp;"|"&amp;Raw_Data!AB198&amp;"|"&amp;Raw_Data!AC198&amp;"|"&amp;Raw_Data!AD198&amp;"|"&amp;Raw_Data!AE198&amp;"|"&amp;Raw_Data!AF198&amp;"|"&amp;Raw_Data!AG198&amp;"|"&amp;Raw_Data!AH198&amp;"|"&amp;Raw_Data!AI198&amp;"|"&amp;Raw_Data!AJ198&amp;"|"&amp;Raw_Data!AK198&amp;"|"&amp;Raw_Data!AL198&amp;"|"&amp;Raw_Data!AM198&amp;"|"&amp;Raw_Data!AN198&amp;"|"&amp;Raw_Data!AO198</f>
        <v>|4|1|1|2|2|4|3|1|22|2|3|3|3|2|4|2|2|3|3|4|5|2|5|2|3|3|3|2|3|2|3|2|5|4|2|3|3|3|3|2</v>
      </c>
      <c r="Q200" s="3" t="n">
        <f aca="false">COUNTIF($P$4:$P$513,P200)</f>
        <v>1</v>
      </c>
    </row>
    <row r="201" customFormat="false" ht="15" hidden="false" customHeight="false" outlineLevel="0" collapsed="false">
      <c r="O201" s="3" t="n">
        <v>199</v>
      </c>
      <c r="P201" s="3" t="str">
        <f aca="false">Raw_Data!A199&amp;"|"&amp;Raw_Data!B199&amp;"|"&amp;Raw_Data!C199&amp;"|"&amp;Raw_Data!D199&amp;"|"&amp;Raw_Data!E199&amp;"|"&amp;Raw_Data!F199&amp;"|"&amp;Raw_Data!G199&amp;"|"&amp;Raw_Data!H199&amp;"|"&amp;Raw_Data!I199&amp;"|"&amp;Raw_Data!J199&amp;"|"&amp;Raw_Data!K199&amp;"|"&amp;Raw_Data!L199&amp;"|"&amp;Raw_Data!M199&amp;"|"&amp;Raw_Data!N199&amp;"|"&amp;Raw_Data!O199&amp;"|"&amp;Raw_Data!P199&amp;"|"&amp;Raw_Data!Q199&amp;"|"&amp;Raw_Data!R199&amp;"|"&amp;Raw_Data!S199&amp;"|"&amp;Raw_Data!T199&amp;"|"&amp;Raw_Data!U199&amp;"|"&amp;Raw_Data!V199&amp;"|"&amp;Raw_Data!W199&amp;"|"&amp;Raw_Data!X199&amp;"|"&amp;Raw_Data!Y199&amp;"|"&amp;Raw_Data!Z199&amp;"|"&amp;Raw_Data!AA199&amp;"|"&amp;Raw_Data!AB199&amp;"|"&amp;Raw_Data!AC199&amp;"|"&amp;Raw_Data!AD199&amp;"|"&amp;Raw_Data!AE199&amp;"|"&amp;Raw_Data!AF199&amp;"|"&amp;Raw_Data!AG199&amp;"|"&amp;Raw_Data!AH199&amp;"|"&amp;Raw_Data!AI199&amp;"|"&amp;Raw_Data!AJ199&amp;"|"&amp;Raw_Data!AK199&amp;"|"&amp;Raw_Data!AL199&amp;"|"&amp;Raw_Data!AM199&amp;"|"&amp;Raw_Data!AN199&amp;"|"&amp;Raw_Data!AO199</f>
        <v>1|3|1|2|2|2|1|1|1|22|3|3|4|4|3|2|3|4|3|4|4|3|4|3|2|3|5|2|2|2|3|2|4|3|3|3|4|5|3|2|4</v>
      </c>
      <c r="Q201" s="3" t="n">
        <f aca="false">COUNTIF($P$4:$P$513,P201)</f>
        <v>1</v>
      </c>
    </row>
    <row r="202" customFormat="false" ht="15" hidden="false" customHeight="false" outlineLevel="0" collapsed="false">
      <c r="O202" s="3" t="n">
        <v>200</v>
      </c>
      <c r="P202" s="3" t="str">
        <f aca="false">Raw_Data!A200&amp;"|"&amp;Raw_Data!B200&amp;"|"&amp;Raw_Data!C200&amp;"|"&amp;Raw_Data!D200&amp;"|"&amp;Raw_Data!E200&amp;"|"&amp;Raw_Data!F200&amp;"|"&amp;Raw_Data!G200&amp;"|"&amp;Raw_Data!H200&amp;"|"&amp;Raw_Data!I200&amp;"|"&amp;Raw_Data!J200&amp;"|"&amp;Raw_Data!K200&amp;"|"&amp;Raw_Data!L200&amp;"|"&amp;Raw_Data!M200&amp;"|"&amp;Raw_Data!N200&amp;"|"&amp;Raw_Data!O200&amp;"|"&amp;Raw_Data!P200&amp;"|"&amp;Raw_Data!Q200&amp;"|"&amp;Raw_Data!R200&amp;"|"&amp;Raw_Data!S200&amp;"|"&amp;Raw_Data!T200&amp;"|"&amp;Raw_Data!U200&amp;"|"&amp;Raw_Data!V200&amp;"|"&amp;Raw_Data!W200&amp;"|"&amp;Raw_Data!X200&amp;"|"&amp;Raw_Data!Y200&amp;"|"&amp;Raw_Data!Z200&amp;"|"&amp;Raw_Data!AA200&amp;"|"&amp;Raw_Data!AB200&amp;"|"&amp;Raw_Data!AC200&amp;"|"&amp;Raw_Data!AD200&amp;"|"&amp;Raw_Data!AE200&amp;"|"&amp;Raw_Data!AF200&amp;"|"&amp;Raw_Data!AG200&amp;"|"&amp;Raw_Data!AH200&amp;"|"&amp;Raw_Data!AI200&amp;"|"&amp;Raw_Data!AJ200&amp;"|"&amp;Raw_Data!AK200&amp;"|"&amp;Raw_Data!AL200&amp;"|"&amp;Raw_Data!AM200&amp;"|"&amp;Raw_Data!AN200&amp;"|"&amp;Raw_Data!AO200</f>
        <v>|4|1|2|2|2|4|1|3|26|4|4|4|5|5|4|2|3|5|3|3|3|5|4|5|4|3|3|5|4|4|5|4|4|3|4|4|4|4|4|4</v>
      </c>
      <c r="Q202" s="3" t="n">
        <f aca="false">COUNTIF($P$4:$P$513,P202)</f>
        <v>1</v>
      </c>
    </row>
    <row r="203" customFormat="false" ht="15" hidden="false" customHeight="false" outlineLevel="0" collapsed="false">
      <c r="O203" s="3" t="n">
        <v>201</v>
      </c>
      <c r="P203" s="3" t="str">
        <f aca="false">Raw_Data!A201&amp;"|"&amp;Raw_Data!B201&amp;"|"&amp;Raw_Data!C201&amp;"|"&amp;Raw_Data!D201&amp;"|"&amp;Raw_Data!E201&amp;"|"&amp;Raw_Data!F201&amp;"|"&amp;Raw_Data!G201&amp;"|"&amp;Raw_Data!H201&amp;"|"&amp;Raw_Data!I201&amp;"|"&amp;Raw_Data!J201&amp;"|"&amp;Raw_Data!K201&amp;"|"&amp;Raw_Data!L201&amp;"|"&amp;Raw_Data!M201&amp;"|"&amp;Raw_Data!N201&amp;"|"&amp;Raw_Data!O201&amp;"|"&amp;Raw_Data!P201&amp;"|"&amp;Raw_Data!Q201&amp;"|"&amp;Raw_Data!R201&amp;"|"&amp;Raw_Data!S201&amp;"|"&amp;Raw_Data!T201&amp;"|"&amp;Raw_Data!U201&amp;"|"&amp;Raw_Data!V201&amp;"|"&amp;Raw_Data!W201&amp;"|"&amp;Raw_Data!X201&amp;"|"&amp;Raw_Data!Y201&amp;"|"&amp;Raw_Data!Z201&amp;"|"&amp;Raw_Data!AA201&amp;"|"&amp;Raw_Data!AB201&amp;"|"&amp;Raw_Data!AC201&amp;"|"&amp;Raw_Data!AD201&amp;"|"&amp;Raw_Data!AE201&amp;"|"&amp;Raw_Data!AF201&amp;"|"&amp;Raw_Data!AG201&amp;"|"&amp;Raw_Data!AH201&amp;"|"&amp;Raw_Data!AI201&amp;"|"&amp;Raw_Data!AJ201&amp;"|"&amp;Raw_Data!AK201&amp;"|"&amp;Raw_Data!AL201&amp;"|"&amp;Raw_Data!AM201&amp;"|"&amp;Raw_Data!AN201&amp;"|"&amp;Raw_Data!AO201</f>
        <v>|3|1|1|2|2|3|2|2|25|3|4|4|4|4|3|4|1|1|4|1|4|5|2|4|4|4|4|1|1|2|1|1|1|1|4|2|4|4|2|1</v>
      </c>
      <c r="Q203" s="3" t="n">
        <f aca="false">COUNTIF($P$4:$P$513,P203)</f>
        <v>1</v>
      </c>
    </row>
    <row r="204" customFormat="false" ht="15" hidden="false" customHeight="false" outlineLevel="0" collapsed="false">
      <c r="O204" s="3" t="n">
        <v>202</v>
      </c>
      <c r="P204" s="3" t="str">
        <f aca="false">Raw_Data!A202&amp;"|"&amp;Raw_Data!B202&amp;"|"&amp;Raw_Data!C202&amp;"|"&amp;Raw_Data!D202&amp;"|"&amp;Raw_Data!E202&amp;"|"&amp;Raw_Data!F202&amp;"|"&amp;Raw_Data!G202&amp;"|"&amp;Raw_Data!H202&amp;"|"&amp;Raw_Data!I202&amp;"|"&amp;Raw_Data!J202&amp;"|"&amp;Raw_Data!K202&amp;"|"&amp;Raw_Data!L202&amp;"|"&amp;Raw_Data!M202&amp;"|"&amp;Raw_Data!N202&amp;"|"&amp;Raw_Data!O202&amp;"|"&amp;Raw_Data!P202&amp;"|"&amp;Raw_Data!Q202&amp;"|"&amp;Raw_Data!R202&amp;"|"&amp;Raw_Data!S202&amp;"|"&amp;Raw_Data!T202&amp;"|"&amp;Raw_Data!U202&amp;"|"&amp;Raw_Data!V202&amp;"|"&amp;Raw_Data!W202&amp;"|"&amp;Raw_Data!X202&amp;"|"&amp;Raw_Data!Y202&amp;"|"&amp;Raw_Data!Z202&amp;"|"&amp;Raw_Data!AA202&amp;"|"&amp;Raw_Data!AB202&amp;"|"&amp;Raw_Data!AC202&amp;"|"&amp;Raw_Data!AD202&amp;"|"&amp;Raw_Data!AE202&amp;"|"&amp;Raw_Data!AF202&amp;"|"&amp;Raw_Data!AG202&amp;"|"&amp;Raw_Data!AH202&amp;"|"&amp;Raw_Data!AI202&amp;"|"&amp;Raw_Data!AJ202&amp;"|"&amp;Raw_Data!AK202&amp;"|"&amp;Raw_Data!AL202&amp;"|"&amp;Raw_Data!AM202&amp;"|"&amp;Raw_Data!AN202&amp;"|"&amp;Raw_Data!AO202</f>
        <v>0|3|1|1|2|2|3|2|1|21|4|2|4|3|4|4|3|3|4|4|4|4|4|4|2|3|4|4|2|3|2|2|4|4|4|5|4|4|3|5|2</v>
      </c>
      <c r="Q204" s="3" t="n">
        <f aca="false">COUNTIF($P$4:$P$513,P204)</f>
        <v>1</v>
      </c>
    </row>
    <row r="205" customFormat="false" ht="15" hidden="false" customHeight="false" outlineLevel="0" collapsed="false">
      <c r="O205" s="3" t="n">
        <v>203</v>
      </c>
      <c r="P205" s="3" t="str">
        <f aca="false">Raw_Data!A203&amp;"|"&amp;Raw_Data!B203&amp;"|"&amp;Raw_Data!C203&amp;"|"&amp;Raw_Data!D203&amp;"|"&amp;Raw_Data!E203&amp;"|"&amp;Raw_Data!F203&amp;"|"&amp;Raw_Data!G203&amp;"|"&amp;Raw_Data!H203&amp;"|"&amp;Raw_Data!I203&amp;"|"&amp;Raw_Data!J203&amp;"|"&amp;Raw_Data!K203&amp;"|"&amp;Raw_Data!L203&amp;"|"&amp;Raw_Data!M203&amp;"|"&amp;Raw_Data!N203&amp;"|"&amp;Raw_Data!O203&amp;"|"&amp;Raw_Data!P203&amp;"|"&amp;Raw_Data!Q203&amp;"|"&amp;Raw_Data!R203&amp;"|"&amp;Raw_Data!S203&amp;"|"&amp;Raw_Data!T203&amp;"|"&amp;Raw_Data!U203&amp;"|"&amp;Raw_Data!V203&amp;"|"&amp;Raw_Data!W203&amp;"|"&amp;Raw_Data!X203&amp;"|"&amp;Raw_Data!Y203&amp;"|"&amp;Raw_Data!Z203&amp;"|"&amp;Raw_Data!AA203&amp;"|"&amp;Raw_Data!AB203&amp;"|"&amp;Raw_Data!AC203&amp;"|"&amp;Raw_Data!AD203&amp;"|"&amp;Raw_Data!AE203&amp;"|"&amp;Raw_Data!AF203&amp;"|"&amp;Raw_Data!AG203&amp;"|"&amp;Raw_Data!AH203&amp;"|"&amp;Raw_Data!AI203&amp;"|"&amp;Raw_Data!AJ203&amp;"|"&amp;Raw_Data!AK203&amp;"|"&amp;Raw_Data!AL203&amp;"|"&amp;Raw_Data!AM203&amp;"|"&amp;Raw_Data!AN203&amp;"|"&amp;Raw_Data!AO203</f>
        <v>1|3|1|1|2|2|1|2|1|24|3|4|4|4|4|3|4|3|4|5|4|4|2|4|2|4|4|3|3|3|4|3|4|4|4|5|3|4|4|3|3</v>
      </c>
      <c r="Q205" s="3" t="n">
        <f aca="false">COUNTIF($P$4:$P$513,P205)</f>
        <v>1</v>
      </c>
    </row>
    <row r="206" customFormat="false" ht="15" hidden="false" customHeight="false" outlineLevel="0" collapsed="false">
      <c r="O206" s="3" t="n">
        <v>204</v>
      </c>
      <c r="P206" s="3" t="str">
        <f aca="false">Raw_Data!A204&amp;"|"&amp;Raw_Data!B204&amp;"|"&amp;Raw_Data!C204&amp;"|"&amp;Raw_Data!D204&amp;"|"&amp;Raw_Data!E204&amp;"|"&amp;Raw_Data!F204&amp;"|"&amp;Raw_Data!G204&amp;"|"&amp;Raw_Data!H204&amp;"|"&amp;Raw_Data!I204&amp;"|"&amp;Raw_Data!J204&amp;"|"&amp;Raw_Data!K204&amp;"|"&amp;Raw_Data!L204&amp;"|"&amp;Raw_Data!M204&amp;"|"&amp;Raw_Data!N204&amp;"|"&amp;Raw_Data!O204&amp;"|"&amp;Raw_Data!P204&amp;"|"&amp;Raw_Data!Q204&amp;"|"&amp;Raw_Data!R204&amp;"|"&amp;Raw_Data!S204&amp;"|"&amp;Raw_Data!T204&amp;"|"&amp;Raw_Data!U204&amp;"|"&amp;Raw_Data!V204&amp;"|"&amp;Raw_Data!W204&amp;"|"&amp;Raw_Data!X204&amp;"|"&amp;Raw_Data!Y204&amp;"|"&amp;Raw_Data!Z204&amp;"|"&amp;Raw_Data!AA204&amp;"|"&amp;Raw_Data!AB204&amp;"|"&amp;Raw_Data!AC204&amp;"|"&amp;Raw_Data!AD204&amp;"|"&amp;Raw_Data!AE204&amp;"|"&amp;Raw_Data!AF204&amp;"|"&amp;Raw_Data!AG204&amp;"|"&amp;Raw_Data!AH204&amp;"|"&amp;Raw_Data!AI204&amp;"|"&amp;Raw_Data!AJ204&amp;"|"&amp;Raw_Data!AK204&amp;"|"&amp;Raw_Data!AL204&amp;"|"&amp;Raw_Data!AM204&amp;"|"&amp;Raw_Data!AN204&amp;"|"&amp;Raw_Data!AO204</f>
        <v>0|4|1|1|2|2|2|3|1|24|4|4|4|4|5|3|3|5|4|5|5|3|3|3|3|4|4|2|2|2|4|3|4|5|4|5|5|5|3|4|2</v>
      </c>
      <c r="Q206" s="3" t="n">
        <f aca="false">COUNTIF($P$4:$P$513,P206)</f>
        <v>1</v>
      </c>
    </row>
    <row r="207" customFormat="false" ht="15" hidden="false" customHeight="false" outlineLevel="0" collapsed="false">
      <c r="O207" s="3" t="n">
        <v>205</v>
      </c>
      <c r="P207" s="3" t="str">
        <f aca="false">Raw_Data!A205&amp;"|"&amp;Raw_Data!B205&amp;"|"&amp;Raw_Data!C205&amp;"|"&amp;Raw_Data!D205&amp;"|"&amp;Raw_Data!E205&amp;"|"&amp;Raw_Data!F205&amp;"|"&amp;Raw_Data!G205&amp;"|"&amp;Raw_Data!H205&amp;"|"&amp;Raw_Data!I205&amp;"|"&amp;Raw_Data!J205&amp;"|"&amp;Raw_Data!K205&amp;"|"&amp;Raw_Data!L205&amp;"|"&amp;Raw_Data!M205&amp;"|"&amp;Raw_Data!N205&amp;"|"&amp;Raw_Data!O205&amp;"|"&amp;Raw_Data!P205&amp;"|"&amp;Raw_Data!Q205&amp;"|"&amp;Raw_Data!R205&amp;"|"&amp;Raw_Data!S205&amp;"|"&amp;Raw_Data!T205&amp;"|"&amp;Raw_Data!U205&amp;"|"&amp;Raw_Data!V205&amp;"|"&amp;Raw_Data!W205&amp;"|"&amp;Raw_Data!X205&amp;"|"&amp;Raw_Data!Y205&amp;"|"&amp;Raw_Data!Z205&amp;"|"&amp;Raw_Data!AA205&amp;"|"&amp;Raw_Data!AB205&amp;"|"&amp;Raw_Data!AC205&amp;"|"&amp;Raw_Data!AD205&amp;"|"&amp;Raw_Data!AE205&amp;"|"&amp;Raw_Data!AF205&amp;"|"&amp;Raw_Data!AG205&amp;"|"&amp;Raw_Data!AH205&amp;"|"&amp;Raw_Data!AI205&amp;"|"&amp;Raw_Data!AJ205&amp;"|"&amp;Raw_Data!AK205&amp;"|"&amp;Raw_Data!AL205&amp;"|"&amp;Raw_Data!AM205&amp;"|"&amp;Raw_Data!AN205&amp;"|"&amp;Raw_Data!AO205</f>
        <v>|4|2|1|2|2|2|2|1|24|3|4|5|4|5|2|2|4|5|5|5|4|4|4|4|4|5|5|4|4|4|1|3|4|2|4|4|2|4|4|4</v>
      </c>
      <c r="Q207" s="3" t="n">
        <f aca="false">COUNTIF($P$4:$P$513,P207)</f>
        <v>1</v>
      </c>
    </row>
    <row r="208" customFormat="false" ht="15" hidden="false" customHeight="false" outlineLevel="0" collapsed="false">
      <c r="O208" s="3" t="n">
        <v>206</v>
      </c>
      <c r="P208" s="3" t="str">
        <f aca="false">Raw_Data!A206&amp;"|"&amp;Raw_Data!B206&amp;"|"&amp;Raw_Data!C206&amp;"|"&amp;Raw_Data!D206&amp;"|"&amp;Raw_Data!E206&amp;"|"&amp;Raw_Data!F206&amp;"|"&amp;Raw_Data!G206&amp;"|"&amp;Raw_Data!H206&amp;"|"&amp;Raw_Data!I206&amp;"|"&amp;Raw_Data!J206&amp;"|"&amp;Raw_Data!K206&amp;"|"&amp;Raw_Data!L206&amp;"|"&amp;Raw_Data!M206&amp;"|"&amp;Raw_Data!N206&amp;"|"&amp;Raw_Data!O206&amp;"|"&amp;Raw_Data!P206&amp;"|"&amp;Raw_Data!Q206&amp;"|"&amp;Raw_Data!R206&amp;"|"&amp;Raw_Data!S206&amp;"|"&amp;Raw_Data!T206&amp;"|"&amp;Raw_Data!U206&amp;"|"&amp;Raw_Data!V206&amp;"|"&amp;Raw_Data!W206&amp;"|"&amp;Raw_Data!X206&amp;"|"&amp;Raw_Data!Y206&amp;"|"&amp;Raw_Data!Z206&amp;"|"&amp;Raw_Data!AA206&amp;"|"&amp;Raw_Data!AB206&amp;"|"&amp;Raw_Data!AC206&amp;"|"&amp;Raw_Data!AD206&amp;"|"&amp;Raw_Data!AE206&amp;"|"&amp;Raw_Data!AF206&amp;"|"&amp;Raw_Data!AG206&amp;"|"&amp;Raw_Data!AH206&amp;"|"&amp;Raw_Data!AI206&amp;"|"&amp;Raw_Data!AJ206&amp;"|"&amp;Raw_Data!AK206&amp;"|"&amp;Raw_Data!AL206&amp;"|"&amp;Raw_Data!AM206&amp;"|"&amp;Raw_Data!AN206&amp;"|"&amp;Raw_Data!AO206</f>
        <v>0|3|1|1|1|2|2|2|1|24|4|4|5|4|4|2|3|4|5|5|5|4|4|2|3|5|5|5|1|2|3|2|3|4|4|5|3|4|4|3|2</v>
      </c>
      <c r="Q208" s="3" t="n">
        <f aca="false">COUNTIF($P$4:$P$513,P208)</f>
        <v>1</v>
      </c>
    </row>
    <row r="209" customFormat="false" ht="15" hidden="false" customHeight="false" outlineLevel="0" collapsed="false">
      <c r="O209" s="3" t="n">
        <v>207</v>
      </c>
      <c r="P209" s="3" t="str">
        <f aca="false">Raw_Data!A207&amp;"|"&amp;Raw_Data!B207&amp;"|"&amp;Raw_Data!C207&amp;"|"&amp;Raw_Data!D207&amp;"|"&amp;Raw_Data!E207&amp;"|"&amp;Raw_Data!F207&amp;"|"&amp;Raw_Data!G207&amp;"|"&amp;Raw_Data!H207&amp;"|"&amp;Raw_Data!I207&amp;"|"&amp;Raw_Data!J207&amp;"|"&amp;Raw_Data!K207&amp;"|"&amp;Raw_Data!L207&amp;"|"&amp;Raw_Data!M207&amp;"|"&amp;Raw_Data!N207&amp;"|"&amp;Raw_Data!O207&amp;"|"&amp;Raw_Data!P207&amp;"|"&amp;Raw_Data!Q207&amp;"|"&amp;Raw_Data!R207&amp;"|"&amp;Raw_Data!S207&amp;"|"&amp;Raw_Data!T207&amp;"|"&amp;Raw_Data!U207&amp;"|"&amp;Raw_Data!V207&amp;"|"&amp;Raw_Data!W207&amp;"|"&amp;Raw_Data!X207&amp;"|"&amp;Raw_Data!Y207&amp;"|"&amp;Raw_Data!Z207&amp;"|"&amp;Raw_Data!AA207&amp;"|"&amp;Raw_Data!AB207&amp;"|"&amp;Raw_Data!AC207&amp;"|"&amp;Raw_Data!AD207&amp;"|"&amp;Raw_Data!AE207&amp;"|"&amp;Raw_Data!AF207&amp;"|"&amp;Raw_Data!AG207&amp;"|"&amp;Raw_Data!AH207&amp;"|"&amp;Raw_Data!AI207&amp;"|"&amp;Raw_Data!AJ207&amp;"|"&amp;Raw_Data!AK207&amp;"|"&amp;Raw_Data!AL207&amp;"|"&amp;Raw_Data!AM207&amp;"|"&amp;Raw_Data!AN207&amp;"|"&amp;Raw_Data!AO207</f>
        <v>0|6|2|1|2|2|3|3|2|25|3|4|3|4|4|3|3|2|4|4|4|4|4|4|4|4|4|2|2|2|4|2|3|4|4|4|2|3|3|4|4</v>
      </c>
      <c r="Q209" s="3" t="n">
        <f aca="false">COUNTIF($P$4:$P$513,P209)</f>
        <v>1</v>
      </c>
    </row>
    <row r="210" customFormat="false" ht="15" hidden="false" customHeight="false" outlineLevel="0" collapsed="false">
      <c r="O210" s="3" t="n">
        <v>208</v>
      </c>
      <c r="P210" s="3" t="str">
        <f aca="false">Raw_Data!A208&amp;"|"&amp;Raw_Data!B208&amp;"|"&amp;Raw_Data!C208&amp;"|"&amp;Raw_Data!D208&amp;"|"&amp;Raw_Data!E208&amp;"|"&amp;Raw_Data!F208&amp;"|"&amp;Raw_Data!G208&amp;"|"&amp;Raw_Data!H208&amp;"|"&amp;Raw_Data!I208&amp;"|"&amp;Raw_Data!J208&amp;"|"&amp;Raw_Data!K208&amp;"|"&amp;Raw_Data!L208&amp;"|"&amp;Raw_Data!M208&amp;"|"&amp;Raw_Data!N208&amp;"|"&amp;Raw_Data!O208&amp;"|"&amp;Raw_Data!P208&amp;"|"&amp;Raw_Data!Q208&amp;"|"&amp;Raw_Data!R208&amp;"|"&amp;Raw_Data!S208&amp;"|"&amp;Raw_Data!T208&amp;"|"&amp;Raw_Data!U208&amp;"|"&amp;Raw_Data!V208&amp;"|"&amp;Raw_Data!W208&amp;"|"&amp;Raw_Data!X208&amp;"|"&amp;Raw_Data!Y208&amp;"|"&amp;Raw_Data!Z208&amp;"|"&amp;Raw_Data!AA208&amp;"|"&amp;Raw_Data!AB208&amp;"|"&amp;Raw_Data!AC208&amp;"|"&amp;Raw_Data!AD208&amp;"|"&amp;Raw_Data!AE208&amp;"|"&amp;Raw_Data!AF208&amp;"|"&amp;Raw_Data!AG208&amp;"|"&amp;Raw_Data!AH208&amp;"|"&amp;Raw_Data!AI208&amp;"|"&amp;Raw_Data!AJ208&amp;"|"&amp;Raw_Data!AK208&amp;"|"&amp;Raw_Data!AL208&amp;"|"&amp;Raw_Data!AM208&amp;"|"&amp;Raw_Data!AN208&amp;"|"&amp;Raw_Data!AO208</f>
        <v>0|3|1|1|2|2|3|2|2|23|2|4|4|5|4|3|3|3|4|5|5|4|4|4|4|5|4|4|2|2|4|4|4|4|5|2|2|4|3|4|3</v>
      </c>
      <c r="Q210" s="3" t="n">
        <f aca="false">COUNTIF($P$4:$P$513,P210)</f>
        <v>1</v>
      </c>
    </row>
    <row r="211" customFormat="false" ht="15" hidden="false" customHeight="false" outlineLevel="0" collapsed="false">
      <c r="O211" s="3" t="n">
        <v>209</v>
      </c>
      <c r="P211" s="3" t="str">
        <f aca="false">Raw_Data!A209&amp;"|"&amp;Raw_Data!B209&amp;"|"&amp;Raw_Data!C209&amp;"|"&amp;Raw_Data!D209&amp;"|"&amp;Raw_Data!E209&amp;"|"&amp;Raw_Data!F209&amp;"|"&amp;Raw_Data!G209&amp;"|"&amp;Raw_Data!H209&amp;"|"&amp;Raw_Data!I209&amp;"|"&amp;Raw_Data!J209&amp;"|"&amp;Raw_Data!K209&amp;"|"&amp;Raw_Data!L209&amp;"|"&amp;Raw_Data!M209&amp;"|"&amp;Raw_Data!N209&amp;"|"&amp;Raw_Data!O209&amp;"|"&amp;Raw_Data!P209&amp;"|"&amp;Raw_Data!Q209&amp;"|"&amp;Raw_Data!R209&amp;"|"&amp;Raw_Data!S209&amp;"|"&amp;Raw_Data!T209&amp;"|"&amp;Raw_Data!U209&amp;"|"&amp;Raw_Data!V209&amp;"|"&amp;Raw_Data!W209&amp;"|"&amp;Raw_Data!X209&amp;"|"&amp;Raw_Data!Y209&amp;"|"&amp;Raw_Data!Z209&amp;"|"&amp;Raw_Data!AA209&amp;"|"&amp;Raw_Data!AB209&amp;"|"&amp;Raw_Data!AC209&amp;"|"&amp;Raw_Data!AD209&amp;"|"&amp;Raw_Data!AE209&amp;"|"&amp;Raw_Data!AF209&amp;"|"&amp;Raw_Data!AG209&amp;"|"&amp;Raw_Data!AH209&amp;"|"&amp;Raw_Data!AI209&amp;"|"&amp;Raw_Data!AJ209&amp;"|"&amp;Raw_Data!AK209&amp;"|"&amp;Raw_Data!AL209&amp;"|"&amp;Raw_Data!AM209&amp;"|"&amp;Raw_Data!AN209&amp;"|"&amp;Raw_Data!AO209</f>
        <v>1|4|1|1|2|2|3|2|1|23|4|3|2|3|4|4|4|2|5|5|4|4|5|4|4|4|2|2|1|1|4|2|4|4|3|4|3|4|3|4|2</v>
      </c>
      <c r="Q211" s="3" t="n">
        <f aca="false">COUNTIF($P$4:$P$513,P211)</f>
        <v>1</v>
      </c>
    </row>
    <row r="212" customFormat="false" ht="15" hidden="false" customHeight="false" outlineLevel="0" collapsed="false">
      <c r="O212" s="3" t="n">
        <v>210</v>
      </c>
      <c r="P212" s="3" t="str">
        <f aca="false">Raw_Data!A210&amp;"|"&amp;Raw_Data!B210&amp;"|"&amp;Raw_Data!C210&amp;"|"&amp;Raw_Data!D210&amp;"|"&amp;Raw_Data!E210&amp;"|"&amp;Raw_Data!F210&amp;"|"&amp;Raw_Data!G210&amp;"|"&amp;Raw_Data!H210&amp;"|"&amp;Raw_Data!I210&amp;"|"&amp;Raw_Data!J210&amp;"|"&amp;Raw_Data!K210&amp;"|"&amp;Raw_Data!L210&amp;"|"&amp;Raw_Data!M210&amp;"|"&amp;Raw_Data!N210&amp;"|"&amp;Raw_Data!O210&amp;"|"&amp;Raw_Data!P210&amp;"|"&amp;Raw_Data!Q210&amp;"|"&amp;Raw_Data!R210&amp;"|"&amp;Raw_Data!S210&amp;"|"&amp;Raw_Data!T210&amp;"|"&amp;Raw_Data!U210&amp;"|"&amp;Raw_Data!V210&amp;"|"&amp;Raw_Data!W210&amp;"|"&amp;Raw_Data!X210&amp;"|"&amp;Raw_Data!Y210&amp;"|"&amp;Raw_Data!Z210&amp;"|"&amp;Raw_Data!AA210&amp;"|"&amp;Raw_Data!AB210&amp;"|"&amp;Raw_Data!AC210&amp;"|"&amp;Raw_Data!AD210&amp;"|"&amp;Raw_Data!AE210&amp;"|"&amp;Raw_Data!AF210&amp;"|"&amp;Raw_Data!AG210&amp;"|"&amp;Raw_Data!AH210&amp;"|"&amp;Raw_Data!AI210&amp;"|"&amp;Raw_Data!AJ210&amp;"|"&amp;Raw_Data!AK210&amp;"|"&amp;Raw_Data!AL210&amp;"|"&amp;Raw_Data!AM210&amp;"|"&amp;Raw_Data!AN210&amp;"|"&amp;Raw_Data!AO210</f>
        <v>0|3|2|1|2|2|1|2|1|21|4|4|4|4|4|2|4|4|4|5|5|4|4|4|4|4|4|4|4|3|4|4|4|4|5|4|4|4|3|4|5</v>
      </c>
      <c r="Q212" s="3" t="n">
        <f aca="false">COUNTIF($P$4:$P$513,P212)</f>
        <v>1</v>
      </c>
    </row>
    <row r="213" customFormat="false" ht="15" hidden="false" customHeight="false" outlineLevel="0" collapsed="false">
      <c r="O213" s="3" t="n">
        <v>211</v>
      </c>
      <c r="P213" s="3" t="str">
        <f aca="false">Raw_Data!A211&amp;"|"&amp;Raw_Data!B211&amp;"|"&amp;Raw_Data!C211&amp;"|"&amp;Raw_Data!D211&amp;"|"&amp;Raw_Data!E211&amp;"|"&amp;Raw_Data!F211&amp;"|"&amp;Raw_Data!G211&amp;"|"&amp;Raw_Data!H211&amp;"|"&amp;Raw_Data!I211&amp;"|"&amp;Raw_Data!J211&amp;"|"&amp;Raw_Data!K211&amp;"|"&amp;Raw_Data!L211&amp;"|"&amp;Raw_Data!M211&amp;"|"&amp;Raw_Data!N211&amp;"|"&amp;Raw_Data!O211&amp;"|"&amp;Raw_Data!P211&amp;"|"&amp;Raw_Data!Q211&amp;"|"&amp;Raw_Data!R211&amp;"|"&amp;Raw_Data!S211&amp;"|"&amp;Raw_Data!T211&amp;"|"&amp;Raw_Data!U211&amp;"|"&amp;Raw_Data!V211&amp;"|"&amp;Raw_Data!W211&amp;"|"&amp;Raw_Data!X211&amp;"|"&amp;Raw_Data!Y211&amp;"|"&amp;Raw_Data!Z211&amp;"|"&amp;Raw_Data!AA211&amp;"|"&amp;Raw_Data!AB211&amp;"|"&amp;Raw_Data!AC211&amp;"|"&amp;Raw_Data!AD211&amp;"|"&amp;Raw_Data!AE211&amp;"|"&amp;Raw_Data!AF211&amp;"|"&amp;Raw_Data!AG211&amp;"|"&amp;Raw_Data!AH211&amp;"|"&amp;Raw_Data!AI211&amp;"|"&amp;Raw_Data!AJ211&amp;"|"&amp;Raw_Data!AK211&amp;"|"&amp;Raw_Data!AL211&amp;"|"&amp;Raw_Data!AM211&amp;"|"&amp;Raw_Data!AN211&amp;"|"&amp;Raw_Data!AO211</f>
        <v>|3|1|1|2|2|3|2|1|22|4|4|5|4|4|4|5|5|4|4|4|5|5|4|5|5|4|4|4|5|4|4|5|5|4|4|4|4|2|3|3</v>
      </c>
      <c r="Q213" s="3" t="n">
        <f aca="false">COUNTIF($P$4:$P$513,P213)</f>
        <v>1</v>
      </c>
    </row>
    <row r="214" customFormat="false" ht="15" hidden="false" customHeight="false" outlineLevel="0" collapsed="false">
      <c r="O214" s="3" t="n">
        <v>212</v>
      </c>
      <c r="P214" s="3" t="str">
        <f aca="false">Raw_Data!A212&amp;"|"&amp;Raw_Data!B212&amp;"|"&amp;Raw_Data!C212&amp;"|"&amp;Raw_Data!D212&amp;"|"&amp;Raw_Data!E212&amp;"|"&amp;Raw_Data!F212&amp;"|"&amp;Raw_Data!G212&amp;"|"&amp;Raw_Data!H212&amp;"|"&amp;Raw_Data!I212&amp;"|"&amp;Raw_Data!J212&amp;"|"&amp;Raw_Data!K212&amp;"|"&amp;Raw_Data!L212&amp;"|"&amp;Raw_Data!M212&amp;"|"&amp;Raw_Data!N212&amp;"|"&amp;Raw_Data!O212&amp;"|"&amp;Raw_Data!P212&amp;"|"&amp;Raw_Data!Q212&amp;"|"&amp;Raw_Data!R212&amp;"|"&amp;Raw_Data!S212&amp;"|"&amp;Raw_Data!T212&amp;"|"&amp;Raw_Data!U212&amp;"|"&amp;Raw_Data!V212&amp;"|"&amp;Raw_Data!W212&amp;"|"&amp;Raw_Data!X212&amp;"|"&amp;Raw_Data!Y212&amp;"|"&amp;Raw_Data!Z212&amp;"|"&amp;Raw_Data!AA212&amp;"|"&amp;Raw_Data!AB212&amp;"|"&amp;Raw_Data!AC212&amp;"|"&amp;Raw_Data!AD212&amp;"|"&amp;Raw_Data!AE212&amp;"|"&amp;Raw_Data!AF212&amp;"|"&amp;Raw_Data!AG212&amp;"|"&amp;Raw_Data!AH212&amp;"|"&amp;Raw_Data!AI212&amp;"|"&amp;Raw_Data!AJ212&amp;"|"&amp;Raw_Data!AK212&amp;"|"&amp;Raw_Data!AL212&amp;"|"&amp;Raw_Data!AM212&amp;"|"&amp;Raw_Data!AN212&amp;"|"&amp;Raw_Data!AO212</f>
        <v>1|3|2|1|2|2|1|3|1|23|2|4|4|4|4|2|3|4|4|4|4|4|4|4|4|2|4|2|2|2|4|3|4|4|4|4|4|2|3|2|4</v>
      </c>
      <c r="Q214" s="3" t="n">
        <f aca="false">COUNTIF($P$4:$P$513,P214)</f>
        <v>1</v>
      </c>
    </row>
    <row r="215" customFormat="false" ht="15" hidden="false" customHeight="false" outlineLevel="0" collapsed="false">
      <c r="O215" s="3" t="n">
        <v>213</v>
      </c>
      <c r="P215" s="3" t="str">
        <f aca="false">Raw_Data!A213&amp;"|"&amp;Raw_Data!B213&amp;"|"&amp;Raw_Data!C213&amp;"|"&amp;Raw_Data!D213&amp;"|"&amp;Raw_Data!E213&amp;"|"&amp;Raw_Data!F213&amp;"|"&amp;Raw_Data!G213&amp;"|"&amp;Raw_Data!H213&amp;"|"&amp;Raw_Data!I213&amp;"|"&amp;Raw_Data!J213&amp;"|"&amp;Raw_Data!K213&amp;"|"&amp;Raw_Data!L213&amp;"|"&amp;Raw_Data!M213&amp;"|"&amp;Raw_Data!N213&amp;"|"&amp;Raw_Data!O213&amp;"|"&amp;Raw_Data!P213&amp;"|"&amp;Raw_Data!Q213&amp;"|"&amp;Raw_Data!R213&amp;"|"&amp;Raw_Data!S213&amp;"|"&amp;Raw_Data!T213&amp;"|"&amp;Raw_Data!U213&amp;"|"&amp;Raw_Data!V213&amp;"|"&amp;Raw_Data!W213&amp;"|"&amp;Raw_Data!X213&amp;"|"&amp;Raw_Data!Y213&amp;"|"&amp;Raw_Data!Z213&amp;"|"&amp;Raw_Data!AA213&amp;"|"&amp;Raw_Data!AB213&amp;"|"&amp;Raw_Data!AC213&amp;"|"&amp;Raw_Data!AD213&amp;"|"&amp;Raw_Data!AE213&amp;"|"&amp;Raw_Data!AF213&amp;"|"&amp;Raw_Data!AG213&amp;"|"&amp;Raw_Data!AH213&amp;"|"&amp;Raw_Data!AI213&amp;"|"&amp;Raw_Data!AJ213&amp;"|"&amp;Raw_Data!AK213&amp;"|"&amp;Raw_Data!AL213&amp;"|"&amp;Raw_Data!AM213&amp;"|"&amp;Raw_Data!AN213&amp;"|"&amp;Raw_Data!AO213</f>
        <v>0|4|1|1|2|2|1|2|1|24|3|4|3|3|4|2|2|3|4|3|2|3|3|2|4|4|2|2|2|2|2|1|4|3|2|4|3|3|1|2|4</v>
      </c>
      <c r="Q215" s="3" t="n">
        <f aca="false">COUNTIF($P$4:$P$513,P215)</f>
        <v>1</v>
      </c>
    </row>
    <row r="216" customFormat="false" ht="15" hidden="false" customHeight="false" outlineLevel="0" collapsed="false">
      <c r="O216" s="3" t="n">
        <v>214</v>
      </c>
      <c r="P216" s="3" t="str">
        <f aca="false">Raw_Data!A214&amp;"|"&amp;Raw_Data!B214&amp;"|"&amp;Raw_Data!C214&amp;"|"&amp;Raw_Data!D214&amp;"|"&amp;Raw_Data!E214&amp;"|"&amp;Raw_Data!F214&amp;"|"&amp;Raw_Data!G214&amp;"|"&amp;Raw_Data!H214&amp;"|"&amp;Raw_Data!I214&amp;"|"&amp;Raw_Data!J214&amp;"|"&amp;Raw_Data!K214&amp;"|"&amp;Raw_Data!L214&amp;"|"&amp;Raw_Data!M214&amp;"|"&amp;Raw_Data!N214&amp;"|"&amp;Raw_Data!O214&amp;"|"&amp;Raw_Data!P214&amp;"|"&amp;Raw_Data!Q214&amp;"|"&amp;Raw_Data!R214&amp;"|"&amp;Raw_Data!S214&amp;"|"&amp;Raw_Data!T214&amp;"|"&amp;Raw_Data!U214&amp;"|"&amp;Raw_Data!V214&amp;"|"&amp;Raw_Data!W214&amp;"|"&amp;Raw_Data!X214&amp;"|"&amp;Raw_Data!Y214&amp;"|"&amp;Raw_Data!Z214&amp;"|"&amp;Raw_Data!AA214&amp;"|"&amp;Raw_Data!AB214&amp;"|"&amp;Raw_Data!AC214&amp;"|"&amp;Raw_Data!AD214&amp;"|"&amp;Raw_Data!AE214&amp;"|"&amp;Raw_Data!AF214&amp;"|"&amp;Raw_Data!AG214&amp;"|"&amp;Raw_Data!AH214&amp;"|"&amp;Raw_Data!AI214&amp;"|"&amp;Raw_Data!AJ214&amp;"|"&amp;Raw_Data!AK214&amp;"|"&amp;Raw_Data!AL214&amp;"|"&amp;Raw_Data!AM214&amp;"|"&amp;Raw_Data!AN214&amp;"|"&amp;Raw_Data!AO214</f>
        <v>1|4|1|1|2|2|2|3|3|27|4|5|5|4|5|5|5|1|3|5|4|4|4|5|4|5|5|2|1|2|2|1|4|5|4|2|2|5|5|2|1</v>
      </c>
      <c r="Q216" s="3" t="n">
        <f aca="false">COUNTIF($P$4:$P$513,P216)</f>
        <v>1</v>
      </c>
    </row>
    <row r="217" customFormat="false" ht="15" hidden="false" customHeight="false" outlineLevel="0" collapsed="false">
      <c r="O217" s="3" t="n">
        <v>215</v>
      </c>
      <c r="P217" s="3" t="str">
        <f aca="false">Raw_Data!A215&amp;"|"&amp;Raw_Data!B215&amp;"|"&amp;Raw_Data!C215&amp;"|"&amp;Raw_Data!D215&amp;"|"&amp;Raw_Data!E215&amp;"|"&amp;Raw_Data!F215&amp;"|"&amp;Raw_Data!G215&amp;"|"&amp;Raw_Data!H215&amp;"|"&amp;Raw_Data!I215&amp;"|"&amp;Raw_Data!J215&amp;"|"&amp;Raw_Data!K215&amp;"|"&amp;Raw_Data!L215&amp;"|"&amp;Raw_Data!M215&amp;"|"&amp;Raw_Data!N215&amp;"|"&amp;Raw_Data!O215&amp;"|"&amp;Raw_Data!P215&amp;"|"&amp;Raw_Data!Q215&amp;"|"&amp;Raw_Data!R215&amp;"|"&amp;Raw_Data!S215&amp;"|"&amp;Raw_Data!T215&amp;"|"&amp;Raw_Data!U215&amp;"|"&amp;Raw_Data!V215&amp;"|"&amp;Raw_Data!W215&amp;"|"&amp;Raw_Data!X215&amp;"|"&amp;Raw_Data!Y215&amp;"|"&amp;Raw_Data!Z215&amp;"|"&amp;Raw_Data!AA215&amp;"|"&amp;Raw_Data!AB215&amp;"|"&amp;Raw_Data!AC215&amp;"|"&amp;Raw_Data!AD215&amp;"|"&amp;Raw_Data!AE215&amp;"|"&amp;Raw_Data!AF215&amp;"|"&amp;Raw_Data!AG215&amp;"|"&amp;Raw_Data!AH215&amp;"|"&amp;Raw_Data!AI215&amp;"|"&amp;Raw_Data!AJ215&amp;"|"&amp;Raw_Data!AK215&amp;"|"&amp;Raw_Data!AL215&amp;"|"&amp;Raw_Data!AM215&amp;"|"&amp;Raw_Data!AN215&amp;"|"&amp;Raw_Data!AO215</f>
        <v>1|3|1|2|2|2|1|1|3|24|3|3|4|3|3|3|3|3|3|4|4|4|4|4|4|4|4|2|2|2|3|2|3|4|4|3|4|5|3|3|3</v>
      </c>
      <c r="Q217" s="3" t="n">
        <f aca="false">COUNTIF($P$4:$P$513,P217)</f>
        <v>1</v>
      </c>
    </row>
    <row r="218" customFormat="false" ht="15" hidden="false" customHeight="false" outlineLevel="0" collapsed="false">
      <c r="O218" s="3" t="n">
        <v>216</v>
      </c>
      <c r="P218" s="3" t="str">
        <f aca="false">Raw_Data!A216&amp;"|"&amp;Raw_Data!B216&amp;"|"&amp;Raw_Data!C216&amp;"|"&amp;Raw_Data!D216&amp;"|"&amp;Raw_Data!E216&amp;"|"&amp;Raw_Data!F216&amp;"|"&amp;Raw_Data!G216&amp;"|"&amp;Raw_Data!H216&amp;"|"&amp;Raw_Data!I216&amp;"|"&amp;Raw_Data!J216&amp;"|"&amp;Raw_Data!K216&amp;"|"&amp;Raw_Data!L216&amp;"|"&amp;Raw_Data!M216&amp;"|"&amp;Raw_Data!N216&amp;"|"&amp;Raw_Data!O216&amp;"|"&amp;Raw_Data!P216&amp;"|"&amp;Raw_Data!Q216&amp;"|"&amp;Raw_Data!R216&amp;"|"&amp;Raw_Data!S216&amp;"|"&amp;Raw_Data!T216&amp;"|"&amp;Raw_Data!U216&amp;"|"&amp;Raw_Data!V216&amp;"|"&amp;Raw_Data!W216&amp;"|"&amp;Raw_Data!X216&amp;"|"&amp;Raw_Data!Y216&amp;"|"&amp;Raw_Data!Z216&amp;"|"&amp;Raw_Data!AA216&amp;"|"&amp;Raw_Data!AB216&amp;"|"&amp;Raw_Data!AC216&amp;"|"&amp;Raw_Data!AD216&amp;"|"&amp;Raw_Data!AE216&amp;"|"&amp;Raw_Data!AF216&amp;"|"&amp;Raw_Data!AG216&amp;"|"&amp;Raw_Data!AH216&amp;"|"&amp;Raw_Data!AI216&amp;"|"&amp;Raw_Data!AJ216&amp;"|"&amp;Raw_Data!AK216&amp;"|"&amp;Raw_Data!AL216&amp;"|"&amp;Raw_Data!AM216&amp;"|"&amp;Raw_Data!AN216&amp;"|"&amp;Raw_Data!AO216</f>
        <v>0|4|1|1|2|2|3|2|1|24|3|4|5|3|5|4|4|5|4|5|5|4|4|5|4|5|4|2|1|1|5|3|5|4|4|2|4|5|4|4|3</v>
      </c>
      <c r="Q218" s="3" t="n">
        <f aca="false">COUNTIF($P$4:$P$513,P218)</f>
        <v>1</v>
      </c>
    </row>
    <row r="219" customFormat="false" ht="15" hidden="false" customHeight="false" outlineLevel="0" collapsed="false">
      <c r="O219" s="3" t="n">
        <v>217</v>
      </c>
      <c r="P219" s="3" t="str">
        <f aca="false">Raw_Data!A217&amp;"|"&amp;Raw_Data!B217&amp;"|"&amp;Raw_Data!C217&amp;"|"&amp;Raw_Data!D217&amp;"|"&amp;Raw_Data!E217&amp;"|"&amp;Raw_Data!F217&amp;"|"&amp;Raw_Data!G217&amp;"|"&amp;Raw_Data!H217&amp;"|"&amp;Raw_Data!I217&amp;"|"&amp;Raw_Data!J217&amp;"|"&amp;Raw_Data!K217&amp;"|"&amp;Raw_Data!L217&amp;"|"&amp;Raw_Data!M217&amp;"|"&amp;Raw_Data!N217&amp;"|"&amp;Raw_Data!O217&amp;"|"&amp;Raw_Data!P217&amp;"|"&amp;Raw_Data!Q217&amp;"|"&amp;Raw_Data!R217&amp;"|"&amp;Raw_Data!S217&amp;"|"&amp;Raw_Data!T217&amp;"|"&amp;Raw_Data!U217&amp;"|"&amp;Raw_Data!V217&amp;"|"&amp;Raw_Data!W217&amp;"|"&amp;Raw_Data!X217&amp;"|"&amp;Raw_Data!Y217&amp;"|"&amp;Raw_Data!Z217&amp;"|"&amp;Raw_Data!AA217&amp;"|"&amp;Raw_Data!AB217&amp;"|"&amp;Raw_Data!AC217&amp;"|"&amp;Raw_Data!AD217&amp;"|"&amp;Raw_Data!AE217&amp;"|"&amp;Raw_Data!AF217&amp;"|"&amp;Raw_Data!AG217&amp;"|"&amp;Raw_Data!AH217&amp;"|"&amp;Raw_Data!AI217&amp;"|"&amp;Raw_Data!AJ217&amp;"|"&amp;Raw_Data!AK217&amp;"|"&amp;Raw_Data!AL217&amp;"|"&amp;Raw_Data!AM217&amp;"|"&amp;Raw_Data!AN217&amp;"|"&amp;Raw_Data!AO217</f>
        <v>1|4|1|2|2|2|4|3|1|23|3|3|3|3|3|3|2|2|3|4|3|4|4|3|2|4|4|2|2|2|2|2|2|4|3|3|3|4|2|3|2</v>
      </c>
      <c r="Q219" s="3" t="n">
        <f aca="false">COUNTIF($P$4:$P$513,P219)</f>
        <v>1</v>
      </c>
    </row>
    <row r="220" customFormat="false" ht="15" hidden="false" customHeight="false" outlineLevel="0" collapsed="false">
      <c r="O220" s="3" t="n">
        <v>218</v>
      </c>
      <c r="P220" s="3" t="str">
        <f aca="false">Raw_Data!A218&amp;"|"&amp;Raw_Data!B218&amp;"|"&amp;Raw_Data!C218&amp;"|"&amp;Raw_Data!D218&amp;"|"&amp;Raw_Data!E218&amp;"|"&amp;Raw_Data!F218&amp;"|"&amp;Raw_Data!G218&amp;"|"&amp;Raw_Data!H218&amp;"|"&amp;Raw_Data!I218&amp;"|"&amp;Raw_Data!J218&amp;"|"&amp;Raw_Data!K218&amp;"|"&amp;Raw_Data!L218&amp;"|"&amp;Raw_Data!M218&amp;"|"&amp;Raw_Data!N218&amp;"|"&amp;Raw_Data!O218&amp;"|"&amp;Raw_Data!P218&amp;"|"&amp;Raw_Data!Q218&amp;"|"&amp;Raw_Data!R218&amp;"|"&amp;Raw_Data!S218&amp;"|"&amp;Raw_Data!T218&amp;"|"&amp;Raw_Data!U218&amp;"|"&amp;Raw_Data!V218&amp;"|"&amp;Raw_Data!W218&amp;"|"&amp;Raw_Data!X218&amp;"|"&amp;Raw_Data!Y218&amp;"|"&amp;Raw_Data!Z218&amp;"|"&amp;Raw_Data!AA218&amp;"|"&amp;Raw_Data!AB218&amp;"|"&amp;Raw_Data!AC218&amp;"|"&amp;Raw_Data!AD218&amp;"|"&amp;Raw_Data!AE218&amp;"|"&amp;Raw_Data!AF218&amp;"|"&amp;Raw_Data!AG218&amp;"|"&amp;Raw_Data!AH218&amp;"|"&amp;Raw_Data!AI218&amp;"|"&amp;Raw_Data!AJ218&amp;"|"&amp;Raw_Data!AK218&amp;"|"&amp;Raw_Data!AL218&amp;"|"&amp;Raw_Data!AM218&amp;"|"&amp;Raw_Data!AN218&amp;"|"&amp;Raw_Data!AO218</f>
        <v>|1|1|1|2|2|3|3|3|26|3|4|4|3|4|2|4|4|4|4|4|4|4|4|4|4|2|4|1|1|2|2|3|4|4|4|4|4|3|4|3</v>
      </c>
      <c r="Q220" s="3" t="n">
        <f aca="false">COUNTIF($P$4:$P$513,P220)</f>
        <v>1</v>
      </c>
    </row>
    <row r="221" customFormat="false" ht="15" hidden="false" customHeight="false" outlineLevel="0" collapsed="false">
      <c r="O221" s="3" t="n">
        <v>219</v>
      </c>
      <c r="P221" s="3" t="str">
        <f aca="false">Raw_Data!A219&amp;"|"&amp;Raw_Data!B219&amp;"|"&amp;Raw_Data!C219&amp;"|"&amp;Raw_Data!D219&amp;"|"&amp;Raw_Data!E219&amp;"|"&amp;Raw_Data!F219&amp;"|"&amp;Raw_Data!G219&amp;"|"&amp;Raw_Data!H219&amp;"|"&amp;Raw_Data!I219&amp;"|"&amp;Raw_Data!J219&amp;"|"&amp;Raw_Data!K219&amp;"|"&amp;Raw_Data!L219&amp;"|"&amp;Raw_Data!M219&amp;"|"&amp;Raw_Data!N219&amp;"|"&amp;Raw_Data!O219&amp;"|"&amp;Raw_Data!P219&amp;"|"&amp;Raw_Data!Q219&amp;"|"&amp;Raw_Data!R219&amp;"|"&amp;Raw_Data!S219&amp;"|"&amp;Raw_Data!T219&amp;"|"&amp;Raw_Data!U219&amp;"|"&amp;Raw_Data!V219&amp;"|"&amp;Raw_Data!W219&amp;"|"&amp;Raw_Data!X219&amp;"|"&amp;Raw_Data!Y219&amp;"|"&amp;Raw_Data!Z219&amp;"|"&amp;Raw_Data!AA219&amp;"|"&amp;Raw_Data!AB219&amp;"|"&amp;Raw_Data!AC219&amp;"|"&amp;Raw_Data!AD219&amp;"|"&amp;Raw_Data!AE219&amp;"|"&amp;Raw_Data!AF219&amp;"|"&amp;Raw_Data!AG219&amp;"|"&amp;Raw_Data!AH219&amp;"|"&amp;Raw_Data!AI219&amp;"|"&amp;Raw_Data!AJ219&amp;"|"&amp;Raw_Data!AK219&amp;"|"&amp;Raw_Data!AL219&amp;"|"&amp;Raw_Data!AM219&amp;"|"&amp;Raw_Data!AN219&amp;"|"&amp;Raw_Data!AO219</f>
        <v>0|3|1|1|2|2|2|3|1|23|4|3|4|4|4|3|3|3|4|4|4|3|4|3|3|4|4|3|2|2|4|4|3|4|4|4|2|4|3|3|3</v>
      </c>
      <c r="Q221" s="3" t="n">
        <f aca="false">COUNTIF($P$4:$P$513,P221)</f>
        <v>1</v>
      </c>
    </row>
    <row r="222" customFormat="false" ht="15" hidden="false" customHeight="false" outlineLevel="0" collapsed="false">
      <c r="O222" s="3" t="n">
        <v>220</v>
      </c>
      <c r="P222" s="3" t="str">
        <f aca="false">Raw_Data!A220&amp;"|"&amp;Raw_Data!B220&amp;"|"&amp;Raw_Data!C220&amp;"|"&amp;Raw_Data!D220&amp;"|"&amp;Raw_Data!E220&amp;"|"&amp;Raw_Data!F220&amp;"|"&amp;Raw_Data!G220&amp;"|"&amp;Raw_Data!H220&amp;"|"&amp;Raw_Data!I220&amp;"|"&amp;Raw_Data!J220&amp;"|"&amp;Raw_Data!K220&amp;"|"&amp;Raw_Data!L220&amp;"|"&amp;Raw_Data!M220&amp;"|"&amp;Raw_Data!N220&amp;"|"&amp;Raw_Data!O220&amp;"|"&amp;Raw_Data!P220&amp;"|"&amp;Raw_Data!Q220&amp;"|"&amp;Raw_Data!R220&amp;"|"&amp;Raw_Data!S220&amp;"|"&amp;Raw_Data!T220&amp;"|"&amp;Raw_Data!U220&amp;"|"&amp;Raw_Data!V220&amp;"|"&amp;Raw_Data!W220&amp;"|"&amp;Raw_Data!X220&amp;"|"&amp;Raw_Data!Y220&amp;"|"&amp;Raw_Data!Z220&amp;"|"&amp;Raw_Data!AA220&amp;"|"&amp;Raw_Data!AB220&amp;"|"&amp;Raw_Data!AC220&amp;"|"&amp;Raw_Data!AD220&amp;"|"&amp;Raw_Data!AE220&amp;"|"&amp;Raw_Data!AF220&amp;"|"&amp;Raw_Data!AG220&amp;"|"&amp;Raw_Data!AH220&amp;"|"&amp;Raw_Data!AI220&amp;"|"&amp;Raw_Data!AJ220&amp;"|"&amp;Raw_Data!AK220&amp;"|"&amp;Raw_Data!AL220&amp;"|"&amp;Raw_Data!AM220&amp;"|"&amp;Raw_Data!AN220&amp;"|"&amp;Raw_Data!AO220</f>
        <v>1|1|2|1|2|2|3|1|1|23|2|4|5|4|4|5|4|4|4|4|5|4|4|5|4|4|4|4|4|5|4|4|4|5|4|2|5|5|4|4|4</v>
      </c>
      <c r="Q222" s="3" t="n">
        <f aca="false">COUNTIF($P$4:$P$513,P222)</f>
        <v>1</v>
      </c>
    </row>
    <row r="223" customFormat="false" ht="15" hidden="false" customHeight="false" outlineLevel="0" collapsed="false">
      <c r="O223" s="3" t="n">
        <v>221</v>
      </c>
      <c r="P223" s="3" t="str">
        <f aca="false">Raw_Data!A221&amp;"|"&amp;Raw_Data!B221&amp;"|"&amp;Raw_Data!C221&amp;"|"&amp;Raw_Data!D221&amp;"|"&amp;Raw_Data!E221&amp;"|"&amp;Raw_Data!F221&amp;"|"&amp;Raw_Data!G221&amp;"|"&amp;Raw_Data!H221&amp;"|"&amp;Raw_Data!I221&amp;"|"&amp;Raw_Data!J221&amp;"|"&amp;Raw_Data!K221&amp;"|"&amp;Raw_Data!L221&amp;"|"&amp;Raw_Data!M221&amp;"|"&amp;Raw_Data!N221&amp;"|"&amp;Raw_Data!O221&amp;"|"&amp;Raw_Data!P221&amp;"|"&amp;Raw_Data!Q221&amp;"|"&amp;Raw_Data!R221&amp;"|"&amp;Raw_Data!S221&amp;"|"&amp;Raw_Data!T221&amp;"|"&amp;Raw_Data!U221&amp;"|"&amp;Raw_Data!V221&amp;"|"&amp;Raw_Data!W221&amp;"|"&amp;Raw_Data!X221&amp;"|"&amp;Raw_Data!Y221&amp;"|"&amp;Raw_Data!Z221&amp;"|"&amp;Raw_Data!AA221&amp;"|"&amp;Raw_Data!AB221&amp;"|"&amp;Raw_Data!AC221&amp;"|"&amp;Raw_Data!AD221&amp;"|"&amp;Raw_Data!AE221&amp;"|"&amp;Raw_Data!AF221&amp;"|"&amp;Raw_Data!AG221&amp;"|"&amp;Raw_Data!AH221&amp;"|"&amp;Raw_Data!AI221&amp;"|"&amp;Raw_Data!AJ221&amp;"|"&amp;Raw_Data!AK221&amp;"|"&amp;Raw_Data!AL221&amp;"|"&amp;Raw_Data!AM221&amp;"|"&amp;Raw_Data!AN221&amp;"|"&amp;Raw_Data!AO221</f>
        <v>0|4|1|1|2|2|2|3|1|25|2|2|2|2|2|3|3|2|2|2|3|3|2|2|4|3|2|4|2|3|3|2|4|2|2|3|2|2|4|4|2</v>
      </c>
      <c r="Q223" s="3" t="n">
        <f aca="false">COUNTIF($P$4:$P$513,P223)</f>
        <v>1</v>
      </c>
    </row>
    <row r="224" customFormat="false" ht="15" hidden="false" customHeight="false" outlineLevel="0" collapsed="false">
      <c r="O224" s="3" t="n">
        <v>222</v>
      </c>
      <c r="P224" s="3" t="str">
        <f aca="false">Raw_Data!A222&amp;"|"&amp;Raw_Data!B222&amp;"|"&amp;Raw_Data!C222&amp;"|"&amp;Raw_Data!D222&amp;"|"&amp;Raw_Data!E222&amp;"|"&amp;Raw_Data!F222&amp;"|"&amp;Raw_Data!G222&amp;"|"&amp;Raw_Data!H222&amp;"|"&amp;Raw_Data!I222&amp;"|"&amp;Raw_Data!J222&amp;"|"&amp;Raw_Data!K222&amp;"|"&amp;Raw_Data!L222&amp;"|"&amp;Raw_Data!M222&amp;"|"&amp;Raw_Data!N222&amp;"|"&amp;Raw_Data!O222&amp;"|"&amp;Raw_Data!P222&amp;"|"&amp;Raw_Data!Q222&amp;"|"&amp;Raw_Data!R222&amp;"|"&amp;Raw_Data!S222&amp;"|"&amp;Raw_Data!T222&amp;"|"&amp;Raw_Data!U222&amp;"|"&amp;Raw_Data!V222&amp;"|"&amp;Raw_Data!W222&amp;"|"&amp;Raw_Data!X222&amp;"|"&amp;Raw_Data!Y222&amp;"|"&amp;Raw_Data!Z222&amp;"|"&amp;Raw_Data!AA222&amp;"|"&amp;Raw_Data!AB222&amp;"|"&amp;Raw_Data!AC222&amp;"|"&amp;Raw_Data!AD222&amp;"|"&amp;Raw_Data!AE222&amp;"|"&amp;Raw_Data!AF222&amp;"|"&amp;Raw_Data!AG222&amp;"|"&amp;Raw_Data!AH222&amp;"|"&amp;Raw_Data!AI222&amp;"|"&amp;Raw_Data!AJ222&amp;"|"&amp;Raw_Data!AK222&amp;"|"&amp;Raw_Data!AL222&amp;"|"&amp;Raw_Data!AM222&amp;"|"&amp;Raw_Data!AN222&amp;"|"&amp;Raw_Data!AO222</f>
        <v>0|3|1|1|2|2|3|2|2|23|3|5|5|5|5|4|5|3|5|5|5|4|5|5|3|5|5|5|3|3|5|3|5|5|5|5|5|5|5|5|3</v>
      </c>
      <c r="Q224" s="3" t="n">
        <f aca="false">COUNTIF($P$4:$P$513,P224)</f>
        <v>1</v>
      </c>
    </row>
    <row r="225" customFormat="false" ht="15" hidden="false" customHeight="false" outlineLevel="0" collapsed="false">
      <c r="O225" s="3" t="n">
        <v>223</v>
      </c>
      <c r="P225" s="3" t="str">
        <f aca="false">Raw_Data!A223&amp;"|"&amp;Raw_Data!B223&amp;"|"&amp;Raw_Data!C223&amp;"|"&amp;Raw_Data!D223&amp;"|"&amp;Raw_Data!E223&amp;"|"&amp;Raw_Data!F223&amp;"|"&amp;Raw_Data!G223&amp;"|"&amp;Raw_Data!H223&amp;"|"&amp;Raw_Data!I223&amp;"|"&amp;Raw_Data!J223&amp;"|"&amp;Raw_Data!K223&amp;"|"&amp;Raw_Data!L223&amp;"|"&amp;Raw_Data!M223&amp;"|"&amp;Raw_Data!N223&amp;"|"&amp;Raw_Data!O223&amp;"|"&amp;Raw_Data!P223&amp;"|"&amp;Raw_Data!Q223&amp;"|"&amp;Raw_Data!R223&amp;"|"&amp;Raw_Data!S223&amp;"|"&amp;Raw_Data!T223&amp;"|"&amp;Raw_Data!U223&amp;"|"&amp;Raw_Data!V223&amp;"|"&amp;Raw_Data!W223&amp;"|"&amp;Raw_Data!X223&amp;"|"&amp;Raw_Data!Y223&amp;"|"&amp;Raw_Data!Z223&amp;"|"&amp;Raw_Data!AA223&amp;"|"&amp;Raw_Data!AB223&amp;"|"&amp;Raw_Data!AC223&amp;"|"&amp;Raw_Data!AD223&amp;"|"&amp;Raw_Data!AE223&amp;"|"&amp;Raw_Data!AF223&amp;"|"&amp;Raw_Data!AG223&amp;"|"&amp;Raw_Data!AH223&amp;"|"&amp;Raw_Data!AI223&amp;"|"&amp;Raw_Data!AJ223&amp;"|"&amp;Raw_Data!AK223&amp;"|"&amp;Raw_Data!AL223&amp;"|"&amp;Raw_Data!AM223&amp;"|"&amp;Raw_Data!AN223&amp;"|"&amp;Raw_Data!AO223</f>
        <v>0|3|1|1|2|2|1|1|1|24|3|4|4|3|4|2|4|4|4|4|4|4|4|3|4|4|4|2|4|4|4|2|3|3|2|3|3|3|2|4|4</v>
      </c>
      <c r="Q225" s="3" t="n">
        <f aca="false">COUNTIF($P$4:$P$513,P225)</f>
        <v>1</v>
      </c>
    </row>
    <row r="226" customFormat="false" ht="15" hidden="false" customHeight="false" outlineLevel="0" collapsed="false">
      <c r="O226" s="3" t="n">
        <v>224</v>
      </c>
      <c r="P226" s="3" t="str">
        <f aca="false">Raw_Data!A224&amp;"|"&amp;Raw_Data!B224&amp;"|"&amp;Raw_Data!C224&amp;"|"&amp;Raw_Data!D224&amp;"|"&amp;Raw_Data!E224&amp;"|"&amp;Raw_Data!F224&amp;"|"&amp;Raw_Data!G224&amp;"|"&amp;Raw_Data!H224&amp;"|"&amp;Raw_Data!I224&amp;"|"&amp;Raw_Data!J224&amp;"|"&amp;Raw_Data!K224&amp;"|"&amp;Raw_Data!L224&amp;"|"&amp;Raw_Data!M224&amp;"|"&amp;Raw_Data!N224&amp;"|"&amp;Raw_Data!O224&amp;"|"&amp;Raw_Data!P224&amp;"|"&amp;Raw_Data!Q224&amp;"|"&amp;Raw_Data!R224&amp;"|"&amp;Raw_Data!S224&amp;"|"&amp;Raw_Data!T224&amp;"|"&amp;Raw_Data!U224&amp;"|"&amp;Raw_Data!V224&amp;"|"&amp;Raw_Data!W224&amp;"|"&amp;Raw_Data!X224&amp;"|"&amp;Raw_Data!Y224&amp;"|"&amp;Raw_Data!Z224&amp;"|"&amp;Raw_Data!AA224&amp;"|"&amp;Raw_Data!AB224&amp;"|"&amp;Raw_Data!AC224&amp;"|"&amp;Raw_Data!AD224&amp;"|"&amp;Raw_Data!AE224&amp;"|"&amp;Raw_Data!AF224&amp;"|"&amp;Raw_Data!AG224&amp;"|"&amp;Raw_Data!AH224&amp;"|"&amp;Raw_Data!AI224&amp;"|"&amp;Raw_Data!AJ224&amp;"|"&amp;Raw_Data!AK224&amp;"|"&amp;Raw_Data!AL224&amp;"|"&amp;Raw_Data!AM224&amp;"|"&amp;Raw_Data!AN224&amp;"|"&amp;Raw_Data!AO224</f>
        <v>1|3|1|1|2|2|4|3|3|25|3|4|4|4|5|4|3|4|5|5|5|4|4|4|4|4|4|4|4|4|4|4|4|5|5|4|3|5|3|3|4</v>
      </c>
      <c r="Q226" s="3" t="n">
        <f aca="false">COUNTIF($P$4:$P$513,P226)</f>
        <v>1</v>
      </c>
    </row>
    <row r="227" customFormat="false" ht="15" hidden="false" customHeight="false" outlineLevel="0" collapsed="false">
      <c r="O227" s="3" t="n">
        <v>225</v>
      </c>
      <c r="P227" s="3" t="str">
        <f aca="false">Raw_Data!A225&amp;"|"&amp;Raw_Data!B225&amp;"|"&amp;Raw_Data!C225&amp;"|"&amp;Raw_Data!D225&amp;"|"&amp;Raw_Data!E225&amp;"|"&amp;Raw_Data!F225&amp;"|"&amp;Raw_Data!G225&amp;"|"&amp;Raw_Data!H225&amp;"|"&amp;Raw_Data!I225&amp;"|"&amp;Raw_Data!J225&amp;"|"&amp;Raw_Data!K225&amp;"|"&amp;Raw_Data!L225&amp;"|"&amp;Raw_Data!M225&amp;"|"&amp;Raw_Data!N225&amp;"|"&amp;Raw_Data!O225&amp;"|"&amp;Raw_Data!P225&amp;"|"&amp;Raw_Data!Q225&amp;"|"&amp;Raw_Data!R225&amp;"|"&amp;Raw_Data!S225&amp;"|"&amp;Raw_Data!T225&amp;"|"&amp;Raw_Data!U225&amp;"|"&amp;Raw_Data!V225&amp;"|"&amp;Raw_Data!W225&amp;"|"&amp;Raw_Data!X225&amp;"|"&amp;Raw_Data!Y225&amp;"|"&amp;Raw_Data!Z225&amp;"|"&amp;Raw_Data!AA225&amp;"|"&amp;Raw_Data!AB225&amp;"|"&amp;Raw_Data!AC225&amp;"|"&amp;Raw_Data!AD225&amp;"|"&amp;Raw_Data!AE225&amp;"|"&amp;Raw_Data!AF225&amp;"|"&amp;Raw_Data!AG225&amp;"|"&amp;Raw_Data!AH225&amp;"|"&amp;Raw_Data!AI225&amp;"|"&amp;Raw_Data!AJ225&amp;"|"&amp;Raw_Data!AK225&amp;"|"&amp;Raw_Data!AL225&amp;"|"&amp;Raw_Data!AM225&amp;"|"&amp;Raw_Data!AN225&amp;"|"&amp;Raw_Data!AO225</f>
        <v>0|3|1|2|2|2|1|1|3|22|3|3|3|3|5|3|3|3|5|5|5|3|3|3|3|4|3|3|1|1|5|5|5|2|4|5|2|3|3|3|3</v>
      </c>
      <c r="Q227" s="3" t="n">
        <f aca="false">COUNTIF($P$4:$P$513,P227)</f>
        <v>1</v>
      </c>
    </row>
    <row r="228" customFormat="false" ht="15" hidden="false" customHeight="false" outlineLevel="0" collapsed="false">
      <c r="O228" s="3" t="n">
        <v>226</v>
      </c>
      <c r="P228" s="3" t="str">
        <f aca="false">Raw_Data!A226&amp;"|"&amp;Raw_Data!B226&amp;"|"&amp;Raw_Data!C226&amp;"|"&amp;Raw_Data!D226&amp;"|"&amp;Raw_Data!E226&amp;"|"&amp;Raw_Data!F226&amp;"|"&amp;Raw_Data!G226&amp;"|"&amp;Raw_Data!H226&amp;"|"&amp;Raw_Data!I226&amp;"|"&amp;Raw_Data!J226&amp;"|"&amp;Raw_Data!K226&amp;"|"&amp;Raw_Data!L226&amp;"|"&amp;Raw_Data!M226&amp;"|"&amp;Raw_Data!N226&amp;"|"&amp;Raw_Data!O226&amp;"|"&amp;Raw_Data!P226&amp;"|"&amp;Raw_Data!Q226&amp;"|"&amp;Raw_Data!R226&amp;"|"&amp;Raw_Data!S226&amp;"|"&amp;Raw_Data!T226&amp;"|"&amp;Raw_Data!U226&amp;"|"&amp;Raw_Data!V226&amp;"|"&amp;Raw_Data!W226&amp;"|"&amp;Raw_Data!X226&amp;"|"&amp;Raw_Data!Y226&amp;"|"&amp;Raw_Data!Z226&amp;"|"&amp;Raw_Data!AA226&amp;"|"&amp;Raw_Data!AB226&amp;"|"&amp;Raw_Data!AC226&amp;"|"&amp;Raw_Data!AD226&amp;"|"&amp;Raw_Data!AE226&amp;"|"&amp;Raw_Data!AF226&amp;"|"&amp;Raw_Data!AG226&amp;"|"&amp;Raw_Data!AH226&amp;"|"&amp;Raw_Data!AI226&amp;"|"&amp;Raw_Data!AJ226&amp;"|"&amp;Raw_Data!AK226&amp;"|"&amp;Raw_Data!AL226&amp;"|"&amp;Raw_Data!AM226&amp;"|"&amp;Raw_Data!AN226&amp;"|"&amp;Raw_Data!AO226</f>
        <v>0|3|1|1|2|2|3|2|1|23|3|3|2|3|4|3|3|1|3|4|4|3|4|4|2|4|4|3|2|2|2|3|3|3|2|3|3|4|3|2|2</v>
      </c>
      <c r="Q228" s="3" t="n">
        <f aca="false">COUNTIF($P$4:$P$513,P228)</f>
        <v>1</v>
      </c>
    </row>
    <row r="229" customFormat="false" ht="15" hidden="false" customHeight="false" outlineLevel="0" collapsed="false">
      <c r="O229" s="3" t="n">
        <v>227</v>
      </c>
      <c r="P229" s="3" t="str">
        <f aca="false">Raw_Data!A227&amp;"|"&amp;Raw_Data!B227&amp;"|"&amp;Raw_Data!C227&amp;"|"&amp;Raw_Data!D227&amp;"|"&amp;Raw_Data!E227&amp;"|"&amp;Raw_Data!F227&amp;"|"&amp;Raw_Data!G227&amp;"|"&amp;Raw_Data!H227&amp;"|"&amp;Raw_Data!I227&amp;"|"&amp;Raw_Data!J227&amp;"|"&amp;Raw_Data!K227&amp;"|"&amp;Raw_Data!L227&amp;"|"&amp;Raw_Data!M227&amp;"|"&amp;Raw_Data!N227&amp;"|"&amp;Raw_Data!O227&amp;"|"&amp;Raw_Data!P227&amp;"|"&amp;Raw_Data!Q227&amp;"|"&amp;Raw_Data!R227&amp;"|"&amp;Raw_Data!S227&amp;"|"&amp;Raw_Data!T227&amp;"|"&amp;Raw_Data!U227&amp;"|"&amp;Raw_Data!V227&amp;"|"&amp;Raw_Data!W227&amp;"|"&amp;Raw_Data!X227&amp;"|"&amp;Raw_Data!Y227&amp;"|"&amp;Raw_Data!Z227&amp;"|"&amp;Raw_Data!AA227&amp;"|"&amp;Raw_Data!AB227&amp;"|"&amp;Raw_Data!AC227&amp;"|"&amp;Raw_Data!AD227&amp;"|"&amp;Raw_Data!AE227&amp;"|"&amp;Raw_Data!AF227&amp;"|"&amp;Raw_Data!AG227&amp;"|"&amp;Raw_Data!AH227&amp;"|"&amp;Raw_Data!AI227&amp;"|"&amp;Raw_Data!AJ227&amp;"|"&amp;Raw_Data!AK227&amp;"|"&amp;Raw_Data!AL227&amp;"|"&amp;Raw_Data!AM227&amp;"|"&amp;Raw_Data!AN227&amp;"|"&amp;Raw_Data!AO227</f>
        <v>1|3|1|1|2|2|2|2|1|23|4|2|3|2|2|4|4|3|3|4|4|4|5|3|2|3|4|4|2|2|3|2|3|3|3|3|4|4|3|4|2</v>
      </c>
      <c r="Q229" s="3" t="n">
        <f aca="false">COUNTIF($P$4:$P$513,P229)</f>
        <v>1</v>
      </c>
    </row>
    <row r="230" customFormat="false" ht="15" hidden="false" customHeight="false" outlineLevel="0" collapsed="false">
      <c r="O230" s="3" t="n">
        <v>228</v>
      </c>
      <c r="P230" s="3" t="str">
        <f aca="false">Raw_Data!A228&amp;"|"&amp;Raw_Data!B228&amp;"|"&amp;Raw_Data!C228&amp;"|"&amp;Raw_Data!D228&amp;"|"&amp;Raw_Data!E228&amp;"|"&amp;Raw_Data!F228&amp;"|"&amp;Raw_Data!G228&amp;"|"&amp;Raw_Data!H228&amp;"|"&amp;Raw_Data!I228&amp;"|"&amp;Raw_Data!J228&amp;"|"&amp;Raw_Data!K228&amp;"|"&amp;Raw_Data!L228&amp;"|"&amp;Raw_Data!M228&amp;"|"&amp;Raw_Data!N228&amp;"|"&amp;Raw_Data!O228&amp;"|"&amp;Raw_Data!P228&amp;"|"&amp;Raw_Data!Q228&amp;"|"&amp;Raw_Data!R228&amp;"|"&amp;Raw_Data!S228&amp;"|"&amp;Raw_Data!T228&amp;"|"&amp;Raw_Data!U228&amp;"|"&amp;Raw_Data!V228&amp;"|"&amp;Raw_Data!W228&amp;"|"&amp;Raw_Data!X228&amp;"|"&amp;Raw_Data!Y228&amp;"|"&amp;Raw_Data!Z228&amp;"|"&amp;Raw_Data!AA228&amp;"|"&amp;Raw_Data!AB228&amp;"|"&amp;Raw_Data!AC228&amp;"|"&amp;Raw_Data!AD228&amp;"|"&amp;Raw_Data!AE228&amp;"|"&amp;Raw_Data!AF228&amp;"|"&amp;Raw_Data!AG228&amp;"|"&amp;Raw_Data!AH228&amp;"|"&amp;Raw_Data!AI228&amp;"|"&amp;Raw_Data!AJ228&amp;"|"&amp;Raw_Data!AK228&amp;"|"&amp;Raw_Data!AL228&amp;"|"&amp;Raw_Data!AM228&amp;"|"&amp;Raw_Data!AN228&amp;"|"&amp;Raw_Data!AO228</f>
        <v>0|3|1|1|2|2|3|2|1|23|3|4|4|4|4|3|3|4|5|5|5|4|5|5|5|5|4|5|2|2|5|4|4|4|5|3|3|4|4|4|4</v>
      </c>
      <c r="Q230" s="3" t="n">
        <f aca="false">COUNTIF($P$4:$P$513,P230)</f>
        <v>1</v>
      </c>
    </row>
    <row r="231" customFormat="false" ht="15" hidden="false" customHeight="false" outlineLevel="0" collapsed="false">
      <c r="O231" s="3" t="n">
        <v>229</v>
      </c>
      <c r="P231" s="3" t="str">
        <f aca="false">Raw_Data!A229&amp;"|"&amp;Raw_Data!B229&amp;"|"&amp;Raw_Data!C229&amp;"|"&amp;Raw_Data!D229&amp;"|"&amp;Raw_Data!E229&amp;"|"&amp;Raw_Data!F229&amp;"|"&amp;Raw_Data!G229&amp;"|"&amp;Raw_Data!H229&amp;"|"&amp;Raw_Data!I229&amp;"|"&amp;Raw_Data!J229&amp;"|"&amp;Raw_Data!K229&amp;"|"&amp;Raw_Data!L229&amp;"|"&amp;Raw_Data!M229&amp;"|"&amp;Raw_Data!N229&amp;"|"&amp;Raw_Data!O229&amp;"|"&amp;Raw_Data!P229&amp;"|"&amp;Raw_Data!Q229&amp;"|"&amp;Raw_Data!R229&amp;"|"&amp;Raw_Data!S229&amp;"|"&amp;Raw_Data!T229&amp;"|"&amp;Raw_Data!U229&amp;"|"&amp;Raw_Data!V229&amp;"|"&amp;Raw_Data!W229&amp;"|"&amp;Raw_Data!X229&amp;"|"&amp;Raw_Data!Y229&amp;"|"&amp;Raw_Data!Z229&amp;"|"&amp;Raw_Data!AA229&amp;"|"&amp;Raw_Data!AB229&amp;"|"&amp;Raw_Data!AC229&amp;"|"&amp;Raw_Data!AD229&amp;"|"&amp;Raw_Data!AE229&amp;"|"&amp;Raw_Data!AF229&amp;"|"&amp;Raw_Data!AG229&amp;"|"&amp;Raw_Data!AH229&amp;"|"&amp;Raw_Data!AI229&amp;"|"&amp;Raw_Data!AJ229&amp;"|"&amp;Raw_Data!AK229&amp;"|"&amp;Raw_Data!AL229&amp;"|"&amp;Raw_Data!AM229&amp;"|"&amp;Raw_Data!AN229&amp;"|"&amp;Raw_Data!AO229</f>
        <v>0|4|1|1|2|2|2|2|1|24|3|3|4|3|4|3|3|4|4|4|4|4|4|3|5|4|4|2|2|1|3|4|5|3|4|4|3|4|3|3|3</v>
      </c>
      <c r="Q231" s="3" t="n">
        <f aca="false">COUNTIF($P$4:$P$513,P231)</f>
        <v>1</v>
      </c>
    </row>
    <row r="232" customFormat="false" ht="15" hidden="false" customHeight="false" outlineLevel="0" collapsed="false">
      <c r="O232" s="3" t="n">
        <v>230</v>
      </c>
      <c r="P232" s="3" t="str">
        <f aca="false">Raw_Data!A230&amp;"|"&amp;Raw_Data!B230&amp;"|"&amp;Raw_Data!C230&amp;"|"&amp;Raw_Data!D230&amp;"|"&amp;Raw_Data!E230&amp;"|"&amp;Raw_Data!F230&amp;"|"&amp;Raw_Data!G230&amp;"|"&amp;Raw_Data!H230&amp;"|"&amp;Raw_Data!I230&amp;"|"&amp;Raw_Data!J230&amp;"|"&amp;Raw_Data!K230&amp;"|"&amp;Raw_Data!L230&amp;"|"&amp;Raw_Data!M230&amp;"|"&amp;Raw_Data!N230&amp;"|"&amp;Raw_Data!O230&amp;"|"&amp;Raw_Data!P230&amp;"|"&amp;Raw_Data!Q230&amp;"|"&amp;Raw_Data!R230&amp;"|"&amp;Raw_Data!S230&amp;"|"&amp;Raw_Data!T230&amp;"|"&amp;Raw_Data!U230&amp;"|"&amp;Raw_Data!V230&amp;"|"&amp;Raw_Data!W230&amp;"|"&amp;Raw_Data!X230&amp;"|"&amp;Raw_Data!Y230&amp;"|"&amp;Raw_Data!Z230&amp;"|"&amp;Raw_Data!AA230&amp;"|"&amp;Raw_Data!AB230&amp;"|"&amp;Raw_Data!AC230&amp;"|"&amp;Raw_Data!AD230&amp;"|"&amp;Raw_Data!AE230&amp;"|"&amp;Raw_Data!AF230&amp;"|"&amp;Raw_Data!AG230&amp;"|"&amp;Raw_Data!AH230&amp;"|"&amp;Raw_Data!AI230&amp;"|"&amp;Raw_Data!AJ230&amp;"|"&amp;Raw_Data!AK230&amp;"|"&amp;Raw_Data!AL230&amp;"|"&amp;Raw_Data!AM230&amp;"|"&amp;Raw_Data!AN230&amp;"|"&amp;Raw_Data!AO230</f>
        <v>1|3|2|1|2|2|2|1|1|23|3|3|1|4|3|2|2|3|4|4|5|4|4|2|2|5|4|1|2|4|3|3|2|4|4|3|2|3|4|4|4</v>
      </c>
      <c r="Q232" s="3" t="n">
        <f aca="false">COUNTIF($P$4:$P$513,P232)</f>
        <v>1</v>
      </c>
    </row>
    <row r="233" customFormat="false" ht="15" hidden="false" customHeight="false" outlineLevel="0" collapsed="false">
      <c r="O233" s="3" t="n">
        <v>231</v>
      </c>
      <c r="P233" s="3" t="str">
        <f aca="false">Raw_Data!A231&amp;"|"&amp;Raw_Data!B231&amp;"|"&amp;Raw_Data!C231&amp;"|"&amp;Raw_Data!D231&amp;"|"&amp;Raw_Data!E231&amp;"|"&amp;Raw_Data!F231&amp;"|"&amp;Raw_Data!G231&amp;"|"&amp;Raw_Data!H231&amp;"|"&amp;Raw_Data!I231&amp;"|"&amp;Raw_Data!J231&amp;"|"&amp;Raw_Data!K231&amp;"|"&amp;Raw_Data!L231&amp;"|"&amp;Raw_Data!M231&amp;"|"&amp;Raw_Data!N231&amp;"|"&amp;Raw_Data!O231&amp;"|"&amp;Raw_Data!P231&amp;"|"&amp;Raw_Data!Q231&amp;"|"&amp;Raw_Data!R231&amp;"|"&amp;Raw_Data!S231&amp;"|"&amp;Raw_Data!T231&amp;"|"&amp;Raw_Data!U231&amp;"|"&amp;Raw_Data!V231&amp;"|"&amp;Raw_Data!W231&amp;"|"&amp;Raw_Data!X231&amp;"|"&amp;Raw_Data!Y231&amp;"|"&amp;Raw_Data!Z231&amp;"|"&amp;Raw_Data!AA231&amp;"|"&amp;Raw_Data!AB231&amp;"|"&amp;Raw_Data!AC231&amp;"|"&amp;Raw_Data!AD231&amp;"|"&amp;Raw_Data!AE231&amp;"|"&amp;Raw_Data!AF231&amp;"|"&amp;Raw_Data!AG231&amp;"|"&amp;Raw_Data!AH231&amp;"|"&amp;Raw_Data!AI231&amp;"|"&amp;Raw_Data!AJ231&amp;"|"&amp;Raw_Data!AK231&amp;"|"&amp;Raw_Data!AL231&amp;"|"&amp;Raw_Data!AM231&amp;"|"&amp;Raw_Data!AN231&amp;"|"&amp;Raw_Data!AO231</f>
        <v>1|3|1|1|2|2|1|1|1|25|3|3|4|4|2|3|4|2|5|5|4|4|4|4|4|4|5|2|1|1|4|2|3|4|4|4|4|4|3|2|4</v>
      </c>
      <c r="Q233" s="3" t="n">
        <f aca="false">COUNTIF($P$4:$P$513,P233)</f>
        <v>1</v>
      </c>
    </row>
    <row r="234" customFormat="false" ht="15" hidden="false" customHeight="false" outlineLevel="0" collapsed="false">
      <c r="O234" s="3" t="n">
        <v>232</v>
      </c>
      <c r="P234" s="3" t="str">
        <f aca="false">Raw_Data!A232&amp;"|"&amp;Raw_Data!B232&amp;"|"&amp;Raw_Data!C232&amp;"|"&amp;Raw_Data!D232&amp;"|"&amp;Raw_Data!E232&amp;"|"&amp;Raw_Data!F232&amp;"|"&amp;Raw_Data!G232&amp;"|"&amp;Raw_Data!H232&amp;"|"&amp;Raw_Data!I232&amp;"|"&amp;Raw_Data!J232&amp;"|"&amp;Raw_Data!K232&amp;"|"&amp;Raw_Data!L232&amp;"|"&amp;Raw_Data!M232&amp;"|"&amp;Raw_Data!N232&amp;"|"&amp;Raw_Data!O232&amp;"|"&amp;Raw_Data!P232&amp;"|"&amp;Raw_Data!Q232&amp;"|"&amp;Raw_Data!R232&amp;"|"&amp;Raw_Data!S232&amp;"|"&amp;Raw_Data!T232&amp;"|"&amp;Raw_Data!U232&amp;"|"&amp;Raw_Data!V232&amp;"|"&amp;Raw_Data!W232&amp;"|"&amp;Raw_Data!X232&amp;"|"&amp;Raw_Data!Y232&amp;"|"&amp;Raw_Data!Z232&amp;"|"&amp;Raw_Data!AA232&amp;"|"&amp;Raw_Data!AB232&amp;"|"&amp;Raw_Data!AC232&amp;"|"&amp;Raw_Data!AD232&amp;"|"&amp;Raw_Data!AE232&amp;"|"&amp;Raw_Data!AF232&amp;"|"&amp;Raw_Data!AG232&amp;"|"&amp;Raw_Data!AH232&amp;"|"&amp;Raw_Data!AI232&amp;"|"&amp;Raw_Data!AJ232&amp;"|"&amp;Raw_Data!AK232&amp;"|"&amp;Raw_Data!AL232&amp;"|"&amp;Raw_Data!AM232&amp;"|"&amp;Raw_Data!AN232&amp;"|"&amp;Raw_Data!AO232</f>
        <v>1|3|1|1|2|2|2|3|1|23|2|2|1|3|4|2|2|1|4|5|4|5|4|2|4|4|4|1|1|2|3|2|4|4|4|5|3|5|2|1|2</v>
      </c>
      <c r="Q234" s="3" t="n">
        <f aca="false">COUNTIF($P$4:$P$513,P234)</f>
        <v>1</v>
      </c>
    </row>
    <row r="235" customFormat="false" ht="15" hidden="false" customHeight="false" outlineLevel="0" collapsed="false">
      <c r="O235" s="3" t="n">
        <v>233</v>
      </c>
      <c r="P235" s="3" t="str">
        <f aca="false">Raw_Data!A233&amp;"|"&amp;Raw_Data!B233&amp;"|"&amp;Raw_Data!C233&amp;"|"&amp;Raw_Data!D233&amp;"|"&amp;Raw_Data!E233&amp;"|"&amp;Raw_Data!F233&amp;"|"&amp;Raw_Data!G233&amp;"|"&amp;Raw_Data!H233&amp;"|"&amp;Raw_Data!I233&amp;"|"&amp;Raw_Data!J233&amp;"|"&amp;Raw_Data!K233&amp;"|"&amp;Raw_Data!L233&amp;"|"&amp;Raw_Data!M233&amp;"|"&amp;Raw_Data!N233&amp;"|"&amp;Raw_Data!O233&amp;"|"&amp;Raw_Data!P233&amp;"|"&amp;Raw_Data!Q233&amp;"|"&amp;Raw_Data!R233&amp;"|"&amp;Raw_Data!S233&amp;"|"&amp;Raw_Data!T233&amp;"|"&amp;Raw_Data!U233&amp;"|"&amp;Raw_Data!V233&amp;"|"&amp;Raw_Data!W233&amp;"|"&amp;Raw_Data!X233&amp;"|"&amp;Raw_Data!Y233&amp;"|"&amp;Raw_Data!Z233&amp;"|"&amp;Raw_Data!AA233&amp;"|"&amp;Raw_Data!AB233&amp;"|"&amp;Raw_Data!AC233&amp;"|"&amp;Raw_Data!AD233&amp;"|"&amp;Raw_Data!AE233&amp;"|"&amp;Raw_Data!AF233&amp;"|"&amp;Raw_Data!AG233&amp;"|"&amp;Raw_Data!AH233&amp;"|"&amp;Raw_Data!AI233&amp;"|"&amp;Raw_Data!AJ233&amp;"|"&amp;Raw_Data!AK233&amp;"|"&amp;Raw_Data!AL233&amp;"|"&amp;Raw_Data!AM233&amp;"|"&amp;Raw_Data!AN233&amp;"|"&amp;Raw_Data!AO233</f>
        <v>1|4|1|1|2|2|1|1|3|26|4|4|4|3|3|4|3|3|4|4|3|3|3|4|3|4|2|2|2|3|3|2|2|4|4|4|3|4|3|3|3</v>
      </c>
      <c r="Q235" s="3" t="n">
        <f aca="false">COUNTIF($P$4:$P$513,P235)</f>
        <v>1</v>
      </c>
    </row>
    <row r="236" customFormat="false" ht="15" hidden="false" customHeight="false" outlineLevel="0" collapsed="false">
      <c r="O236" s="3" t="n">
        <v>234</v>
      </c>
      <c r="P236" s="3" t="str">
        <f aca="false">Raw_Data!A234&amp;"|"&amp;Raw_Data!B234&amp;"|"&amp;Raw_Data!C234&amp;"|"&amp;Raw_Data!D234&amp;"|"&amp;Raw_Data!E234&amp;"|"&amp;Raw_Data!F234&amp;"|"&amp;Raw_Data!G234&amp;"|"&amp;Raw_Data!H234&amp;"|"&amp;Raw_Data!I234&amp;"|"&amp;Raw_Data!J234&amp;"|"&amp;Raw_Data!K234&amp;"|"&amp;Raw_Data!L234&amp;"|"&amp;Raw_Data!M234&amp;"|"&amp;Raw_Data!N234&amp;"|"&amp;Raw_Data!O234&amp;"|"&amp;Raw_Data!P234&amp;"|"&amp;Raw_Data!Q234&amp;"|"&amp;Raw_Data!R234&amp;"|"&amp;Raw_Data!S234&amp;"|"&amp;Raw_Data!T234&amp;"|"&amp;Raw_Data!U234&amp;"|"&amp;Raw_Data!V234&amp;"|"&amp;Raw_Data!W234&amp;"|"&amp;Raw_Data!X234&amp;"|"&amp;Raw_Data!Y234&amp;"|"&amp;Raw_Data!Z234&amp;"|"&amp;Raw_Data!AA234&amp;"|"&amp;Raw_Data!AB234&amp;"|"&amp;Raw_Data!AC234&amp;"|"&amp;Raw_Data!AD234&amp;"|"&amp;Raw_Data!AE234&amp;"|"&amp;Raw_Data!AF234&amp;"|"&amp;Raw_Data!AG234&amp;"|"&amp;Raw_Data!AH234&amp;"|"&amp;Raw_Data!AI234&amp;"|"&amp;Raw_Data!AJ234&amp;"|"&amp;Raw_Data!AK234&amp;"|"&amp;Raw_Data!AL234&amp;"|"&amp;Raw_Data!AM234&amp;"|"&amp;Raw_Data!AN234&amp;"|"&amp;Raw_Data!AO234</f>
        <v>0|4|1|1|2|2|1|2|1|26|4|4|4|5|4|4|2|4|5|5|5|3|4|4|2|4|4|2|1|2|4|3|4|2|2|4|2|5|3|2|4</v>
      </c>
      <c r="Q236" s="3" t="n">
        <f aca="false">COUNTIF($P$4:$P$513,P236)</f>
        <v>1</v>
      </c>
    </row>
    <row r="237" customFormat="false" ht="15" hidden="false" customHeight="false" outlineLevel="0" collapsed="false">
      <c r="O237" s="3" t="n">
        <v>235</v>
      </c>
      <c r="P237" s="3" t="str">
        <f aca="false">Raw_Data!A235&amp;"|"&amp;Raw_Data!B235&amp;"|"&amp;Raw_Data!C235&amp;"|"&amp;Raw_Data!D235&amp;"|"&amp;Raw_Data!E235&amp;"|"&amp;Raw_Data!F235&amp;"|"&amp;Raw_Data!G235&amp;"|"&amp;Raw_Data!H235&amp;"|"&amp;Raw_Data!I235&amp;"|"&amp;Raw_Data!J235&amp;"|"&amp;Raw_Data!K235&amp;"|"&amp;Raw_Data!L235&amp;"|"&amp;Raw_Data!M235&amp;"|"&amp;Raw_Data!N235&amp;"|"&amp;Raw_Data!O235&amp;"|"&amp;Raw_Data!P235&amp;"|"&amp;Raw_Data!Q235&amp;"|"&amp;Raw_Data!R235&amp;"|"&amp;Raw_Data!S235&amp;"|"&amp;Raw_Data!T235&amp;"|"&amp;Raw_Data!U235&amp;"|"&amp;Raw_Data!V235&amp;"|"&amp;Raw_Data!W235&amp;"|"&amp;Raw_Data!X235&amp;"|"&amp;Raw_Data!Y235&amp;"|"&amp;Raw_Data!Z235&amp;"|"&amp;Raw_Data!AA235&amp;"|"&amp;Raw_Data!AB235&amp;"|"&amp;Raw_Data!AC235&amp;"|"&amp;Raw_Data!AD235&amp;"|"&amp;Raw_Data!AE235&amp;"|"&amp;Raw_Data!AF235&amp;"|"&amp;Raw_Data!AG235&amp;"|"&amp;Raw_Data!AH235&amp;"|"&amp;Raw_Data!AI235&amp;"|"&amp;Raw_Data!AJ235&amp;"|"&amp;Raw_Data!AK235&amp;"|"&amp;Raw_Data!AL235&amp;"|"&amp;Raw_Data!AM235&amp;"|"&amp;Raw_Data!AN235&amp;"|"&amp;Raw_Data!AO235</f>
        <v>0|1|1|2|2|2|2|2|3|27|3|2|3|3|4|3|2|5|4|2|4|3|1|4|2|3|3|1|5|5|3|4|4|5|2|3|5|3|3|3|5</v>
      </c>
      <c r="Q237" s="3" t="n">
        <f aca="false">COUNTIF($P$4:$P$513,P237)</f>
        <v>1</v>
      </c>
    </row>
    <row r="238" customFormat="false" ht="15" hidden="false" customHeight="false" outlineLevel="0" collapsed="false">
      <c r="O238" s="3" t="n">
        <v>236</v>
      </c>
      <c r="P238" s="3" t="str">
        <f aca="false">Raw_Data!A236&amp;"|"&amp;Raw_Data!B236&amp;"|"&amp;Raw_Data!C236&amp;"|"&amp;Raw_Data!D236&amp;"|"&amp;Raw_Data!E236&amp;"|"&amp;Raw_Data!F236&amp;"|"&amp;Raw_Data!G236&amp;"|"&amp;Raw_Data!H236&amp;"|"&amp;Raw_Data!I236&amp;"|"&amp;Raw_Data!J236&amp;"|"&amp;Raw_Data!K236&amp;"|"&amp;Raw_Data!L236&amp;"|"&amp;Raw_Data!M236&amp;"|"&amp;Raw_Data!N236&amp;"|"&amp;Raw_Data!O236&amp;"|"&amp;Raw_Data!P236&amp;"|"&amp;Raw_Data!Q236&amp;"|"&amp;Raw_Data!R236&amp;"|"&amp;Raw_Data!S236&amp;"|"&amp;Raw_Data!T236&amp;"|"&amp;Raw_Data!U236&amp;"|"&amp;Raw_Data!V236&amp;"|"&amp;Raw_Data!W236&amp;"|"&amp;Raw_Data!X236&amp;"|"&amp;Raw_Data!Y236&amp;"|"&amp;Raw_Data!Z236&amp;"|"&amp;Raw_Data!AA236&amp;"|"&amp;Raw_Data!AB236&amp;"|"&amp;Raw_Data!AC236&amp;"|"&amp;Raw_Data!AD236&amp;"|"&amp;Raw_Data!AE236&amp;"|"&amp;Raw_Data!AF236&amp;"|"&amp;Raw_Data!AG236&amp;"|"&amp;Raw_Data!AH236&amp;"|"&amp;Raw_Data!AI236&amp;"|"&amp;Raw_Data!AJ236&amp;"|"&amp;Raw_Data!AK236&amp;"|"&amp;Raw_Data!AL236&amp;"|"&amp;Raw_Data!AM236&amp;"|"&amp;Raw_Data!AN236&amp;"|"&amp;Raw_Data!AO236</f>
        <v>0|4|1|1|2|2|2|1|3|28|2|3|2|4|1|1|4|1|5|5|5|2|1|1|1|4|4|4|1|1|4|4|4|4|4|3|1|5|4|1|1</v>
      </c>
      <c r="Q238" s="3" t="n">
        <f aca="false">COUNTIF($P$4:$P$513,P238)</f>
        <v>1</v>
      </c>
    </row>
    <row r="239" customFormat="false" ht="15" hidden="false" customHeight="false" outlineLevel="0" collapsed="false">
      <c r="O239" s="3" t="n">
        <v>237</v>
      </c>
      <c r="P239" s="3" t="str">
        <f aca="false">Raw_Data!A237&amp;"|"&amp;Raw_Data!B237&amp;"|"&amp;Raw_Data!C237&amp;"|"&amp;Raw_Data!D237&amp;"|"&amp;Raw_Data!E237&amp;"|"&amp;Raw_Data!F237&amp;"|"&amp;Raw_Data!G237&amp;"|"&amp;Raw_Data!H237&amp;"|"&amp;Raw_Data!I237&amp;"|"&amp;Raw_Data!J237&amp;"|"&amp;Raw_Data!K237&amp;"|"&amp;Raw_Data!L237&amp;"|"&amp;Raw_Data!M237&amp;"|"&amp;Raw_Data!N237&amp;"|"&amp;Raw_Data!O237&amp;"|"&amp;Raw_Data!P237&amp;"|"&amp;Raw_Data!Q237&amp;"|"&amp;Raw_Data!R237&amp;"|"&amp;Raw_Data!S237&amp;"|"&amp;Raw_Data!T237&amp;"|"&amp;Raw_Data!U237&amp;"|"&amp;Raw_Data!V237&amp;"|"&amp;Raw_Data!W237&amp;"|"&amp;Raw_Data!X237&amp;"|"&amp;Raw_Data!Y237&amp;"|"&amp;Raw_Data!Z237&amp;"|"&amp;Raw_Data!AA237&amp;"|"&amp;Raw_Data!AB237&amp;"|"&amp;Raw_Data!AC237&amp;"|"&amp;Raw_Data!AD237&amp;"|"&amp;Raw_Data!AE237&amp;"|"&amp;Raw_Data!AF237&amp;"|"&amp;Raw_Data!AG237&amp;"|"&amp;Raw_Data!AH237&amp;"|"&amp;Raw_Data!AI237&amp;"|"&amp;Raw_Data!AJ237&amp;"|"&amp;Raw_Data!AK237&amp;"|"&amp;Raw_Data!AL237&amp;"|"&amp;Raw_Data!AM237&amp;"|"&amp;Raw_Data!AN237&amp;"|"&amp;Raw_Data!AO237</f>
        <v>0|4|1|2|2|2|1|1|3|28|4|3|2|4|3|2|4|4|4|5|4|3|4|3|4|4|3|3|1|2|4|2|4|4|4|4|2|4|3|2|4</v>
      </c>
      <c r="Q239" s="3" t="n">
        <f aca="false">COUNTIF($P$4:$P$513,P239)</f>
        <v>1</v>
      </c>
    </row>
    <row r="240" customFormat="false" ht="15" hidden="false" customHeight="false" outlineLevel="0" collapsed="false">
      <c r="O240" s="3" t="n">
        <v>238</v>
      </c>
      <c r="P240" s="3" t="str">
        <f aca="false">Raw_Data!A238&amp;"|"&amp;Raw_Data!B238&amp;"|"&amp;Raw_Data!C238&amp;"|"&amp;Raw_Data!D238&amp;"|"&amp;Raw_Data!E238&amp;"|"&amp;Raw_Data!F238&amp;"|"&amp;Raw_Data!G238&amp;"|"&amp;Raw_Data!H238&amp;"|"&amp;Raw_Data!I238&amp;"|"&amp;Raw_Data!J238&amp;"|"&amp;Raw_Data!K238&amp;"|"&amp;Raw_Data!L238&amp;"|"&amp;Raw_Data!M238&amp;"|"&amp;Raw_Data!N238&amp;"|"&amp;Raw_Data!O238&amp;"|"&amp;Raw_Data!P238&amp;"|"&amp;Raw_Data!Q238&amp;"|"&amp;Raw_Data!R238&amp;"|"&amp;Raw_Data!S238&amp;"|"&amp;Raw_Data!T238&amp;"|"&amp;Raw_Data!U238&amp;"|"&amp;Raw_Data!V238&amp;"|"&amp;Raw_Data!W238&amp;"|"&amp;Raw_Data!X238&amp;"|"&amp;Raw_Data!Y238&amp;"|"&amp;Raw_Data!Z238&amp;"|"&amp;Raw_Data!AA238&amp;"|"&amp;Raw_Data!AB238&amp;"|"&amp;Raw_Data!AC238&amp;"|"&amp;Raw_Data!AD238&amp;"|"&amp;Raw_Data!AE238&amp;"|"&amp;Raw_Data!AF238&amp;"|"&amp;Raw_Data!AG238&amp;"|"&amp;Raw_Data!AH238&amp;"|"&amp;Raw_Data!AI238&amp;"|"&amp;Raw_Data!AJ238&amp;"|"&amp;Raw_Data!AK238&amp;"|"&amp;Raw_Data!AL238&amp;"|"&amp;Raw_Data!AM238&amp;"|"&amp;Raw_Data!AN238&amp;"|"&amp;Raw_Data!AO238</f>
        <v>1|3|1|1|2|2|2|1|1|23|1|1|4|2|4|1|1|1|3|5|3|4|4|4|4|4|4|1|1|1|5|1|5|4|2|5|1|5|5|1|1</v>
      </c>
      <c r="Q240" s="3" t="n">
        <f aca="false">COUNTIF($P$4:$P$513,P240)</f>
        <v>1</v>
      </c>
    </row>
    <row r="241" customFormat="false" ht="15" hidden="false" customHeight="false" outlineLevel="0" collapsed="false">
      <c r="O241" s="3" t="n">
        <v>239</v>
      </c>
      <c r="P241" s="3" t="str">
        <f aca="false">Raw_Data!A239&amp;"|"&amp;Raw_Data!B239&amp;"|"&amp;Raw_Data!C239&amp;"|"&amp;Raw_Data!D239&amp;"|"&amp;Raw_Data!E239&amp;"|"&amp;Raw_Data!F239&amp;"|"&amp;Raw_Data!G239&amp;"|"&amp;Raw_Data!H239&amp;"|"&amp;Raw_Data!I239&amp;"|"&amp;Raw_Data!J239&amp;"|"&amp;Raw_Data!K239&amp;"|"&amp;Raw_Data!L239&amp;"|"&amp;Raw_Data!M239&amp;"|"&amp;Raw_Data!N239&amp;"|"&amp;Raw_Data!O239&amp;"|"&amp;Raw_Data!P239&amp;"|"&amp;Raw_Data!Q239&amp;"|"&amp;Raw_Data!R239&amp;"|"&amp;Raw_Data!S239&amp;"|"&amp;Raw_Data!T239&amp;"|"&amp;Raw_Data!U239&amp;"|"&amp;Raw_Data!V239&amp;"|"&amp;Raw_Data!W239&amp;"|"&amp;Raw_Data!X239&amp;"|"&amp;Raw_Data!Y239&amp;"|"&amp;Raw_Data!Z239&amp;"|"&amp;Raw_Data!AA239&amp;"|"&amp;Raw_Data!AB239&amp;"|"&amp;Raw_Data!AC239&amp;"|"&amp;Raw_Data!AD239&amp;"|"&amp;Raw_Data!AE239&amp;"|"&amp;Raw_Data!AF239&amp;"|"&amp;Raw_Data!AG239&amp;"|"&amp;Raw_Data!AH239&amp;"|"&amp;Raw_Data!AI239&amp;"|"&amp;Raw_Data!AJ239&amp;"|"&amp;Raw_Data!AK239&amp;"|"&amp;Raw_Data!AL239&amp;"|"&amp;Raw_Data!AM239&amp;"|"&amp;Raw_Data!AN239&amp;"|"&amp;Raw_Data!AO239</f>
        <v>0|4|1|1|2|2|1|3|1|24|2|3|2|4|4|5|3|5|3|2|2|5|4|4|3|4|3|2|3|2|4|3|2|4|2|5|3|3|3|1|4</v>
      </c>
      <c r="Q241" s="3" t="n">
        <f aca="false">COUNTIF($P$4:$P$513,P241)</f>
        <v>1</v>
      </c>
    </row>
    <row r="242" customFormat="false" ht="15" hidden="false" customHeight="false" outlineLevel="0" collapsed="false">
      <c r="O242" s="3" t="n">
        <v>240</v>
      </c>
      <c r="P242" s="3" t="str">
        <f aca="false">Raw_Data!A240&amp;"|"&amp;Raw_Data!B240&amp;"|"&amp;Raw_Data!C240&amp;"|"&amp;Raw_Data!D240&amp;"|"&amp;Raw_Data!E240&amp;"|"&amp;Raw_Data!F240&amp;"|"&amp;Raw_Data!G240&amp;"|"&amp;Raw_Data!H240&amp;"|"&amp;Raw_Data!I240&amp;"|"&amp;Raw_Data!J240&amp;"|"&amp;Raw_Data!K240&amp;"|"&amp;Raw_Data!L240&amp;"|"&amp;Raw_Data!M240&amp;"|"&amp;Raw_Data!N240&amp;"|"&amp;Raw_Data!O240&amp;"|"&amp;Raw_Data!P240&amp;"|"&amp;Raw_Data!Q240&amp;"|"&amp;Raw_Data!R240&amp;"|"&amp;Raw_Data!S240&amp;"|"&amp;Raw_Data!T240&amp;"|"&amp;Raw_Data!U240&amp;"|"&amp;Raw_Data!V240&amp;"|"&amp;Raw_Data!W240&amp;"|"&amp;Raw_Data!X240&amp;"|"&amp;Raw_Data!Y240&amp;"|"&amp;Raw_Data!Z240&amp;"|"&amp;Raw_Data!AA240&amp;"|"&amp;Raw_Data!AB240&amp;"|"&amp;Raw_Data!AC240&amp;"|"&amp;Raw_Data!AD240&amp;"|"&amp;Raw_Data!AE240&amp;"|"&amp;Raw_Data!AF240&amp;"|"&amp;Raw_Data!AG240&amp;"|"&amp;Raw_Data!AH240&amp;"|"&amp;Raw_Data!AI240&amp;"|"&amp;Raw_Data!AJ240&amp;"|"&amp;Raw_Data!AK240&amp;"|"&amp;Raw_Data!AL240&amp;"|"&amp;Raw_Data!AM240&amp;"|"&amp;Raw_Data!AN240&amp;"|"&amp;Raw_Data!AO240</f>
        <v>0|1|2|1|2|2|3|1|1|22|4|2|2|2|4|2|4|1|3|5|4|4|5|5|4|4|4|4|2|2|3|2|4|3|3|5|2|5|2|4|2</v>
      </c>
      <c r="Q242" s="3" t="n">
        <f aca="false">COUNTIF($P$4:$P$513,P242)</f>
        <v>1</v>
      </c>
    </row>
    <row r="243" customFormat="false" ht="15" hidden="false" customHeight="false" outlineLevel="0" collapsed="false">
      <c r="O243" s="3" t="n">
        <v>241</v>
      </c>
      <c r="P243" s="3" t="str">
        <f aca="false">Raw_Data!A241&amp;"|"&amp;Raw_Data!B241&amp;"|"&amp;Raw_Data!C241&amp;"|"&amp;Raw_Data!D241&amp;"|"&amp;Raw_Data!E241&amp;"|"&amp;Raw_Data!F241&amp;"|"&amp;Raw_Data!G241&amp;"|"&amp;Raw_Data!H241&amp;"|"&amp;Raw_Data!I241&amp;"|"&amp;Raw_Data!J241&amp;"|"&amp;Raw_Data!K241&amp;"|"&amp;Raw_Data!L241&amp;"|"&amp;Raw_Data!M241&amp;"|"&amp;Raw_Data!N241&amp;"|"&amp;Raw_Data!O241&amp;"|"&amp;Raw_Data!P241&amp;"|"&amp;Raw_Data!Q241&amp;"|"&amp;Raw_Data!R241&amp;"|"&amp;Raw_Data!S241&amp;"|"&amp;Raw_Data!T241&amp;"|"&amp;Raw_Data!U241&amp;"|"&amp;Raw_Data!V241&amp;"|"&amp;Raw_Data!W241&amp;"|"&amp;Raw_Data!X241&amp;"|"&amp;Raw_Data!Y241&amp;"|"&amp;Raw_Data!Z241&amp;"|"&amp;Raw_Data!AA241&amp;"|"&amp;Raw_Data!AB241&amp;"|"&amp;Raw_Data!AC241&amp;"|"&amp;Raw_Data!AD241&amp;"|"&amp;Raw_Data!AE241&amp;"|"&amp;Raw_Data!AF241&amp;"|"&amp;Raw_Data!AG241&amp;"|"&amp;Raw_Data!AH241&amp;"|"&amp;Raw_Data!AI241&amp;"|"&amp;Raw_Data!AJ241&amp;"|"&amp;Raw_Data!AK241&amp;"|"&amp;Raw_Data!AL241&amp;"|"&amp;Raw_Data!AM241&amp;"|"&amp;Raw_Data!AN241&amp;"|"&amp;Raw_Data!AO241</f>
        <v>0|3|1|1|1|2|3|2|1|24|3|3|4|2|3|2|2|3|4|5|4|3|4|2|3|4|4|2|2|2|4|3|4|4|4|4|2|4|3|4|3</v>
      </c>
      <c r="Q243" s="3" t="n">
        <f aca="false">COUNTIF($P$4:$P$513,P243)</f>
        <v>1</v>
      </c>
    </row>
    <row r="244" customFormat="false" ht="15" hidden="false" customHeight="false" outlineLevel="0" collapsed="false">
      <c r="O244" s="3" t="n">
        <v>242</v>
      </c>
      <c r="P244" s="3" t="str">
        <f aca="false">Raw_Data!A242&amp;"|"&amp;Raw_Data!B242&amp;"|"&amp;Raw_Data!C242&amp;"|"&amp;Raw_Data!D242&amp;"|"&amp;Raw_Data!E242&amp;"|"&amp;Raw_Data!F242&amp;"|"&amp;Raw_Data!G242&amp;"|"&amp;Raw_Data!H242&amp;"|"&amp;Raw_Data!I242&amp;"|"&amp;Raw_Data!J242&amp;"|"&amp;Raw_Data!K242&amp;"|"&amp;Raw_Data!L242&amp;"|"&amp;Raw_Data!M242&amp;"|"&amp;Raw_Data!N242&amp;"|"&amp;Raw_Data!O242&amp;"|"&amp;Raw_Data!P242&amp;"|"&amp;Raw_Data!Q242&amp;"|"&amp;Raw_Data!R242&amp;"|"&amp;Raw_Data!S242&amp;"|"&amp;Raw_Data!T242&amp;"|"&amp;Raw_Data!U242&amp;"|"&amp;Raw_Data!V242&amp;"|"&amp;Raw_Data!W242&amp;"|"&amp;Raw_Data!X242&amp;"|"&amp;Raw_Data!Y242&amp;"|"&amp;Raw_Data!Z242&amp;"|"&amp;Raw_Data!AA242&amp;"|"&amp;Raw_Data!AB242&amp;"|"&amp;Raw_Data!AC242&amp;"|"&amp;Raw_Data!AD242&amp;"|"&amp;Raw_Data!AE242&amp;"|"&amp;Raw_Data!AF242&amp;"|"&amp;Raw_Data!AG242&amp;"|"&amp;Raw_Data!AH242&amp;"|"&amp;Raw_Data!AI242&amp;"|"&amp;Raw_Data!AJ242&amp;"|"&amp;Raw_Data!AK242&amp;"|"&amp;Raw_Data!AL242&amp;"|"&amp;Raw_Data!AM242&amp;"|"&amp;Raw_Data!AN242&amp;"|"&amp;Raw_Data!AO242</f>
        <v>1|4|1|1|2|2|2|2|2|24|3|5|5|4|5|4|5|5|5|5|4|5|4|4|4|5|4|4|4|4|4|4|4|4|4|2|4|4|3|4|5</v>
      </c>
      <c r="Q244" s="3" t="n">
        <f aca="false">COUNTIF($P$4:$P$513,P244)</f>
        <v>1</v>
      </c>
    </row>
    <row r="245" customFormat="false" ht="15" hidden="false" customHeight="false" outlineLevel="0" collapsed="false">
      <c r="O245" s="3" t="n">
        <v>243</v>
      </c>
      <c r="P245" s="3" t="str">
        <f aca="false">Raw_Data!A243&amp;"|"&amp;Raw_Data!B243&amp;"|"&amp;Raw_Data!C243&amp;"|"&amp;Raw_Data!D243&amp;"|"&amp;Raw_Data!E243&amp;"|"&amp;Raw_Data!F243&amp;"|"&amp;Raw_Data!G243&amp;"|"&amp;Raw_Data!H243&amp;"|"&amp;Raw_Data!I243&amp;"|"&amp;Raw_Data!J243&amp;"|"&amp;Raw_Data!K243&amp;"|"&amp;Raw_Data!L243&amp;"|"&amp;Raw_Data!M243&amp;"|"&amp;Raw_Data!N243&amp;"|"&amp;Raw_Data!O243&amp;"|"&amp;Raw_Data!P243&amp;"|"&amp;Raw_Data!Q243&amp;"|"&amp;Raw_Data!R243&amp;"|"&amp;Raw_Data!S243&amp;"|"&amp;Raw_Data!T243&amp;"|"&amp;Raw_Data!U243&amp;"|"&amp;Raw_Data!V243&amp;"|"&amp;Raw_Data!W243&amp;"|"&amp;Raw_Data!X243&amp;"|"&amp;Raw_Data!Y243&amp;"|"&amp;Raw_Data!Z243&amp;"|"&amp;Raw_Data!AA243&amp;"|"&amp;Raw_Data!AB243&amp;"|"&amp;Raw_Data!AC243&amp;"|"&amp;Raw_Data!AD243&amp;"|"&amp;Raw_Data!AE243&amp;"|"&amp;Raw_Data!AF243&amp;"|"&amp;Raw_Data!AG243&amp;"|"&amp;Raw_Data!AH243&amp;"|"&amp;Raw_Data!AI243&amp;"|"&amp;Raw_Data!AJ243&amp;"|"&amp;Raw_Data!AK243&amp;"|"&amp;Raw_Data!AL243&amp;"|"&amp;Raw_Data!AM243&amp;"|"&amp;Raw_Data!AN243&amp;"|"&amp;Raw_Data!AO243</f>
        <v>0|4|1|1|2|2|1|2|2|27|3|3|4|3|3|5|4|4|5|5|5|4|3|3|3|4|4|3|3|3|4|4|4|3|4|5|5|5|3|3|3</v>
      </c>
      <c r="Q245" s="3" t="n">
        <f aca="false">COUNTIF($P$4:$P$513,P245)</f>
        <v>1</v>
      </c>
    </row>
    <row r="246" customFormat="false" ht="15" hidden="false" customHeight="false" outlineLevel="0" collapsed="false">
      <c r="O246" s="3" t="n">
        <v>244</v>
      </c>
      <c r="P246" s="3" t="str">
        <f aca="false">Raw_Data!A244&amp;"|"&amp;Raw_Data!B244&amp;"|"&amp;Raw_Data!C244&amp;"|"&amp;Raw_Data!D244&amp;"|"&amp;Raw_Data!E244&amp;"|"&amp;Raw_Data!F244&amp;"|"&amp;Raw_Data!G244&amp;"|"&amp;Raw_Data!H244&amp;"|"&amp;Raw_Data!I244&amp;"|"&amp;Raw_Data!J244&amp;"|"&amp;Raw_Data!K244&amp;"|"&amp;Raw_Data!L244&amp;"|"&amp;Raw_Data!M244&amp;"|"&amp;Raw_Data!N244&amp;"|"&amp;Raw_Data!O244&amp;"|"&amp;Raw_Data!P244&amp;"|"&amp;Raw_Data!Q244&amp;"|"&amp;Raw_Data!R244&amp;"|"&amp;Raw_Data!S244&amp;"|"&amp;Raw_Data!T244&amp;"|"&amp;Raw_Data!U244&amp;"|"&amp;Raw_Data!V244&amp;"|"&amp;Raw_Data!W244&amp;"|"&amp;Raw_Data!X244&amp;"|"&amp;Raw_Data!Y244&amp;"|"&amp;Raw_Data!Z244&amp;"|"&amp;Raw_Data!AA244&amp;"|"&amp;Raw_Data!AB244&amp;"|"&amp;Raw_Data!AC244&amp;"|"&amp;Raw_Data!AD244&amp;"|"&amp;Raw_Data!AE244&amp;"|"&amp;Raw_Data!AF244&amp;"|"&amp;Raw_Data!AG244&amp;"|"&amp;Raw_Data!AH244&amp;"|"&amp;Raw_Data!AI244&amp;"|"&amp;Raw_Data!AJ244&amp;"|"&amp;Raw_Data!AK244&amp;"|"&amp;Raw_Data!AL244&amp;"|"&amp;Raw_Data!AM244&amp;"|"&amp;Raw_Data!AN244&amp;"|"&amp;Raw_Data!AO244</f>
        <v>0|4|2|1|2|2|1|2|3|26|3|3|3|4|2|3|3|2|5|5|5|3|4|4|4|4|4|3|1|1|4|3|4|5|4|4|2|4|3|2|2</v>
      </c>
      <c r="Q246" s="3" t="n">
        <f aca="false">COUNTIF($P$4:$P$513,P246)</f>
        <v>1</v>
      </c>
    </row>
    <row r="247" customFormat="false" ht="15" hidden="false" customHeight="false" outlineLevel="0" collapsed="false">
      <c r="O247" s="3" t="n">
        <v>245</v>
      </c>
      <c r="P247" s="3" t="str">
        <f aca="false">Raw_Data!A245&amp;"|"&amp;Raw_Data!B245&amp;"|"&amp;Raw_Data!C245&amp;"|"&amp;Raw_Data!D245&amp;"|"&amp;Raw_Data!E245&amp;"|"&amp;Raw_Data!F245&amp;"|"&amp;Raw_Data!G245&amp;"|"&amp;Raw_Data!H245&amp;"|"&amp;Raw_Data!I245&amp;"|"&amp;Raw_Data!J245&amp;"|"&amp;Raw_Data!K245&amp;"|"&amp;Raw_Data!L245&amp;"|"&amp;Raw_Data!M245&amp;"|"&amp;Raw_Data!N245&amp;"|"&amp;Raw_Data!O245&amp;"|"&amp;Raw_Data!P245&amp;"|"&amp;Raw_Data!Q245&amp;"|"&amp;Raw_Data!R245&amp;"|"&amp;Raw_Data!S245&amp;"|"&amp;Raw_Data!T245&amp;"|"&amp;Raw_Data!U245&amp;"|"&amp;Raw_Data!V245&amp;"|"&amp;Raw_Data!W245&amp;"|"&amp;Raw_Data!X245&amp;"|"&amp;Raw_Data!Y245&amp;"|"&amp;Raw_Data!Z245&amp;"|"&amp;Raw_Data!AA245&amp;"|"&amp;Raw_Data!AB245&amp;"|"&amp;Raw_Data!AC245&amp;"|"&amp;Raw_Data!AD245&amp;"|"&amp;Raw_Data!AE245&amp;"|"&amp;Raw_Data!AF245&amp;"|"&amp;Raw_Data!AG245&amp;"|"&amp;Raw_Data!AH245&amp;"|"&amp;Raw_Data!AI245&amp;"|"&amp;Raw_Data!AJ245&amp;"|"&amp;Raw_Data!AK245&amp;"|"&amp;Raw_Data!AL245&amp;"|"&amp;Raw_Data!AM245&amp;"|"&amp;Raw_Data!AN245&amp;"|"&amp;Raw_Data!AO245</f>
        <v>0|4|1|1|2|2|3|3|1|25|3|2|3|4|4|4|3|3|3|5|4|3|4|4|4|4|1|1|3|2|2|3|2|4|4|5|2|4|3|2|3</v>
      </c>
      <c r="Q247" s="3" t="n">
        <f aca="false">COUNTIF($P$4:$P$513,P247)</f>
        <v>1</v>
      </c>
    </row>
    <row r="248" customFormat="false" ht="15" hidden="false" customHeight="false" outlineLevel="0" collapsed="false">
      <c r="O248" s="3" t="n">
        <v>246</v>
      </c>
      <c r="P248" s="3" t="str">
        <f aca="false">Raw_Data!A246&amp;"|"&amp;Raw_Data!B246&amp;"|"&amp;Raw_Data!C246&amp;"|"&amp;Raw_Data!D246&amp;"|"&amp;Raw_Data!E246&amp;"|"&amp;Raw_Data!F246&amp;"|"&amp;Raw_Data!G246&amp;"|"&amp;Raw_Data!H246&amp;"|"&amp;Raw_Data!I246&amp;"|"&amp;Raw_Data!J246&amp;"|"&amp;Raw_Data!K246&amp;"|"&amp;Raw_Data!L246&amp;"|"&amp;Raw_Data!M246&amp;"|"&amp;Raw_Data!N246&amp;"|"&amp;Raw_Data!O246&amp;"|"&amp;Raw_Data!P246&amp;"|"&amp;Raw_Data!Q246&amp;"|"&amp;Raw_Data!R246&amp;"|"&amp;Raw_Data!S246&amp;"|"&amp;Raw_Data!T246&amp;"|"&amp;Raw_Data!U246&amp;"|"&amp;Raw_Data!V246&amp;"|"&amp;Raw_Data!W246&amp;"|"&amp;Raw_Data!X246&amp;"|"&amp;Raw_Data!Y246&amp;"|"&amp;Raw_Data!Z246&amp;"|"&amp;Raw_Data!AA246&amp;"|"&amp;Raw_Data!AB246&amp;"|"&amp;Raw_Data!AC246&amp;"|"&amp;Raw_Data!AD246&amp;"|"&amp;Raw_Data!AE246&amp;"|"&amp;Raw_Data!AF246&amp;"|"&amp;Raw_Data!AG246&amp;"|"&amp;Raw_Data!AH246&amp;"|"&amp;Raw_Data!AI246&amp;"|"&amp;Raw_Data!AJ246&amp;"|"&amp;Raw_Data!AK246&amp;"|"&amp;Raw_Data!AL246&amp;"|"&amp;Raw_Data!AM246&amp;"|"&amp;Raw_Data!AN246&amp;"|"&amp;Raw_Data!AO246</f>
        <v>1|3|2|1|2|2|3|3|1|22|3|3|4|4|4|2|4|4|3|4|4|4|4|2|2|4|2|4|4|2|2|2|2|2|2|4|2|2|3|2|2</v>
      </c>
      <c r="Q248" s="3" t="n">
        <f aca="false">COUNTIF($P$4:$P$513,P248)</f>
        <v>1</v>
      </c>
    </row>
    <row r="249" customFormat="false" ht="15" hidden="false" customHeight="false" outlineLevel="0" collapsed="false">
      <c r="O249" s="3" t="n">
        <v>247</v>
      </c>
      <c r="P249" s="3" t="str">
        <f aca="false">Raw_Data!A247&amp;"|"&amp;Raw_Data!B247&amp;"|"&amp;Raw_Data!C247&amp;"|"&amp;Raw_Data!D247&amp;"|"&amp;Raw_Data!E247&amp;"|"&amp;Raw_Data!F247&amp;"|"&amp;Raw_Data!G247&amp;"|"&amp;Raw_Data!H247&amp;"|"&amp;Raw_Data!I247&amp;"|"&amp;Raw_Data!J247&amp;"|"&amp;Raw_Data!K247&amp;"|"&amp;Raw_Data!L247&amp;"|"&amp;Raw_Data!M247&amp;"|"&amp;Raw_Data!N247&amp;"|"&amp;Raw_Data!O247&amp;"|"&amp;Raw_Data!P247&amp;"|"&amp;Raw_Data!Q247&amp;"|"&amp;Raw_Data!R247&amp;"|"&amp;Raw_Data!S247&amp;"|"&amp;Raw_Data!T247&amp;"|"&amp;Raw_Data!U247&amp;"|"&amp;Raw_Data!V247&amp;"|"&amp;Raw_Data!W247&amp;"|"&amp;Raw_Data!X247&amp;"|"&amp;Raw_Data!Y247&amp;"|"&amp;Raw_Data!Z247&amp;"|"&amp;Raw_Data!AA247&amp;"|"&amp;Raw_Data!AB247&amp;"|"&amp;Raw_Data!AC247&amp;"|"&amp;Raw_Data!AD247&amp;"|"&amp;Raw_Data!AE247&amp;"|"&amp;Raw_Data!AF247&amp;"|"&amp;Raw_Data!AG247&amp;"|"&amp;Raw_Data!AH247&amp;"|"&amp;Raw_Data!AI247&amp;"|"&amp;Raw_Data!AJ247&amp;"|"&amp;Raw_Data!AK247&amp;"|"&amp;Raw_Data!AL247&amp;"|"&amp;Raw_Data!AM247&amp;"|"&amp;Raw_Data!AN247&amp;"|"&amp;Raw_Data!AO247</f>
        <v>1|3|1|1|2|2|3|2|1|23|2|3|2|3|3|3|4|5|5|5|5|4|2|2|3|3|5|3|2|1|3|1|5|5|3|2|3|4|3|2|3</v>
      </c>
      <c r="Q249" s="3" t="n">
        <f aca="false">COUNTIF($P$4:$P$513,P249)</f>
        <v>1</v>
      </c>
    </row>
    <row r="250" customFormat="false" ht="15" hidden="false" customHeight="false" outlineLevel="0" collapsed="false">
      <c r="O250" s="3" t="n">
        <v>248</v>
      </c>
      <c r="P250" s="3" t="str">
        <f aca="false">Raw_Data!A248&amp;"|"&amp;Raw_Data!B248&amp;"|"&amp;Raw_Data!C248&amp;"|"&amp;Raw_Data!D248&amp;"|"&amp;Raw_Data!E248&amp;"|"&amp;Raw_Data!F248&amp;"|"&amp;Raw_Data!G248&amp;"|"&amp;Raw_Data!H248&amp;"|"&amp;Raw_Data!I248&amp;"|"&amp;Raw_Data!J248&amp;"|"&amp;Raw_Data!K248&amp;"|"&amp;Raw_Data!L248&amp;"|"&amp;Raw_Data!M248&amp;"|"&amp;Raw_Data!N248&amp;"|"&amp;Raw_Data!O248&amp;"|"&amp;Raw_Data!P248&amp;"|"&amp;Raw_Data!Q248&amp;"|"&amp;Raw_Data!R248&amp;"|"&amp;Raw_Data!S248&amp;"|"&amp;Raw_Data!T248&amp;"|"&amp;Raw_Data!U248&amp;"|"&amp;Raw_Data!V248&amp;"|"&amp;Raw_Data!W248&amp;"|"&amp;Raw_Data!X248&amp;"|"&amp;Raw_Data!Y248&amp;"|"&amp;Raw_Data!Z248&amp;"|"&amp;Raw_Data!AA248&amp;"|"&amp;Raw_Data!AB248&amp;"|"&amp;Raw_Data!AC248&amp;"|"&amp;Raw_Data!AD248&amp;"|"&amp;Raw_Data!AE248&amp;"|"&amp;Raw_Data!AF248&amp;"|"&amp;Raw_Data!AG248&amp;"|"&amp;Raw_Data!AH248&amp;"|"&amp;Raw_Data!AI248&amp;"|"&amp;Raw_Data!AJ248&amp;"|"&amp;Raw_Data!AK248&amp;"|"&amp;Raw_Data!AL248&amp;"|"&amp;Raw_Data!AM248&amp;"|"&amp;Raw_Data!AN248&amp;"|"&amp;Raw_Data!AO248</f>
        <v>1|4|1|1|1|2|4|2|3|25|3|1|1|1|1|3|3|3|1|1|1|1|3|3|1|1|3|3|3|3|1|3|1|3|3|3|1|1|1|3|3</v>
      </c>
      <c r="Q250" s="3" t="n">
        <f aca="false">COUNTIF($P$4:$P$513,P250)</f>
        <v>1</v>
      </c>
    </row>
    <row r="251" customFormat="false" ht="15" hidden="false" customHeight="false" outlineLevel="0" collapsed="false">
      <c r="O251" s="3" t="n">
        <v>249</v>
      </c>
      <c r="P251" s="3" t="str">
        <f aca="false">Raw_Data!A249&amp;"|"&amp;Raw_Data!B249&amp;"|"&amp;Raw_Data!C249&amp;"|"&amp;Raw_Data!D249&amp;"|"&amp;Raw_Data!E249&amp;"|"&amp;Raw_Data!F249&amp;"|"&amp;Raw_Data!G249&amp;"|"&amp;Raw_Data!H249&amp;"|"&amp;Raw_Data!I249&amp;"|"&amp;Raw_Data!J249&amp;"|"&amp;Raw_Data!K249&amp;"|"&amp;Raw_Data!L249&amp;"|"&amp;Raw_Data!M249&amp;"|"&amp;Raw_Data!N249&amp;"|"&amp;Raw_Data!O249&amp;"|"&amp;Raw_Data!P249&amp;"|"&amp;Raw_Data!Q249&amp;"|"&amp;Raw_Data!R249&amp;"|"&amp;Raw_Data!S249&amp;"|"&amp;Raw_Data!T249&amp;"|"&amp;Raw_Data!U249&amp;"|"&amp;Raw_Data!V249&amp;"|"&amp;Raw_Data!W249&amp;"|"&amp;Raw_Data!X249&amp;"|"&amp;Raw_Data!Y249&amp;"|"&amp;Raw_Data!Z249&amp;"|"&amp;Raw_Data!AA249&amp;"|"&amp;Raw_Data!AB249&amp;"|"&amp;Raw_Data!AC249&amp;"|"&amp;Raw_Data!AD249&amp;"|"&amp;Raw_Data!AE249&amp;"|"&amp;Raw_Data!AF249&amp;"|"&amp;Raw_Data!AG249&amp;"|"&amp;Raw_Data!AH249&amp;"|"&amp;Raw_Data!AI249&amp;"|"&amp;Raw_Data!AJ249&amp;"|"&amp;Raw_Data!AK249&amp;"|"&amp;Raw_Data!AL249&amp;"|"&amp;Raw_Data!AM249&amp;"|"&amp;Raw_Data!AN249&amp;"|"&amp;Raw_Data!AO249</f>
        <v>0|4|1|1|2|2|3|3|3|27|5|2|2|1|5|4|2|1|5|5|5|4|4|4|2|5|2|1|1|1|5|2|4|2|4|2|5|5|2|2|1</v>
      </c>
      <c r="Q251" s="3" t="n">
        <f aca="false">COUNTIF($P$4:$P$513,P251)</f>
        <v>1</v>
      </c>
    </row>
    <row r="252" customFormat="false" ht="15" hidden="false" customHeight="false" outlineLevel="0" collapsed="false">
      <c r="O252" s="3" t="n">
        <v>250</v>
      </c>
      <c r="P252" s="3" t="str">
        <f aca="false">Raw_Data!A250&amp;"|"&amp;Raw_Data!B250&amp;"|"&amp;Raw_Data!C250&amp;"|"&amp;Raw_Data!D250&amp;"|"&amp;Raw_Data!E250&amp;"|"&amp;Raw_Data!F250&amp;"|"&amp;Raw_Data!G250&amp;"|"&amp;Raw_Data!H250&amp;"|"&amp;Raw_Data!I250&amp;"|"&amp;Raw_Data!J250&amp;"|"&amp;Raw_Data!K250&amp;"|"&amp;Raw_Data!L250&amp;"|"&amp;Raw_Data!M250&amp;"|"&amp;Raw_Data!N250&amp;"|"&amp;Raw_Data!O250&amp;"|"&amp;Raw_Data!P250&amp;"|"&amp;Raw_Data!Q250&amp;"|"&amp;Raw_Data!R250&amp;"|"&amp;Raw_Data!S250&amp;"|"&amp;Raw_Data!T250&amp;"|"&amp;Raw_Data!U250&amp;"|"&amp;Raw_Data!V250&amp;"|"&amp;Raw_Data!W250&amp;"|"&amp;Raw_Data!X250&amp;"|"&amp;Raw_Data!Y250&amp;"|"&amp;Raw_Data!Z250&amp;"|"&amp;Raw_Data!AA250&amp;"|"&amp;Raw_Data!AB250&amp;"|"&amp;Raw_Data!AC250&amp;"|"&amp;Raw_Data!AD250&amp;"|"&amp;Raw_Data!AE250&amp;"|"&amp;Raw_Data!AF250&amp;"|"&amp;Raw_Data!AG250&amp;"|"&amp;Raw_Data!AH250&amp;"|"&amp;Raw_Data!AI250&amp;"|"&amp;Raw_Data!AJ250&amp;"|"&amp;Raw_Data!AK250&amp;"|"&amp;Raw_Data!AL250&amp;"|"&amp;Raw_Data!AM250&amp;"|"&amp;Raw_Data!AN250&amp;"|"&amp;Raw_Data!AO250</f>
        <v>1|3|1|1|2|2|1|2|1|24|1|3|1|4|4|5|5|3|5|5|5|4|5|4|5|5|5|5|1|1|4|2|4|2|2|5|2|5|3|2|5</v>
      </c>
      <c r="Q252" s="3" t="n">
        <f aca="false">COUNTIF($P$4:$P$513,P252)</f>
        <v>1</v>
      </c>
    </row>
    <row r="253" customFormat="false" ht="15" hidden="false" customHeight="false" outlineLevel="0" collapsed="false">
      <c r="O253" s="3" t="n">
        <v>251</v>
      </c>
      <c r="P253" s="3" t="str">
        <f aca="false">Raw_Data!A251&amp;"|"&amp;Raw_Data!B251&amp;"|"&amp;Raw_Data!C251&amp;"|"&amp;Raw_Data!D251&amp;"|"&amp;Raw_Data!E251&amp;"|"&amp;Raw_Data!F251&amp;"|"&amp;Raw_Data!G251&amp;"|"&amp;Raw_Data!H251&amp;"|"&amp;Raw_Data!I251&amp;"|"&amp;Raw_Data!J251&amp;"|"&amp;Raw_Data!K251&amp;"|"&amp;Raw_Data!L251&amp;"|"&amp;Raw_Data!M251&amp;"|"&amp;Raw_Data!N251&amp;"|"&amp;Raw_Data!O251&amp;"|"&amp;Raw_Data!P251&amp;"|"&amp;Raw_Data!Q251&amp;"|"&amp;Raw_Data!R251&amp;"|"&amp;Raw_Data!S251&amp;"|"&amp;Raw_Data!T251&amp;"|"&amp;Raw_Data!U251&amp;"|"&amp;Raw_Data!V251&amp;"|"&amp;Raw_Data!W251&amp;"|"&amp;Raw_Data!X251&amp;"|"&amp;Raw_Data!Y251&amp;"|"&amp;Raw_Data!Z251&amp;"|"&amp;Raw_Data!AA251&amp;"|"&amp;Raw_Data!AB251&amp;"|"&amp;Raw_Data!AC251&amp;"|"&amp;Raw_Data!AD251&amp;"|"&amp;Raw_Data!AE251&amp;"|"&amp;Raw_Data!AF251&amp;"|"&amp;Raw_Data!AG251&amp;"|"&amp;Raw_Data!AH251&amp;"|"&amp;Raw_Data!AI251&amp;"|"&amp;Raw_Data!AJ251&amp;"|"&amp;Raw_Data!AK251&amp;"|"&amp;Raw_Data!AL251&amp;"|"&amp;Raw_Data!AM251&amp;"|"&amp;Raw_Data!AN251&amp;"|"&amp;Raw_Data!AO251</f>
        <v>1|4|1|1|2|2|1|2|1|23|3|3|2|2|4|4|2|2|4|5|4|4|5|3|4|4|4|2|2|2|3|2|3|3|2|2|2|3|3|4|2</v>
      </c>
      <c r="Q253" s="3" t="n">
        <f aca="false">COUNTIF($P$4:$P$513,P253)</f>
        <v>1</v>
      </c>
    </row>
    <row r="254" customFormat="false" ht="15" hidden="false" customHeight="false" outlineLevel="0" collapsed="false">
      <c r="O254" s="3" t="n">
        <v>252</v>
      </c>
      <c r="P254" s="3" t="str">
        <f aca="false">Raw_Data!A252&amp;"|"&amp;Raw_Data!B252&amp;"|"&amp;Raw_Data!C252&amp;"|"&amp;Raw_Data!D252&amp;"|"&amp;Raw_Data!E252&amp;"|"&amp;Raw_Data!F252&amp;"|"&amp;Raw_Data!G252&amp;"|"&amp;Raw_Data!H252&amp;"|"&amp;Raw_Data!I252&amp;"|"&amp;Raw_Data!J252&amp;"|"&amp;Raw_Data!K252&amp;"|"&amp;Raw_Data!L252&amp;"|"&amp;Raw_Data!M252&amp;"|"&amp;Raw_Data!N252&amp;"|"&amp;Raw_Data!O252&amp;"|"&amp;Raw_Data!P252&amp;"|"&amp;Raw_Data!Q252&amp;"|"&amp;Raw_Data!R252&amp;"|"&amp;Raw_Data!S252&amp;"|"&amp;Raw_Data!T252&amp;"|"&amp;Raw_Data!U252&amp;"|"&amp;Raw_Data!V252&amp;"|"&amp;Raw_Data!W252&amp;"|"&amp;Raw_Data!X252&amp;"|"&amp;Raw_Data!Y252&amp;"|"&amp;Raw_Data!Z252&amp;"|"&amp;Raw_Data!AA252&amp;"|"&amp;Raw_Data!AB252&amp;"|"&amp;Raw_Data!AC252&amp;"|"&amp;Raw_Data!AD252&amp;"|"&amp;Raw_Data!AE252&amp;"|"&amp;Raw_Data!AF252&amp;"|"&amp;Raw_Data!AG252&amp;"|"&amp;Raw_Data!AH252&amp;"|"&amp;Raw_Data!AI252&amp;"|"&amp;Raw_Data!AJ252&amp;"|"&amp;Raw_Data!AK252&amp;"|"&amp;Raw_Data!AL252&amp;"|"&amp;Raw_Data!AM252&amp;"|"&amp;Raw_Data!AN252&amp;"|"&amp;Raw_Data!AO252</f>
        <v>1|4|1|2|2|2|1|1|3|25|4|3|4|3|4|3|4|3|5|5|4|3|5|2|2|4|3|3|1|1|3|4|5|4|4|4|3|3|4|4|4</v>
      </c>
      <c r="Q254" s="3" t="n">
        <f aca="false">COUNTIF($P$4:$P$513,P254)</f>
        <v>1</v>
      </c>
    </row>
    <row r="255" customFormat="false" ht="15" hidden="false" customHeight="false" outlineLevel="0" collapsed="false">
      <c r="O255" s="3" t="n">
        <v>253</v>
      </c>
      <c r="P255" s="3" t="str">
        <f aca="false">Raw_Data!A253&amp;"|"&amp;Raw_Data!B253&amp;"|"&amp;Raw_Data!C253&amp;"|"&amp;Raw_Data!D253&amp;"|"&amp;Raw_Data!E253&amp;"|"&amp;Raw_Data!F253&amp;"|"&amp;Raw_Data!G253&amp;"|"&amp;Raw_Data!H253&amp;"|"&amp;Raw_Data!I253&amp;"|"&amp;Raw_Data!J253&amp;"|"&amp;Raw_Data!K253&amp;"|"&amp;Raw_Data!L253&amp;"|"&amp;Raw_Data!M253&amp;"|"&amp;Raw_Data!N253&amp;"|"&amp;Raw_Data!O253&amp;"|"&amp;Raw_Data!P253&amp;"|"&amp;Raw_Data!Q253&amp;"|"&amp;Raw_Data!R253&amp;"|"&amp;Raw_Data!S253&amp;"|"&amp;Raw_Data!T253&amp;"|"&amp;Raw_Data!U253&amp;"|"&amp;Raw_Data!V253&amp;"|"&amp;Raw_Data!W253&amp;"|"&amp;Raw_Data!X253&amp;"|"&amp;Raw_Data!Y253&amp;"|"&amp;Raw_Data!Z253&amp;"|"&amp;Raw_Data!AA253&amp;"|"&amp;Raw_Data!AB253&amp;"|"&amp;Raw_Data!AC253&amp;"|"&amp;Raw_Data!AD253&amp;"|"&amp;Raw_Data!AE253&amp;"|"&amp;Raw_Data!AF253&amp;"|"&amp;Raw_Data!AG253&amp;"|"&amp;Raw_Data!AH253&amp;"|"&amp;Raw_Data!AI253&amp;"|"&amp;Raw_Data!AJ253&amp;"|"&amp;Raw_Data!AK253&amp;"|"&amp;Raw_Data!AL253&amp;"|"&amp;Raw_Data!AM253&amp;"|"&amp;Raw_Data!AN253&amp;"|"&amp;Raw_Data!AO253</f>
        <v>0|4|1|1|2|2|2|2|3|26|4|3|2|3|5|4|4|4|4|5|4|4|5|4|3|4|4|2|1|1|3|3|3|5|4|3|5|5|4|3|3</v>
      </c>
      <c r="Q255" s="3" t="n">
        <f aca="false">COUNTIF($P$4:$P$513,P255)</f>
        <v>1</v>
      </c>
    </row>
    <row r="256" customFormat="false" ht="15" hidden="false" customHeight="false" outlineLevel="0" collapsed="false">
      <c r="O256" s="3" t="n">
        <v>254</v>
      </c>
      <c r="P256" s="3" t="str">
        <f aca="false">Raw_Data!A254&amp;"|"&amp;Raw_Data!B254&amp;"|"&amp;Raw_Data!C254&amp;"|"&amp;Raw_Data!D254&amp;"|"&amp;Raw_Data!E254&amp;"|"&amp;Raw_Data!F254&amp;"|"&amp;Raw_Data!G254&amp;"|"&amp;Raw_Data!H254&amp;"|"&amp;Raw_Data!I254&amp;"|"&amp;Raw_Data!J254&amp;"|"&amp;Raw_Data!K254&amp;"|"&amp;Raw_Data!L254&amp;"|"&amp;Raw_Data!M254&amp;"|"&amp;Raw_Data!N254&amp;"|"&amp;Raw_Data!O254&amp;"|"&amp;Raw_Data!P254&amp;"|"&amp;Raw_Data!Q254&amp;"|"&amp;Raw_Data!R254&amp;"|"&amp;Raw_Data!S254&amp;"|"&amp;Raw_Data!T254&amp;"|"&amp;Raw_Data!U254&amp;"|"&amp;Raw_Data!V254&amp;"|"&amp;Raw_Data!W254&amp;"|"&amp;Raw_Data!X254&amp;"|"&amp;Raw_Data!Y254&amp;"|"&amp;Raw_Data!Z254&amp;"|"&amp;Raw_Data!AA254&amp;"|"&amp;Raw_Data!AB254&amp;"|"&amp;Raw_Data!AC254&amp;"|"&amp;Raw_Data!AD254&amp;"|"&amp;Raw_Data!AE254&amp;"|"&amp;Raw_Data!AF254&amp;"|"&amp;Raw_Data!AG254&amp;"|"&amp;Raw_Data!AH254&amp;"|"&amp;Raw_Data!AI254&amp;"|"&amp;Raw_Data!AJ254&amp;"|"&amp;Raw_Data!AK254&amp;"|"&amp;Raw_Data!AL254&amp;"|"&amp;Raw_Data!AM254&amp;"|"&amp;Raw_Data!AN254&amp;"|"&amp;Raw_Data!AO254</f>
        <v>0|1|1|1|2|2|3|2|2|24|4|2|4|4|4|2|4|4|4|4|4|4|2|2|2|4|2|5|2|4|4|2|5|5|2|4|4|5|4|4|4</v>
      </c>
      <c r="Q256" s="3" t="n">
        <f aca="false">COUNTIF($P$4:$P$513,P256)</f>
        <v>1</v>
      </c>
    </row>
    <row r="257" customFormat="false" ht="15" hidden="false" customHeight="false" outlineLevel="0" collapsed="false">
      <c r="O257" s="3" t="n">
        <v>255</v>
      </c>
      <c r="P257" s="3" t="str">
        <f aca="false">Raw_Data!A255&amp;"|"&amp;Raw_Data!B255&amp;"|"&amp;Raw_Data!C255&amp;"|"&amp;Raw_Data!D255&amp;"|"&amp;Raw_Data!E255&amp;"|"&amp;Raw_Data!F255&amp;"|"&amp;Raw_Data!G255&amp;"|"&amp;Raw_Data!H255&amp;"|"&amp;Raw_Data!I255&amp;"|"&amp;Raw_Data!J255&amp;"|"&amp;Raw_Data!K255&amp;"|"&amp;Raw_Data!L255&amp;"|"&amp;Raw_Data!M255&amp;"|"&amp;Raw_Data!N255&amp;"|"&amp;Raw_Data!O255&amp;"|"&amp;Raw_Data!P255&amp;"|"&amp;Raw_Data!Q255&amp;"|"&amp;Raw_Data!R255&amp;"|"&amp;Raw_Data!S255&amp;"|"&amp;Raw_Data!T255&amp;"|"&amp;Raw_Data!U255&amp;"|"&amp;Raw_Data!V255&amp;"|"&amp;Raw_Data!W255&amp;"|"&amp;Raw_Data!X255&amp;"|"&amp;Raw_Data!Y255&amp;"|"&amp;Raw_Data!Z255&amp;"|"&amp;Raw_Data!AA255&amp;"|"&amp;Raw_Data!AB255&amp;"|"&amp;Raw_Data!AC255&amp;"|"&amp;Raw_Data!AD255&amp;"|"&amp;Raw_Data!AE255&amp;"|"&amp;Raw_Data!AF255&amp;"|"&amp;Raw_Data!AG255&amp;"|"&amp;Raw_Data!AH255&amp;"|"&amp;Raw_Data!AI255&amp;"|"&amp;Raw_Data!AJ255&amp;"|"&amp;Raw_Data!AK255&amp;"|"&amp;Raw_Data!AL255&amp;"|"&amp;Raw_Data!AM255&amp;"|"&amp;Raw_Data!AN255&amp;"|"&amp;Raw_Data!AO255</f>
        <v>0|3|2|1|1|2|1|3|1|22|3|3|3|4|4|3|3|4|3|4|3|3|4|3|4|3|3|4|3|4|4|2|3|4|3|4|3|3|4|3|3</v>
      </c>
      <c r="Q257" s="3" t="n">
        <f aca="false">COUNTIF($P$4:$P$513,P257)</f>
        <v>1</v>
      </c>
    </row>
    <row r="258" customFormat="false" ht="15" hidden="false" customHeight="false" outlineLevel="0" collapsed="false">
      <c r="O258" s="3" t="n">
        <v>256</v>
      </c>
      <c r="P258" s="3" t="str">
        <f aca="false">Raw_Data!A256&amp;"|"&amp;Raw_Data!B256&amp;"|"&amp;Raw_Data!C256&amp;"|"&amp;Raw_Data!D256&amp;"|"&amp;Raw_Data!E256&amp;"|"&amp;Raw_Data!F256&amp;"|"&amp;Raw_Data!G256&amp;"|"&amp;Raw_Data!H256&amp;"|"&amp;Raw_Data!I256&amp;"|"&amp;Raw_Data!J256&amp;"|"&amp;Raw_Data!K256&amp;"|"&amp;Raw_Data!L256&amp;"|"&amp;Raw_Data!M256&amp;"|"&amp;Raw_Data!N256&amp;"|"&amp;Raw_Data!O256&amp;"|"&amp;Raw_Data!P256&amp;"|"&amp;Raw_Data!Q256&amp;"|"&amp;Raw_Data!R256&amp;"|"&amp;Raw_Data!S256&amp;"|"&amp;Raw_Data!T256&amp;"|"&amp;Raw_Data!U256&amp;"|"&amp;Raw_Data!V256&amp;"|"&amp;Raw_Data!W256&amp;"|"&amp;Raw_Data!X256&amp;"|"&amp;Raw_Data!Y256&amp;"|"&amp;Raw_Data!Z256&amp;"|"&amp;Raw_Data!AA256&amp;"|"&amp;Raw_Data!AB256&amp;"|"&amp;Raw_Data!AC256&amp;"|"&amp;Raw_Data!AD256&amp;"|"&amp;Raw_Data!AE256&amp;"|"&amp;Raw_Data!AF256&amp;"|"&amp;Raw_Data!AG256&amp;"|"&amp;Raw_Data!AH256&amp;"|"&amp;Raw_Data!AI256&amp;"|"&amp;Raw_Data!AJ256&amp;"|"&amp;Raw_Data!AK256&amp;"|"&amp;Raw_Data!AL256&amp;"|"&amp;Raw_Data!AM256&amp;"|"&amp;Raw_Data!AN256&amp;"|"&amp;Raw_Data!AO256</f>
        <v>0|4|2|1|2|2|3|2|1|23|3|3|3|4|4|2|2|2|4|5|4|3|4|3|2|4|4|4|2|2|4|2|3|4|4|4|2|4|3|3|3</v>
      </c>
      <c r="Q258" s="3" t="n">
        <f aca="false">COUNTIF($P$4:$P$513,P258)</f>
        <v>1</v>
      </c>
    </row>
    <row r="259" customFormat="false" ht="15" hidden="false" customHeight="false" outlineLevel="0" collapsed="false">
      <c r="O259" s="3" t="n">
        <v>257</v>
      </c>
      <c r="P259" s="3" t="str">
        <f aca="false">Raw_Data!A257&amp;"|"&amp;Raw_Data!B257&amp;"|"&amp;Raw_Data!C257&amp;"|"&amp;Raw_Data!D257&amp;"|"&amp;Raw_Data!E257&amp;"|"&amp;Raw_Data!F257&amp;"|"&amp;Raw_Data!G257&amp;"|"&amp;Raw_Data!H257&amp;"|"&amp;Raw_Data!I257&amp;"|"&amp;Raw_Data!J257&amp;"|"&amp;Raw_Data!K257&amp;"|"&amp;Raw_Data!L257&amp;"|"&amp;Raw_Data!M257&amp;"|"&amp;Raw_Data!N257&amp;"|"&amp;Raw_Data!O257&amp;"|"&amp;Raw_Data!P257&amp;"|"&amp;Raw_Data!Q257&amp;"|"&amp;Raw_Data!R257&amp;"|"&amp;Raw_Data!S257&amp;"|"&amp;Raw_Data!T257&amp;"|"&amp;Raw_Data!U257&amp;"|"&amp;Raw_Data!V257&amp;"|"&amp;Raw_Data!W257&amp;"|"&amp;Raw_Data!X257&amp;"|"&amp;Raw_Data!Y257&amp;"|"&amp;Raw_Data!Z257&amp;"|"&amp;Raw_Data!AA257&amp;"|"&amp;Raw_Data!AB257&amp;"|"&amp;Raw_Data!AC257&amp;"|"&amp;Raw_Data!AD257&amp;"|"&amp;Raw_Data!AE257&amp;"|"&amp;Raw_Data!AF257&amp;"|"&amp;Raw_Data!AG257&amp;"|"&amp;Raw_Data!AH257&amp;"|"&amp;Raw_Data!AI257&amp;"|"&amp;Raw_Data!AJ257&amp;"|"&amp;Raw_Data!AK257&amp;"|"&amp;Raw_Data!AL257&amp;"|"&amp;Raw_Data!AM257&amp;"|"&amp;Raw_Data!AN257&amp;"|"&amp;Raw_Data!AO257</f>
        <v>0|4|1|2|2|2|2|1|3|25|2|3|4|3|3|2|2|3|4|5|4|3|4|4|3|4|3|1|1|1|3|1|4|4|4|3|2|4|3|4|2</v>
      </c>
      <c r="Q259" s="3" t="n">
        <f aca="false">COUNTIF($P$4:$P$513,P259)</f>
        <v>1</v>
      </c>
    </row>
    <row r="260" customFormat="false" ht="15" hidden="false" customHeight="false" outlineLevel="0" collapsed="false">
      <c r="O260" s="3" t="n">
        <v>258</v>
      </c>
      <c r="P260" s="3" t="str">
        <f aca="false">Raw_Data!A258&amp;"|"&amp;Raw_Data!B258&amp;"|"&amp;Raw_Data!C258&amp;"|"&amp;Raw_Data!D258&amp;"|"&amp;Raw_Data!E258&amp;"|"&amp;Raw_Data!F258&amp;"|"&amp;Raw_Data!G258&amp;"|"&amp;Raw_Data!H258&amp;"|"&amp;Raw_Data!I258&amp;"|"&amp;Raw_Data!J258&amp;"|"&amp;Raw_Data!K258&amp;"|"&amp;Raw_Data!L258&amp;"|"&amp;Raw_Data!M258&amp;"|"&amp;Raw_Data!N258&amp;"|"&amp;Raw_Data!O258&amp;"|"&amp;Raw_Data!P258&amp;"|"&amp;Raw_Data!Q258&amp;"|"&amp;Raw_Data!R258&amp;"|"&amp;Raw_Data!S258&amp;"|"&amp;Raw_Data!T258&amp;"|"&amp;Raw_Data!U258&amp;"|"&amp;Raw_Data!V258&amp;"|"&amp;Raw_Data!W258&amp;"|"&amp;Raw_Data!X258&amp;"|"&amp;Raw_Data!Y258&amp;"|"&amp;Raw_Data!Z258&amp;"|"&amp;Raw_Data!AA258&amp;"|"&amp;Raw_Data!AB258&amp;"|"&amp;Raw_Data!AC258&amp;"|"&amp;Raw_Data!AD258&amp;"|"&amp;Raw_Data!AE258&amp;"|"&amp;Raw_Data!AF258&amp;"|"&amp;Raw_Data!AG258&amp;"|"&amp;Raw_Data!AH258&amp;"|"&amp;Raw_Data!AI258&amp;"|"&amp;Raw_Data!AJ258&amp;"|"&amp;Raw_Data!AK258&amp;"|"&amp;Raw_Data!AL258&amp;"|"&amp;Raw_Data!AM258&amp;"|"&amp;Raw_Data!AN258&amp;"|"&amp;Raw_Data!AO258</f>
        <v>0|3|2|1|2|2|3|2|1|22|3|2|3|3|3|2|2|2|4|3|3|2|5|3|3|3|2|2|4|3|3|1|2|3|2|5|2|2|3|4|3</v>
      </c>
      <c r="Q260" s="3" t="n">
        <f aca="false">COUNTIF($P$4:$P$513,P260)</f>
        <v>1</v>
      </c>
    </row>
    <row r="261" customFormat="false" ht="15" hidden="false" customHeight="false" outlineLevel="0" collapsed="false">
      <c r="O261" s="3" t="n">
        <v>259</v>
      </c>
      <c r="P261" s="3" t="str">
        <f aca="false">Raw_Data!A259&amp;"|"&amp;Raw_Data!B259&amp;"|"&amp;Raw_Data!C259&amp;"|"&amp;Raw_Data!D259&amp;"|"&amp;Raw_Data!E259&amp;"|"&amp;Raw_Data!F259&amp;"|"&amp;Raw_Data!G259&amp;"|"&amp;Raw_Data!H259&amp;"|"&amp;Raw_Data!I259&amp;"|"&amp;Raw_Data!J259&amp;"|"&amp;Raw_Data!K259&amp;"|"&amp;Raw_Data!L259&amp;"|"&amp;Raw_Data!M259&amp;"|"&amp;Raw_Data!N259&amp;"|"&amp;Raw_Data!O259&amp;"|"&amp;Raw_Data!P259&amp;"|"&amp;Raw_Data!Q259&amp;"|"&amp;Raw_Data!R259&amp;"|"&amp;Raw_Data!S259&amp;"|"&amp;Raw_Data!T259&amp;"|"&amp;Raw_Data!U259&amp;"|"&amp;Raw_Data!V259&amp;"|"&amp;Raw_Data!W259&amp;"|"&amp;Raw_Data!X259&amp;"|"&amp;Raw_Data!Y259&amp;"|"&amp;Raw_Data!Z259&amp;"|"&amp;Raw_Data!AA259&amp;"|"&amp;Raw_Data!AB259&amp;"|"&amp;Raw_Data!AC259&amp;"|"&amp;Raw_Data!AD259&amp;"|"&amp;Raw_Data!AE259&amp;"|"&amp;Raw_Data!AF259&amp;"|"&amp;Raw_Data!AG259&amp;"|"&amp;Raw_Data!AH259&amp;"|"&amp;Raw_Data!AI259&amp;"|"&amp;Raw_Data!AJ259&amp;"|"&amp;Raw_Data!AK259&amp;"|"&amp;Raw_Data!AL259&amp;"|"&amp;Raw_Data!AM259&amp;"|"&amp;Raw_Data!AN259&amp;"|"&amp;Raw_Data!AO259</f>
        <v>1|6|1|1|2|2|3|1|1|21|4|4|3|4|3|3|2|3|5|3|4|4|3|4|4|3|1|4|3|4|4|4|3|3|3|4|4|2|4|2|4</v>
      </c>
      <c r="Q261" s="3" t="n">
        <f aca="false">COUNTIF($P$4:$P$513,P261)</f>
        <v>1</v>
      </c>
    </row>
    <row r="262" customFormat="false" ht="15" hidden="false" customHeight="false" outlineLevel="0" collapsed="false">
      <c r="O262" s="3" t="n">
        <v>260</v>
      </c>
      <c r="P262" s="3" t="str">
        <f aca="false">Raw_Data!A260&amp;"|"&amp;Raw_Data!B260&amp;"|"&amp;Raw_Data!C260&amp;"|"&amp;Raw_Data!D260&amp;"|"&amp;Raw_Data!E260&amp;"|"&amp;Raw_Data!F260&amp;"|"&amp;Raw_Data!G260&amp;"|"&amp;Raw_Data!H260&amp;"|"&amp;Raw_Data!I260&amp;"|"&amp;Raw_Data!J260&amp;"|"&amp;Raw_Data!K260&amp;"|"&amp;Raw_Data!L260&amp;"|"&amp;Raw_Data!M260&amp;"|"&amp;Raw_Data!N260&amp;"|"&amp;Raw_Data!O260&amp;"|"&amp;Raw_Data!P260&amp;"|"&amp;Raw_Data!Q260&amp;"|"&amp;Raw_Data!R260&amp;"|"&amp;Raw_Data!S260&amp;"|"&amp;Raw_Data!T260&amp;"|"&amp;Raw_Data!U260&amp;"|"&amp;Raw_Data!V260&amp;"|"&amp;Raw_Data!W260&amp;"|"&amp;Raw_Data!X260&amp;"|"&amp;Raw_Data!Y260&amp;"|"&amp;Raw_Data!Z260&amp;"|"&amp;Raw_Data!AA260&amp;"|"&amp;Raw_Data!AB260&amp;"|"&amp;Raw_Data!AC260&amp;"|"&amp;Raw_Data!AD260&amp;"|"&amp;Raw_Data!AE260&amp;"|"&amp;Raw_Data!AF260&amp;"|"&amp;Raw_Data!AG260&amp;"|"&amp;Raw_Data!AH260&amp;"|"&amp;Raw_Data!AI260&amp;"|"&amp;Raw_Data!AJ260&amp;"|"&amp;Raw_Data!AK260&amp;"|"&amp;Raw_Data!AL260&amp;"|"&amp;Raw_Data!AM260&amp;"|"&amp;Raw_Data!AN260&amp;"|"&amp;Raw_Data!AO260</f>
        <v>1|4|2|1|1|2|4|2|3|25|2|3|2|3|3|2|4|2|4|2|4|4|4|4|4|4|3|3|3|2|3|3|3|4|4|4|2|4|3|2|3</v>
      </c>
      <c r="Q262" s="3" t="n">
        <f aca="false">COUNTIF($P$4:$P$513,P262)</f>
        <v>1</v>
      </c>
    </row>
    <row r="263" customFormat="false" ht="15" hidden="false" customHeight="false" outlineLevel="0" collapsed="false">
      <c r="O263" s="3" t="n">
        <v>261</v>
      </c>
      <c r="P263" s="3" t="str">
        <f aca="false">Raw_Data!A261&amp;"|"&amp;Raw_Data!B261&amp;"|"&amp;Raw_Data!C261&amp;"|"&amp;Raw_Data!D261&amp;"|"&amp;Raw_Data!E261&amp;"|"&amp;Raw_Data!F261&amp;"|"&amp;Raw_Data!G261&amp;"|"&amp;Raw_Data!H261&amp;"|"&amp;Raw_Data!I261&amp;"|"&amp;Raw_Data!J261&amp;"|"&amp;Raw_Data!K261&amp;"|"&amp;Raw_Data!L261&amp;"|"&amp;Raw_Data!M261&amp;"|"&amp;Raw_Data!N261&amp;"|"&amp;Raw_Data!O261&amp;"|"&amp;Raw_Data!P261&amp;"|"&amp;Raw_Data!Q261&amp;"|"&amp;Raw_Data!R261&amp;"|"&amp;Raw_Data!S261&amp;"|"&amp;Raw_Data!T261&amp;"|"&amp;Raw_Data!U261&amp;"|"&amp;Raw_Data!V261&amp;"|"&amp;Raw_Data!W261&amp;"|"&amp;Raw_Data!X261&amp;"|"&amp;Raw_Data!Y261&amp;"|"&amp;Raw_Data!Z261&amp;"|"&amp;Raw_Data!AA261&amp;"|"&amp;Raw_Data!AB261&amp;"|"&amp;Raw_Data!AC261&amp;"|"&amp;Raw_Data!AD261&amp;"|"&amp;Raw_Data!AE261&amp;"|"&amp;Raw_Data!AF261&amp;"|"&amp;Raw_Data!AG261&amp;"|"&amp;Raw_Data!AH261&amp;"|"&amp;Raw_Data!AI261&amp;"|"&amp;Raw_Data!AJ261&amp;"|"&amp;Raw_Data!AK261&amp;"|"&amp;Raw_Data!AL261&amp;"|"&amp;Raw_Data!AM261&amp;"|"&amp;Raw_Data!AN261&amp;"|"&amp;Raw_Data!AO261</f>
        <v>1|3|1|1|2|2|3|3|2|24|2|3|3|4|5|3|2|5|5|5|5|4|4|4|5|5|2|4|1|2|5|3|5|3|4|4|4|5|3|3|3</v>
      </c>
      <c r="Q263" s="3" t="n">
        <f aca="false">COUNTIF($P$4:$P$513,P263)</f>
        <v>1</v>
      </c>
    </row>
    <row r="264" customFormat="false" ht="15" hidden="false" customHeight="false" outlineLevel="0" collapsed="false">
      <c r="O264" s="3" t="n">
        <v>262</v>
      </c>
      <c r="P264" s="3" t="str">
        <f aca="false">Raw_Data!A262&amp;"|"&amp;Raw_Data!B262&amp;"|"&amp;Raw_Data!C262&amp;"|"&amp;Raw_Data!D262&amp;"|"&amp;Raw_Data!E262&amp;"|"&amp;Raw_Data!F262&amp;"|"&amp;Raw_Data!G262&amp;"|"&amp;Raw_Data!H262&amp;"|"&amp;Raw_Data!I262&amp;"|"&amp;Raw_Data!J262&amp;"|"&amp;Raw_Data!K262&amp;"|"&amp;Raw_Data!L262&amp;"|"&amp;Raw_Data!M262&amp;"|"&amp;Raw_Data!N262&amp;"|"&amp;Raw_Data!O262&amp;"|"&amp;Raw_Data!P262&amp;"|"&amp;Raw_Data!Q262&amp;"|"&amp;Raw_Data!R262&amp;"|"&amp;Raw_Data!S262&amp;"|"&amp;Raw_Data!T262&amp;"|"&amp;Raw_Data!U262&amp;"|"&amp;Raw_Data!V262&amp;"|"&amp;Raw_Data!W262&amp;"|"&amp;Raw_Data!X262&amp;"|"&amp;Raw_Data!Y262&amp;"|"&amp;Raw_Data!Z262&amp;"|"&amp;Raw_Data!AA262&amp;"|"&amp;Raw_Data!AB262&amp;"|"&amp;Raw_Data!AC262&amp;"|"&amp;Raw_Data!AD262&amp;"|"&amp;Raw_Data!AE262&amp;"|"&amp;Raw_Data!AF262&amp;"|"&amp;Raw_Data!AG262&amp;"|"&amp;Raw_Data!AH262&amp;"|"&amp;Raw_Data!AI262&amp;"|"&amp;Raw_Data!AJ262&amp;"|"&amp;Raw_Data!AK262&amp;"|"&amp;Raw_Data!AL262&amp;"|"&amp;Raw_Data!AM262&amp;"|"&amp;Raw_Data!AN262&amp;"|"&amp;Raw_Data!AO262</f>
        <v>0|4|1|1|2|2|1|3|3|23|4|4|3|3|3|3|2|4|5|1|5|4|4|4|2|5|4|4|1|1|5|4|4|3|3|5|5|5|3|1|2</v>
      </c>
      <c r="Q264" s="3" t="n">
        <f aca="false">COUNTIF($P$4:$P$513,P264)</f>
        <v>1</v>
      </c>
    </row>
    <row r="265" customFormat="false" ht="15" hidden="false" customHeight="false" outlineLevel="0" collapsed="false">
      <c r="O265" s="3" t="n">
        <v>263</v>
      </c>
      <c r="P265" s="3" t="str">
        <f aca="false">Raw_Data!A263&amp;"|"&amp;Raw_Data!B263&amp;"|"&amp;Raw_Data!C263&amp;"|"&amp;Raw_Data!D263&amp;"|"&amp;Raw_Data!E263&amp;"|"&amp;Raw_Data!F263&amp;"|"&amp;Raw_Data!G263&amp;"|"&amp;Raw_Data!H263&amp;"|"&amp;Raw_Data!I263&amp;"|"&amp;Raw_Data!J263&amp;"|"&amp;Raw_Data!K263&amp;"|"&amp;Raw_Data!L263&amp;"|"&amp;Raw_Data!M263&amp;"|"&amp;Raw_Data!N263&amp;"|"&amp;Raw_Data!O263&amp;"|"&amp;Raw_Data!P263&amp;"|"&amp;Raw_Data!Q263&amp;"|"&amp;Raw_Data!R263&amp;"|"&amp;Raw_Data!S263&amp;"|"&amp;Raw_Data!T263&amp;"|"&amp;Raw_Data!U263&amp;"|"&amp;Raw_Data!V263&amp;"|"&amp;Raw_Data!W263&amp;"|"&amp;Raw_Data!X263&amp;"|"&amp;Raw_Data!Y263&amp;"|"&amp;Raw_Data!Z263&amp;"|"&amp;Raw_Data!AA263&amp;"|"&amp;Raw_Data!AB263&amp;"|"&amp;Raw_Data!AC263&amp;"|"&amp;Raw_Data!AD263&amp;"|"&amp;Raw_Data!AE263&amp;"|"&amp;Raw_Data!AF263&amp;"|"&amp;Raw_Data!AG263&amp;"|"&amp;Raw_Data!AH263&amp;"|"&amp;Raw_Data!AI263&amp;"|"&amp;Raw_Data!AJ263&amp;"|"&amp;Raw_Data!AK263&amp;"|"&amp;Raw_Data!AL263&amp;"|"&amp;Raw_Data!AM263&amp;"|"&amp;Raw_Data!AN263&amp;"|"&amp;Raw_Data!AO263</f>
        <v>1|4|1|1|2|2|2|3|2|23|4|4|4|4|5|4|5|4|4|4|5|4|5|4|4|4|4|4|1|1|4|4|5|4|4|4|2|4|4|2|2</v>
      </c>
      <c r="Q265" s="3" t="n">
        <f aca="false">COUNTIF($P$4:$P$513,P265)</f>
        <v>1</v>
      </c>
    </row>
    <row r="266" customFormat="false" ht="15" hidden="false" customHeight="false" outlineLevel="0" collapsed="false">
      <c r="O266" s="3" t="n">
        <v>264</v>
      </c>
      <c r="P266" s="3" t="str">
        <f aca="false">Raw_Data!A264&amp;"|"&amp;Raw_Data!B264&amp;"|"&amp;Raw_Data!C264&amp;"|"&amp;Raw_Data!D264&amp;"|"&amp;Raw_Data!E264&amp;"|"&amp;Raw_Data!F264&amp;"|"&amp;Raw_Data!G264&amp;"|"&amp;Raw_Data!H264&amp;"|"&amp;Raw_Data!I264&amp;"|"&amp;Raw_Data!J264&amp;"|"&amp;Raw_Data!K264&amp;"|"&amp;Raw_Data!L264&amp;"|"&amp;Raw_Data!M264&amp;"|"&amp;Raw_Data!N264&amp;"|"&amp;Raw_Data!O264&amp;"|"&amp;Raw_Data!P264&amp;"|"&amp;Raw_Data!Q264&amp;"|"&amp;Raw_Data!R264&amp;"|"&amp;Raw_Data!S264&amp;"|"&amp;Raw_Data!T264&amp;"|"&amp;Raw_Data!U264&amp;"|"&amp;Raw_Data!V264&amp;"|"&amp;Raw_Data!W264&amp;"|"&amp;Raw_Data!X264&amp;"|"&amp;Raw_Data!Y264&amp;"|"&amp;Raw_Data!Z264&amp;"|"&amp;Raw_Data!AA264&amp;"|"&amp;Raw_Data!AB264&amp;"|"&amp;Raw_Data!AC264&amp;"|"&amp;Raw_Data!AD264&amp;"|"&amp;Raw_Data!AE264&amp;"|"&amp;Raw_Data!AF264&amp;"|"&amp;Raw_Data!AG264&amp;"|"&amp;Raw_Data!AH264&amp;"|"&amp;Raw_Data!AI264&amp;"|"&amp;Raw_Data!AJ264&amp;"|"&amp;Raw_Data!AK264&amp;"|"&amp;Raw_Data!AL264&amp;"|"&amp;Raw_Data!AM264&amp;"|"&amp;Raw_Data!AN264&amp;"|"&amp;Raw_Data!AO264</f>
        <v>1|4|2|1|2|2|4|3|3|25|3|5|3|3|3|3|2|4|4|5|4|4|4|4|4|5|4|4|1|1|4|4|4|3|5|4|5|4|3|4|2</v>
      </c>
      <c r="Q266" s="3" t="n">
        <f aca="false">COUNTIF($P$4:$P$513,P266)</f>
        <v>1</v>
      </c>
    </row>
    <row r="267" customFormat="false" ht="15" hidden="false" customHeight="false" outlineLevel="0" collapsed="false">
      <c r="O267" s="3" t="n">
        <v>265</v>
      </c>
      <c r="P267" s="3" t="str">
        <f aca="false">Raw_Data!A265&amp;"|"&amp;Raw_Data!B265&amp;"|"&amp;Raw_Data!C265&amp;"|"&amp;Raw_Data!D265&amp;"|"&amp;Raw_Data!E265&amp;"|"&amp;Raw_Data!F265&amp;"|"&amp;Raw_Data!G265&amp;"|"&amp;Raw_Data!H265&amp;"|"&amp;Raw_Data!I265&amp;"|"&amp;Raw_Data!J265&amp;"|"&amp;Raw_Data!K265&amp;"|"&amp;Raw_Data!L265&amp;"|"&amp;Raw_Data!M265&amp;"|"&amp;Raw_Data!N265&amp;"|"&amp;Raw_Data!O265&amp;"|"&amp;Raw_Data!P265&amp;"|"&amp;Raw_Data!Q265&amp;"|"&amp;Raw_Data!R265&amp;"|"&amp;Raw_Data!S265&amp;"|"&amp;Raw_Data!T265&amp;"|"&amp;Raw_Data!U265&amp;"|"&amp;Raw_Data!V265&amp;"|"&amp;Raw_Data!W265&amp;"|"&amp;Raw_Data!X265&amp;"|"&amp;Raw_Data!Y265&amp;"|"&amp;Raw_Data!Z265&amp;"|"&amp;Raw_Data!AA265&amp;"|"&amp;Raw_Data!AB265&amp;"|"&amp;Raw_Data!AC265&amp;"|"&amp;Raw_Data!AD265&amp;"|"&amp;Raw_Data!AE265&amp;"|"&amp;Raw_Data!AF265&amp;"|"&amp;Raw_Data!AG265&amp;"|"&amp;Raw_Data!AH265&amp;"|"&amp;Raw_Data!AI265&amp;"|"&amp;Raw_Data!AJ265&amp;"|"&amp;Raw_Data!AK265&amp;"|"&amp;Raw_Data!AL265&amp;"|"&amp;Raw_Data!AM265&amp;"|"&amp;Raw_Data!AN265&amp;"|"&amp;Raw_Data!AO265</f>
        <v>0|4|2|1|2|2|3|2|1|23|3|4|4|4|4|3|3|4|4|4|4|4|4|4|3|4|2|4|3|4|4|2|2|4|4|4|4|4|4|4|4</v>
      </c>
      <c r="Q267" s="3" t="n">
        <f aca="false">COUNTIF($P$4:$P$513,P267)</f>
        <v>1</v>
      </c>
    </row>
    <row r="268" customFormat="false" ht="15" hidden="false" customHeight="false" outlineLevel="0" collapsed="false">
      <c r="O268" s="3" t="n">
        <v>266</v>
      </c>
      <c r="P268" s="3" t="str">
        <f aca="false">Raw_Data!A266&amp;"|"&amp;Raw_Data!B266&amp;"|"&amp;Raw_Data!C266&amp;"|"&amp;Raw_Data!D266&amp;"|"&amp;Raw_Data!E266&amp;"|"&amp;Raw_Data!F266&amp;"|"&amp;Raw_Data!G266&amp;"|"&amp;Raw_Data!H266&amp;"|"&amp;Raw_Data!I266&amp;"|"&amp;Raw_Data!J266&amp;"|"&amp;Raw_Data!K266&amp;"|"&amp;Raw_Data!L266&amp;"|"&amp;Raw_Data!M266&amp;"|"&amp;Raw_Data!N266&amp;"|"&amp;Raw_Data!O266&amp;"|"&amp;Raw_Data!P266&amp;"|"&amp;Raw_Data!Q266&amp;"|"&amp;Raw_Data!R266&amp;"|"&amp;Raw_Data!S266&amp;"|"&amp;Raw_Data!T266&amp;"|"&amp;Raw_Data!U266&amp;"|"&amp;Raw_Data!V266&amp;"|"&amp;Raw_Data!W266&amp;"|"&amp;Raw_Data!X266&amp;"|"&amp;Raw_Data!Y266&amp;"|"&amp;Raw_Data!Z266&amp;"|"&amp;Raw_Data!AA266&amp;"|"&amp;Raw_Data!AB266&amp;"|"&amp;Raw_Data!AC266&amp;"|"&amp;Raw_Data!AD266&amp;"|"&amp;Raw_Data!AE266&amp;"|"&amp;Raw_Data!AF266&amp;"|"&amp;Raw_Data!AG266&amp;"|"&amp;Raw_Data!AH266&amp;"|"&amp;Raw_Data!AI266&amp;"|"&amp;Raw_Data!AJ266&amp;"|"&amp;Raw_Data!AK266&amp;"|"&amp;Raw_Data!AL266&amp;"|"&amp;Raw_Data!AM266&amp;"|"&amp;Raw_Data!AN266&amp;"|"&amp;Raw_Data!AO266</f>
        <v>0|4|1|1|2|2|3|1|3|27|2|2|1|2|3|4|3|3|3|5|4|4|4|3|3|3|4|1|3|3|3|1|4|4|4|3|3|5|3|1|1</v>
      </c>
      <c r="Q268" s="3" t="n">
        <f aca="false">COUNTIF($P$4:$P$513,P268)</f>
        <v>1</v>
      </c>
    </row>
    <row r="269" customFormat="false" ht="15" hidden="false" customHeight="false" outlineLevel="0" collapsed="false">
      <c r="O269" s="3" t="n">
        <v>267</v>
      </c>
      <c r="P269" s="3" t="str">
        <f aca="false">Raw_Data!A267&amp;"|"&amp;Raw_Data!B267&amp;"|"&amp;Raw_Data!C267&amp;"|"&amp;Raw_Data!D267&amp;"|"&amp;Raw_Data!E267&amp;"|"&amp;Raw_Data!F267&amp;"|"&amp;Raw_Data!G267&amp;"|"&amp;Raw_Data!H267&amp;"|"&amp;Raw_Data!I267&amp;"|"&amp;Raw_Data!J267&amp;"|"&amp;Raw_Data!K267&amp;"|"&amp;Raw_Data!L267&amp;"|"&amp;Raw_Data!M267&amp;"|"&amp;Raw_Data!N267&amp;"|"&amp;Raw_Data!O267&amp;"|"&amp;Raw_Data!P267&amp;"|"&amp;Raw_Data!Q267&amp;"|"&amp;Raw_Data!R267&amp;"|"&amp;Raw_Data!S267&amp;"|"&amp;Raw_Data!T267&amp;"|"&amp;Raw_Data!U267&amp;"|"&amp;Raw_Data!V267&amp;"|"&amp;Raw_Data!W267&amp;"|"&amp;Raw_Data!X267&amp;"|"&amp;Raw_Data!Y267&amp;"|"&amp;Raw_Data!Z267&amp;"|"&amp;Raw_Data!AA267&amp;"|"&amp;Raw_Data!AB267&amp;"|"&amp;Raw_Data!AC267&amp;"|"&amp;Raw_Data!AD267&amp;"|"&amp;Raw_Data!AE267&amp;"|"&amp;Raw_Data!AF267&amp;"|"&amp;Raw_Data!AG267&amp;"|"&amp;Raw_Data!AH267&amp;"|"&amp;Raw_Data!AI267&amp;"|"&amp;Raw_Data!AJ267&amp;"|"&amp;Raw_Data!AK267&amp;"|"&amp;Raw_Data!AL267&amp;"|"&amp;Raw_Data!AM267&amp;"|"&amp;Raw_Data!AN267&amp;"|"&amp;Raw_Data!AO267</f>
        <v>0|4|1|1|2|2|2|2|3|27|2|4|3|4|4|4|3|4|5|5|5|3|3|4|3|4|3|2|2|2|3|3|4|4|4|5|3|4|4|4|4</v>
      </c>
      <c r="Q269" s="3" t="n">
        <f aca="false">COUNTIF($P$4:$P$513,P269)</f>
        <v>1</v>
      </c>
    </row>
    <row r="270" customFormat="false" ht="15" hidden="false" customHeight="false" outlineLevel="0" collapsed="false">
      <c r="O270" s="3" t="n">
        <v>268</v>
      </c>
      <c r="P270" s="3" t="str">
        <f aca="false">Raw_Data!A268&amp;"|"&amp;Raw_Data!B268&amp;"|"&amp;Raw_Data!C268&amp;"|"&amp;Raw_Data!D268&amp;"|"&amp;Raw_Data!E268&amp;"|"&amp;Raw_Data!F268&amp;"|"&amp;Raw_Data!G268&amp;"|"&amp;Raw_Data!H268&amp;"|"&amp;Raw_Data!I268&amp;"|"&amp;Raw_Data!J268&amp;"|"&amp;Raw_Data!K268&amp;"|"&amp;Raw_Data!L268&amp;"|"&amp;Raw_Data!M268&amp;"|"&amp;Raw_Data!N268&amp;"|"&amp;Raw_Data!O268&amp;"|"&amp;Raw_Data!P268&amp;"|"&amp;Raw_Data!Q268&amp;"|"&amp;Raw_Data!R268&amp;"|"&amp;Raw_Data!S268&amp;"|"&amp;Raw_Data!T268&amp;"|"&amp;Raw_Data!U268&amp;"|"&amp;Raw_Data!V268&amp;"|"&amp;Raw_Data!W268&amp;"|"&amp;Raw_Data!X268&amp;"|"&amp;Raw_Data!Y268&amp;"|"&amp;Raw_Data!Z268&amp;"|"&amp;Raw_Data!AA268&amp;"|"&amp;Raw_Data!AB268&amp;"|"&amp;Raw_Data!AC268&amp;"|"&amp;Raw_Data!AD268&amp;"|"&amp;Raw_Data!AE268&amp;"|"&amp;Raw_Data!AF268&amp;"|"&amp;Raw_Data!AG268&amp;"|"&amp;Raw_Data!AH268&amp;"|"&amp;Raw_Data!AI268&amp;"|"&amp;Raw_Data!AJ268&amp;"|"&amp;Raw_Data!AK268&amp;"|"&amp;Raw_Data!AL268&amp;"|"&amp;Raw_Data!AM268&amp;"|"&amp;Raw_Data!AN268&amp;"|"&amp;Raw_Data!AO268</f>
        <v>0|6|1|1|2|2|4|3|1|24|3|3|2|3|3|4|4|4|4|2|4|4|4|4|3|4|5|4|2|2|3|4|4|4|4|3|3|5|2|4|4</v>
      </c>
      <c r="Q270" s="3" t="n">
        <f aca="false">COUNTIF($P$4:$P$513,P270)</f>
        <v>1</v>
      </c>
    </row>
    <row r="271" customFormat="false" ht="15" hidden="false" customHeight="false" outlineLevel="0" collapsed="false">
      <c r="O271" s="3" t="n">
        <v>269</v>
      </c>
      <c r="P271" s="3" t="str">
        <f aca="false">Raw_Data!A269&amp;"|"&amp;Raw_Data!B269&amp;"|"&amp;Raw_Data!C269&amp;"|"&amp;Raw_Data!D269&amp;"|"&amp;Raw_Data!E269&amp;"|"&amp;Raw_Data!F269&amp;"|"&amp;Raw_Data!G269&amp;"|"&amp;Raw_Data!H269&amp;"|"&amp;Raw_Data!I269&amp;"|"&amp;Raw_Data!J269&amp;"|"&amp;Raw_Data!K269&amp;"|"&amp;Raw_Data!L269&amp;"|"&amp;Raw_Data!M269&amp;"|"&amp;Raw_Data!N269&amp;"|"&amp;Raw_Data!O269&amp;"|"&amp;Raw_Data!P269&amp;"|"&amp;Raw_Data!Q269&amp;"|"&amp;Raw_Data!R269&amp;"|"&amp;Raw_Data!S269&amp;"|"&amp;Raw_Data!T269&amp;"|"&amp;Raw_Data!U269&amp;"|"&amp;Raw_Data!V269&amp;"|"&amp;Raw_Data!W269&amp;"|"&amp;Raw_Data!X269&amp;"|"&amp;Raw_Data!Y269&amp;"|"&amp;Raw_Data!Z269&amp;"|"&amp;Raw_Data!AA269&amp;"|"&amp;Raw_Data!AB269&amp;"|"&amp;Raw_Data!AC269&amp;"|"&amp;Raw_Data!AD269&amp;"|"&amp;Raw_Data!AE269&amp;"|"&amp;Raw_Data!AF269&amp;"|"&amp;Raw_Data!AG269&amp;"|"&amp;Raw_Data!AH269&amp;"|"&amp;Raw_Data!AI269&amp;"|"&amp;Raw_Data!AJ269&amp;"|"&amp;Raw_Data!AK269&amp;"|"&amp;Raw_Data!AL269&amp;"|"&amp;Raw_Data!AM269&amp;"|"&amp;Raw_Data!AN269&amp;"|"&amp;Raw_Data!AO269</f>
        <v>1|4|1|1|2|2|1|3|3|26|4|4|2|3|4|4|3|3|1|5|5|4|4|4|4|4|3|1|1|3|4|2|5|4|4|4|2|5|2|1|1</v>
      </c>
      <c r="Q271" s="3" t="n">
        <f aca="false">COUNTIF($P$4:$P$513,P271)</f>
        <v>1</v>
      </c>
    </row>
    <row r="272" customFormat="false" ht="15" hidden="false" customHeight="false" outlineLevel="0" collapsed="false">
      <c r="O272" s="3" t="n">
        <v>270</v>
      </c>
      <c r="P272" s="3" t="str">
        <f aca="false">Raw_Data!A270&amp;"|"&amp;Raw_Data!B270&amp;"|"&amp;Raw_Data!C270&amp;"|"&amp;Raw_Data!D270&amp;"|"&amp;Raw_Data!E270&amp;"|"&amp;Raw_Data!F270&amp;"|"&amp;Raw_Data!G270&amp;"|"&amp;Raw_Data!H270&amp;"|"&amp;Raw_Data!I270&amp;"|"&amp;Raw_Data!J270&amp;"|"&amp;Raw_Data!K270&amp;"|"&amp;Raw_Data!L270&amp;"|"&amp;Raw_Data!M270&amp;"|"&amp;Raw_Data!N270&amp;"|"&amp;Raw_Data!O270&amp;"|"&amp;Raw_Data!P270&amp;"|"&amp;Raw_Data!Q270&amp;"|"&amp;Raw_Data!R270&amp;"|"&amp;Raw_Data!S270&amp;"|"&amp;Raw_Data!T270&amp;"|"&amp;Raw_Data!U270&amp;"|"&amp;Raw_Data!V270&amp;"|"&amp;Raw_Data!W270&amp;"|"&amp;Raw_Data!X270&amp;"|"&amp;Raw_Data!Y270&amp;"|"&amp;Raw_Data!Z270&amp;"|"&amp;Raw_Data!AA270&amp;"|"&amp;Raw_Data!AB270&amp;"|"&amp;Raw_Data!AC270&amp;"|"&amp;Raw_Data!AD270&amp;"|"&amp;Raw_Data!AE270&amp;"|"&amp;Raw_Data!AF270&amp;"|"&amp;Raw_Data!AG270&amp;"|"&amp;Raw_Data!AH270&amp;"|"&amp;Raw_Data!AI270&amp;"|"&amp;Raw_Data!AJ270&amp;"|"&amp;Raw_Data!AK270&amp;"|"&amp;Raw_Data!AL270&amp;"|"&amp;Raw_Data!AM270&amp;"|"&amp;Raw_Data!AN270&amp;"|"&amp;Raw_Data!AO270</f>
        <v>0|3|2|1|2|2|1|2|1|23|3|3|3|3|3|4|5|3|4|4|5|4|3|4|4|4|5|4|3|2|4|3|4|4|4|4|4|4|3|2|2</v>
      </c>
      <c r="Q272" s="3" t="n">
        <f aca="false">COUNTIF($P$4:$P$513,P272)</f>
        <v>1</v>
      </c>
    </row>
    <row r="273" customFormat="false" ht="15" hidden="false" customHeight="false" outlineLevel="0" collapsed="false">
      <c r="O273" s="3" t="n">
        <v>271</v>
      </c>
      <c r="P273" s="3" t="str">
        <f aca="false">Raw_Data!A271&amp;"|"&amp;Raw_Data!B271&amp;"|"&amp;Raw_Data!C271&amp;"|"&amp;Raw_Data!D271&amp;"|"&amp;Raw_Data!E271&amp;"|"&amp;Raw_Data!F271&amp;"|"&amp;Raw_Data!G271&amp;"|"&amp;Raw_Data!H271&amp;"|"&amp;Raw_Data!I271&amp;"|"&amp;Raw_Data!J271&amp;"|"&amp;Raw_Data!K271&amp;"|"&amp;Raw_Data!L271&amp;"|"&amp;Raw_Data!M271&amp;"|"&amp;Raw_Data!N271&amp;"|"&amp;Raw_Data!O271&amp;"|"&amp;Raw_Data!P271&amp;"|"&amp;Raw_Data!Q271&amp;"|"&amp;Raw_Data!R271&amp;"|"&amp;Raw_Data!S271&amp;"|"&amp;Raw_Data!T271&amp;"|"&amp;Raw_Data!U271&amp;"|"&amp;Raw_Data!V271&amp;"|"&amp;Raw_Data!W271&amp;"|"&amp;Raw_Data!X271&amp;"|"&amp;Raw_Data!Y271&amp;"|"&amp;Raw_Data!Z271&amp;"|"&amp;Raw_Data!AA271&amp;"|"&amp;Raw_Data!AB271&amp;"|"&amp;Raw_Data!AC271&amp;"|"&amp;Raw_Data!AD271&amp;"|"&amp;Raw_Data!AE271&amp;"|"&amp;Raw_Data!AF271&amp;"|"&amp;Raw_Data!AG271&amp;"|"&amp;Raw_Data!AH271&amp;"|"&amp;Raw_Data!AI271&amp;"|"&amp;Raw_Data!AJ271&amp;"|"&amp;Raw_Data!AK271&amp;"|"&amp;Raw_Data!AL271&amp;"|"&amp;Raw_Data!AM271&amp;"|"&amp;Raw_Data!AN271&amp;"|"&amp;Raw_Data!AO271</f>
        <v>0|4|1|1|2|2|2|3|1|23|3|3|2|3|4|3|1|3|3|5|4|4|5|5|2|4|1|1|1|3|3|2|3|4|4|2|3|5|2|2|1</v>
      </c>
      <c r="Q273" s="3" t="n">
        <f aca="false">COUNTIF($P$4:$P$513,P273)</f>
        <v>1</v>
      </c>
    </row>
    <row r="274" customFormat="false" ht="15" hidden="false" customHeight="false" outlineLevel="0" collapsed="false">
      <c r="O274" s="3" t="n">
        <v>272</v>
      </c>
      <c r="P274" s="3" t="str">
        <f aca="false">Raw_Data!A272&amp;"|"&amp;Raw_Data!B272&amp;"|"&amp;Raw_Data!C272&amp;"|"&amp;Raw_Data!D272&amp;"|"&amp;Raw_Data!E272&amp;"|"&amp;Raw_Data!F272&amp;"|"&amp;Raw_Data!G272&amp;"|"&amp;Raw_Data!H272&amp;"|"&amp;Raw_Data!I272&amp;"|"&amp;Raw_Data!J272&amp;"|"&amp;Raw_Data!K272&amp;"|"&amp;Raw_Data!L272&amp;"|"&amp;Raw_Data!M272&amp;"|"&amp;Raw_Data!N272&amp;"|"&amp;Raw_Data!O272&amp;"|"&amp;Raw_Data!P272&amp;"|"&amp;Raw_Data!Q272&amp;"|"&amp;Raw_Data!R272&amp;"|"&amp;Raw_Data!S272&amp;"|"&amp;Raw_Data!T272&amp;"|"&amp;Raw_Data!U272&amp;"|"&amp;Raw_Data!V272&amp;"|"&amp;Raw_Data!W272&amp;"|"&amp;Raw_Data!X272&amp;"|"&amp;Raw_Data!Y272&amp;"|"&amp;Raw_Data!Z272&amp;"|"&amp;Raw_Data!AA272&amp;"|"&amp;Raw_Data!AB272&amp;"|"&amp;Raw_Data!AC272&amp;"|"&amp;Raw_Data!AD272&amp;"|"&amp;Raw_Data!AE272&amp;"|"&amp;Raw_Data!AF272&amp;"|"&amp;Raw_Data!AG272&amp;"|"&amp;Raw_Data!AH272&amp;"|"&amp;Raw_Data!AI272&amp;"|"&amp;Raw_Data!AJ272&amp;"|"&amp;Raw_Data!AK272&amp;"|"&amp;Raw_Data!AL272&amp;"|"&amp;Raw_Data!AM272&amp;"|"&amp;Raw_Data!AN272&amp;"|"&amp;Raw_Data!AO272</f>
        <v>0|4|1|1|2|2|4|2|3|26|4|4|4|4|4|4|3|4|3|5|4|4|4|4|4|4|4|4|2|2|4|3|3|4|3|4|3|4|4|3|4</v>
      </c>
      <c r="Q274" s="3" t="n">
        <f aca="false">COUNTIF($P$4:$P$513,P274)</f>
        <v>1</v>
      </c>
    </row>
    <row r="275" customFormat="false" ht="15" hidden="false" customHeight="false" outlineLevel="0" collapsed="false">
      <c r="O275" s="3" t="n">
        <v>273</v>
      </c>
      <c r="P275" s="3" t="str">
        <f aca="false">Raw_Data!A273&amp;"|"&amp;Raw_Data!B273&amp;"|"&amp;Raw_Data!C273&amp;"|"&amp;Raw_Data!D273&amp;"|"&amp;Raw_Data!E273&amp;"|"&amp;Raw_Data!F273&amp;"|"&amp;Raw_Data!G273&amp;"|"&amp;Raw_Data!H273&amp;"|"&amp;Raw_Data!I273&amp;"|"&amp;Raw_Data!J273&amp;"|"&amp;Raw_Data!K273&amp;"|"&amp;Raw_Data!L273&amp;"|"&amp;Raw_Data!M273&amp;"|"&amp;Raw_Data!N273&amp;"|"&amp;Raw_Data!O273&amp;"|"&amp;Raw_Data!P273&amp;"|"&amp;Raw_Data!Q273&amp;"|"&amp;Raw_Data!R273&amp;"|"&amp;Raw_Data!S273&amp;"|"&amp;Raw_Data!T273&amp;"|"&amp;Raw_Data!U273&amp;"|"&amp;Raw_Data!V273&amp;"|"&amp;Raw_Data!W273&amp;"|"&amp;Raw_Data!X273&amp;"|"&amp;Raw_Data!Y273&amp;"|"&amp;Raw_Data!Z273&amp;"|"&amp;Raw_Data!AA273&amp;"|"&amp;Raw_Data!AB273&amp;"|"&amp;Raw_Data!AC273&amp;"|"&amp;Raw_Data!AD273&amp;"|"&amp;Raw_Data!AE273&amp;"|"&amp;Raw_Data!AF273&amp;"|"&amp;Raw_Data!AG273&amp;"|"&amp;Raw_Data!AH273&amp;"|"&amp;Raw_Data!AI273&amp;"|"&amp;Raw_Data!AJ273&amp;"|"&amp;Raw_Data!AK273&amp;"|"&amp;Raw_Data!AL273&amp;"|"&amp;Raw_Data!AM273&amp;"|"&amp;Raw_Data!AN273&amp;"|"&amp;Raw_Data!AO273</f>
        <v>0|3|2|1|2|2|3|2|1|23|3|3|3|3|3|3|3|3|4|4|4|4|3|3|4|4|4|2|3|3|3|3|3|4|4|1|4|3|3|3|3</v>
      </c>
      <c r="Q275" s="3" t="n">
        <f aca="false">COUNTIF($P$4:$P$513,P275)</f>
        <v>1</v>
      </c>
    </row>
    <row r="276" customFormat="false" ht="15" hidden="false" customHeight="false" outlineLevel="0" collapsed="false">
      <c r="O276" s="3" t="n">
        <v>274</v>
      </c>
      <c r="P276" s="3" t="str">
        <f aca="false">Raw_Data!A274&amp;"|"&amp;Raw_Data!B274&amp;"|"&amp;Raw_Data!C274&amp;"|"&amp;Raw_Data!D274&amp;"|"&amp;Raw_Data!E274&amp;"|"&amp;Raw_Data!F274&amp;"|"&amp;Raw_Data!G274&amp;"|"&amp;Raw_Data!H274&amp;"|"&amp;Raw_Data!I274&amp;"|"&amp;Raw_Data!J274&amp;"|"&amp;Raw_Data!K274&amp;"|"&amp;Raw_Data!L274&amp;"|"&amp;Raw_Data!M274&amp;"|"&amp;Raw_Data!N274&amp;"|"&amp;Raw_Data!O274&amp;"|"&amp;Raw_Data!P274&amp;"|"&amp;Raw_Data!Q274&amp;"|"&amp;Raw_Data!R274&amp;"|"&amp;Raw_Data!S274&amp;"|"&amp;Raw_Data!T274&amp;"|"&amp;Raw_Data!U274&amp;"|"&amp;Raw_Data!V274&amp;"|"&amp;Raw_Data!W274&amp;"|"&amp;Raw_Data!X274&amp;"|"&amp;Raw_Data!Y274&amp;"|"&amp;Raw_Data!Z274&amp;"|"&amp;Raw_Data!AA274&amp;"|"&amp;Raw_Data!AB274&amp;"|"&amp;Raw_Data!AC274&amp;"|"&amp;Raw_Data!AD274&amp;"|"&amp;Raw_Data!AE274&amp;"|"&amp;Raw_Data!AF274&amp;"|"&amp;Raw_Data!AG274&amp;"|"&amp;Raw_Data!AH274&amp;"|"&amp;Raw_Data!AI274&amp;"|"&amp;Raw_Data!AJ274&amp;"|"&amp;Raw_Data!AK274&amp;"|"&amp;Raw_Data!AL274&amp;"|"&amp;Raw_Data!AM274&amp;"|"&amp;Raw_Data!AN274&amp;"|"&amp;Raw_Data!AO274</f>
        <v>0|3|2|2|2|2|2|2|1|26|2|3|2|2|3|2|3|3|4|4|4|4|4|4|4|4|4|2|2|2|3|2|3|3|3|4|2|4|3|1|4</v>
      </c>
      <c r="Q276" s="3" t="n">
        <f aca="false">COUNTIF($P$4:$P$513,P276)</f>
        <v>1</v>
      </c>
    </row>
    <row r="277" customFormat="false" ht="15" hidden="false" customHeight="false" outlineLevel="0" collapsed="false">
      <c r="O277" s="3" t="n">
        <v>275</v>
      </c>
      <c r="P277" s="3" t="str">
        <f aca="false">Raw_Data!A275&amp;"|"&amp;Raw_Data!B275&amp;"|"&amp;Raw_Data!C275&amp;"|"&amp;Raw_Data!D275&amp;"|"&amp;Raw_Data!E275&amp;"|"&amp;Raw_Data!F275&amp;"|"&amp;Raw_Data!G275&amp;"|"&amp;Raw_Data!H275&amp;"|"&amp;Raw_Data!I275&amp;"|"&amp;Raw_Data!J275&amp;"|"&amp;Raw_Data!K275&amp;"|"&amp;Raw_Data!L275&amp;"|"&amp;Raw_Data!M275&amp;"|"&amp;Raw_Data!N275&amp;"|"&amp;Raw_Data!O275&amp;"|"&amp;Raw_Data!P275&amp;"|"&amp;Raw_Data!Q275&amp;"|"&amp;Raw_Data!R275&amp;"|"&amp;Raw_Data!S275&amp;"|"&amp;Raw_Data!T275&amp;"|"&amp;Raw_Data!U275&amp;"|"&amp;Raw_Data!V275&amp;"|"&amp;Raw_Data!W275&amp;"|"&amp;Raw_Data!X275&amp;"|"&amp;Raw_Data!Y275&amp;"|"&amp;Raw_Data!Z275&amp;"|"&amp;Raw_Data!AA275&amp;"|"&amp;Raw_Data!AB275&amp;"|"&amp;Raw_Data!AC275&amp;"|"&amp;Raw_Data!AD275&amp;"|"&amp;Raw_Data!AE275&amp;"|"&amp;Raw_Data!AF275&amp;"|"&amp;Raw_Data!AG275&amp;"|"&amp;Raw_Data!AH275&amp;"|"&amp;Raw_Data!AI275&amp;"|"&amp;Raw_Data!AJ275&amp;"|"&amp;Raw_Data!AK275&amp;"|"&amp;Raw_Data!AL275&amp;"|"&amp;Raw_Data!AM275&amp;"|"&amp;Raw_Data!AN275&amp;"|"&amp;Raw_Data!AO275</f>
        <v>0|1|1|1|2|2|3|1|1|24|4|4|3|4|5|3|3|3|5|4|4|3|4|4|3|3|4|3|3|2|3|4|4|4|4|5|3|4|3|3|4</v>
      </c>
      <c r="Q277" s="3" t="n">
        <f aca="false">COUNTIF($P$4:$P$513,P277)</f>
        <v>1</v>
      </c>
    </row>
    <row r="278" customFormat="false" ht="15" hidden="false" customHeight="false" outlineLevel="0" collapsed="false">
      <c r="O278" s="3" t="n">
        <v>276</v>
      </c>
      <c r="P278" s="3" t="str">
        <f aca="false">Raw_Data!A276&amp;"|"&amp;Raw_Data!B276&amp;"|"&amp;Raw_Data!C276&amp;"|"&amp;Raw_Data!D276&amp;"|"&amp;Raw_Data!E276&amp;"|"&amp;Raw_Data!F276&amp;"|"&amp;Raw_Data!G276&amp;"|"&amp;Raw_Data!H276&amp;"|"&amp;Raw_Data!I276&amp;"|"&amp;Raw_Data!J276&amp;"|"&amp;Raw_Data!K276&amp;"|"&amp;Raw_Data!L276&amp;"|"&amp;Raw_Data!M276&amp;"|"&amp;Raw_Data!N276&amp;"|"&amp;Raw_Data!O276&amp;"|"&amp;Raw_Data!P276&amp;"|"&amp;Raw_Data!Q276&amp;"|"&amp;Raw_Data!R276&amp;"|"&amp;Raw_Data!S276&amp;"|"&amp;Raw_Data!T276&amp;"|"&amp;Raw_Data!U276&amp;"|"&amp;Raw_Data!V276&amp;"|"&amp;Raw_Data!W276&amp;"|"&amp;Raw_Data!X276&amp;"|"&amp;Raw_Data!Y276&amp;"|"&amp;Raw_Data!Z276&amp;"|"&amp;Raw_Data!AA276&amp;"|"&amp;Raw_Data!AB276&amp;"|"&amp;Raw_Data!AC276&amp;"|"&amp;Raw_Data!AD276&amp;"|"&amp;Raw_Data!AE276&amp;"|"&amp;Raw_Data!AF276&amp;"|"&amp;Raw_Data!AG276&amp;"|"&amp;Raw_Data!AH276&amp;"|"&amp;Raw_Data!AI276&amp;"|"&amp;Raw_Data!AJ276&amp;"|"&amp;Raw_Data!AK276&amp;"|"&amp;Raw_Data!AL276&amp;"|"&amp;Raw_Data!AM276&amp;"|"&amp;Raw_Data!AN276&amp;"|"&amp;Raw_Data!AO276</f>
        <v>0|1|1|2|2|2|3|3|1|22|4|3|4|4|3|3|3|3|5|5|4|4|4|5|3|4|5|4|2|3|4|4|3|4|4|4|3|5|4|3|3</v>
      </c>
      <c r="Q278" s="3" t="n">
        <f aca="false">COUNTIF($P$4:$P$513,P278)</f>
        <v>1</v>
      </c>
    </row>
    <row r="279" customFormat="false" ht="15" hidden="false" customHeight="false" outlineLevel="0" collapsed="false">
      <c r="O279" s="3" t="n">
        <v>277</v>
      </c>
      <c r="P279" s="3" t="str">
        <f aca="false">Raw_Data!A277&amp;"|"&amp;Raw_Data!B277&amp;"|"&amp;Raw_Data!C277&amp;"|"&amp;Raw_Data!D277&amp;"|"&amp;Raw_Data!E277&amp;"|"&amp;Raw_Data!F277&amp;"|"&amp;Raw_Data!G277&amp;"|"&amp;Raw_Data!H277&amp;"|"&amp;Raw_Data!I277&amp;"|"&amp;Raw_Data!J277&amp;"|"&amp;Raw_Data!K277&amp;"|"&amp;Raw_Data!L277&amp;"|"&amp;Raw_Data!M277&amp;"|"&amp;Raw_Data!N277&amp;"|"&amp;Raw_Data!O277&amp;"|"&amp;Raw_Data!P277&amp;"|"&amp;Raw_Data!Q277&amp;"|"&amp;Raw_Data!R277&amp;"|"&amp;Raw_Data!S277&amp;"|"&amp;Raw_Data!T277&amp;"|"&amp;Raw_Data!U277&amp;"|"&amp;Raw_Data!V277&amp;"|"&amp;Raw_Data!W277&amp;"|"&amp;Raw_Data!X277&amp;"|"&amp;Raw_Data!Y277&amp;"|"&amp;Raw_Data!Z277&amp;"|"&amp;Raw_Data!AA277&amp;"|"&amp;Raw_Data!AB277&amp;"|"&amp;Raw_Data!AC277&amp;"|"&amp;Raw_Data!AD277&amp;"|"&amp;Raw_Data!AE277&amp;"|"&amp;Raw_Data!AF277&amp;"|"&amp;Raw_Data!AG277&amp;"|"&amp;Raw_Data!AH277&amp;"|"&amp;Raw_Data!AI277&amp;"|"&amp;Raw_Data!AJ277&amp;"|"&amp;Raw_Data!AK277&amp;"|"&amp;Raw_Data!AL277&amp;"|"&amp;Raw_Data!AM277&amp;"|"&amp;Raw_Data!AN277&amp;"|"&amp;Raw_Data!AO277</f>
        <v>0|4|2|1|2|2|2|2|3|27|3|3|3|4|2|2|4|1|4|4|4|4|4|4|4|4|2|2|1|1|3|3|4|4|4|4|2|4|3|2|2</v>
      </c>
      <c r="Q279" s="3" t="n">
        <f aca="false">COUNTIF($P$4:$P$513,P279)</f>
        <v>1</v>
      </c>
    </row>
    <row r="280" customFormat="false" ht="15" hidden="false" customHeight="false" outlineLevel="0" collapsed="false">
      <c r="O280" s="3" t="n">
        <v>278</v>
      </c>
      <c r="P280" s="3" t="str">
        <f aca="false">Raw_Data!A278&amp;"|"&amp;Raw_Data!B278&amp;"|"&amp;Raw_Data!C278&amp;"|"&amp;Raw_Data!D278&amp;"|"&amp;Raw_Data!E278&amp;"|"&amp;Raw_Data!F278&amp;"|"&amp;Raw_Data!G278&amp;"|"&amp;Raw_Data!H278&amp;"|"&amp;Raw_Data!I278&amp;"|"&amp;Raw_Data!J278&amp;"|"&amp;Raw_Data!K278&amp;"|"&amp;Raw_Data!L278&amp;"|"&amp;Raw_Data!M278&amp;"|"&amp;Raw_Data!N278&amp;"|"&amp;Raw_Data!O278&amp;"|"&amp;Raw_Data!P278&amp;"|"&amp;Raw_Data!Q278&amp;"|"&amp;Raw_Data!R278&amp;"|"&amp;Raw_Data!S278&amp;"|"&amp;Raw_Data!T278&amp;"|"&amp;Raw_Data!U278&amp;"|"&amp;Raw_Data!V278&amp;"|"&amp;Raw_Data!W278&amp;"|"&amp;Raw_Data!X278&amp;"|"&amp;Raw_Data!Y278&amp;"|"&amp;Raw_Data!Z278&amp;"|"&amp;Raw_Data!AA278&amp;"|"&amp;Raw_Data!AB278&amp;"|"&amp;Raw_Data!AC278&amp;"|"&amp;Raw_Data!AD278&amp;"|"&amp;Raw_Data!AE278&amp;"|"&amp;Raw_Data!AF278&amp;"|"&amp;Raw_Data!AG278&amp;"|"&amp;Raw_Data!AH278&amp;"|"&amp;Raw_Data!AI278&amp;"|"&amp;Raw_Data!AJ278&amp;"|"&amp;Raw_Data!AK278&amp;"|"&amp;Raw_Data!AL278&amp;"|"&amp;Raw_Data!AM278&amp;"|"&amp;Raw_Data!AN278&amp;"|"&amp;Raw_Data!AO278</f>
        <v>0|3|1|1|2|2|3|2|2|22|4|4|5|4|5|3|4|4|5|5|5|3|5|5|5|5|2|2|2|2|5|4|5|5|5|4|5|5|2|3|3</v>
      </c>
      <c r="Q280" s="3" t="n">
        <f aca="false">COUNTIF($P$4:$P$513,P280)</f>
        <v>1</v>
      </c>
    </row>
    <row r="281" customFormat="false" ht="15" hidden="false" customHeight="false" outlineLevel="0" collapsed="false">
      <c r="O281" s="3" t="n">
        <v>279</v>
      </c>
      <c r="P281" s="3" t="str">
        <f aca="false">Raw_Data!A279&amp;"|"&amp;Raw_Data!B279&amp;"|"&amp;Raw_Data!C279&amp;"|"&amp;Raw_Data!D279&amp;"|"&amp;Raw_Data!E279&amp;"|"&amp;Raw_Data!F279&amp;"|"&amp;Raw_Data!G279&amp;"|"&amp;Raw_Data!H279&amp;"|"&amp;Raw_Data!I279&amp;"|"&amp;Raw_Data!J279&amp;"|"&amp;Raw_Data!K279&amp;"|"&amp;Raw_Data!L279&amp;"|"&amp;Raw_Data!M279&amp;"|"&amp;Raw_Data!N279&amp;"|"&amp;Raw_Data!O279&amp;"|"&amp;Raw_Data!P279&amp;"|"&amp;Raw_Data!Q279&amp;"|"&amp;Raw_Data!R279&amp;"|"&amp;Raw_Data!S279&amp;"|"&amp;Raw_Data!T279&amp;"|"&amp;Raw_Data!U279&amp;"|"&amp;Raw_Data!V279&amp;"|"&amp;Raw_Data!W279&amp;"|"&amp;Raw_Data!X279&amp;"|"&amp;Raw_Data!Y279&amp;"|"&amp;Raw_Data!Z279&amp;"|"&amp;Raw_Data!AA279&amp;"|"&amp;Raw_Data!AB279&amp;"|"&amp;Raw_Data!AC279&amp;"|"&amp;Raw_Data!AD279&amp;"|"&amp;Raw_Data!AE279&amp;"|"&amp;Raw_Data!AF279&amp;"|"&amp;Raw_Data!AG279&amp;"|"&amp;Raw_Data!AH279&amp;"|"&amp;Raw_Data!AI279&amp;"|"&amp;Raw_Data!AJ279&amp;"|"&amp;Raw_Data!AK279&amp;"|"&amp;Raw_Data!AL279&amp;"|"&amp;Raw_Data!AM279&amp;"|"&amp;Raw_Data!AN279&amp;"|"&amp;Raw_Data!AO279</f>
        <v>0|4|1|1|2|2|3|2|3|26|3|3|3|4|3|3|5|4|3|5|5|4|4|3|3|4|4|3|1|3|5|4|5|5|4|4|3|3|3|4|4</v>
      </c>
      <c r="Q281" s="3" t="n">
        <f aca="false">COUNTIF($P$4:$P$513,P281)</f>
        <v>1</v>
      </c>
    </row>
    <row r="282" customFormat="false" ht="15" hidden="false" customHeight="false" outlineLevel="0" collapsed="false">
      <c r="O282" s="3" t="n">
        <v>280</v>
      </c>
      <c r="P282" s="3" t="str">
        <f aca="false">Raw_Data!A280&amp;"|"&amp;Raw_Data!B280&amp;"|"&amp;Raw_Data!C280&amp;"|"&amp;Raw_Data!D280&amp;"|"&amp;Raw_Data!E280&amp;"|"&amp;Raw_Data!F280&amp;"|"&amp;Raw_Data!G280&amp;"|"&amp;Raw_Data!H280&amp;"|"&amp;Raw_Data!I280&amp;"|"&amp;Raw_Data!J280&amp;"|"&amp;Raw_Data!K280&amp;"|"&amp;Raw_Data!L280&amp;"|"&amp;Raw_Data!M280&amp;"|"&amp;Raw_Data!N280&amp;"|"&amp;Raw_Data!O280&amp;"|"&amp;Raw_Data!P280&amp;"|"&amp;Raw_Data!Q280&amp;"|"&amp;Raw_Data!R280&amp;"|"&amp;Raw_Data!S280&amp;"|"&amp;Raw_Data!T280&amp;"|"&amp;Raw_Data!U280&amp;"|"&amp;Raw_Data!V280&amp;"|"&amp;Raw_Data!W280&amp;"|"&amp;Raw_Data!X280&amp;"|"&amp;Raw_Data!Y280&amp;"|"&amp;Raw_Data!Z280&amp;"|"&amp;Raw_Data!AA280&amp;"|"&amp;Raw_Data!AB280&amp;"|"&amp;Raw_Data!AC280&amp;"|"&amp;Raw_Data!AD280&amp;"|"&amp;Raw_Data!AE280&amp;"|"&amp;Raw_Data!AF280&amp;"|"&amp;Raw_Data!AG280&amp;"|"&amp;Raw_Data!AH280&amp;"|"&amp;Raw_Data!AI280&amp;"|"&amp;Raw_Data!AJ280&amp;"|"&amp;Raw_Data!AK280&amp;"|"&amp;Raw_Data!AL280&amp;"|"&amp;Raw_Data!AM280&amp;"|"&amp;Raw_Data!AN280&amp;"|"&amp;Raw_Data!AO280</f>
        <v>0|6|2|2|2|2|1|2|3|23|3|2|4|4|4|2|4|3|5|5|4|2|4|4|4|4|2|1|2|2|2|3|3|4|3|4|2|4|3|3|3</v>
      </c>
      <c r="Q282" s="3" t="n">
        <f aca="false">COUNTIF($P$4:$P$513,P282)</f>
        <v>1</v>
      </c>
    </row>
    <row r="283" customFormat="false" ht="15" hidden="false" customHeight="false" outlineLevel="0" collapsed="false">
      <c r="O283" s="3" t="n">
        <v>281</v>
      </c>
      <c r="P283" s="3" t="str">
        <f aca="false">Raw_Data!A281&amp;"|"&amp;Raw_Data!B281&amp;"|"&amp;Raw_Data!C281&amp;"|"&amp;Raw_Data!D281&amp;"|"&amp;Raw_Data!E281&amp;"|"&amp;Raw_Data!F281&amp;"|"&amp;Raw_Data!G281&amp;"|"&amp;Raw_Data!H281&amp;"|"&amp;Raw_Data!I281&amp;"|"&amp;Raw_Data!J281&amp;"|"&amp;Raw_Data!K281&amp;"|"&amp;Raw_Data!L281&amp;"|"&amp;Raw_Data!M281&amp;"|"&amp;Raw_Data!N281&amp;"|"&amp;Raw_Data!O281&amp;"|"&amp;Raw_Data!P281&amp;"|"&amp;Raw_Data!Q281&amp;"|"&amp;Raw_Data!R281&amp;"|"&amp;Raw_Data!S281&amp;"|"&amp;Raw_Data!T281&amp;"|"&amp;Raw_Data!U281&amp;"|"&amp;Raw_Data!V281&amp;"|"&amp;Raw_Data!W281&amp;"|"&amp;Raw_Data!X281&amp;"|"&amp;Raw_Data!Y281&amp;"|"&amp;Raw_Data!Z281&amp;"|"&amp;Raw_Data!AA281&amp;"|"&amp;Raw_Data!AB281&amp;"|"&amp;Raw_Data!AC281&amp;"|"&amp;Raw_Data!AD281&amp;"|"&amp;Raw_Data!AE281&amp;"|"&amp;Raw_Data!AF281&amp;"|"&amp;Raw_Data!AG281&amp;"|"&amp;Raw_Data!AH281&amp;"|"&amp;Raw_Data!AI281&amp;"|"&amp;Raw_Data!AJ281&amp;"|"&amp;Raw_Data!AK281&amp;"|"&amp;Raw_Data!AL281&amp;"|"&amp;Raw_Data!AM281&amp;"|"&amp;Raw_Data!AN281&amp;"|"&amp;Raw_Data!AO281</f>
        <v>1|4|1|1|2|2|3|2|1|26|4|4|4|4|4|1|4|2|4|5|5|3|2|2|2|3|4|2|1|1|4|5|4|4|3|5|1|5|4|2|5</v>
      </c>
      <c r="Q283" s="3" t="n">
        <f aca="false">COUNTIF($P$4:$P$513,P283)</f>
        <v>1</v>
      </c>
    </row>
    <row r="284" customFormat="false" ht="15" hidden="false" customHeight="false" outlineLevel="0" collapsed="false">
      <c r="O284" s="3" t="n">
        <v>282</v>
      </c>
      <c r="P284" s="3" t="str">
        <f aca="false">Raw_Data!A282&amp;"|"&amp;Raw_Data!B282&amp;"|"&amp;Raw_Data!C282&amp;"|"&amp;Raw_Data!D282&amp;"|"&amp;Raw_Data!E282&amp;"|"&amp;Raw_Data!F282&amp;"|"&amp;Raw_Data!G282&amp;"|"&amp;Raw_Data!H282&amp;"|"&amp;Raw_Data!I282&amp;"|"&amp;Raw_Data!J282&amp;"|"&amp;Raw_Data!K282&amp;"|"&amp;Raw_Data!L282&amp;"|"&amp;Raw_Data!M282&amp;"|"&amp;Raw_Data!N282&amp;"|"&amp;Raw_Data!O282&amp;"|"&amp;Raw_Data!P282&amp;"|"&amp;Raw_Data!Q282&amp;"|"&amp;Raw_Data!R282&amp;"|"&amp;Raw_Data!S282&amp;"|"&amp;Raw_Data!T282&amp;"|"&amp;Raw_Data!U282&amp;"|"&amp;Raw_Data!V282&amp;"|"&amp;Raw_Data!W282&amp;"|"&amp;Raw_Data!X282&amp;"|"&amp;Raw_Data!Y282&amp;"|"&amp;Raw_Data!Z282&amp;"|"&amp;Raw_Data!AA282&amp;"|"&amp;Raw_Data!AB282&amp;"|"&amp;Raw_Data!AC282&amp;"|"&amp;Raw_Data!AD282&amp;"|"&amp;Raw_Data!AE282&amp;"|"&amp;Raw_Data!AF282&amp;"|"&amp;Raw_Data!AG282&amp;"|"&amp;Raw_Data!AH282&amp;"|"&amp;Raw_Data!AI282&amp;"|"&amp;Raw_Data!AJ282&amp;"|"&amp;Raw_Data!AK282&amp;"|"&amp;Raw_Data!AL282&amp;"|"&amp;Raw_Data!AM282&amp;"|"&amp;Raw_Data!AN282&amp;"|"&amp;Raw_Data!AO282</f>
        <v>0|3|2|1|2|2|1|3|1|22|3|2|4|4|4|2|3|3|4|5|4|4|4|4|4|4|4|4|4|2|3|3|4|4|3|4|2|2|3|4|3</v>
      </c>
      <c r="Q284" s="3" t="n">
        <f aca="false">COUNTIF($P$4:$P$513,P284)</f>
        <v>1</v>
      </c>
    </row>
    <row r="285" customFormat="false" ht="15" hidden="false" customHeight="false" outlineLevel="0" collapsed="false">
      <c r="O285" s="3" t="n">
        <v>283</v>
      </c>
      <c r="P285" s="3" t="str">
        <f aca="false">Raw_Data!A283&amp;"|"&amp;Raw_Data!B283&amp;"|"&amp;Raw_Data!C283&amp;"|"&amp;Raw_Data!D283&amp;"|"&amp;Raw_Data!E283&amp;"|"&amp;Raw_Data!F283&amp;"|"&amp;Raw_Data!G283&amp;"|"&amp;Raw_Data!H283&amp;"|"&amp;Raw_Data!I283&amp;"|"&amp;Raw_Data!J283&amp;"|"&amp;Raw_Data!K283&amp;"|"&amp;Raw_Data!L283&amp;"|"&amp;Raw_Data!M283&amp;"|"&amp;Raw_Data!N283&amp;"|"&amp;Raw_Data!O283&amp;"|"&amp;Raw_Data!P283&amp;"|"&amp;Raw_Data!Q283&amp;"|"&amp;Raw_Data!R283&amp;"|"&amp;Raw_Data!S283&amp;"|"&amp;Raw_Data!T283&amp;"|"&amp;Raw_Data!U283&amp;"|"&amp;Raw_Data!V283&amp;"|"&amp;Raw_Data!W283&amp;"|"&amp;Raw_Data!X283&amp;"|"&amp;Raw_Data!Y283&amp;"|"&amp;Raw_Data!Z283&amp;"|"&amp;Raw_Data!AA283&amp;"|"&amp;Raw_Data!AB283&amp;"|"&amp;Raw_Data!AC283&amp;"|"&amp;Raw_Data!AD283&amp;"|"&amp;Raw_Data!AE283&amp;"|"&amp;Raw_Data!AF283&amp;"|"&amp;Raw_Data!AG283&amp;"|"&amp;Raw_Data!AH283&amp;"|"&amp;Raw_Data!AI283&amp;"|"&amp;Raw_Data!AJ283&amp;"|"&amp;Raw_Data!AK283&amp;"|"&amp;Raw_Data!AL283&amp;"|"&amp;Raw_Data!AM283&amp;"|"&amp;Raw_Data!AN283&amp;"|"&amp;Raw_Data!AO283</f>
        <v>0|4|1|1|2|2|2|2|3|24|4|5|5|5|3|4|3|2|4|5|5|4|5|3|5|5|5|5|1|3|3|3|4|4|4|4|3|5|4|3|3</v>
      </c>
      <c r="Q285" s="3" t="n">
        <f aca="false">COUNTIF($P$4:$P$513,P285)</f>
        <v>1</v>
      </c>
    </row>
    <row r="286" customFormat="false" ht="15" hidden="false" customHeight="false" outlineLevel="0" collapsed="false">
      <c r="O286" s="3" t="n">
        <v>284</v>
      </c>
      <c r="P286" s="3" t="str">
        <f aca="false">Raw_Data!A284&amp;"|"&amp;Raw_Data!B284&amp;"|"&amp;Raw_Data!C284&amp;"|"&amp;Raw_Data!D284&amp;"|"&amp;Raw_Data!E284&amp;"|"&amp;Raw_Data!F284&amp;"|"&amp;Raw_Data!G284&amp;"|"&amp;Raw_Data!H284&amp;"|"&amp;Raw_Data!I284&amp;"|"&amp;Raw_Data!J284&amp;"|"&amp;Raw_Data!K284&amp;"|"&amp;Raw_Data!L284&amp;"|"&amp;Raw_Data!M284&amp;"|"&amp;Raw_Data!N284&amp;"|"&amp;Raw_Data!O284&amp;"|"&amp;Raw_Data!P284&amp;"|"&amp;Raw_Data!Q284&amp;"|"&amp;Raw_Data!R284&amp;"|"&amp;Raw_Data!S284&amp;"|"&amp;Raw_Data!T284&amp;"|"&amp;Raw_Data!U284&amp;"|"&amp;Raw_Data!V284&amp;"|"&amp;Raw_Data!W284&amp;"|"&amp;Raw_Data!X284&amp;"|"&amp;Raw_Data!Y284&amp;"|"&amp;Raw_Data!Z284&amp;"|"&amp;Raw_Data!AA284&amp;"|"&amp;Raw_Data!AB284&amp;"|"&amp;Raw_Data!AC284&amp;"|"&amp;Raw_Data!AD284&amp;"|"&amp;Raw_Data!AE284&amp;"|"&amp;Raw_Data!AF284&amp;"|"&amp;Raw_Data!AG284&amp;"|"&amp;Raw_Data!AH284&amp;"|"&amp;Raw_Data!AI284&amp;"|"&amp;Raw_Data!AJ284&amp;"|"&amp;Raw_Data!AK284&amp;"|"&amp;Raw_Data!AL284&amp;"|"&amp;Raw_Data!AM284&amp;"|"&amp;Raw_Data!AN284&amp;"|"&amp;Raw_Data!AO284</f>
        <v>0|4|1|1|2|2|2|1|3|23|3|4|4|5|5|4|3|2|4|5|5|5|4|5|3|5|4|4|2|2|5|3|4|5|4|5|4|5|3|3|2</v>
      </c>
      <c r="Q286" s="3" t="n">
        <f aca="false">COUNTIF($P$4:$P$513,P286)</f>
        <v>1</v>
      </c>
    </row>
    <row r="287" customFormat="false" ht="15" hidden="false" customHeight="false" outlineLevel="0" collapsed="false">
      <c r="O287" s="3" t="n">
        <v>285</v>
      </c>
      <c r="P287" s="3" t="str">
        <f aca="false">Raw_Data!A285&amp;"|"&amp;Raw_Data!B285&amp;"|"&amp;Raw_Data!C285&amp;"|"&amp;Raw_Data!D285&amp;"|"&amp;Raw_Data!E285&amp;"|"&amp;Raw_Data!F285&amp;"|"&amp;Raw_Data!G285&amp;"|"&amp;Raw_Data!H285&amp;"|"&amp;Raw_Data!I285&amp;"|"&amp;Raw_Data!J285&amp;"|"&amp;Raw_Data!K285&amp;"|"&amp;Raw_Data!L285&amp;"|"&amp;Raw_Data!M285&amp;"|"&amp;Raw_Data!N285&amp;"|"&amp;Raw_Data!O285&amp;"|"&amp;Raw_Data!P285&amp;"|"&amp;Raw_Data!Q285&amp;"|"&amp;Raw_Data!R285&amp;"|"&amp;Raw_Data!S285&amp;"|"&amp;Raw_Data!T285&amp;"|"&amp;Raw_Data!U285&amp;"|"&amp;Raw_Data!V285&amp;"|"&amp;Raw_Data!W285&amp;"|"&amp;Raw_Data!X285&amp;"|"&amp;Raw_Data!Y285&amp;"|"&amp;Raw_Data!Z285&amp;"|"&amp;Raw_Data!AA285&amp;"|"&amp;Raw_Data!AB285&amp;"|"&amp;Raw_Data!AC285&amp;"|"&amp;Raw_Data!AD285&amp;"|"&amp;Raw_Data!AE285&amp;"|"&amp;Raw_Data!AF285&amp;"|"&amp;Raw_Data!AG285&amp;"|"&amp;Raw_Data!AH285&amp;"|"&amp;Raw_Data!AI285&amp;"|"&amp;Raw_Data!AJ285&amp;"|"&amp;Raw_Data!AK285&amp;"|"&amp;Raw_Data!AL285&amp;"|"&amp;Raw_Data!AM285&amp;"|"&amp;Raw_Data!AN285&amp;"|"&amp;Raw_Data!AO285</f>
        <v>0|4|1|2|2|2|2|2|3|24|3|3|4|3|4|4|3|3|5|5|5|2|3|2|3|3|3|2|2|3|4|4|3|5|4|3|3|5|4|3|3</v>
      </c>
      <c r="Q287" s="3" t="n">
        <f aca="false">COUNTIF($P$4:$P$513,P287)</f>
        <v>1</v>
      </c>
    </row>
    <row r="288" customFormat="false" ht="15" hidden="false" customHeight="false" outlineLevel="0" collapsed="false">
      <c r="O288" s="3" t="n">
        <v>286</v>
      </c>
      <c r="P288" s="3" t="str">
        <f aca="false">Raw_Data!A286&amp;"|"&amp;Raw_Data!B286&amp;"|"&amp;Raw_Data!C286&amp;"|"&amp;Raw_Data!D286&amp;"|"&amp;Raw_Data!E286&amp;"|"&amp;Raw_Data!F286&amp;"|"&amp;Raw_Data!G286&amp;"|"&amp;Raw_Data!H286&amp;"|"&amp;Raw_Data!I286&amp;"|"&amp;Raw_Data!J286&amp;"|"&amp;Raw_Data!K286&amp;"|"&amp;Raw_Data!L286&amp;"|"&amp;Raw_Data!M286&amp;"|"&amp;Raw_Data!N286&amp;"|"&amp;Raw_Data!O286&amp;"|"&amp;Raw_Data!P286&amp;"|"&amp;Raw_Data!Q286&amp;"|"&amp;Raw_Data!R286&amp;"|"&amp;Raw_Data!S286&amp;"|"&amp;Raw_Data!T286&amp;"|"&amp;Raw_Data!U286&amp;"|"&amp;Raw_Data!V286&amp;"|"&amp;Raw_Data!W286&amp;"|"&amp;Raw_Data!X286&amp;"|"&amp;Raw_Data!Y286&amp;"|"&amp;Raw_Data!Z286&amp;"|"&amp;Raw_Data!AA286&amp;"|"&amp;Raw_Data!AB286&amp;"|"&amp;Raw_Data!AC286&amp;"|"&amp;Raw_Data!AD286&amp;"|"&amp;Raw_Data!AE286&amp;"|"&amp;Raw_Data!AF286&amp;"|"&amp;Raw_Data!AG286&amp;"|"&amp;Raw_Data!AH286&amp;"|"&amp;Raw_Data!AI286&amp;"|"&amp;Raw_Data!AJ286&amp;"|"&amp;Raw_Data!AK286&amp;"|"&amp;Raw_Data!AL286&amp;"|"&amp;Raw_Data!AM286&amp;"|"&amp;Raw_Data!AN286&amp;"|"&amp;Raw_Data!AO286</f>
        <v>0|1|1|2|2|2|1|1|1|21|4|4|4|3|2|4|4|3|4|4|4|3|4|3|4|3|4|4|3|3|4|3|3|4|4|2|3|4|3|3|4</v>
      </c>
      <c r="Q288" s="3" t="n">
        <f aca="false">COUNTIF($P$4:$P$513,P288)</f>
        <v>1</v>
      </c>
    </row>
    <row r="289" customFormat="false" ht="15" hidden="false" customHeight="false" outlineLevel="0" collapsed="false">
      <c r="O289" s="3" t="n">
        <v>287</v>
      </c>
      <c r="P289" s="3" t="str">
        <f aca="false">Raw_Data!A287&amp;"|"&amp;Raw_Data!B287&amp;"|"&amp;Raw_Data!C287&amp;"|"&amp;Raw_Data!D287&amp;"|"&amp;Raw_Data!E287&amp;"|"&amp;Raw_Data!F287&amp;"|"&amp;Raw_Data!G287&amp;"|"&amp;Raw_Data!H287&amp;"|"&amp;Raw_Data!I287&amp;"|"&amp;Raw_Data!J287&amp;"|"&amp;Raw_Data!K287&amp;"|"&amp;Raw_Data!L287&amp;"|"&amp;Raw_Data!M287&amp;"|"&amp;Raw_Data!N287&amp;"|"&amp;Raw_Data!O287&amp;"|"&amp;Raw_Data!P287&amp;"|"&amp;Raw_Data!Q287&amp;"|"&amp;Raw_Data!R287&amp;"|"&amp;Raw_Data!S287&amp;"|"&amp;Raw_Data!T287&amp;"|"&amp;Raw_Data!U287&amp;"|"&amp;Raw_Data!V287&amp;"|"&amp;Raw_Data!W287&amp;"|"&amp;Raw_Data!X287&amp;"|"&amp;Raw_Data!Y287&amp;"|"&amp;Raw_Data!Z287&amp;"|"&amp;Raw_Data!AA287&amp;"|"&amp;Raw_Data!AB287&amp;"|"&amp;Raw_Data!AC287&amp;"|"&amp;Raw_Data!AD287&amp;"|"&amp;Raw_Data!AE287&amp;"|"&amp;Raw_Data!AF287&amp;"|"&amp;Raw_Data!AG287&amp;"|"&amp;Raw_Data!AH287&amp;"|"&amp;Raw_Data!AI287&amp;"|"&amp;Raw_Data!AJ287&amp;"|"&amp;Raw_Data!AK287&amp;"|"&amp;Raw_Data!AL287&amp;"|"&amp;Raw_Data!AM287&amp;"|"&amp;Raw_Data!AN287&amp;"|"&amp;Raw_Data!AO287</f>
        <v>0|3|1|1|2|2|3|2|1|20|4|4|4|3|4|4|3|3|4|4|4|4|4|4|4|4|4|3|3|3|3|3|3|4|4|3|4|4|3|3|2</v>
      </c>
      <c r="Q289" s="3" t="n">
        <f aca="false">COUNTIF($P$4:$P$513,P289)</f>
        <v>1</v>
      </c>
    </row>
    <row r="290" customFormat="false" ht="15" hidden="false" customHeight="false" outlineLevel="0" collapsed="false">
      <c r="O290" s="3" t="n">
        <v>288</v>
      </c>
      <c r="P290" s="3" t="str">
        <f aca="false">Raw_Data!A288&amp;"|"&amp;Raw_Data!B288&amp;"|"&amp;Raw_Data!C288&amp;"|"&amp;Raw_Data!D288&amp;"|"&amp;Raw_Data!E288&amp;"|"&amp;Raw_Data!F288&amp;"|"&amp;Raw_Data!G288&amp;"|"&amp;Raw_Data!H288&amp;"|"&amp;Raw_Data!I288&amp;"|"&amp;Raw_Data!J288&amp;"|"&amp;Raw_Data!K288&amp;"|"&amp;Raw_Data!L288&amp;"|"&amp;Raw_Data!M288&amp;"|"&amp;Raw_Data!N288&amp;"|"&amp;Raw_Data!O288&amp;"|"&amp;Raw_Data!P288&amp;"|"&amp;Raw_Data!Q288&amp;"|"&amp;Raw_Data!R288&amp;"|"&amp;Raw_Data!S288&amp;"|"&amp;Raw_Data!T288&amp;"|"&amp;Raw_Data!U288&amp;"|"&amp;Raw_Data!V288&amp;"|"&amp;Raw_Data!W288&amp;"|"&amp;Raw_Data!X288&amp;"|"&amp;Raw_Data!Y288&amp;"|"&amp;Raw_Data!Z288&amp;"|"&amp;Raw_Data!AA288&amp;"|"&amp;Raw_Data!AB288&amp;"|"&amp;Raw_Data!AC288&amp;"|"&amp;Raw_Data!AD288&amp;"|"&amp;Raw_Data!AE288&amp;"|"&amp;Raw_Data!AF288&amp;"|"&amp;Raw_Data!AG288&amp;"|"&amp;Raw_Data!AH288&amp;"|"&amp;Raw_Data!AI288&amp;"|"&amp;Raw_Data!AJ288&amp;"|"&amp;Raw_Data!AK288&amp;"|"&amp;Raw_Data!AL288&amp;"|"&amp;Raw_Data!AM288&amp;"|"&amp;Raw_Data!AN288&amp;"|"&amp;Raw_Data!AO288</f>
        <v>0|4|2|1|2|2|2|2|1|22|4|3|4|4|3|4|4|5|5|5|5|5|5|5|4|5|1|2|2|2|4|2|5|5|5|4|4|3|3|4|3</v>
      </c>
      <c r="Q290" s="3" t="n">
        <f aca="false">COUNTIF($P$4:$P$513,P290)</f>
        <v>1</v>
      </c>
    </row>
    <row r="291" customFormat="false" ht="15" hidden="false" customHeight="false" outlineLevel="0" collapsed="false">
      <c r="O291" s="3" t="n">
        <v>289</v>
      </c>
      <c r="P291" s="3" t="str">
        <f aca="false">Raw_Data!A289&amp;"|"&amp;Raw_Data!B289&amp;"|"&amp;Raw_Data!C289&amp;"|"&amp;Raw_Data!D289&amp;"|"&amp;Raw_Data!E289&amp;"|"&amp;Raw_Data!F289&amp;"|"&amp;Raw_Data!G289&amp;"|"&amp;Raw_Data!H289&amp;"|"&amp;Raw_Data!I289&amp;"|"&amp;Raw_Data!J289&amp;"|"&amp;Raw_Data!K289&amp;"|"&amp;Raw_Data!L289&amp;"|"&amp;Raw_Data!M289&amp;"|"&amp;Raw_Data!N289&amp;"|"&amp;Raw_Data!O289&amp;"|"&amp;Raw_Data!P289&amp;"|"&amp;Raw_Data!Q289&amp;"|"&amp;Raw_Data!R289&amp;"|"&amp;Raw_Data!S289&amp;"|"&amp;Raw_Data!T289&amp;"|"&amp;Raw_Data!U289&amp;"|"&amp;Raw_Data!V289&amp;"|"&amp;Raw_Data!W289&amp;"|"&amp;Raw_Data!X289&amp;"|"&amp;Raw_Data!Y289&amp;"|"&amp;Raw_Data!Z289&amp;"|"&amp;Raw_Data!AA289&amp;"|"&amp;Raw_Data!AB289&amp;"|"&amp;Raw_Data!AC289&amp;"|"&amp;Raw_Data!AD289&amp;"|"&amp;Raw_Data!AE289&amp;"|"&amp;Raw_Data!AF289&amp;"|"&amp;Raw_Data!AG289&amp;"|"&amp;Raw_Data!AH289&amp;"|"&amp;Raw_Data!AI289&amp;"|"&amp;Raw_Data!AJ289&amp;"|"&amp;Raw_Data!AK289&amp;"|"&amp;Raw_Data!AL289&amp;"|"&amp;Raw_Data!AM289&amp;"|"&amp;Raw_Data!AN289&amp;"|"&amp;Raw_Data!AO289</f>
        <v>0|4|2|1|2|2|3|2|1|23|2|4|4|4|4|4|5|4|5|4|4|4|5|4|4|5|5|5|4|4|4|4|4|5|4|5|5|4|5|4|4</v>
      </c>
      <c r="Q291" s="3" t="n">
        <f aca="false">COUNTIF($P$4:$P$513,P291)</f>
        <v>1</v>
      </c>
    </row>
    <row r="292" customFormat="false" ht="15" hidden="false" customHeight="false" outlineLevel="0" collapsed="false">
      <c r="O292" s="3" t="n">
        <v>290</v>
      </c>
      <c r="P292" s="3" t="str">
        <f aca="false">Raw_Data!A290&amp;"|"&amp;Raw_Data!B290&amp;"|"&amp;Raw_Data!C290&amp;"|"&amp;Raw_Data!D290&amp;"|"&amp;Raw_Data!E290&amp;"|"&amp;Raw_Data!F290&amp;"|"&amp;Raw_Data!G290&amp;"|"&amp;Raw_Data!H290&amp;"|"&amp;Raw_Data!I290&amp;"|"&amp;Raw_Data!J290&amp;"|"&amp;Raw_Data!K290&amp;"|"&amp;Raw_Data!L290&amp;"|"&amp;Raw_Data!M290&amp;"|"&amp;Raw_Data!N290&amp;"|"&amp;Raw_Data!O290&amp;"|"&amp;Raw_Data!P290&amp;"|"&amp;Raw_Data!Q290&amp;"|"&amp;Raw_Data!R290&amp;"|"&amp;Raw_Data!S290&amp;"|"&amp;Raw_Data!T290&amp;"|"&amp;Raw_Data!U290&amp;"|"&amp;Raw_Data!V290&amp;"|"&amp;Raw_Data!W290&amp;"|"&amp;Raw_Data!X290&amp;"|"&amp;Raw_Data!Y290&amp;"|"&amp;Raw_Data!Z290&amp;"|"&amp;Raw_Data!AA290&amp;"|"&amp;Raw_Data!AB290&amp;"|"&amp;Raw_Data!AC290&amp;"|"&amp;Raw_Data!AD290&amp;"|"&amp;Raw_Data!AE290&amp;"|"&amp;Raw_Data!AF290&amp;"|"&amp;Raw_Data!AG290&amp;"|"&amp;Raw_Data!AH290&amp;"|"&amp;Raw_Data!AI290&amp;"|"&amp;Raw_Data!AJ290&amp;"|"&amp;Raw_Data!AK290&amp;"|"&amp;Raw_Data!AL290&amp;"|"&amp;Raw_Data!AM290&amp;"|"&amp;Raw_Data!AN290&amp;"|"&amp;Raw_Data!AO290</f>
        <v>0|2|2|1|2|2|3|3|1|23|3|4|4|2|3|4|4|3|5|5|5|4|5|4|4|4|2|2|2|2|5|4|4|2|5|5|3|4|3|4|5</v>
      </c>
      <c r="Q292" s="3" t="n">
        <f aca="false">COUNTIF($P$4:$P$513,P292)</f>
        <v>1</v>
      </c>
    </row>
    <row r="293" customFormat="false" ht="15" hidden="false" customHeight="false" outlineLevel="0" collapsed="false">
      <c r="O293" s="3" t="n">
        <v>291</v>
      </c>
      <c r="P293" s="3" t="str">
        <f aca="false">Raw_Data!A291&amp;"|"&amp;Raw_Data!B291&amp;"|"&amp;Raw_Data!C291&amp;"|"&amp;Raw_Data!D291&amp;"|"&amp;Raw_Data!E291&amp;"|"&amp;Raw_Data!F291&amp;"|"&amp;Raw_Data!G291&amp;"|"&amp;Raw_Data!H291&amp;"|"&amp;Raw_Data!I291&amp;"|"&amp;Raw_Data!J291&amp;"|"&amp;Raw_Data!K291&amp;"|"&amp;Raw_Data!L291&amp;"|"&amp;Raw_Data!M291&amp;"|"&amp;Raw_Data!N291&amp;"|"&amp;Raw_Data!O291&amp;"|"&amp;Raw_Data!P291&amp;"|"&amp;Raw_Data!Q291&amp;"|"&amp;Raw_Data!R291&amp;"|"&amp;Raw_Data!S291&amp;"|"&amp;Raw_Data!T291&amp;"|"&amp;Raw_Data!U291&amp;"|"&amp;Raw_Data!V291&amp;"|"&amp;Raw_Data!W291&amp;"|"&amp;Raw_Data!X291&amp;"|"&amp;Raw_Data!Y291&amp;"|"&amp;Raw_Data!Z291&amp;"|"&amp;Raw_Data!AA291&amp;"|"&amp;Raw_Data!AB291&amp;"|"&amp;Raw_Data!AC291&amp;"|"&amp;Raw_Data!AD291&amp;"|"&amp;Raw_Data!AE291&amp;"|"&amp;Raw_Data!AF291&amp;"|"&amp;Raw_Data!AG291&amp;"|"&amp;Raw_Data!AH291&amp;"|"&amp;Raw_Data!AI291&amp;"|"&amp;Raw_Data!AJ291&amp;"|"&amp;Raw_Data!AK291&amp;"|"&amp;Raw_Data!AL291&amp;"|"&amp;Raw_Data!AM291&amp;"|"&amp;Raw_Data!AN291&amp;"|"&amp;Raw_Data!AO291</f>
        <v>0|1|1|2|2|2|3|1|1|24|3|2|4|3|3|3|4|2|4|5|5|4|4|3|3|4|4|2|1|2|3|3|2|3|3|4|4|3|3|3|2</v>
      </c>
      <c r="Q293" s="3" t="n">
        <f aca="false">COUNTIF($P$4:$P$513,P293)</f>
        <v>1</v>
      </c>
    </row>
    <row r="294" customFormat="false" ht="15" hidden="false" customHeight="false" outlineLevel="0" collapsed="false">
      <c r="O294" s="3" t="n">
        <v>292</v>
      </c>
      <c r="P294" s="3" t="str">
        <f aca="false">Raw_Data!A292&amp;"|"&amp;Raw_Data!B292&amp;"|"&amp;Raw_Data!C292&amp;"|"&amp;Raw_Data!D292&amp;"|"&amp;Raw_Data!E292&amp;"|"&amp;Raw_Data!F292&amp;"|"&amp;Raw_Data!G292&amp;"|"&amp;Raw_Data!H292&amp;"|"&amp;Raw_Data!I292&amp;"|"&amp;Raw_Data!J292&amp;"|"&amp;Raw_Data!K292&amp;"|"&amp;Raw_Data!L292&amp;"|"&amp;Raw_Data!M292&amp;"|"&amp;Raw_Data!N292&amp;"|"&amp;Raw_Data!O292&amp;"|"&amp;Raw_Data!P292&amp;"|"&amp;Raw_Data!Q292&amp;"|"&amp;Raw_Data!R292&amp;"|"&amp;Raw_Data!S292&amp;"|"&amp;Raw_Data!T292&amp;"|"&amp;Raw_Data!U292&amp;"|"&amp;Raw_Data!V292&amp;"|"&amp;Raw_Data!W292&amp;"|"&amp;Raw_Data!X292&amp;"|"&amp;Raw_Data!Y292&amp;"|"&amp;Raw_Data!Z292&amp;"|"&amp;Raw_Data!AA292&amp;"|"&amp;Raw_Data!AB292&amp;"|"&amp;Raw_Data!AC292&amp;"|"&amp;Raw_Data!AD292&amp;"|"&amp;Raw_Data!AE292&amp;"|"&amp;Raw_Data!AF292&amp;"|"&amp;Raw_Data!AG292&amp;"|"&amp;Raw_Data!AH292&amp;"|"&amp;Raw_Data!AI292&amp;"|"&amp;Raw_Data!AJ292&amp;"|"&amp;Raw_Data!AK292&amp;"|"&amp;Raw_Data!AL292&amp;"|"&amp;Raw_Data!AM292&amp;"|"&amp;Raw_Data!AN292&amp;"|"&amp;Raw_Data!AO292</f>
        <v>0|4|1|1|2|2|4|1|1|21|1|2|3|4|4|3|1|1|3|5|3|4|4|4|4|3|1|1|1|1|4|1|3|2|4|5|5|5|3|1|3</v>
      </c>
      <c r="Q294" s="3" t="n">
        <f aca="false">COUNTIF($P$4:$P$513,P294)</f>
        <v>1</v>
      </c>
    </row>
    <row r="295" customFormat="false" ht="15" hidden="false" customHeight="false" outlineLevel="0" collapsed="false">
      <c r="O295" s="3" t="n">
        <v>293</v>
      </c>
      <c r="P295" s="3" t="str">
        <f aca="false">Raw_Data!A293&amp;"|"&amp;Raw_Data!B293&amp;"|"&amp;Raw_Data!C293&amp;"|"&amp;Raw_Data!D293&amp;"|"&amp;Raw_Data!E293&amp;"|"&amp;Raw_Data!F293&amp;"|"&amp;Raw_Data!G293&amp;"|"&amp;Raw_Data!H293&amp;"|"&amp;Raw_Data!I293&amp;"|"&amp;Raw_Data!J293&amp;"|"&amp;Raw_Data!K293&amp;"|"&amp;Raw_Data!L293&amp;"|"&amp;Raw_Data!M293&amp;"|"&amp;Raw_Data!N293&amp;"|"&amp;Raw_Data!O293&amp;"|"&amp;Raw_Data!P293&amp;"|"&amp;Raw_Data!Q293&amp;"|"&amp;Raw_Data!R293&amp;"|"&amp;Raw_Data!S293&amp;"|"&amp;Raw_Data!T293&amp;"|"&amp;Raw_Data!U293&amp;"|"&amp;Raw_Data!V293&amp;"|"&amp;Raw_Data!W293&amp;"|"&amp;Raw_Data!X293&amp;"|"&amp;Raw_Data!Y293&amp;"|"&amp;Raw_Data!Z293&amp;"|"&amp;Raw_Data!AA293&amp;"|"&amp;Raw_Data!AB293&amp;"|"&amp;Raw_Data!AC293&amp;"|"&amp;Raw_Data!AD293&amp;"|"&amp;Raw_Data!AE293&amp;"|"&amp;Raw_Data!AF293&amp;"|"&amp;Raw_Data!AG293&amp;"|"&amp;Raw_Data!AH293&amp;"|"&amp;Raw_Data!AI293&amp;"|"&amp;Raw_Data!AJ293&amp;"|"&amp;Raw_Data!AK293&amp;"|"&amp;Raw_Data!AL293&amp;"|"&amp;Raw_Data!AM293&amp;"|"&amp;Raw_Data!AN293&amp;"|"&amp;Raw_Data!AO293</f>
        <v>1|3|1|2|2|2|4|1|1|21|5|4|5|5|5|4|3|1|4|5|4|3|4|4|4|4|5|5|1|1|5|3|4|4|4|4|2|5|5|1|2</v>
      </c>
      <c r="Q295" s="3" t="n">
        <f aca="false">COUNTIF($P$4:$P$513,P295)</f>
        <v>1</v>
      </c>
    </row>
    <row r="296" customFormat="false" ht="15" hidden="false" customHeight="false" outlineLevel="0" collapsed="false">
      <c r="O296" s="3" t="n">
        <v>294</v>
      </c>
      <c r="P296" s="3" t="str">
        <f aca="false">Raw_Data!A294&amp;"|"&amp;Raw_Data!B294&amp;"|"&amp;Raw_Data!C294&amp;"|"&amp;Raw_Data!D294&amp;"|"&amp;Raw_Data!E294&amp;"|"&amp;Raw_Data!F294&amp;"|"&amp;Raw_Data!G294&amp;"|"&amp;Raw_Data!H294&amp;"|"&amp;Raw_Data!I294&amp;"|"&amp;Raw_Data!J294&amp;"|"&amp;Raw_Data!K294&amp;"|"&amp;Raw_Data!L294&amp;"|"&amp;Raw_Data!M294&amp;"|"&amp;Raw_Data!N294&amp;"|"&amp;Raw_Data!O294&amp;"|"&amp;Raw_Data!P294&amp;"|"&amp;Raw_Data!Q294&amp;"|"&amp;Raw_Data!R294&amp;"|"&amp;Raw_Data!S294&amp;"|"&amp;Raw_Data!T294&amp;"|"&amp;Raw_Data!U294&amp;"|"&amp;Raw_Data!V294&amp;"|"&amp;Raw_Data!W294&amp;"|"&amp;Raw_Data!X294&amp;"|"&amp;Raw_Data!Y294&amp;"|"&amp;Raw_Data!Z294&amp;"|"&amp;Raw_Data!AA294&amp;"|"&amp;Raw_Data!AB294&amp;"|"&amp;Raw_Data!AC294&amp;"|"&amp;Raw_Data!AD294&amp;"|"&amp;Raw_Data!AE294&amp;"|"&amp;Raw_Data!AF294&amp;"|"&amp;Raw_Data!AG294&amp;"|"&amp;Raw_Data!AH294&amp;"|"&amp;Raw_Data!AI294&amp;"|"&amp;Raw_Data!AJ294&amp;"|"&amp;Raw_Data!AK294&amp;"|"&amp;Raw_Data!AL294&amp;"|"&amp;Raw_Data!AM294&amp;"|"&amp;Raw_Data!AN294&amp;"|"&amp;Raw_Data!AO294</f>
        <v>1|3|1|2|2|2|1|2|1|22|4|4|4|4|3|3|3|4|5|5|5|4|4|2|4|4|4|3|1|2|4|4|3|4|4|5|3|4|5|4|3</v>
      </c>
      <c r="Q296" s="3" t="n">
        <f aca="false">COUNTIF($P$4:$P$513,P296)</f>
        <v>1</v>
      </c>
    </row>
    <row r="297" customFormat="false" ht="15" hidden="false" customHeight="false" outlineLevel="0" collapsed="false">
      <c r="O297" s="3" t="n">
        <v>295</v>
      </c>
      <c r="P297" s="3" t="str">
        <f aca="false">Raw_Data!A295&amp;"|"&amp;Raw_Data!B295&amp;"|"&amp;Raw_Data!C295&amp;"|"&amp;Raw_Data!D295&amp;"|"&amp;Raw_Data!E295&amp;"|"&amp;Raw_Data!F295&amp;"|"&amp;Raw_Data!G295&amp;"|"&amp;Raw_Data!H295&amp;"|"&amp;Raw_Data!I295&amp;"|"&amp;Raw_Data!J295&amp;"|"&amp;Raw_Data!K295&amp;"|"&amp;Raw_Data!L295&amp;"|"&amp;Raw_Data!M295&amp;"|"&amp;Raw_Data!N295&amp;"|"&amp;Raw_Data!O295&amp;"|"&amp;Raw_Data!P295&amp;"|"&amp;Raw_Data!Q295&amp;"|"&amp;Raw_Data!R295&amp;"|"&amp;Raw_Data!S295&amp;"|"&amp;Raw_Data!T295&amp;"|"&amp;Raw_Data!U295&amp;"|"&amp;Raw_Data!V295&amp;"|"&amp;Raw_Data!W295&amp;"|"&amp;Raw_Data!X295&amp;"|"&amp;Raw_Data!Y295&amp;"|"&amp;Raw_Data!Z295&amp;"|"&amp;Raw_Data!AA295&amp;"|"&amp;Raw_Data!AB295&amp;"|"&amp;Raw_Data!AC295&amp;"|"&amp;Raw_Data!AD295&amp;"|"&amp;Raw_Data!AE295&amp;"|"&amp;Raw_Data!AF295&amp;"|"&amp;Raw_Data!AG295&amp;"|"&amp;Raw_Data!AH295&amp;"|"&amp;Raw_Data!AI295&amp;"|"&amp;Raw_Data!AJ295&amp;"|"&amp;Raw_Data!AK295&amp;"|"&amp;Raw_Data!AL295&amp;"|"&amp;Raw_Data!AM295&amp;"|"&amp;Raw_Data!AN295&amp;"|"&amp;Raw_Data!AO295</f>
        <v>1|3|1|2|2|2|4|2|1|22|3|3|2|3|3|4|4|3|4|5|4|2|3|3|3|4|4|2|2|2|4|4|4|5|5|4|2|5|4|2|2</v>
      </c>
      <c r="Q297" s="3" t="n">
        <f aca="false">COUNTIF($P$4:$P$513,P297)</f>
        <v>1</v>
      </c>
    </row>
    <row r="298" customFormat="false" ht="15" hidden="false" customHeight="false" outlineLevel="0" collapsed="false">
      <c r="O298" s="3" t="n">
        <v>296</v>
      </c>
      <c r="P298" s="3" t="str">
        <f aca="false">Raw_Data!A296&amp;"|"&amp;Raw_Data!B296&amp;"|"&amp;Raw_Data!C296&amp;"|"&amp;Raw_Data!D296&amp;"|"&amp;Raw_Data!E296&amp;"|"&amp;Raw_Data!F296&amp;"|"&amp;Raw_Data!G296&amp;"|"&amp;Raw_Data!H296&amp;"|"&amp;Raw_Data!I296&amp;"|"&amp;Raw_Data!J296&amp;"|"&amp;Raw_Data!K296&amp;"|"&amp;Raw_Data!L296&amp;"|"&amp;Raw_Data!M296&amp;"|"&amp;Raw_Data!N296&amp;"|"&amp;Raw_Data!O296&amp;"|"&amp;Raw_Data!P296&amp;"|"&amp;Raw_Data!Q296&amp;"|"&amp;Raw_Data!R296&amp;"|"&amp;Raw_Data!S296&amp;"|"&amp;Raw_Data!T296&amp;"|"&amp;Raw_Data!U296&amp;"|"&amp;Raw_Data!V296&amp;"|"&amp;Raw_Data!W296&amp;"|"&amp;Raw_Data!X296&amp;"|"&amp;Raw_Data!Y296&amp;"|"&amp;Raw_Data!Z296&amp;"|"&amp;Raw_Data!AA296&amp;"|"&amp;Raw_Data!AB296&amp;"|"&amp;Raw_Data!AC296&amp;"|"&amp;Raw_Data!AD296&amp;"|"&amp;Raw_Data!AE296&amp;"|"&amp;Raw_Data!AF296&amp;"|"&amp;Raw_Data!AG296&amp;"|"&amp;Raw_Data!AH296&amp;"|"&amp;Raw_Data!AI296&amp;"|"&amp;Raw_Data!AJ296&amp;"|"&amp;Raw_Data!AK296&amp;"|"&amp;Raw_Data!AL296&amp;"|"&amp;Raw_Data!AM296&amp;"|"&amp;Raw_Data!AN296&amp;"|"&amp;Raw_Data!AO296</f>
        <v>0|4|1|1|2|2|2|2|2|23|4|4|1|5|5|2|1|2|4|5|4|1|5|5|4|4|4|5|1|2|3|4|3|4|4|3|5|5|4|1|1</v>
      </c>
      <c r="Q298" s="3" t="n">
        <f aca="false">COUNTIF($P$4:$P$513,P298)</f>
        <v>1</v>
      </c>
    </row>
    <row r="299" customFormat="false" ht="15" hidden="false" customHeight="false" outlineLevel="0" collapsed="false">
      <c r="O299" s="3" t="n">
        <v>297</v>
      </c>
      <c r="P299" s="3" t="str">
        <f aca="false">Raw_Data!A297&amp;"|"&amp;Raw_Data!B297&amp;"|"&amp;Raw_Data!C297&amp;"|"&amp;Raw_Data!D297&amp;"|"&amp;Raw_Data!E297&amp;"|"&amp;Raw_Data!F297&amp;"|"&amp;Raw_Data!G297&amp;"|"&amp;Raw_Data!H297&amp;"|"&amp;Raw_Data!I297&amp;"|"&amp;Raw_Data!J297&amp;"|"&amp;Raw_Data!K297&amp;"|"&amp;Raw_Data!L297&amp;"|"&amp;Raw_Data!M297&amp;"|"&amp;Raw_Data!N297&amp;"|"&amp;Raw_Data!O297&amp;"|"&amp;Raw_Data!P297&amp;"|"&amp;Raw_Data!Q297&amp;"|"&amp;Raw_Data!R297&amp;"|"&amp;Raw_Data!S297&amp;"|"&amp;Raw_Data!T297&amp;"|"&amp;Raw_Data!U297&amp;"|"&amp;Raw_Data!V297&amp;"|"&amp;Raw_Data!W297&amp;"|"&amp;Raw_Data!X297&amp;"|"&amp;Raw_Data!Y297&amp;"|"&amp;Raw_Data!Z297&amp;"|"&amp;Raw_Data!AA297&amp;"|"&amp;Raw_Data!AB297&amp;"|"&amp;Raw_Data!AC297&amp;"|"&amp;Raw_Data!AD297&amp;"|"&amp;Raw_Data!AE297&amp;"|"&amp;Raw_Data!AF297&amp;"|"&amp;Raw_Data!AG297&amp;"|"&amp;Raw_Data!AH297&amp;"|"&amp;Raw_Data!AI297&amp;"|"&amp;Raw_Data!AJ297&amp;"|"&amp;Raw_Data!AK297&amp;"|"&amp;Raw_Data!AL297&amp;"|"&amp;Raw_Data!AM297&amp;"|"&amp;Raw_Data!AN297&amp;"|"&amp;Raw_Data!AO297</f>
        <v>0|6|1|2|2|2|3|2|3|24|2|3|4|2|2|4|3|3|4|4|4|2|5|2|4|4|3|1|1|1|3|2|3|4|4|2|2|3|3|3|3</v>
      </c>
      <c r="Q299" s="3" t="n">
        <f aca="false">COUNTIF($P$4:$P$513,P299)</f>
        <v>1</v>
      </c>
    </row>
    <row r="300" customFormat="false" ht="15" hidden="false" customHeight="false" outlineLevel="0" collapsed="false">
      <c r="O300" s="3" t="n">
        <v>298</v>
      </c>
      <c r="P300" s="3" t="str">
        <f aca="false">Raw_Data!A298&amp;"|"&amp;Raw_Data!B298&amp;"|"&amp;Raw_Data!C298&amp;"|"&amp;Raw_Data!D298&amp;"|"&amp;Raw_Data!E298&amp;"|"&amp;Raw_Data!F298&amp;"|"&amp;Raw_Data!G298&amp;"|"&amp;Raw_Data!H298&amp;"|"&amp;Raw_Data!I298&amp;"|"&amp;Raw_Data!J298&amp;"|"&amp;Raw_Data!K298&amp;"|"&amp;Raw_Data!L298&amp;"|"&amp;Raw_Data!M298&amp;"|"&amp;Raw_Data!N298&amp;"|"&amp;Raw_Data!O298&amp;"|"&amp;Raw_Data!P298&amp;"|"&amp;Raw_Data!Q298&amp;"|"&amp;Raw_Data!R298&amp;"|"&amp;Raw_Data!S298&amp;"|"&amp;Raw_Data!T298&amp;"|"&amp;Raw_Data!U298&amp;"|"&amp;Raw_Data!V298&amp;"|"&amp;Raw_Data!W298&amp;"|"&amp;Raw_Data!X298&amp;"|"&amp;Raw_Data!Y298&amp;"|"&amp;Raw_Data!Z298&amp;"|"&amp;Raw_Data!AA298&amp;"|"&amp;Raw_Data!AB298&amp;"|"&amp;Raw_Data!AC298&amp;"|"&amp;Raw_Data!AD298&amp;"|"&amp;Raw_Data!AE298&amp;"|"&amp;Raw_Data!AF298&amp;"|"&amp;Raw_Data!AG298&amp;"|"&amp;Raw_Data!AH298&amp;"|"&amp;Raw_Data!AI298&amp;"|"&amp;Raw_Data!AJ298&amp;"|"&amp;Raw_Data!AK298&amp;"|"&amp;Raw_Data!AL298&amp;"|"&amp;Raw_Data!AM298&amp;"|"&amp;Raw_Data!AN298&amp;"|"&amp;Raw_Data!AO298</f>
        <v>0|4|1|2|2|2|1|2|3|24|5|4|2|4|2|2|2|3|5|5|5|4|4|3|2|5|2|2|2|2|5|2|4|4|5|4|2|5|5|3|3</v>
      </c>
      <c r="Q300" s="3" t="n">
        <f aca="false">COUNTIF($P$4:$P$513,P300)</f>
        <v>1</v>
      </c>
    </row>
    <row r="301" customFormat="false" ht="15" hidden="false" customHeight="false" outlineLevel="0" collapsed="false">
      <c r="O301" s="3" t="n">
        <v>299</v>
      </c>
      <c r="P301" s="3" t="str">
        <f aca="false">Raw_Data!A299&amp;"|"&amp;Raw_Data!B299&amp;"|"&amp;Raw_Data!C299&amp;"|"&amp;Raw_Data!D299&amp;"|"&amp;Raw_Data!E299&amp;"|"&amp;Raw_Data!F299&amp;"|"&amp;Raw_Data!G299&amp;"|"&amp;Raw_Data!H299&amp;"|"&amp;Raw_Data!I299&amp;"|"&amp;Raw_Data!J299&amp;"|"&amp;Raw_Data!K299&amp;"|"&amp;Raw_Data!L299&amp;"|"&amp;Raw_Data!M299&amp;"|"&amp;Raw_Data!N299&amp;"|"&amp;Raw_Data!O299&amp;"|"&amp;Raw_Data!P299&amp;"|"&amp;Raw_Data!Q299&amp;"|"&amp;Raw_Data!R299&amp;"|"&amp;Raw_Data!S299&amp;"|"&amp;Raw_Data!T299&amp;"|"&amp;Raw_Data!U299&amp;"|"&amp;Raw_Data!V299&amp;"|"&amp;Raw_Data!W299&amp;"|"&amp;Raw_Data!X299&amp;"|"&amp;Raw_Data!Y299&amp;"|"&amp;Raw_Data!Z299&amp;"|"&amp;Raw_Data!AA299&amp;"|"&amp;Raw_Data!AB299&amp;"|"&amp;Raw_Data!AC299&amp;"|"&amp;Raw_Data!AD299&amp;"|"&amp;Raw_Data!AE299&amp;"|"&amp;Raw_Data!AF299&amp;"|"&amp;Raw_Data!AG299&amp;"|"&amp;Raw_Data!AH299&amp;"|"&amp;Raw_Data!AI299&amp;"|"&amp;Raw_Data!AJ299&amp;"|"&amp;Raw_Data!AK299&amp;"|"&amp;Raw_Data!AL299&amp;"|"&amp;Raw_Data!AM299&amp;"|"&amp;Raw_Data!AN299&amp;"|"&amp;Raw_Data!AO299</f>
        <v>0|4|1|1|2|2|2|2|3|27|3|3|3|3|4|3|2|4|4|5|5|4|4|4|4|4|2|2|3|3|4|3|4|4|4|4|3|4|3|3|3</v>
      </c>
      <c r="Q301" s="3" t="n">
        <f aca="false">COUNTIF($P$4:$P$513,P301)</f>
        <v>1</v>
      </c>
    </row>
    <row r="302" customFormat="false" ht="15" hidden="false" customHeight="false" outlineLevel="0" collapsed="false">
      <c r="O302" s="3" t="n">
        <v>300</v>
      </c>
      <c r="P302" s="3" t="str">
        <f aca="false">Raw_Data!A300&amp;"|"&amp;Raw_Data!B300&amp;"|"&amp;Raw_Data!C300&amp;"|"&amp;Raw_Data!D300&amp;"|"&amp;Raw_Data!E300&amp;"|"&amp;Raw_Data!F300&amp;"|"&amp;Raw_Data!G300&amp;"|"&amp;Raw_Data!H300&amp;"|"&amp;Raw_Data!I300&amp;"|"&amp;Raw_Data!J300&amp;"|"&amp;Raw_Data!K300&amp;"|"&amp;Raw_Data!L300&amp;"|"&amp;Raw_Data!M300&amp;"|"&amp;Raw_Data!N300&amp;"|"&amp;Raw_Data!O300&amp;"|"&amp;Raw_Data!P300&amp;"|"&amp;Raw_Data!Q300&amp;"|"&amp;Raw_Data!R300&amp;"|"&amp;Raw_Data!S300&amp;"|"&amp;Raw_Data!T300&amp;"|"&amp;Raw_Data!U300&amp;"|"&amp;Raw_Data!V300&amp;"|"&amp;Raw_Data!W300&amp;"|"&amp;Raw_Data!X300&amp;"|"&amp;Raw_Data!Y300&amp;"|"&amp;Raw_Data!Z300&amp;"|"&amp;Raw_Data!AA300&amp;"|"&amp;Raw_Data!AB300&amp;"|"&amp;Raw_Data!AC300&amp;"|"&amp;Raw_Data!AD300&amp;"|"&amp;Raw_Data!AE300&amp;"|"&amp;Raw_Data!AF300&amp;"|"&amp;Raw_Data!AG300&amp;"|"&amp;Raw_Data!AH300&amp;"|"&amp;Raw_Data!AI300&amp;"|"&amp;Raw_Data!AJ300&amp;"|"&amp;Raw_Data!AK300&amp;"|"&amp;Raw_Data!AL300&amp;"|"&amp;Raw_Data!AM300&amp;"|"&amp;Raw_Data!AN300&amp;"|"&amp;Raw_Data!AO300</f>
        <v>1|3|1|1|2|2|3|3|3|23|4|4|5|4|3|4|4|4|4|4|5|4|4|4|4|5|5|2|2|2|5|4|4|4|2|4|3|5|4|3|3</v>
      </c>
      <c r="Q302" s="3" t="n">
        <f aca="false">COUNTIF($P$4:$P$513,P302)</f>
        <v>1</v>
      </c>
    </row>
    <row r="303" customFormat="false" ht="15" hidden="false" customHeight="false" outlineLevel="0" collapsed="false">
      <c r="O303" s="3" t="n">
        <v>301</v>
      </c>
      <c r="P303" s="3" t="str">
        <f aca="false">Raw_Data!A301&amp;"|"&amp;Raw_Data!B301&amp;"|"&amp;Raw_Data!C301&amp;"|"&amp;Raw_Data!D301&amp;"|"&amp;Raw_Data!E301&amp;"|"&amp;Raw_Data!F301&amp;"|"&amp;Raw_Data!G301&amp;"|"&amp;Raw_Data!H301&amp;"|"&amp;Raw_Data!I301&amp;"|"&amp;Raw_Data!J301&amp;"|"&amp;Raw_Data!K301&amp;"|"&amp;Raw_Data!L301&amp;"|"&amp;Raw_Data!M301&amp;"|"&amp;Raw_Data!N301&amp;"|"&amp;Raw_Data!O301&amp;"|"&amp;Raw_Data!P301&amp;"|"&amp;Raw_Data!Q301&amp;"|"&amp;Raw_Data!R301&amp;"|"&amp;Raw_Data!S301&amp;"|"&amp;Raw_Data!T301&amp;"|"&amp;Raw_Data!U301&amp;"|"&amp;Raw_Data!V301&amp;"|"&amp;Raw_Data!W301&amp;"|"&amp;Raw_Data!X301&amp;"|"&amp;Raw_Data!Y301&amp;"|"&amp;Raw_Data!Z301&amp;"|"&amp;Raw_Data!AA301&amp;"|"&amp;Raw_Data!AB301&amp;"|"&amp;Raw_Data!AC301&amp;"|"&amp;Raw_Data!AD301&amp;"|"&amp;Raw_Data!AE301&amp;"|"&amp;Raw_Data!AF301&amp;"|"&amp;Raw_Data!AG301&amp;"|"&amp;Raw_Data!AH301&amp;"|"&amp;Raw_Data!AI301&amp;"|"&amp;Raw_Data!AJ301&amp;"|"&amp;Raw_Data!AK301&amp;"|"&amp;Raw_Data!AL301&amp;"|"&amp;Raw_Data!AM301&amp;"|"&amp;Raw_Data!AN301&amp;"|"&amp;Raw_Data!AO301</f>
        <v>0|3|1|1|2|2|3|1|1|22|3|4|4|3|5|4|4|3|4|5|4|4|4|5|5|4|3|2|3|3|4|4|4|4|4|3|3|3|3|2|3</v>
      </c>
      <c r="Q303" s="3" t="n">
        <f aca="false">COUNTIF($P$4:$P$513,P303)</f>
        <v>1</v>
      </c>
    </row>
    <row r="304" customFormat="false" ht="15" hidden="false" customHeight="false" outlineLevel="0" collapsed="false">
      <c r="O304" s="3" t="n">
        <v>302</v>
      </c>
      <c r="P304" s="3" t="str">
        <f aca="false">Raw_Data!A302&amp;"|"&amp;Raw_Data!B302&amp;"|"&amp;Raw_Data!C302&amp;"|"&amp;Raw_Data!D302&amp;"|"&amp;Raw_Data!E302&amp;"|"&amp;Raw_Data!F302&amp;"|"&amp;Raw_Data!G302&amp;"|"&amp;Raw_Data!H302&amp;"|"&amp;Raw_Data!I302&amp;"|"&amp;Raw_Data!J302&amp;"|"&amp;Raw_Data!K302&amp;"|"&amp;Raw_Data!L302&amp;"|"&amp;Raw_Data!M302&amp;"|"&amp;Raw_Data!N302&amp;"|"&amp;Raw_Data!O302&amp;"|"&amp;Raw_Data!P302&amp;"|"&amp;Raw_Data!Q302&amp;"|"&amp;Raw_Data!R302&amp;"|"&amp;Raw_Data!S302&amp;"|"&amp;Raw_Data!T302&amp;"|"&amp;Raw_Data!U302&amp;"|"&amp;Raw_Data!V302&amp;"|"&amp;Raw_Data!W302&amp;"|"&amp;Raw_Data!X302&amp;"|"&amp;Raw_Data!Y302&amp;"|"&amp;Raw_Data!Z302&amp;"|"&amp;Raw_Data!AA302&amp;"|"&amp;Raw_Data!AB302&amp;"|"&amp;Raw_Data!AC302&amp;"|"&amp;Raw_Data!AD302&amp;"|"&amp;Raw_Data!AE302&amp;"|"&amp;Raw_Data!AF302&amp;"|"&amp;Raw_Data!AG302&amp;"|"&amp;Raw_Data!AH302&amp;"|"&amp;Raw_Data!AI302&amp;"|"&amp;Raw_Data!AJ302&amp;"|"&amp;Raw_Data!AK302&amp;"|"&amp;Raw_Data!AL302&amp;"|"&amp;Raw_Data!AM302&amp;"|"&amp;Raw_Data!AN302&amp;"|"&amp;Raw_Data!AO302</f>
        <v>0|3|1|2|2|2|3|1|1|22|2|3|4|4|3|4|3|4|4|4|4|4|3|3|2|4|5|4|1|2|3|3|3|3|3|5|4|5|3|4|3</v>
      </c>
      <c r="Q304" s="3" t="n">
        <f aca="false">COUNTIF($P$4:$P$513,P304)</f>
        <v>1</v>
      </c>
    </row>
    <row r="305" customFormat="false" ht="15" hidden="false" customHeight="false" outlineLevel="0" collapsed="false">
      <c r="O305" s="3" t="n">
        <v>303</v>
      </c>
      <c r="P305" s="3" t="str">
        <f aca="false">Raw_Data!A303&amp;"|"&amp;Raw_Data!B303&amp;"|"&amp;Raw_Data!C303&amp;"|"&amp;Raw_Data!D303&amp;"|"&amp;Raw_Data!E303&amp;"|"&amp;Raw_Data!F303&amp;"|"&amp;Raw_Data!G303&amp;"|"&amp;Raw_Data!H303&amp;"|"&amp;Raw_Data!I303&amp;"|"&amp;Raw_Data!J303&amp;"|"&amp;Raw_Data!K303&amp;"|"&amp;Raw_Data!L303&amp;"|"&amp;Raw_Data!M303&amp;"|"&amp;Raw_Data!N303&amp;"|"&amp;Raw_Data!O303&amp;"|"&amp;Raw_Data!P303&amp;"|"&amp;Raw_Data!Q303&amp;"|"&amp;Raw_Data!R303&amp;"|"&amp;Raw_Data!S303&amp;"|"&amp;Raw_Data!T303&amp;"|"&amp;Raw_Data!U303&amp;"|"&amp;Raw_Data!V303&amp;"|"&amp;Raw_Data!W303&amp;"|"&amp;Raw_Data!X303&amp;"|"&amp;Raw_Data!Y303&amp;"|"&amp;Raw_Data!Z303&amp;"|"&amp;Raw_Data!AA303&amp;"|"&amp;Raw_Data!AB303&amp;"|"&amp;Raw_Data!AC303&amp;"|"&amp;Raw_Data!AD303&amp;"|"&amp;Raw_Data!AE303&amp;"|"&amp;Raw_Data!AF303&amp;"|"&amp;Raw_Data!AG303&amp;"|"&amp;Raw_Data!AH303&amp;"|"&amp;Raw_Data!AI303&amp;"|"&amp;Raw_Data!AJ303&amp;"|"&amp;Raw_Data!AK303&amp;"|"&amp;Raw_Data!AL303&amp;"|"&amp;Raw_Data!AM303&amp;"|"&amp;Raw_Data!AN303&amp;"|"&amp;Raw_Data!AO303</f>
        <v>0|4|2|1|2|2|3|2|1|23|4|4|4|4|3|1|3|3|4|5|4|3|3|3|3|3|3|3|2|2|4|2|4|4|5|3|3|4|2|3|2</v>
      </c>
      <c r="Q305" s="3" t="n">
        <f aca="false">COUNTIF($P$4:$P$513,P305)</f>
        <v>1</v>
      </c>
    </row>
    <row r="306" customFormat="false" ht="15" hidden="false" customHeight="false" outlineLevel="0" collapsed="false">
      <c r="O306" s="3" t="n">
        <v>304</v>
      </c>
      <c r="P306" s="3" t="str">
        <f aca="false">Raw_Data!A304&amp;"|"&amp;Raw_Data!B304&amp;"|"&amp;Raw_Data!C304&amp;"|"&amp;Raw_Data!D304&amp;"|"&amp;Raw_Data!E304&amp;"|"&amp;Raw_Data!F304&amp;"|"&amp;Raw_Data!G304&amp;"|"&amp;Raw_Data!H304&amp;"|"&amp;Raw_Data!I304&amp;"|"&amp;Raw_Data!J304&amp;"|"&amp;Raw_Data!K304&amp;"|"&amp;Raw_Data!L304&amp;"|"&amp;Raw_Data!M304&amp;"|"&amp;Raw_Data!N304&amp;"|"&amp;Raw_Data!O304&amp;"|"&amp;Raw_Data!P304&amp;"|"&amp;Raw_Data!Q304&amp;"|"&amp;Raw_Data!R304&amp;"|"&amp;Raw_Data!S304&amp;"|"&amp;Raw_Data!T304&amp;"|"&amp;Raw_Data!U304&amp;"|"&amp;Raw_Data!V304&amp;"|"&amp;Raw_Data!W304&amp;"|"&amp;Raw_Data!X304&amp;"|"&amp;Raw_Data!Y304&amp;"|"&amp;Raw_Data!Z304&amp;"|"&amp;Raw_Data!AA304&amp;"|"&amp;Raw_Data!AB304&amp;"|"&amp;Raw_Data!AC304&amp;"|"&amp;Raw_Data!AD304&amp;"|"&amp;Raw_Data!AE304&amp;"|"&amp;Raw_Data!AF304&amp;"|"&amp;Raw_Data!AG304&amp;"|"&amp;Raw_Data!AH304&amp;"|"&amp;Raw_Data!AI304&amp;"|"&amp;Raw_Data!AJ304&amp;"|"&amp;Raw_Data!AK304&amp;"|"&amp;Raw_Data!AL304&amp;"|"&amp;Raw_Data!AM304&amp;"|"&amp;Raw_Data!AN304&amp;"|"&amp;Raw_Data!AO304</f>
        <v>0|3|1|1|2|2|3|2|2|24|4|1|4|2|4|1|4|2|3|5|4|2|4|4|4|4|2|4|1|2|3|3|4|5|4|1|2|5|2|4|2</v>
      </c>
      <c r="Q306" s="3" t="n">
        <f aca="false">COUNTIF($P$4:$P$513,P306)</f>
        <v>1</v>
      </c>
    </row>
    <row r="307" customFormat="false" ht="15" hidden="false" customHeight="false" outlineLevel="0" collapsed="false">
      <c r="O307" s="3" t="n">
        <v>305</v>
      </c>
      <c r="P307" s="3" t="str">
        <f aca="false">Raw_Data!A305&amp;"|"&amp;Raw_Data!B305&amp;"|"&amp;Raw_Data!C305&amp;"|"&amp;Raw_Data!D305&amp;"|"&amp;Raw_Data!E305&amp;"|"&amp;Raw_Data!F305&amp;"|"&amp;Raw_Data!G305&amp;"|"&amp;Raw_Data!H305&amp;"|"&amp;Raw_Data!I305&amp;"|"&amp;Raw_Data!J305&amp;"|"&amp;Raw_Data!K305&amp;"|"&amp;Raw_Data!L305&amp;"|"&amp;Raw_Data!M305&amp;"|"&amp;Raw_Data!N305&amp;"|"&amp;Raw_Data!O305&amp;"|"&amp;Raw_Data!P305&amp;"|"&amp;Raw_Data!Q305&amp;"|"&amp;Raw_Data!R305&amp;"|"&amp;Raw_Data!S305&amp;"|"&amp;Raw_Data!T305&amp;"|"&amp;Raw_Data!U305&amp;"|"&amp;Raw_Data!V305&amp;"|"&amp;Raw_Data!W305&amp;"|"&amp;Raw_Data!X305&amp;"|"&amp;Raw_Data!Y305&amp;"|"&amp;Raw_Data!Z305&amp;"|"&amp;Raw_Data!AA305&amp;"|"&amp;Raw_Data!AB305&amp;"|"&amp;Raw_Data!AC305&amp;"|"&amp;Raw_Data!AD305&amp;"|"&amp;Raw_Data!AE305&amp;"|"&amp;Raw_Data!AF305&amp;"|"&amp;Raw_Data!AG305&amp;"|"&amp;Raw_Data!AH305&amp;"|"&amp;Raw_Data!AI305&amp;"|"&amp;Raw_Data!AJ305&amp;"|"&amp;Raw_Data!AK305&amp;"|"&amp;Raw_Data!AL305&amp;"|"&amp;Raw_Data!AM305&amp;"|"&amp;Raw_Data!AN305&amp;"|"&amp;Raw_Data!AO305</f>
        <v>0|4|1|1|2|2|2|2|1|23|3|4|4|3|2|2|3|1|1|5|5|4|5|5|5|5|3|1|1|1|4|5|3|3|5|5|2|3|3|3|2</v>
      </c>
      <c r="Q307" s="3" t="n">
        <f aca="false">COUNTIF($P$4:$P$513,P307)</f>
        <v>1</v>
      </c>
    </row>
    <row r="308" customFormat="false" ht="15" hidden="false" customHeight="false" outlineLevel="0" collapsed="false">
      <c r="O308" s="3" t="n">
        <v>306</v>
      </c>
      <c r="P308" s="3" t="str">
        <f aca="false">Raw_Data!A306&amp;"|"&amp;Raw_Data!B306&amp;"|"&amp;Raw_Data!C306&amp;"|"&amp;Raw_Data!D306&amp;"|"&amp;Raw_Data!E306&amp;"|"&amp;Raw_Data!F306&amp;"|"&amp;Raw_Data!G306&amp;"|"&amp;Raw_Data!H306&amp;"|"&amp;Raw_Data!I306&amp;"|"&amp;Raw_Data!J306&amp;"|"&amp;Raw_Data!K306&amp;"|"&amp;Raw_Data!L306&amp;"|"&amp;Raw_Data!M306&amp;"|"&amp;Raw_Data!N306&amp;"|"&amp;Raw_Data!O306&amp;"|"&amp;Raw_Data!P306&amp;"|"&amp;Raw_Data!Q306&amp;"|"&amp;Raw_Data!R306&amp;"|"&amp;Raw_Data!S306&amp;"|"&amp;Raw_Data!T306&amp;"|"&amp;Raw_Data!U306&amp;"|"&amp;Raw_Data!V306&amp;"|"&amp;Raw_Data!W306&amp;"|"&amp;Raw_Data!X306&amp;"|"&amp;Raw_Data!Y306&amp;"|"&amp;Raw_Data!Z306&amp;"|"&amp;Raw_Data!AA306&amp;"|"&amp;Raw_Data!AB306&amp;"|"&amp;Raw_Data!AC306&amp;"|"&amp;Raw_Data!AD306&amp;"|"&amp;Raw_Data!AE306&amp;"|"&amp;Raw_Data!AF306&amp;"|"&amp;Raw_Data!AG306&amp;"|"&amp;Raw_Data!AH306&amp;"|"&amp;Raw_Data!AI306&amp;"|"&amp;Raw_Data!AJ306&amp;"|"&amp;Raw_Data!AK306&amp;"|"&amp;Raw_Data!AL306&amp;"|"&amp;Raw_Data!AM306&amp;"|"&amp;Raw_Data!AN306&amp;"|"&amp;Raw_Data!AO306</f>
        <v>0|6|1|1|2|2|3|2|1|21|4|4|1|5|3|4|3|5|4|4|4|4|4|3|5|4|4|3|1|1|3|3|4|4|4|5|4|5|4|5|5</v>
      </c>
      <c r="Q308" s="3" t="n">
        <f aca="false">COUNTIF($P$4:$P$513,P308)</f>
        <v>1</v>
      </c>
    </row>
    <row r="309" customFormat="false" ht="15" hidden="false" customHeight="false" outlineLevel="0" collapsed="false">
      <c r="O309" s="3" t="n">
        <v>307</v>
      </c>
      <c r="P309" s="3" t="str">
        <f aca="false">Raw_Data!A307&amp;"|"&amp;Raw_Data!B307&amp;"|"&amp;Raw_Data!C307&amp;"|"&amp;Raw_Data!D307&amp;"|"&amp;Raw_Data!E307&amp;"|"&amp;Raw_Data!F307&amp;"|"&amp;Raw_Data!G307&amp;"|"&amp;Raw_Data!H307&amp;"|"&amp;Raw_Data!I307&amp;"|"&amp;Raw_Data!J307&amp;"|"&amp;Raw_Data!K307&amp;"|"&amp;Raw_Data!L307&amp;"|"&amp;Raw_Data!M307&amp;"|"&amp;Raw_Data!N307&amp;"|"&amp;Raw_Data!O307&amp;"|"&amp;Raw_Data!P307&amp;"|"&amp;Raw_Data!Q307&amp;"|"&amp;Raw_Data!R307&amp;"|"&amp;Raw_Data!S307&amp;"|"&amp;Raw_Data!T307&amp;"|"&amp;Raw_Data!U307&amp;"|"&amp;Raw_Data!V307&amp;"|"&amp;Raw_Data!W307&amp;"|"&amp;Raw_Data!X307&amp;"|"&amp;Raw_Data!Y307&amp;"|"&amp;Raw_Data!Z307&amp;"|"&amp;Raw_Data!AA307&amp;"|"&amp;Raw_Data!AB307&amp;"|"&amp;Raw_Data!AC307&amp;"|"&amp;Raw_Data!AD307&amp;"|"&amp;Raw_Data!AE307&amp;"|"&amp;Raw_Data!AF307&amp;"|"&amp;Raw_Data!AG307&amp;"|"&amp;Raw_Data!AH307&amp;"|"&amp;Raw_Data!AI307&amp;"|"&amp;Raw_Data!AJ307&amp;"|"&amp;Raw_Data!AK307&amp;"|"&amp;Raw_Data!AL307&amp;"|"&amp;Raw_Data!AM307&amp;"|"&amp;Raw_Data!AN307&amp;"|"&amp;Raw_Data!AO307</f>
        <v>0|4|1|1|2|2|2|3|1|25|1|2|2|2|5|5|5|1|3|5|4|3|5|2|3|5|5|1|1|1|3|1|4|2|1|2|1|5|4|1|5</v>
      </c>
      <c r="Q309" s="3" t="n">
        <f aca="false">COUNTIF($P$4:$P$513,P309)</f>
        <v>1</v>
      </c>
    </row>
    <row r="310" customFormat="false" ht="15" hidden="false" customHeight="false" outlineLevel="0" collapsed="false">
      <c r="O310" s="3" t="n">
        <v>308</v>
      </c>
      <c r="P310" s="3" t="str">
        <f aca="false">Raw_Data!A308&amp;"|"&amp;Raw_Data!B308&amp;"|"&amp;Raw_Data!C308&amp;"|"&amp;Raw_Data!D308&amp;"|"&amp;Raw_Data!E308&amp;"|"&amp;Raw_Data!F308&amp;"|"&amp;Raw_Data!G308&amp;"|"&amp;Raw_Data!H308&amp;"|"&amp;Raw_Data!I308&amp;"|"&amp;Raw_Data!J308&amp;"|"&amp;Raw_Data!K308&amp;"|"&amp;Raw_Data!L308&amp;"|"&amp;Raw_Data!M308&amp;"|"&amp;Raw_Data!N308&amp;"|"&amp;Raw_Data!O308&amp;"|"&amp;Raw_Data!P308&amp;"|"&amp;Raw_Data!Q308&amp;"|"&amp;Raw_Data!R308&amp;"|"&amp;Raw_Data!S308&amp;"|"&amp;Raw_Data!T308&amp;"|"&amp;Raw_Data!U308&amp;"|"&amp;Raw_Data!V308&amp;"|"&amp;Raw_Data!W308&amp;"|"&amp;Raw_Data!X308&amp;"|"&amp;Raw_Data!Y308&amp;"|"&amp;Raw_Data!Z308&amp;"|"&amp;Raw_Data!AA308&amp;"|"&amp;Raw_Data!AB308&amp;"|"&amp;Raw_Data!AC308&amp;"|"&amp;Raw_Data!AD308&amp;"|"&amp;Raw_Data!AE308&amp;"|"&amp;Raw_Data!AF308&amp;"|"&amp;Raw_Data!AG308&amp;"|"&amp;Raw_Data!AH308&amp;"|"&amp;Raw_Data!AI308&amp;"|"&amp;Raw_Data!AJ308&amp;"|"&amp;Raw_Data!AK308&amp;"|"&amp;Raw_Data!AL308&amp;"|"&amp;Raw_Data!AM308&amp;"|"&amp;Raw_Data!AN308&amp;"|"&amp;Raw_Data!AO308</f>
        <v>1|1|1|2|2|2|3|1|1|22|2|3|3|3|5|1|3|2|4|5|4|4|5|4|4|5|4|5|1|1|4|2|5|5|5|2|2|5|3|4|2</v>
      </c>
      <c r="Q310" s="3" t="n">
        <f aca="false">COUNTIF($P$4:$P$513,P310)</f>
        <v>1</v>
      </c>
    </row>
    <row r="311" customFormat="false" ht="15" hidden="false" customHeight="false" outlineLevel="0" collapsed="false">
      <c r="O311" s="3" t="n">
        <v>309</v>
      </c>
      <c r="P311" s="3" t="str">
        <f aca="false">Raw_Data!A309&amp;"|"&amp;Raw_Data!B309&amp;"|"&amp;Raw_Data!C309&amp;"|"&amp;Raw_Data!D309&amp;"|"&amp;Raw_Data!E309&amp;"|"&amp;Raw_Data!F309&amp;"|"&amp;Raw_Data!G309&amp;"|"&amp;Raw_Data!H309&amp;"|"&amp;Raw_Data!I309&amp;"|"&amp;Raw_Data!J309&amp;"|"&amp;Raw_Data!K309&amp;"|"&amp;Raw_Data!L309&amp;"|"&amp;Raw_Data!M309&amp;"|"&amp;Raw_Data!N309&amp;"|"&amp;Raw_Data!O309&amp;"|"&amp;Raw_Data!P309&amp;"|"&amp;Raw_Data!Q309&amp;"|"&amp;Raw_Data!R309&amp;"|"&amp;Raw_Data!S309&amp;"|"&amp;Raw_Data!T309&amp;"|"&amp;Raw_Data!U309&amp;"|"&amp;Raw_Data!V309&amp;"|"&amp;Raw_Data!W309&amp;"|"&amp;Raw_Data!X309&amp;"|"&amp;Raw_Data!Y309&amp;"|"&amp;Raw_Data!Z309&amp;"|"&amp;Raw_Data!AA309&amp;"|"&amp;Raw_Data!AB309&amp;"|"&amp;Raw_Data!AC309&amp;"|"&amp;Raw_Data!AD309&amp;"|"&amp;Raw_Data!AE309&amp;"|"&amp;Raw_Data!AF309&amp;"|"&amp;Raw_Data!AG309&amp;"|"&amp;Raw_Data!AH309&amp;"|"&amp;Raw_Data!AI309&amp;"|"&amp;Raw_Data!AJ309&amp;"|"&amp;Raw_Data!AK309&amp;"|"&amp;Raw_Data!AL309&amp;"|"&amp;Raw_Data!AM309&amp;"|"&amp;Raw_Data!AN309&amp;"|"&amp;Raw_Data!AO309</f>
        <v>0|3|2|1|2|2|3|2|1|20|3|4|4|4|3|2|3|4|5|4|4|3|4|3|4|4|4|2|2|4|3|4|4|3|4|4|3|3|4|4|3</v>
      </c>
      <c r="Q311" s="3" t="n">
        <f aca="false">COUNTIF($P$4:$P$513,P311)</f>
        <v>1</v>
      </c>
    </row>
    <row r="312" customFormat="false" ht="15" hidden="false" customHeight="false" outlineLevel="0" collapsed="false">
      <c r="O312" s="3" t="n">
        <v>310</v>
      </c>
      <c r="P312" s="3" t="str">
        <f aca="false">Raw_Data!A310&amp;"|"&amp;Raw_Data!B310&amp;"|"&amp;Raw_Data!C310&amp;"|"&amp;Raw_Data!D310&amp;"|"&amp;Raw_Data!E310&amp;"|"&amp;Raw_Data!F310&amp;"|"&amp;Raw_Data!G310&amp;"|"&amp;Raw_Data!H310&amp;"|"&amp;Raw_Data!I310&amp;"|"&amp;Raw_Data!J310&amp;"|"&amp;Raw_Data!K310&amp;"|"&amp;Raw_Data!L310&amp;"|"&amp;Raw_Data!M310&amp;"|"&amp;Raw_Data!N310&amp;"|"&amp;Raw_Data!O310&amp;"|"&amp;Raw_Data!P310&amp;"|"&amp;Raw_Data!Q310&amp;"|"&amp;Raw_Data!R310&amp;"|"&amp;Raw_Data!S310&amp;"|"&amp;Raw_Data!T310&amp;"|"&amp;Raw_Data!U310&amp;"|"&amp;Raw_Data!V310&amp;"|"&amp;Raw_Data!W310&amp;"|"&amp;Raw_Data!X310&amp;"|"&amp;Raw_Data!Y310&amp;"|"&amp;Raw_Data!Z310&amp;"|"&amp;Raw_Data!AA310&amp;"|"&amp;Raw_Data!AB310&amp;"|"&amp;Raw_Data!AC310&amp;"|"&amp;Raw_Data!AD310&amp;"|"&amp;Raw_Data!AE310&amp;"|"&amp;Raw_Data!AF310&amp;"|"&amp;Raw_Data!AG310&amp;"|"&amp;Raw_Data!AH310&amp;"|"&amp;Raw_Data!AI310&amp;"|"&amp;Raw_Data!AJ310&amp;"|"&amp;Raw_Data!AK310&amp;"|"&amp;Raw_Data!AL310&amp;"|"&amp;Raw_Data!AM310&amp;"|"&amp;Raw_Data!AN310&amp;"|"&amp;Raw_Data!AO310</f>
        <v>1|3|1|1|2|2|3|2|1|24|3|2|2|5|2|2|4|2|5|2|5|5|5|2|4|5|4|1|2|2|2|1|3|5|4|3|3|5|3|2|5</v>
      </c>
      <c r="Q312" s="3" t="n">
        <f aca="false">COUNTIF($P$4:$P$513,P312)</f>
        <v>1</v>
      </c>
    </row>
    <row r="313" customFormat="false" ht="15" hidden="false" customHeight="false" outlineLevel="0" collapsed="false">
      <c r="O313" s="3" t="n">
        <v>311</v>
      </c>
      <c r="P313" s="3" t="str">
        <f aca="false">Raw_Data!A311&amp;"|"&amp;Raw_Data!B311&amp;"|"&amp;Raw_Data!C311&amp;"|"&amp;Raw_Data!D311&amp;"|"&amp;Raw_Data!E311&amp;"|"&amp;Raw_Data!F311&amp;"|"&amp;Raw_Data!G311&amp;"|"&amp;Raw_Data!H311&amp;"|"&amp;Raw_Data!I311&amp;"|"&amp;Raw_Data!J311&amp;"|"&amp;Raw_Data!K311&amp;"|"&amp;Raw_Data!L311&amp;"|"&amp;Raw_Data!M311&amp;"|"&amp;Raw_Data!N311&amp;"|"&amp;Raw_Data!O311&amp;"|"&amp;Raw_Data!P311&amp;"|"&amp;Raw_Data!Q311&amp;"|"&amp;Raw_Data!R311&amp;"|"&amp;Raw_Data!S311&amp;"|"&amp;Raw_Data!T311&amp;"|"&amp;Raw_Data!U311&amp;"|"&amp;Raw_Data!V311&amp;"|"&amp;Raw_Data!W311&amp;"|"&amp;Raw_Data!X311&amp;"|"&amp;Raw_Data!Y311&amp;"|"&amp;Raw_Data!Z311&amp;"|"&amp;Raw_Data!AA311&amp;"|"&amp;Raw_Data!AB311&amp;"|"&amp;Raw_Data!AC311&amp;"|"&amp;Raw_Data!AD311&amp;"|"&amp;Raw_Data!AE311&amp;"|"&amp;Raw_Data!AF311&amp;"|"&amp;Raw_Data!AG311&amp;"|"&amp;Raw_Data!AH311&amp;"|"&amp;Raw_Data!AI311&amp;"|"&amp;Raw_Data!AJ311&amp;"|"&amp;Raw_Data!AK311&amp;"|"&amp;Raw_Data!AL311&amp;"|"&amp;Raw_Data!AM311&amp;"|"&amp;Raw_Data!AN311&amp;"|"&amp;Raw_Data!AO311</f>
        <v>0|4|1|1|2|2|1|2|3|29|4|4|3|3|4|3|3|2|5|5|5|3|4|3|4|4|4|3|2|2|4|3|4|4|4|4|4|5|4|3|2</v>
      </c>
      <c r="Q313" s="3" t="n">
        <f aca="false">COUNTIF($P$4:$P$513,P313)</f>
        <v>1</v>
      </c>
    </row>
    <row r="314" customFormat="false" ht="15" hidden="false" customHeight="false" outlineLevel="0" collapsed="false">
      <c r="O314" s="3" t="n">
        <v>312</v>
      </c>
      <c r="P314" s="3" t="str">
        <f aca="false">Raw_Data!A312&amp;"|"&amp;Raw_Data!B312&amp;"|"&amp;Raw_Data!C312&amp;"|"&amp;Raw_Data!D312&amp;"|"&amp;Raw_Data!E312&amp;"|"&amp;Raw_Data!F312&amp;"|"&amp;Raw_Data!G312&amp;"|"&amp;Raw_Data!H312&amp;"|"&amp;Raw_Data!I312&amp;"|"&amp;Raw_Data!J312&amp;"|"&amp;Raw_Data!K312&amp;"|"&amp;Raw_Data!L312&amp;"|"&amp;Raw_Data!M312&amp;"|"&amp;Raw_Data!N312&amp;"|"&amp;Raw_Data!O312&amp;"|"&amp;Raw_Data!P312&amp;"|"&amp;Raw_Data!Q312&amp;"|"&amp;Raw_Data!R312&amp;"|"&amp;Raw_Data!S312&amp;"|"&amp;Raw_Data!T312&amp;"|"&amp;Raw_Data!U312&amp;"|"&amp;Raw_Data!V312&amp;"|"&amp;Raw_Data!W312&amp;"|"&amp;Raw_Data!X312&amp;"|"&amp;Raw_Data!Y312&amp;"|"&amp;Raw_Data!Z312&amp;"|"&amp;Raw_Data!AA312&amp;"|"&amp;Raw_Data!AB312&amp;"|"&amp;Raw_Data!AC312&amp;"|"&amp;Raw_Data!AD312&amp;"|"&amp;Raw_Data!AE312&amp;"|"&amp;Raw_Data!AF312&amp;"|"&amp;Raw_Data!AG312&amp;"|"&amp;Raw_Data!AH312&amp;"|"&amp;Raw_Data!AI312&amp;"|"&amp;Raw_Data!AJ312&amp;"|"&amp;Raw_Data!AK312&amp;"|"&amp;Raw_Data!AL312&amp;"|"&amp;Raw_Data!AM312&amp;"|"&amp;Raw_Data!AN312&amp;"|"&amp;Raw_Data!AO312</f>
        <v>0|3|1|1|2|2|3|1|1|21|3|3|5|3|1|1|5|2|4|4|4|4|5|5|5|4|4|4|2|2|3|1|4|3|3|2|2|5|4|3|2</v>
      </c>
      <c r="Q314" s="3" t="n">
        <f aca="false">COUNTIF($P$4:$P$513,P314)</f>
        <v>1</v>
      </c>
    </row>
    <row r="315" customFormat="false" ht="15" hidden="false" customHeight="false" outlineLevel="0" collapsed="false">
      <c r="O315" s="3" t="n">
        <v>313</v>
      </c>
      <c r="P315" s="3" t="str">
        <f aca="false">Raw_Data!A313&amp;"|"&amp;Raw_Data!B313&amp;"|"&amp;Raw_Data!C313&amp;"|"&amp;Raw_Data!D313&amp;"|"&amp;Raw_Data!E313&amp;"|"&amp;Raw_Data!F313&amp;"|"&amp;Raw_Data!G313&amp;"|"&amp;Raw_Data!H313&amp;"|"&amp;Raw_Data!I313&amp;"|"&amp;Raw_Data!J313&amp;"|"&amp;Raw_Data!K313&amp;"|"&amp;Raw_Data!L313&amp;"|"&amp;Raw_Data!M313&amp;"|"&amp;Raw_Data!N313&amp;"|"&amp;Raw_Data!O313&amp;"|"&amp;Raw_Data!P313&amp;"|"&amp;Raw_Data!Q313&amp;"|"&amp;Raw_Data!R313&amp;"|"&amp;Raw_Data!S313&amp;"|"&amp;Raw_Data!T313&amp;"|"&amp;Raw_Data!U313&amp;"|"&amp;Raw_Data!V313&amp;"|"&amp;Raw_Data!W313&amp;"|"&amp;Raw_Data!X313&amp;"|"&amp;Raw_Data!Y313&amp;"|"&amp;Raw_Data!Z313&amp;"|"&amp;Raw_Data!AA313&amp;"|"&amp;Raw_Data!AB313&amp;"|"&amp;Raw_Data!AC313&amp;"|"&amp;Raw_Data!AD313&amp;"|"&amp;Raw_Data!AE313&amp;"|"&amp;Raw_Data!AF313&amp;"|"&amp;Raw_Data!AG313&amp;"|"&amp;Raw_Data!AH313&amp;"|"&amp;Raw_Data!AI313&amp;"|"&amp;Raw_Data!AJ313&amp;"|"&amp;Raw_Data!AK313&amp;"|"&amp;Raw_Data!AL313&amp;"|"&amp;Raw_Data!AM313&amp;"|"&amp;Raw_Data!AN313&amp;"|"&amp;Raw_Data!AO313</f>
        <v>0|4|1|1|2|2|3|3|1|24|2|5|5|5|5|5|4|4|5|5|5|4|5|4|4|4|5|5|3|3|4|3|5|3|5|5|3|5|5|4|3</v>
      </c>
      <c r="Q315" s="3" t="n">
        <f aca="false">COUNTIF($P$4:$P$513,P315)</f>
        <v>1</v>
      </c>
    </row>
    <row r="316" customFormat="false" ht="15" hidden="false" customHeight="false" outlineLevel="0" collapsed="false">
      <c r="O316" s="3" t="n">
        <v>314</v>
      </c>
      <c r="P316" s="3" t="str">
        <f aca="false">Raw_Data!A314&amp;"|"&amp;Raw_Data!B314&amp;"|"&amp;Raw_Data!C314&amp;"|"&amp;Raw_Data!D314&amp;"|"&amp;Raw_Data!E314&amp;"|"&amp;Raw_Data!F314&amp;"|"&amp;Raw_Data!G314&amp;"|"&amp;Raw_Data!H314&amp;"|"&amp;Raw_Data!I314&amp;"|"&amp;Raw_Data!J314&amp;"|"&amp;Raw_Data!K314&amp;"|"&amp;Raw_Data!L314&amp;"|"&amp;Raw_Data!M314&amp;"|"&amp;Raw_Data!N314&amp;"|"&amp;Raw_Data!O314&amp;"|"&amp;Raw_Data!P314&amp;"|"&amp;Raw_Data!Q314&amp;"|"&amp;Raw_Data!R314&amp;"|"&amp;Raw_Data!S314&amp;"|"&amp;Raw_Data!T314&amp;"|"&amp;Raw_Data!U314&amp;"|"&amp;Raw_Data!V314&amp;"|"&amp;Raw_Data!W314&amp;"|"&amp;Raw_Data!X314&amp;"|"&amp;Raw_Data!Y314&amp;"|"&amp;Raw_Data!Z314&amp;"|"&amp;Raw_Data!AA314&amp;"|"&amp;Raw_Data!AB314&amp;"|"&amp;Raw_Data!AC314&amp;"|"&amp;Raw_Data!AD314&amp;"|"&amp;Raw_Data!AE314&amp;"|"&amp;Raw_Data!AF314&amp;"|"&amp;Raw_Data!AG314&amp;"|"&amp;Raw_Data!AH314&amp;"|"&amp;Raw_Data!AI314&amp;"|"&amp;Raw_Data!AJ314&amp;"|"&amp;Raw_Data!AK314&amp;"|"&amp;Raw_Data!AL314&amp;"|"&amp;Raw_Data!AM314&amp;"|"&amp;Raw_Data!AN314&amp;"|"&amp;Raw_Data!AO314</f>
        <v>0|4|1|1|2|2|4|3|1|22|4|4|3|4|4|3|3|2|4|5|4|4|3|3|3|2|3|3|2|3|2|3|4|4|5|5|4|4|3|3|4</v>
      </c>
      <c r="Q316" s="3" t="n">
        <f aca="false">COUNTIF($P$4:$P$513,P316)</f>
        <v>1</v>
      </c>
    </row>
    <row r="317" customFormat="false" ht="15" hidden="false" customHeight="false" outlineLevel="0" collapsed="false">
      <c r="O317" s="3" t="n">
        <v>315</v>
      </c>
      <c r="P317" s="3" t="str">
        <f aca="false">Raw_Data!A315&amp;"|"&amp;Raw_Data!B315&amp;"|"&amp;Raw_Data!C315&amp;"|"&amp;Raw_Data!D315&amp;"|"&amp;Raw_Data!E315&amp;"|"&amp;Raw_Data!F315&amp;"|"&amp;Raw_Data!G315&amp;"|"&amp;Raw_Data!H315&amp;"|"&amp;Raw_Data!I315&amp;"|"&amp;Raw_Data!J315&amp;"|"&amp;Raw_Data!K315&amp;"|"&amp;Raw_Data!L315&amp;"|"&amp;Raw_Data!M315&amp;"|"&amp;Raw_Data!N315&amp;"|"&amp;Raw_Data!O315&amp;"|"&amp;Raw_Data!P315&amp;"|"&amp;Raw_Data!Q315&amp;"|"&amp;Raw_Data!R315&amp;"|"&amp;Raw_Data!S315&amp;"|"&amp;Raw_Data!T315&amp;"|"&amp;Raw_Data!U315&amp;"|"&amp;Raw_Data!V315&amp;"|"&amp;Raw_Data!W315&amp;"|"&amp;Raw_Data!X315&amp;"|"&amp;Raw_Data!Y315&amp;"|"&amp;Raw_Data!Z315&amp;"|"&amp;Raw_Data!AA315&amp;"|"&amp;Raw_Data!AB315&amp;"|"&amp;Raw_Data!AC315&amp;"|"&amp;Raw_Data!AD315&amp;"|"&amp;Raw_Data!AE315&amp;"|"&amp;Raw_Data!AF315&amp;"|"&amp;Raw_Data!AG315&amp;"|"&amp;Raw_Data!AH315&amp;"|"&amp;Raw_Data!AI315&amp;"|"&amp;Raw_Data!AJ315&amp;"|"&amp;Raw_Data!AK315&amp;"|"&amp;Raw_Data!AL315&amp;"|"&amp;Raw_Data!AM315&amp;"|"&amp;Raw_Data!AN315&amp;"|"&amp;Raw_Data!AO315</f>
        <v>0|4|1|1|2|2|2|3|1|23|3|4|4|3|5|3|5|4|5|5|5|3|4|4|1|2|5|4|5|4|4|4|4|4|4|5|4|4|4|4|5</v>
      </c>
      <c r="Q317" s="3" t="n">
        <f aca="false">COUNTIF($P$4:$P$513,P317)</f>
        <v>1</v>
      </c>
    </row>
    <row r="318" customFormat="false" ht="15" hidden="false" customHeight="false" outlineLevel="0" collapsed="false">
      <c r="O318" s="3" t="n">
        <v>316</v>
      </c>
      <c r="P318" s="3" t="str">
        <f aca="false">Raw_Data!A316&amp;"|"&amp;Raw_Data!B316&amp;"|"&amp;Raw_Data!C316&amp;"|"&amp;Raw_Data!D316&amp;"|"&amp;Raw_Data!E316&amp;"|"&amp;Raw_Data!F316&amp;"|"&amp;Raw_Data!G316&amp;"|"&amp;Raw_Data!H316&amp;"|"&amp;Raw_Data!I316&amp;"|"&amp;Raw_Data!J316&amp;"|"&amp;Raw_Data!K316&amp;"|"&amp;Raw_Data!L316&amp;"|"&amp;Raw_Data!M316&amp;"|"&amp;Raw_Data!N316&amp;"|"&amp;Raw_Data!O316&amp;"|"&amp;Raw_Data!P316&amp;"|"&amp;Raw_Data!Q316&amp;"|"&amp;Raw_Data!R316&amp;"|"&amp;Raw_Data!S316&amp;"|"&amp;Raw_Data!T316&amp;"|"&amp;Raw_Data!U316&amp;"|"&amp;Raw_Data!V316&amp;"|"&amp;Raw_Data!W316&amp;"|"&amp;Raw_Data!X316&amp;"|"&amp;Raw_Data!Y316&amp;"|"&amp;Raw_Data!Z316&amp;"|"&amp;Raw_Data!AA316&amp;"|"&amp;Raw_Data!AB316&amp;"|"&amp;Raw_Data!AC316&amp;"|"&amp;Raw_Data!AD316&amp;"|"&amp;Raw_Data!AE316&amp;"|"&amp;Raw_Data!AF316&amp;"|"&amp;Raw_Data!AG316&amp;"|"&amp;Raw_Data!AH316&amp;"|"&amp;Raw_Data!AI316&amp;"|"&amp;Raw_Data!AJ316&amp;"|"&amp;Raw_Data!AK316&amp;"|"&amp;Raw_Data!AL316&amp;"|"&amp;Raw_Data!AM316&amp;"|"&amp;Raw_Data!AN316&amp;"|"&amp;Raw_Data!AO316</f>
        <v>0|3|1|1|2|2|3|2|1|20|3|3|4|3|2|3|3|2|3|4|3|4|4|3|4|3|3|3|2|2|3|3|3|4|3|3|2|4|3|2|2</v>
      </c>
      <c r="Q318" s="3" t="n">
        <f aca="false">COUNTIF($P$4:$P$513,P318)</f>
        <v>1</v>
      </c>
    </row>
    <row r="319" customFormat="false" ht="15" hidden="false" customHeight="false" outlineLevel="0" collapsed="false">
      <c r="O319" s="3" t="n">
        <v>317</v>
      </c>
      <c r="P319" s="3" t="str">
        <f aca="false">Raw_Data!A317&amp;"|"&amp;Raw_Data!B317&amp;"|"&amp;Raw_Data!C317&amp;"|"&amp;Raw_Data!D317&amp;"|"&amp;Raw_Data!E317&amp;"|"&amp;Raw_Data!F317&amp;"|"&amp;Raw_Data!G317&amp;"|"&amp;Raw_Data!H317&amp;"|"&amp;Raw_Data!I317&amp;"|"&amp;Raw_Data!J317&amp;"|"&amp;Raw_Data!K317&amp;"|"&amp;Raw_Data!L317&amp;"|"&amp;Raw_Data!M317&amp;"|"&amp;Raw_Data!N317&amp;"|"&amp;Raw_Data!O317&amp;"|"&amp;Raw_Data!P317&amp;"|"&amp;Raw_Data!Q317&amp;"|"&amp;Raw_Data!R317&amp;"|"&amp;Raw_Data!S317&amp;"|"&amp;Raw_Data!T317&amp;"|"&amp;Raw_Data!U317&amp;"|"&amp;Raw_Data!V317&amp;"|"&amp;Raw_Data!W317&amp;"|"&amp;Raw_Data!X317&amp;"|"&amp;Raw_Data!Y317&amp;"|"&amp;Raw_Data!Z317&amp;"|"&amp;Raw_Data!AA317&amp;"|"&amp;Raw_Data!AB317&amp;"|"&amp;Raw_Data!AC317&amp;"|"&amp;Raw_Data!AD317&amp;"|"&amp;Raw_Data!AE317&amp;"|"&amp;Raw_Data!AF317&amp;"|"&amp;Raw_Data!AG317&amp;"|"&amp;Raw_Data!AH317&amp;"|"&amp;Raw_Data!AI317&amp;"|"&amp;Raw_Data!AJ317&amp;"|"&amp;Raw_Data!AK317&amp;"|"&amp;Raw_Data!AL317&amp;"|"&amp;Raw_Data!AM317&amp;"|"&amp;Raw_Data!AN317&amp;"|"&amp;Raw_Data!AO317</f>
        <v>0|3|1|1|2|2|2|3|1|22|4|3|5|5|5|3|4|4|5|5|5|5|5|5|4|5|5|4|1|2|4|4|4|4|5|4|3|4|3|4|3</v>
      </c>
      <c r="Q319" s="3" t="n">
        <f aca="false">COUNTIF($P$4:$P$513,P319)</f>
        <v>1</v>
      </c>
    </row>
    <row r="320" customFormat="false" ht="15" hidden="false" customHeight="false" outlineLevel="0" collapsed="false">
      <c r="O320" s="3" t="n">
        <v>318</v>
      </c>
      <c r="P320" s="3" t="str">
        <f aca="false">Raw_Data!A318&amp;"|"&amp;Raw_Data!B318&amp;"|"&amp;Raw_Data!C318&amp;"|"&amp;Raw_Data!D318&amp;"|"&amp;Raw_Data!E318&amp;"|"&amp;Raw_Data!F318&amp;"|"&amp;Raw_Data!G318&amp;"|"&amp;Raw_Data!H318&amp;"|"&amp;Raw_Data!I318&amp;"|"&amp;Raw_Data!J318&amp;"|"&amp;Raw_Data!K318&amp;"|"&amp;Raw_Data!L318&amp;"|"&amp;Raw_Data!M318&amp;"|"&amp;Raw_Data!N318&amp;"|"&amp;Raw_Data!O318&amp;"|"&amp;Raw_Data!P318&amp;"|"&amp;Raw_Data!Q318&amp;"|"&amp;Raw_Data!R318&amp;"|"&amp;Raw_Data!S318&amp;"|"&amp;Raw_Data!T318&amp;"|"&amp;Raw_Data!U318&amp;"|"&amp;Raw_Data!V318&amp;"|"&amp;Raw_Data!W318&amp;"|"&amp;Raw_Data!X318&amp;"|"&amp;Raw_Data!Y318&amp;"|"&amp;Raw_Data!Z318&amp;"|"&amp;Raw_Data!AA318&amp;"|"&amp;Raw_Data!AB318&amp;"|"&amp;Raw_Data!AC318&amp;"|"&amp;Raw_Data!AD318&amp;"|"&amp;Raw_Data!AE318&amp;"|"&amp;Raw_Data!AF318&amp;"|"&amp;Raw_Data!AG318&amp;"|"&amp;Raw_Data!AH318&amp;"|"&amp;Raw_Data!AI318&amp;"|"&amp;Raw_Data!AJ318&amp;"|"&amp;Raw_Data!AK318&amp;"|"&amp;Raw_Data!AL318&amp;"|"&amp;Raw_Data!AM318&amp;"|"&amp;Raw_Data!AN318&amp;"|"&amp;Raw_Data!AO318</f>
        <v>0|3|1|1|2|2|2|1|1|21|4|2|4|4|4|4|4|2|3|4|5|3|4|4|4|4|4|3|1|2|3|2|4|4|4|4|4|4|2|3|1</v>
      </c>
      <c r="Q320" s="3" t="n">
        <f aca="false">COUNTIF($P$4:$P$513,P320)</f>
        <v>1</v>
      </c>
    </row>
    <row r="321" customFormat="false" ht="15" hidden="false" customHeight="false" outlineLevel="0" collapsed="false">
      <c r="O321" s="3" t="n">
        <v>319</v>
      </c>
      <c r="P321" s="3" t="str">
        <f aca="false">Raw_Data!A319&amp;"|"&amp;Raw_Data!B319&amp;"|"&amp;Raw_Data!C319&amp;"|"&amp;Raw_Data!D319&amp;"|"&amp;Raw_Data!E319&amp;"|"&amp;Raw_Data!F319&amp;"|"&amp;Raw_Data!G319&amp;"|"&amp;Raw_Data!H319&amp;"|"&amp;Raw_Data!I319&amp;"|"&amp;Raw_Data!J319&amp;"|"&amp;Raw_Data!K319&amp;"|"&amp;Raw_Data!L319&amp;"|"&amp;Raw_Data!M319&amp;"|"&amp;Raw_Data!N319&amp;"|"&amp;Raw_Data!O319&amp;"|"&amp;Raw_Data!P319&amp;"|"&amp;Raw_Data!Q319&amp;"|"&amp;Raw_Data!R319&amp;"|"&amp;Raw_Data!S319&amp;"|"&amp;Raw_Data!T319&amp;"|"&amp;Raw_Data!U319&amp;"|"&amp;Raw_Data!V319&amp;"|"&amp;Raw_Data!W319&amp;"|"&amp;Raw_Data!X319&amp;"|"&amp;Raw_Data!Y319&amp;"|"&amp;Raw_Data!Z319&amp;"|"&amp;Raw_Data!AA319&amp;"|"&amp;Raw_Data!AB319&amp;"|"&amp;Raw_Data!AC319&amp;"|"&amp;Raw_Data!AD319&amp;"|"&amp;Raw_Data!AE319&amp;"|"&amp;Raw_Data!AF319&amp;"|"&amp;Raw_Data!AG319&amp;"|"&amp;Raw_Data!AH319&amp;"|"&amp;Raw_Data!AI319&amp;"|"&amp;Raw_Data!AJ319&amp;"|"&amp;Raw_Data!AK319&amp;"|"&amp;Raw_Data!AL319&amp;"|"&amp;Raw_Data!AM319&amp;"|"&amp;Raw_Data!AN319&amp;"|"&amp;Raw_Data!AO319</f>
        <v>1|4|1|1|2|2|4|2|3|24|4|2|3|3|4|5|3|2|5|4|5|5|4|4|5|5|4|4|2|3|4|3|4|4|4|4|4|2|3|3|3</v>
      </c>
      <c r="Q321" s="3" t="n">
        <f aca="false">COUNTIF($P$4:$P$513,P321)</f>
        <v>1</v>
      </c>
    </row>
    <row r="322" customFormat="false" ht="15" hidden="false" customHeight="false" outlineLevel="0" collapsed="false">
      <c r="O322" s="3" t="n">
        <v>320</v>
      </c>
      <c r="P322" s="3" t="str">
        <f aca="false">Raw_Data!A320&amp;"|"&amp;Raw_Data!B320&amp;"|"&amp;Raw_Data!C320&amp;"|"&amp;Raw_Data!D320&amp;"|"&amp;Raw_Data!E320&amp;"|"&amp;Raw_Data!F320&amp;"|"&amp;Raw_Data!G320&amp;"|"&amp;Raw_Data!H320&amp;"|"&amp;Raw_Data!I320&amp;"|"&amp;Raw_Data!J320&amp;"|"&amp;Raw_Data!K320&amp;"|"&amp;Raw_Data!L320&amp;"|"&amp;Raw_Data!M320&amp;"|"&amp;Raw_Data!N320&amp;"|"&amp;Raw_Data!O320&amp;"|"&amp;Raw_Data!P320&amp;"|"&amp;Raw_Data!Q320&amp;"|"&amp;Raw_Data!R320&amp;"|"&amp;Raw_Data!S320&amp;"|"&amp;Raw_Data!T320&amp;"|"&amp;Raw_Data!U320&amp;"|"&amp;Raw_Data!V320&amp;"|"&amp;Raw_Data!W320&amp;"|"&amp;Raw_Data!X320&amp;"|"&amp;Raw_Data!Y320&amp;"|"&amp;Raw_Data!Z320&amp;"|"&amp;Raw_Data!AA320&amp;"|"&amp;Raw_Data!AB320&amp;"|"&amp;Raw_Data!AC320&amp;"|"&amp;Raw_Data!AD320&amp;"|"&amp;Raw_Data!AE320&amp;"|"&amp;Raw_Data!AF320&amp;"|"&amp;Raw_Data!AG320&amp;"|"&amp;Raw_Data!AH320&amp;"|"&amp;Raw_Data!AI320&amp;"|"&amp;Raw_Data!AJ320&amp;"|"&amp;Raw_Data!AK320&amp;"|"&amp;Raw_Data!AL320&amp;"|"&amp;Raw_Data!AM320&amp;"|"&amp;Raw_Data!AN320&amp;"|"&amp;Raw_Data!AO320</f>
        <v>0|4|2|1|2|2|3|2|1|23|4|4|4|4|4|4|4|3|5|4|4|4|4|4|4|5|3|3|2|2|3|3|4|4|5|4|4|3|4|3|4</v>
      </c>
      <c r="Q322" s="3" t="n">
        <f aca="false">COUNTIF($P$4:$P$513,P322)</f>
        <v>1</v>
      </c>
    </row>
    <row r="323" customFormat="false" ht="15" hidden="false" customHeight="false" outlineLevel="0" collapsed="false">
      <c r="O323" s="3" t="n">
        <v>321</v>
      </c>
      <c r="P323" s="3" t="str">
        <f aca="false">Raw_Data!A321&amp;"|"&amp;Raw_Data!B321&amp;"|"&amp;Raw_Data!C321&amp;"|"&amp;Raw_Data!D321&amp;"|"&amp;Raw_Data!E321&amp;"|"&amp;Raw_Data!F321&amp;"|"&amp;Raw_Data!G321&amp;"|"&amp;Raw_Data!H321&amp;"|"&amp;Raw_Data!I321&amp;"|"&amp;Raw_Data!J321&amp;"|"&amp;Raw_Data!K321&amp;"|"&amp;Raw_Data!L321&amp;"|"&amp;Raw_Data!M321&amp;"|"&amp;Raw_Data!N321&amp;"|"&amp;Raw_Data!O321&amp;"|"&amp;Raw_Data!P321&amp;"|"&amp;Raw_Data!Q321&amp;"|"&amp;Raw_Data!R321&amp;"|"&amp;Raw_Data!S321&amp;"|"&amp;Raw_Data!T321&amp;"|"&amp;Raw_Data!U321&amp;"|"&amp;Raw_Data!V321&amp;"|"&amp;Raw_Data!W321&amp;"|"&amp;Raw_Data!X321&amp;"|"&amp;Raw_Data!Y321&amp;"|"&amp;Raw_Data!Z321&amp;"|"&amp;Raw_Data!AA321&amp;"|"&amp;Raw_Data!AB321&amp;"|"&amp;Raw_Data!AC321&amp;"|"&amp;Raw_Data!AD321&amp;"|"&amp;Raw_Data!AE321&amp;"|"&amp;Raw_Data!AF321&amp;"|"&amp;Raw_Data!AG321&amp;"|"&amp;Raw_Data!AH321&amp;"|"&amp;Raw_Data!AI321&amp;"|"&amp;Raw_Data!AJ321&amp;"|"&amp;Raw_Data!AK321&amp;"|"&amp;Raw_Data!AL321&amp;"|"&amp;Raw_Data!AM321&amp;"|"&amp;Raw_Data!AN321&amp;"|"&amp;Raw_Data!AO321</f>
        <v>0|4|1|2|2|2|4|3|3|24|3|3|1|3|3|2|2|4|4|4|4|2|3|4|2|4|4|1|2|2|3|2|2|2|2|3|3|4|3|3|3</v>
      </c>
      <c r="Q323" s="3" t="n">
        <f aca="false">COUNTIF($P$4:$P$513,P323)</f>
        <v>1</v>
      </c>
    </row>
    <row r="324" customFormat="false" ht="15" hidden="false" customHeight="false" outlineLevel="0" collapsed="false">
      <c r="O324" s="3" t="n">
        <v>322</v>
      </c>
      <c r="P324" s="3" t="str">
        <f aca="false">Raw_Data!A322&amp;"|"&amp;Raw_Data!B322&amp;"|"&amp;Raw_Data!C322&amp;"|"&amp;Raw_Data!D322&amp;"|"&amp;Raw_Data!E322&amp;"|"&amp;Raw_Data!F322&amp;"|"&amp;Raw_Data!G322&amp;"|"&amp;Raw_Data!H322&amp;"|"&amp;Raw_Data!I322&amp;"|"&amp;Raw_Data!J322&amp;"|"&amp;Raw_Data!K322&amp;"|"&amp;Raw_Data!L322&amp;"|"&amp;Raw_Data!M322&amp;"|"&amp;Raw_Data!N322&amp;"|"&amp;Raw_Data!O322&amp;"|"&amp;Raw_Data!P322&amp;"|"&amp;Raw_Data!Q322&amp;"|"&amp;Raw_Data!R322&amp;"|"&amp;Raw_Data!S322&amp;"|"&amp;Raw_Data!T322&amp;"|"&amp;Raw_Data!U322&amp;"|"&amp;Raw_Data!V322&amp;"|"&amp;Raw_Data!W322&amp;"|"&amp;Raw_Data!X322&amp;"|"&amp;Raw_Data!Y322&amp;"|"&amp;Raw_Data!Z322&amp;"|"&amp;Raw_Data!AA322&amp;"|"&amp;Raw_Data!AB322&amp;"|"&amp;Raw_Data!AC322&amp;"|"&amp;Raw_Data!AD322&amp;"|"&amp;Raw_Data!AE322&amp;"|"&amp;Raw_Data!AF322&amp;"|"&amp;Raw_Data!AG322&amp;"|"&amp;Raw_Data!AH322&amp;"|"&amp;Raw_Data!AI322&amp;"|"&amp;Raw_Data!AJ322&amp;"|"&amp;Raw_Data!AK322&amp;"|"&amp;Raw_Data!AL322&amp;"|"&amp;Raw_Data!AM322&amp;"|"&amp;Raw_Data!AN322&amp;"|"&amp;Raw_Data!AO322</f>
        <v>0|4|1|2|2|2|1|1|1|25|3|4|3|4|3|5|2|2|5|5|5|4|4|2|2|5|4|2|2|2|5|4|4|4|4|3|4|5|3|2|4</v>
      </c>
      <c r="Q324" s="3" t="n">
        <f aca="false">COUNTIF($P$4:$P$513,P324)</f>
        <v>1</v>
      </c>
    </row>
    <row r="325" customFormat="false" ht="15" hidden="false" customHeight="false" outlineLevel="0" collapsed="false">
      <c r="O325" s="3" t="n">
        <v>323</v>
      </c>
      <c r="P325" s="3" t="str">
        <f aca="false">Raw_Data!A323&amp;"|"&amp;Raw_Data!B323&amp;"|"&amp;Raw_Data!C323&amp;"|"&amp;Raw_Data!D323&amp;"|"&amp;Raw_Data!E323&amp;"|"&amp;Raw_Data!F323&amp;"|"&amp;Raw_Data!G323&amp;"|"&amp;Raw_Data!H323&amp;"|"&amp;Raw_Data!I323&amp;"|"&amp;Raw_Data!J323&amp;"|"&amp;Raw_Data!K323&amp;"|"&amp;Raw_Data!L323&amp;"|"&amp;Raw_Data!M323&amp;"|"&amp;Raw_Data!N323&amp;"|"&amp;Raw_Data!O323&amp;"|"&amp;Raw_Data!P323&amp;"|"&amp;Raw_Data!Q323&amp;"|"&amp;Raw_Data!R323&amp;"|"&amp;Raw_Data!S323&amp;"|"&amp;Raw_Data!T323&amp;"|"&amp;Raw_Data!U323&amp;"|"&amp;Raw_Data!V323&amp;"|"&amp;Raw_Data!W323&amp;"|"&amp;Raw_Data!X323&amp;"|"&amp;Raw_Data!Y323&amp;"|"&amp;Raw_Data!Z323&amp;"|"&amp;Raw_Data!AA323&amp;"|"&amp;Raw_Data!AB323&amp;"|"&amp;Raw_Data!AC323&amp;"|"&amp;Raw_Data!AD323&amp;"|"&amp;Raw_Data!AE323&amp;"|"&amp;Raw_Data!AF323&amp;"|"&amp;Raw_Data!AG323&amp;"|"&amp;Raw_Data!AH323&amp;"|"&amp;Raw_Data!AI323&amp;"|"&amp;Raw_Data!AJ323&amp;"|"&amp;Raw_Data!AK323&amp;"|"&amp;Raw_Data!AL323&amp;"|"&amp;Raw_Data!AM323&amp;"|"&amp;Raw_Data!AN323&amp;"|"&amp;Raw_Data!AO323</f>
        <v>0|6|1|1|2|2|1|2|1|22|3|3|4|3|3|4|3|2|4|4|5|4|4|3|4|4|4|3|2|3|4|3|3|3|3|4|3|3|3|2|3</v>
      </c>
      <c r="Q325" s="3" t="n">
        <f aca="false">COUNTIF($P$4:$P$513,P325)</f>
        <v>1</v>
      </c>
    </row>
    <row r="326" customFormat="false" ht="15" hidden="false" customHeight="false" outlineLevel="0" collapsed="false">
      <c r="O326" s="3" t="n">
        <v>324</v>
      </c>
      <c r="P326" s="3" t="str">
        <f aca="false">Raw_Data!A324&amp;"|"&amp;Raw_Data!B324&amp;"|"&amp;Raw_Data!C324&amp;"|"&amp;Raw_Data!D324&amp;"|"&amp;Raw_Data!E324&amp;"|"&amp;Raw_Data!F324&amp;"|"&amp;Raw_Data!G324&amp;"|"&amp;Raw_Data!H324&amp;"|"&amp;Raw_Data!I324&amp;"|"&amp;Raw_Data!J324&amp;"|"&amp;Raw_Data!K324&amp;"|"&amp;Raw_Data!L324&amp;"|"&amp;Raw_Data!M324&amp;"|"&amp;Raw_Data!N324&amp;"|"&amp;Raw_Data!O324&amp;"|"&amp;Raw_Data!P324&amp;"|"&amp;Raw_Data!Q324&amp;"|"&amp;Raw_Data!R324&amp;"|"&amp;Raw_Data!S324&amp;"|"&amp;Raw_Data!T324&amp;"|"&amp;Raw_Data!U324&amp;"|"&amp;Raw_Data!V324&amp;"|"&amp;Raw_Data!W324&amp;"|"&amp;Raw_Data!X324&amp;"|"&amp;Raw_Data!Y324&amp;"|"&amp;Raw_Data!Z324&amp;"|"&amp;Raw_Data!AA324&amp;"|"&amp;Raw_Data!AB324&amp;"|"&amp;Raw_Data!AC324&amp;"|"&amp;Raw_Data!AD324&amp;"|"&amp;Raw_Data!AE324&amp;"|"&amp;Raw_Data!AF324&amp;"|"&amp;Raw_Data!AG324&amp;"|"&amp;Raw_Data!AH324&amp;"|"&amp;Raw_Data!AI324&amp;"|"&amp;Raw_Data!AJ324&amp;"|"&amp;Raw_Data!AK324&amp;"|"&amp;Raw_Data!AL324&amp;"|"&amp;Raw_Data!AM324&amp;"|"&amp;Raw_Data!AN324&amp;"|"&amp;Raw_Data!AO324</f>
        <v>0|1|2|2|2|2|1|1|1|21|4|3|5|4|3|2|3|3|5|4|5|3|5|5|4|5|2|2|1|2|4|3|5|4|4|5|2|5|4|3|3</v>
      </c>
      <c r="Q326" s="3" t="n">
        <f aca="false">COUNTIF($P$4:$P$513,P326)</f>
        <v>1</v>
      </c>
    </row>
    <row r="327" customFormat="false" ht="15" hidden="false" customHeight="false" outlineLevel="0" collapsed="false">
      <c r="O327" s="3" t="n">
        <v>325</v>
      </c>
      <c r="P327" s="3" t="str">
        <f aca="false">Raw_Data!A325&amp;"|"&amp;Raw_Data!B325&amp;"|"&amp;Raw_Data!C325&amp;"|"&amp;Raw_Data!D325&amp;"|"&amp;Raw_Data!E325&amp;"|"&amp;Raw_Data!F325&amp;"|"&amp;Raw_Data!G325&amp;"|"&amp;Raw_Data!H325&amp;"|"&amp;Raw_Data!I325&amp;"|"&amp;Raw_Data!J325&amp;"|"&amp;Raw_Data!K325&amp;"|"&amp;Raw_Data!L325&amp;"|"&amp;Raw_Data!M325&amp;"|"&amp;Raw_Data!N325&amp;"|"&amp;Raw_Data!O325&amp;"|"&amp;Raw_Data!P325&amp;"|"&amp;Raw_Data!Q325&amp;"|"&amp;Raw_Data!R325&amp;"|"&amp;Raw_Data!S325&amp;"|"&amp;Raw_Data!T325&amp;"|"&amp;Raw_Data!U325&amp;"|"&amp;Raw_Data!V325&amp;"|"&amp;Raw_Data!W325&amp;"|"&amp;Raw_Data!X325&amp;"|"&amp;Raw_Data!Y325&amp;"|"&amp;Raw_Data!Z325&amp;"|"&amp;Raw_Data!AA325&amp;"|"&amp;Raw_Data!AB325&amp;"|"&amp;Raw_Data!AC325&amp;"|"&amp;Raw_Data!AD325&amp;"|"&amp;Raw_Data!AE325&amp;"|"&amp;Raw_Data!AF325&amp;"|"&amp;Raw_Data!AG325&amp;"|"&amp;Raw_Data!AH325&amp;"|"&amp;Raw_Data!AI325&amp;"|"&amp;Raw_Data!AJ325&amp;"|"&amp;Raw_Data!AK325&amp;"|"&amp;Raw_Data!AL325&amp;"|"&amp;Raw_Data!AM325&amp;"|"&amp;Raw_Data!AN325&amp;"|"&amp;Raw_Data!AO325</f>
        <v>1|3|1|2|2|2|3|3|1|22|3|3|4|3|4|3|4|4|4|5|4|2|2|2|2|2|2|1|2|2|3|3|3|3|3|4|3|4|4|3|4</v>
      </c>
      <c r="Q327" s="3" t="n">
        <f aca="false">COUNTIF($P$4:$P$513,P327)</f>
        <v>1</v>
      </c>
    </row>
    <row r="328" customFormat="false" ht="15" hidden="false" customHeight="false" outlineLevel="0" collapsed="false">
      <c r="O328" s="3" t="n">
        <v>326</v>
      </c>
      <c r="P328" s="3" t="str">
        <f aca="false">Raw_Data!A326&amp;"|"&amp;Raw_Data!B326&amp;"|"&amp;Raw_Data!C326&amp;"|"&amp;Raw_Data!D326&amp;"|"&amp;Raw_Data!E326&amp;"|"&amp;Raw_Data!F326&amp;"|"&amp;Raw_Data!G326&amp;"|"&amp;Raw_Data!H326&amp;"|"&amp;Raw_Data!I326&amp;"|"&amp;Raw_Data!J326&amp;"|"&amp;Raw_Data!K326&amp;"|"&amp;Raw_Data!L326&amp;"|"&amp;Raw_Data!M326&amp;"|"&amp;Raw_Data!N326&amp;"|"&amp;Raw_Data!O326&amp;"|"&amp;Raw_Data!P326&amp;"|"&amp;Raw_Data!Q326&amp;"|"&amp;Raw_Data!R326&amp;"|"&amp;Raw_Data!S326&amp;"|"&amp;Raw_Data!T326&amp;"|"&amp;Raw_Data!U326&amp;"|"&amp;Raw_Data!V326&amp;"|"&amp;Raw_Data!W326&amp;"|"&amp;Raw_Data!X326&amp;"|"&amp;Raw_Data!Y326&amp;"|"&amp;Raw_Data!Z326&amp;"|"&amp;Raw_Data!AA326&amp;"|"&amp;Raw_Data!AB326&amp;"|"&amp;Raw_Data!AC326&amp;"|"&amp;Raw_Data!AD326&amp;"|"&amp;Raw_Data!AE326&amp;"|"&amp;Raw_Data!AF326&amp;"|"&amp;Raw_Data!AG326&amp;"|"&amp;Raw_Data!AH326&amp;"|"&amp;Raw_Data!AI326&amp;"|"&amp;Raw_Data!AJ326&amp;"|"&amp;Raw_Data!AK326&amp;"|"&amp;Raw_Data!AL326&amp;"|"&amp;Raw_Data!AM326&amp;"|"&amp;Raw_Data!AN326&amp;"|"&amp;Raw_Data!AO326</f>
        <v>0|4|2|1|2|2|3|3|3|24|1|2|4|5|4|2|5|4|4|5|5|5|4|4|4|4|2|2|2|1|4|2|4|4|2|5|1|4|3|2|3</v>
      </c>
      <c r="Q328" s="3" t="n">
        <f aca="false">COUNTIF($P$4:$P$513,P328)</f>
        <v>1</v>
      </c>
    </row>
    <row r="329" customFormat="false" ht="15" hidden="false" customHeight="false" outlineLevel="0" collapsed="false">
      <c r="O329" s="3" t="n">
        <v>327</v>
      </c>
      <c r="P329" s="3" t="str">
        <f aca="false">Raw_Data!A327&amp;"|"&amp;Raw_Data!B327&amp;"|"&amp;Raw_Data!C327&amp;"|"&amp;Raw_Data!D327&amp;"|"&amp;Raw_Data!E327&amp;"|"&amp;Raw_Data!F327&amp;"|"&amp;Raw_Data!G327&amp;"|"&amp;Raw_Data!H327&amp;"|"&amp;Raw_Data!I327&amp;"|"&amp;Raw_Data!J327&amp;"|"&amp;Raw_Data!K327&amp;"|"&amp;Raw_Data!L327&amp;"|"&amp;Raw_Data!M327&amp;"|"&amp;Raw_Data!N327&amp;"|"&amp;Raw_Data!O327&amp;"|"&amp;Raw_Data!P327&amp;"|"&amp;Raw_Data!Q327&amp;"|"&amp;Raw_Data!R327&amp;"|"&amp;Raw_Data!S327&amp;"|"&amp;Raw_Data!T327&amp;"|"&amp;Raw_Data!U327&amp;"|"&amp;Raw_Data!V327&amp;"|"&amp;Raw_Data!W327&amp;"|"&amp;Raw_Data!X327&amp;"|"&amp;Raw_Data!Y327&amp;"|"&amp;Raw_Data!Z327&amp;"|"&amp;Raw_Data!AA327&amp;"|"&amp;Raw_Data!AB327&amp;"|"&amp;Raw_Data!AC327&amp;"|"&amp;Raw_Data!AD327&amp;"|"&amp;Raw_Data!AE327&amp;"|"&amp;Raw_Data!AF327&amp;"|"&amp;Raw_Data!AG327&amp;"|"&amp;Raw_Data!AH327&amp;"|"&amp;Raw_Data!AI327&amp;"|"&amp;Raw_Data!AJ327&amp;"|"&amp;Raw_Data!AK327&amp;"|"&amp;Raw_Data!AL327&amp;"|"&amp;Raw_Data!AM327&amp;"|"&amp;Raw_Data!AN327&amp;"|"&amp;Raw_Data!AO327</f>
        <v>0|3|1|2|2|2|1|1|3|22|2|2|4|4|4|4|2|2|4|4|4|2|4|4|2|4|4|4|2|2|2|1|1|2|2|2|4|4|4|4|4</v>
      </c>
      <c r="Q329" s="3" t="n">
        <f aca="false">COUNTIF($P$4:$P$513,P329)</f>
        <v>1</v>
      </c>
    </row>
    <row r="330" customFormat="false" ht="15" hidden="false" customHeight="false" outlineLevel="0" collapsed="false">
      <c r="O330" s="3" t="n">
        <v>328</v>
      </c>
      <c r="P330" s="3" t="str">
        <f aca="false">Raw_Data!A328&amp;"|"&amp;Raw_Data!B328&amp;"|"&amp;Raw_Data!C328&amp;"|"&amp;Raw_Data!D328&amp;"|"&amp;Raw_Data!E328&amp;"|"&amp;Raw_Data!F328&amp;"|"&amp;Raw_Data!G328&amp;"|"&amp;Raw_Data!H328&amp;"|"&amp;Raw_Data!I328&amp;"|"&amp;Raw_Data!J328&amp;"|"&amp;Raw_Data!K328&amp;"|"&amp;Raw_Data!L328&amp;"|"&amp;Raw_Data!M328&amp;"|"&amp;Raw_Data!N328&amp;"|"&amp;Raw_Data!O328&amp;"|"&amp;Raw_Data!P328&amp;"|"&amp;Raw_Data!Q328&amp;"|"&amp;Raw_Data!R328&amp;"|"&amp;Raw_Data!S328&amp;"|"&amp;Raw_Data!T328&amp;"|"&amp;Raw_Data!U328&amp;"|"&amp;Raw_Data!V328&amp;"|"&amp;Raw_Data!W328&amp;"|"&amp;Raw_Data!X328&amp;"|"&amp;Raw_Data!Y328&amp;"|"&amp;Raw_Data!Z328&amp;"|"&amp;Raw_Data!AA328&amp;"|"&amp;Raw_Data!AB328&amp;"|"&amp;Raw_Data!AC328&amp;"|"&amp;Raw_Data!AD328&amp;"|"&amp;Raw_Data!AE328&amp;"|"&amp;Raw_Data!AF328&amp;"|"&amp;Raw_Data!AG328&amp;"|"&amp;Raw_Data!AH328&amp;"|"&amp;Raw_Data!AI328&amp;"|"&amp;Raw_Data!AJ328&amp;"|"&amp;Raw_Data!AK328&amp;"|"&amp;Raw_Data!AL328&amp;"|"&amp;Raw_Data!AM328&amp;"|"&amp;Raw_Data!AN328&amp;"|"&amp;Raw_Data!AO328</f>
        <v>0|3|2|1|1|2|1|2|1|22|4|4|4|4|4|2|2|2|5|4|4|4|4|3|2|4|2|3|2|2|4|3|4|4|4|4|2|3|3|2|4</v>
      </c>
      <c r="Q330" s="3" t="n">
        <f aca="false">COUNTIF($P$4:$P$513,P330)</f>
        <v>1</v>
      </c>
    </row>
    <row r="331" customFormat="false" ht="15" hidden="false" customHeight="false" outlineLevel="0" collapsed="false">
      <c r="O331" s="3" t="n">
        <v>329</v>
      </c>
      <c r="P331" s="3" t="str">
        <f aca="false">Raw_Data!A329&amp;"|"&amp;Raw_Data!B329&amp;"|"&amp;Raw_Data!C329&amp;"|"&amp;Raw_Data!D329&amp;"|"&amp;Raw_Data!E329&amp;"|"&amp;Raw_Data!F329&amp;"|"&amp;Raw_Data!G329&amp;"|"&amp;Raw_Data!H329&amp;"|"&amp;Raw_Data!I329&amp;"|"&amp;Raw_Data!J329&amp;"|"&amp;Raw_Data!K329&amp;"|"&amp;Raw_Data!L329&amp;"|"&amp;Raw_Data!M329&amp;"|"&amp;Raw_Data!N329&amp;"|"&amp;Raw_Data!O329&amp;"|"&amp;Raw_Data!P329&amp;"|"&amp;Raw_Data!Q329&amp;"|"&amp;Raw_Data!R329&amp;"|"&amp;Raw_Data!S329&amp;"|"&amp;Raw_Data!T329&amp;"|"&amp;Raw_Data!U329&amp;"|"&amp;Raw_Data!V329&amp;"|"&amp;Raw_Data!W329&amp;"|"&amp;Raw_Data!X329&amp;"|"&amp;Raw_Data!Y329&amp;"|"&amp;Raw_Data!Z329&amp;"|"&amp;Raw_Data!AA329&amp;"|"&amp;Raw_Data!AB329&amp;"|"&amp;Raw_Data!AC329&amp;"|"&amp;Raw_Data!AD329&amp;"|"&amp;Raw_Data!AE329&amp;"|"&amp;Raw_Data!AF329&amp;"|"&amp;Raw_Data!AG329&amp;"|"&amp;Raw_Data!AH329&amp;"|"&amp;Raw_Data!AI329&amp;"|"&amp;Raw_Data!AJ329&amp;"|"&amp;Raw_Data!AK329&amp;"|"&amp;Raw_Data!AL329&amp;"|"&amp;Raw_Data!AM329&amp;"|"&amp;Raw_Data!AN329&amp;"|"&amp;Raw_Data!AO329</f>
        <v>0|4|2|1|2|2|3|3|3|25|3|3|4|3|4|3|2|2|4|5|5|3|4|2|3|3|2|2|2|2|3|2|3|3|3|3|4|4|3|3|2</v>
      </c>
      <c r="Q331" s="3" t="n">
        <f aca="false">COUNTIF($P$4:$P$513,P331)</f>
        <v>1</v>
      </c>
    </row>
    <row r="332" customFormat="false" ht="15" hidden="false" customHeight="false" outlineLevel="0" collapsed="false">
      <c r="O332" s="3" t="n">
        <v>330</v>
      </c>
      <c r="P332" s="3" t="str">
        <f aca="false">Raw_Data!A330&amp;"|"&amp;Raw_Data!B330&amp;"|"&amp;Raw_Data!C330&amp;"|"&amp;Raw_Data!D330&amp;"|"&amp;Raw_Data!E330&amp;"|"&amp;Raw_Data!F330&amp;"|"&amp;Raw_Data!G330&amp;"|"&amp;Raw_Data!H330&amp;"|"&amp;Raw_Data!I330&amp;"|"&amp;Raw_Data!J330&amp;"|"&amp;Raw_Data!K330&amp;"|"&amp;Raw_Data!L330&amp;"|"&amp;Raw_Data!M330&amp;"|"&amp;Raw_Data!N330&amp;"|"&amp;Raw_Data!O330&amp;"|"&amp;Raw_Data!P330&amp;"|"&amp;Raw_Data!Q330&amp;"|"&amp;Raw_Data!R330&amp;"|"&amp;Raw_Data!S330&amp;"|"&amp;Raw_Data!T330&amp;"|"&amp;Raw_Data!U330&amp;"|"&amp;Raw_Data!V330&amp;"|"&amp;Raw_Data!W330&amp;"|"&amp;Raw_Data!X330&amp;"|"&amp;Raw_Data!Y330&amp;"|"&amp;Raw_Data!Z330&amp;"|"&amp;Raw_Data!AA330&amp;"|"&amp;Raw_Data!AB330&amp;"|"&amp;Raw_Data!AC330&amp;"|"&amp;Raw_Data!AD330&amp;"|"&amp;Raw_Data!AE330&amp;"|"&amp;Raw_Data!AF330&amp;"|"&amp;Raw_Data!AG330&amp;"|"&amp;Raw_Data!AH330&amp;"|"&amp;Raw_Data!AI330&amp;"|"&amp;Raw_Data!AJ330&amp;"|"&amp;Raw_Data!AK330&amp;"|"&amp;Raw_Data!AL330&amp;"|"&amp;Raw_Data!AM330&amp;"|"&amp;Raw_Data!AN330&amp;"|"&amp;Raw_Data!AO330</f>
        <v>0|6|1|1|2|2|3|2|3|27|3|3|3|3|3|4|4|3|4|5|4|4|4|4|2|4|5|5|3|3|4|3|4|4|3|3|3|3|3|3|3</v>
      </c>
      <c r="Q332" s="3" t="n">
        <f aca="false">COUNTIF($P$4:$P$513,P332)</f>
        <v>1</v>
      </c>
    </row>
    <row r="333" customFormat="false" ht="15" hidden="false" customHeight="false" outlineLevel="0" collapsed="false">
      <c r="O333" s="3" t="n">
        <v>331</v>
      </c>
      <c r="P333" s="3" t="str">
        <f aca="false">Raw_Data!A331&amp;"|"&amp;Raw_Data!B331&amp;"|"&amp;Raw_Data!C331&amp;"|"&amp;Raw_Data!D331&amp;"|"&amp;Raw_Data!E331&amp;"|"&amp;Raw_Data!F331&amp;"|"&amp;Raw_Data!G331&amp;"|"&amp;Raw_Data!H331&amp;"|"&amp;Raw_Data!I331&amp;"|"&amp;Raw_Data!J331&amp;"|"&amp;Raw_Data!K331&amp;"|"&amp;Raw_Data!L331&amp;"|"&amp;Raw_Data!M331&amp;"|"&amp;Raw_Data!N331&amp;"|"&amp;Raw_Data!O331&amp;"|"&amp;Raw_Data!P331&amp;"|"&amp;Raw_Data!Q331&amp;"|"&amp;Raw_Data!R331&amp;"|"&amp;Raw_Data!S331&amp;"|"&amp;Raw_Data!T331&amp;"|"&amp;Raw_Data!U331&amp;"|"&amp;Raw_Data!V331&amp;"|"&amp;Raw_Data!W331&amp;"|"&amp;Raw_Data!X331&amp;"|"&amp;Raw_Data!Y331&amp;"|"&amp;Raw_Data!Z331&amp;"|"&amp;Raw_Data!AA331&amp;"|"&amp;Raw_Data!AB331&amp;"|"&amp;Raw_Data!AC331&amp;"|"&amp;Raw_Data!AD331&amp;"|"&amp;Raw_Data!AE331&amp;"|"&amp;Raw_Data!AF331&amp;"|"&amp;Raw_Data!AG331&amp;"|"&amp;Raw_Data!AH331&amp;"|"&amp;Raw_Data!AI331&amp;"|"&amp;Raw_Data!AJ331&amp;"|"&amp;Raw_Data!AK331&amp;"|"&amp;Raw_Data!AL331&amp;"|"&amp;Raw_Data!AM331&amp;"|"&amp;Raw_Data!AN331&amp;"|"&amp;Raw_Data!AO331</f>
        <v>0|3|2|1|2|2|3|2|1|22|2|3|3|3|3|3|2|3|3|2|4|3|4|3|2|3|2|1|2|2|3|3|2|3|3|4|4|3|2|2|3</v>
      </c>
      <c r="Q333" s="3" t="n">
        <f aca="false">COUNTIF($P$4:$P$513,P333)</f>
        <v>1</v>
      </c>
    </row>
    <row r="334" customFormat="false" ht="15" hidden="false" customHeight="false" outlineLevel="0" collapsed="false">
      <c r="O334" s="3" t="n">
        <v>332</v>
      </c>
      <c r="P334" s="3" t="str">
        <f aca="false">Raw_Data!A332&amp;"|"&amp;Raw_Data!B332&amp;"|"&amp;Raw_Data!C332&amp;"|"&amp;Raw_Data!D332&amp;"|"&amp;Raw_Data!E332&amp;"|"&amp;Raw_Data!F332&amp;"|"&amp;Raw_Data!G332&amp;"|"&amp;Raw_Data!H332&amp;"|"&amp;Raw_Data!I332&amp;"|"&amp;Raw_Data!J332&amp;"|"&amp;Raw_Data!K332&amp;"|"&amp;Raw_Data!L332&amp;"|"&amp;Raw_Data!M332&amp;"|"&amp;Raw_Data!N332&amp;"|"&amp;Raw_Data!O332&amp;"|"&amp;Raw_Data!P332&amp;"|"&amp;Raw_Data!Q332&amp;"|"&amp;Raw_Data!R332&amp;"|"&amp;Raw_Data!S332&amp;"|"&amp;Raw_Data!T332&amp;"|"&amp;Raw_Data!U332&amp;"|"&amp;Raw_Data!V332&amp;"|"&amp;Raw_Data!W332&amp;"|"&amp;Raw_Data!X332&amp;"|"&amp;Raw_Data!Y332&amp;"|"&amp;Raw_Data!Z332&amp;"|"&amp;Raw_Data!AA332&amp;"|"&amp;Raw_Data!AB332&amp;"|"&amp;Raw_Data!AC332&amp;"|"&amp;Raw_Data!AD332&amp;"|"&amp;Raw_Data!AE332&amp;"|"&amp;Raw_Data!AF332&amp;"|"&amp;Raw_Data!AG332&amp;"|"&amp;Raw_Data!AH332&amp;"|"&amp;Raw_Data!AI332&amp;"|"&amp;Raw_Data!AJ332&amp;"|"&amp;Raw_Data!AK332&amp;"|"&amp;Raw_Data!AL332&amp;"|"&amp;Raw_Data!AM332&amp;"|"&amp;Raw_Data!AN332&amp;"|"&amp;Raw_Data!AO332</f>
        <v>0|3|2|1|2|2|3|2|1|22|2|3|3|3|3|3|4|2|3|4|4|4|4|4|3|4|3|1|2|2|3|2|3|4|4|4|2|4|2|2|3</v>
      </c>
      <c r="Q334" s="3" t="n">
        <f aca="false">COUNTIF($P$4:$P$513,P334)</f>
        <v>1</v>
      </c>
    </row>
    <row r="335" customFormat="false" ht="15" hidden="false" customHeight="false" outlineLevel="0" collapsed="false">
      <c r="O335" s="3" t="n">
        <v>333</v>
      </c>
      <c r="P335" s="3" t="str">
        <f aca="false">Raw_Data!A333&amp;"|"&amp;Raw_Data!B333&amp;"|"&amp;Raw_Data!C333&amp;"|"&amp;Raw_Data!D333&amp;"|"&amp;Raw_Data!E333&amp;"|"&amp;Raw_Data!F333&amp;"|"&amp;Raw_Data!G333&amp;"|"&amp;Raw_Data!H333&amp;"|"&amp;Raw_Data!I333&amp;"|"&amp;Raw_Data!J333&amp;"|"&amp;Raw_Data!K333&amp;"|"&amp;Raw_Data!L333&amp;"|"&amp;Raw_Data!M333&amp;"|"&amp;Raw_Data!N333&amp;"|"&amp;Raw_Data!O333&amp;"|"&amp;Raw_Data!P333&amp;"|"&amp;Raw_Data!Q333&amp;"|"&amp;Raw_Data!R333&amp;"|"&amp;Raw_Data!S333&amp;"|"&amp;Raw_Data!T333&amp;"|"&amp;Raw_Data!U333&amp;"|"&amp;Raw_Data!V333&amp;"|"&amp;Raw_Data!W333&amp;"|"&amp;Raw_Data!X333&amp;"|"&amp;Raw_Data!Y333&amp;"|"&amp;Raw_Data!Z333&amp;"|"&amp;Raw_Data!AA333&amp;"|"&amp;Raw_Data!AB333&amp;"|"&amp;Raw_Data!AC333&amp;"|"&amp;Raw_Data!AD333&amp;"|"&amp;Raw_Data!AE333&amp;"|"&amp;Raw_Data!AF333&amp;"|"&amp;Raw_Data!AG333&amp;"|"&amp;Raw_Data!AH333&amp;"|"&amp;Raw_Data!AI333&amp;"|"&amp;Raw_Data!AJ333&amp;"|"&amp;Raw_Data!AK333&amp;"|"&amp;Raw_Data!AL333&amp;"|"&amp;Raw_Data!AM333&amp;"|"&amp;Raw_Data!AN333&amp;"|"&amp;Raw_Data!AO333</f>
        <v>1|6|1|1|2|2|3|3|2|23|3|3|4|3|4|4|3|3|4|5|5|4|5|4|4|5|4|4|2|2|3|3|5|2|2|4|3|4|3|2|2</v>
      </c>
      <c r="Q335" s="3" t="n">
        <f aca="false">COUNTIF($P$4:$P$513,P335)</f>
        <v>1</v>
      </c>
    </row>
    <row r="336" customFormat="false" ht="15" hidden="false" customHeight="false" outlineLevel="0" collapsed="false">
      <c r="O336" s="3" t="n">
        <v>334</v>
      </c>
      <c r="P336" s="3" t="str">
        <f aca="false">Raw_Data!A334&amp;"|"&amp;Raw_Data!B334&amp;"|"&amp;Raw_Data!C334&amp;"|"&amp;Raw_Data!D334&amp;"|"&amp;Raw_Data!E334&amp;"|"&amp;Raw_Data!F334&amp;"|"&amp;Raw_Data!G334&amp;"|"&amp;Raw_Data!H334&amp;"|"&amp;Raw_Data!I334&amp;"|"&amp;Raw_Data!J334&amp;"|"&amp;Raw_Data!K334&amp;"|"&amp;Raw_Data!L334&amp;"|"&amp;Raw_Data!M334&amp;"|"&amp;Raw_Data!N334&amp;"|"&amp;Raw_Data!O334&amp;"|"&amp;Raw_Data!P334&amp;"|"&amp;Raw_Data!Q334&amp;"|"&amp;Raw_Data!R334&amp;"|"&amp;Raw_Data!S334&amp;"|"&amp;Raw_Data!T334&amp;"|"&amp;Raw_Data!U334&amp;"|"&amp;Raw_Data!V334&amp;"|"&amp;Raw_Data!W334&amp;"|"&amp;Raw_Data!X334&amp;"|"&amp;Raw_Data!Y334&amp;"|"&amp;Raw_Data!Z334&amp;"|"&amp;Raw_Data!AA334&amp;"|"&amp;Raw_Data!AB334&amp;"|"&amp;Raw_Data!AC334&amp;"|"&amp;Raw_Data!AD334&amp;"|"&amp;Raw_Data!AE334&amp;"|"&amp;Raw_Data!AF334&amp;"|"&amp;Raw_Data!AG334&amp;"|"&amp;Raw_Data!AH334&amp;"|"&amp;Raw_Data!AI334&amp;"|"&amp;Raw_Data!AJ334&amp;"|"&amp;Raw_Data!AK334&amp;"|"&amp;Raw_Data!AL334&amp;"|"&amp;Raw_Data!AM334&amp;"|"&amp;Raw_Data!AN334&amp;"|"&amp;Raw_Data!AO334</f>
        <v>0|3|1|1|2|2|2|1|3|22|5|4|4|4|5|4|5|4|4|5|3|5|5|4|2|2|5|4|4|2|4|3|3|4|4|4|2|5|5|4|2</v>
      </c>
      <c r="Q336" s="3" t="n">
        <f aca="false">COUNTIF($P$4:$P$513,P336)</f>
        <v>1</v>
      </c>
    </row>
    <row r="337" customFormat="false" ht="15" hidden="false" customHeight="false" outlineLevel="0" collapsed="false">
      <c r="O337" s="3" t="n">
        <v>335</v>
      </c>
      <c r="P337" s="3" t="str">
        <f aca="false">Raw_Data!A335&amp;"|"&amp;Raw_Data!B335&amp;"|"&amp;Raw_Data!C335&amp;"|"&amp;Raw_Data!D335&amp;"|"&amp;Raw_Data!E335&amp;"|"&amp;Raw_Data!F335&amp;"|"&amp;Raw_Data!G335&amp;"|"&amp;Raw_Data!H335&amp;"|"&amp;Raw_Data!I335&amp;"|"&amp;Raw_Data!J335&amp;"|"&amp;Raw_Data!K335&amp;"|"&amp;Raw_Data!L335&amp;"|"&amp;Raw_Data!M335&amp;"|"&amp;Raw_Data!N335&amp;"|"&amp;Raw_Data!O335&amp;"|"&amp;Raw_Data!P335&amp;"|"&amp;Raw_Data!Q335&amp;"|"&amp;Raw_Data!R335&amp;"|"&amp;Raw_Data!S335&amp;"|"&amp;Raw_Data!T335&amp;"|"&amp;Raw_Data!U335&amp;"|"&amp;Raw_Data!V335&amp;"|"&amp;Raw_Data!W335&amp;"|"&amp;Raw_Data!X335&amp;"|"&amp;Raw_Data!Y335&amp;"|"&amp;Raw_Data!Z335&amp;"|"&amp;Raw_Data!AA335&amp;"|"&amp;Raw_Data!AB335&amp;"|"&amp;Raw_Data!AC335&amp;"|"&amp;Raw_Data!AD335&amp;"|"&amp;Raw_Data!AE335&amp;"|"&amp;Raw_Data!AF335&amp;"|"&amp;Raw_Data!AG335&amp;"|"&amp;Raw_Data!AH335&amp;"|"&amp;Raw_Data!AI335&amp;"|"&amp;Raw_Data!AJ335&amp;"|"&amp;Raw_Data!AK335&amp;"|"&amp;Raw_Data!AL335&amp;"|"&amp;Raw_Data!AM335&amp;"|"&amp;Raw_Data!AN335&amp;"|"&amp;Raw_Data!AO335</f>
        <v>1|3|1|1|2|2|2|2|3|22|4|4|4|4|4|3|3|4|2|4|4|4|4|4|3|4|4|3|3|3|3|3|4|4|3|4|3|4|4|4|4</v>
      </c>
      <c r="Q337" s="3" t="n">
        <f aca="false">COUNTIF($P$4:$P$513,P337)</f>
        <v>1</v>
      </c>
    </row>
    <row r="338" customFormat="false" ht="15" hidden="false" customHeight="false" outlineLevel="0" collapsed="false">
      <c r="O338" s="3" t="n">
        <v>336</v>
      </c>
      <c r="P338" s="3" t="str">
        <f aca="false">Raw_Data!A336&amp;"|"&amp;Raw_Data!B336&amp;"|"&amp;Raw_Data!C336&amp;"|"&amp;Raw_Data!D336&amp;"|"&amp;Raw_Data!E336&amp;"|"&amp;Raw_Data!F336&amp;"|"&amp;Raw_Data!G336&amp;"|"&amp;Raw_Data!H336&amp;"|"&amp;Raw_Data!I336&amp;"|"&amp;Raw_Data!J336&amp;"|"&amp;Raw_Data!K336&amp;"|"&amp;Raw_Data!L336&amp;"|"&amp;Raw_Data!M336&amp;"|"&amp;Raw_Data!N336&amp;"|"&amp;Raw_Data!O336&amp;"|"&amp;Raw_Data!P336&amp;"|"&amp;Raw_Data!Q336&amp;"|"&amp;Raw_Data!R336&amp;"|"&amp;Raw_Data!S336&amp;"|"&amp;Raw_Data!T336&amp;"|"&amp;Raw_Data!U336&amp;"|"&amp;Raw_Data!V336&amp;"|"&amp;Raw_Data!W336&amp;"|"&amp;Raw_Data!X336&amp;"|"&amp;Raw_Data!Y336&amp;"|"&amp;Raw_Data!Z336&amp;"|"&amp;Raw_Data!AA336&amp;"|"&amp;Raw_Data!AB336&amp;"|"&amp;Raw_Data!AC336&amp;"|"&amp;Raw_Data!AD336&amp;"|"&amp;Raw_Data!AE336&amp;"|"&amp;Raw_Data!AF336&amp;"|"&amp;Raw_Data!AG336&amp;"|"&amp;Raw_Data!AH336&amp;"|"&amp;Raw_Data!AI336&amp;"|"&amp;Raw_Data!AJ336&amp;"|"&amp;Raw_Data!AK336&amp;"|"&amp;Raw_Data!AL336&amp;"|"&amp;Raw_Data!AM336&amp;"|"&amp;Raw_Data!AN336&amp;"|"&amp;Raw_Data!AO336</f>
        <v>0|4|1|1|2|2|3|2|2|23|4|2|4|2|4|3|4|2|3|4|4|3|5|4|4|5|2|2|1|2|3|2|3|4|4|2|2|4|3|2|2</v>
      </c>
      <c r="Q338" s="3" t="n">
        <f aca="false">COUNTIF($P$4:$P$513,P338)</f>
        <v>1</v>
      </c>
    </row>
    <row r="339" customFormat="false" ht="15" hidden="false" customHeight="false" outlineLevel="0" collapsed="false">
      <c r="O339" s="3" t="n">
        <v>337</v>
      </c>
      <c r="P339" s="3" t="str">
        <f aca="false">Raw_Data!A337&amp;"|"&amp;Raw_Data!B337&amp;"|"&amp;Raw_Data!C337&amp;"|"&amp;Raw_Data!D337&amp;"|"&amp;Raw_Data!E337&amp;"|"&amp;Raw_Data!F337&amp;"|"&amp;Raw_Data!G337&amp;"|"&amp;Raw_Data!H337&amp;"|"&amp;Raw_Data!I337&amp;"|"&amp;Raw_Data!J337&amp;"|"&amp;Raw_Data!K337&amp;"|"&amp;Raw_Data!L337&amp;"|"&amp;Raw_Data!M337&amp;"|"&amp;Raw_Data!N337&amp;"|"&amp;Raw_Data!O337&amp;"|"&amp;Raw_Data!P337&amp;"|"&amp;Raw_Data!Q337&amp;"|"&amp;Raw_Data!R337&amp;"|"&amp;Raw_Data!S337&amp;"|"&amp;Raw_Data!T337&amp;"|"&amp;Raw_Data!U337&amp;"|"&amp;Raw_Data!V337&amp;"|"&amp;Raw_Data!W337&amp;"|"&amp;Raw_Data!X337&amp;"|"&amp;Raw_Data!Y337&amp;"|"&amp;Raw_Data!Z337&amp;"|"&amp;Raw_Data!AA337&amp;"|"&amp;Raw_Data!AB337&amp;"|"&amp;Raw_Data!AC337&amp;"|"&amp;Raw_Data!AD337&amp;"|"&amp;Raw_Data!AE337&amp;"|"&amp;Raw_Data!AF337&amp;"|"&amp;Raw_Data!AG337&amp;"|"&amp;Raw_Data!AH337&amp;"|"&amp;Raw_Data!AI337&amp;"|"&amp;Raw_Data!AJ337&amp;"|"&amp;Raw_Data!AK337&amp;"|"&amp;Raw_Data!AL337&amp;"|"&amp;Raw_Data!AM337&amp;"|"&amp;Raw_Data!AN337&amp;"|"&amp;Raw_Data!AO337</f>
        <v>0|4|2|1|2|2|3|1|1|22|3|4|4|3|4|4|4|4|5|4|5|3|4|3|3|4|3|4|2|2|4|3|2|4|4|4|2|4|3|3|3</v>
      </c>
      <c r="Q339" s="3" t="n">
        <f aca="false">COUNTIF($P$4:$P$513,P339)</f>
        <v>1</v>
      </c>
    </row>
    <row r="340" customFormat="false" ht="15" hidden="false" customHeight="false" outlineLevel="0" collapsed="false">
      <c r="O340" s="3" t="n">
        <v>338</v>
      </c>
      <c r="P340" s="3" t="str">
        <f aca="false">Raw_Data!A338&amp;"|"&amp;Raw_Data!B338&amp;"|"&amp;Raw_Data!C338&amp;"|"&amp;Raw_Data!D338&amp;"|"&amp;Raw_Data!E338&amp;"|"&amp;Raw_Data!F338&amp;"|"&amp;Raw_Data!G338&amp;"|"&amp;Raw_Data!H338&amp;"|"&amp;Raw_Data!I338&amp;"|"&amp;Raw_Data!J338&amp;"|"&amp;Raw_Data!K338&amp;"|"&amp;Raw_Data!L338&amp;"|"&amp;Raw_Data!M338&amp;"|"&amp;Raw_Data!N338&amp;"|"&amp;Raw_Data!O338&amp;"|"&amp;Raw_Data!P338&amp;"|"&amp;Raw_Data!Q338&amp;"|"&amp;Raw_Data!R338&amp;"|"&amp;Raw_Data!S338&amp;"|"&amp;Raw_Data!T338&amp;"|"&amp;Raw_Data!U338&amp;"|"&amp;Raw_Data!V338&amp;"|"&amp;Raw_Data!W338&amp;"|"&amp;Raw_Data!X338&amp;"|"&amp;Raw_Data!Y338&amp;"|"&amp;Raw_Data!Z338&amp;"|"&amp;Raw_Data!AA338&amp;"|"&amp;Raw_Data!AB338&amp;"|"&amp;Raw_Data!AC338&amp;"|"&amp;Raw_Data!AD338&amp;"|"&amp;Raw_Data!AE338&amp;"|"&amp;Raw_Data!AF338&amp;"|"&amp;Raw_Data!AG338&amp;"|"&amp;Raw_Data!AH338&amp;"|"&amp;Raw_Data!AI338&amp;"|"&amp;Raw_Data!AJ338&amp;"|"&amp;Raw_Data!AK338&amp;"|"&amp;Raw_Data!AL338&amp;"|"&amp;Raw_Data!AM338&amp;"|"&amp;Raw_Data!AN338&amp;"|"&amp;Raw_Data!AO338</f>
        <v>1|4|1|2|2|2|3|3|2|27|4|3|4|3|5|4|5|2|5|5|5|2|4|5|4|5|4|4|1|2|5|5|5|5|5|4|5|5|3|2|5</v>
      </c>
      <c r="Q340" s="3" t="n">
        <f aca="false">COUNTIF($P$4:$P$513,P340)</f>
        <v>1</v>
      </c>
    </row>
    <row r="341" customFormat="false" ht="15" hidden="false" customHeight="false" outlineLevel="0" collapsed="false">
      <c r="O341" s="3" t="n">
        <v>339</v>
      </c>
      <c r="P341" s="3" t="str">
        <f aca="false">Raw_Data!A339&amp;"|"&amp;Raw_Data!B339&amp;"|"&amp;Raw_Data!C339&amp;"|"&amp;Raw_Data!D339&amp;"|"&amp;Raw_Data!E339&amp;"|"&amp;Raw_Data!F339&amp;"|"&amp;Raw_Data!G339&amp;"|"&amp;Raw_Data!H339&amp;"|"&amp;Raw_Data!I339&amp;"|"&amp;Raw_Data!J339&amp;"|"&amp;Raw_Data!K339&amp;"|"&amp;Raw_Data!L339&amp;"|"&amp;Raw_Data!M339&amp;"|"&amp;Raw_Data!N339&amp;"|"&amp;Raw_Data!O339&amp;"|"&amp;Raw_Data!P339&amp;"|"&amp;Raw_Data!Q339&amp;"|"&amp;Raw_Data!R339&amp;"|"&amp;Raw_Data!S339&amp;"|"&amp;Raw_Data!T339&amp;"|"&amp;Raw_Data!U339&amp;"|"&amp;Raw_Data!V339&amp;"|"&amp;Raw_Data!W339&amp;"|"&amp;Raw_Data!X339&amp;"|"&amp;Raw_Data!Y339&amp;"|"&amp;Raw_Data!Z339&amp;"|"&amp;Raw_Data!AA339&amp;"|"&amp;Raw_Data!AB339&amp;"|"&amp;Raw_Data!AC339&amp;"|"&amp;Raw_Data!AD339&amp;"|"&amp;Raw_Data!AE339&amp;"|"&amp;Raw_Data!AF339&amp;"|"&amp;Raw_Data!AG339&amp;"|"&amp;Raw_Data!AH339&amp;"|"&amp;Raw_Data!AI339&amp;"|"&amp;Raw_Data!AJ339&amp;"|"&amp;Raw_Data!AK339&amp;"|"&amp;Raw_Data!AL339&amp;"|"&amp;Raw_Data!AM339&amp;"|"&amp;Raw_Data!AN339&amp;"|"&amp;Raw_Data!AO339</f>
        <v>0|4|1|1|2|2|2|2|3|24|3|3|4|3|4|3|2|4|4|5|4|4|4|4|4|4|2|2|2|3|4|3|4|4|4|4|3|4|3|3|3</v>
      </c>
      <c r="Q341" s="3" t="n">
        <f aca="false">COUNTIF($P$4:$P$513,P341)</f>
        <v>1</v>
      </c>
    </row>
    <row r="342" customFormat="false" ht="15" hidden="false" customHeight="false" outlineLevel="0" collapsed="false">
      <c r="O342" s="3" t="n">
        <v>340</v>
      </c>
      <c r="P342" s="3" t="str">
        <f aca="false">Raw_Data!A340&amp;"|"&amp;Raw_Data!B340&amp;"|"&amp;Raw_Data!C340&amp;"|"&amp;Raw_Data!D340&amp;"|"&amp;Raw_Data!E340&amp;"|"&amp;Raw_Data!F340&amp;"|"&amp;Raw_Data!G340&amp;"|"&amp;Raw_Data!H340&amp;"|"&amp;Raw_Data!I340&amp;"|"&amp;Raw_Data!J340&amp;"|"&amp;Raw_Data!K340&amp;"|"&amp;Raw_Data!L340&amp;"|"&amp;Raw_Data!M340&amp;"|"&amp;Raw_Data!N340&amp;"|"&amp;Raw_Data!O340&amp;"|"&amp;Raw_Data!P340&amp;"|"&amp;Raw_Data!Q340&amp;"|"&amp;Raw_Data!R340&amp;"|"&amp;Raw_Data!S340&amp;"|"&amp;Raw_Data!T340&amp;"|"&amp;Raw_Data!U340&amp;"|"&amp;Raw_Data!V340&amp;"|"&amp;Raw_Data!W340&amp;"|"&amp;Raw_Data!X340&amp;"|"&amp;Raw_Data!Y340&amp;"|"&amp;Raw_Data!Z340&amp;"|"&amp;Raw_Data!AA340&amp;"|"&amp;Raw_Data!AB340&amp;"|"&amp;Raw_Data!AC340&amp;"|"&amp;Raw_Data!AD340&amp;"|"&amp;Raw_Data!AE340&amp;"|"&amp;Raw_Data!AF340&amp;"|"&amp;Raw_Data!AG340&amp;"|"&amp;Raw_Data!AH340&amp;"|"&amp;Raw_Data!AI340&amp;"|"&amp;Raw_Data!AJ340&amp;"|"&amp;Raw_Data!AK340&amp;"|"&amp;Raw_Data!AL340&amp;"|"&amp;Raw_Data!AM340&amp;"|"&amp;Raw_Data!AN340&amp;"|"&amp;Raw_Data!AO340</f>
        <v>0|4|2|1|2|2|3|3|3|24|2|3|3|3|3|2|3|3|4|5|4|4|4|3|4|4|3|4|1|2|3|3|4|1|4|2|3|3|3|2|3</v>
      </c>
      <c r="Q342" s="3" t="n">
        <f aca="false">COUNTIF($P$4:$P$513,P342)</f>
        <v>1</v>
      </c>
    </row>
    <row r="343" customFormat="false" ht="15" hidden="false" customHeight="false" outlineLevel="0" collapsed="false">
      <c r="O343" s="3" t="n">
        <v>341</v>
      </c>
      <c r="P343" s="3" t="str">
        <f aca="false">Raw_Data!A341&amp;"|"&amp;Raw_Data!B341&amp;"|"&amp;Raw_Data!C341&amp;"|"&amp;Raw_Data!D341&amp;"|"&amp;Raw_Data!E341&amp;"|"&amp;Raw_Data!F341&amp;"|"&amp;Raw_Data!G341&amp;"|"&amp;Raw_Data!H341&amp;"|"&amp;Raw_Data!I341&amp;"|"&amp;Raw_Data!J341&amp;"|"&amp;Raw_Data!K341&amp;"|"&amp;Raw_Data!L341&amp;"|"&amp;Raw_Data!M341&amp;"|"&amp;Raw_Data!N341&amp;"|"&amp;Raw_Data!O341&amp;"|"&amp;Raw_Data!P341&amp;"|"&amp;Raw_Data!Q341&amp;"|"&amp;Raw_Data!R341&amp;"|"&amp;Raw_Data!S341&amp;"|"&amp;Raw_Data!T341&amp;"|"&amp;Raw_Data!U341&amp;"|"&amp;Raw_Data!V341&amp;"|"&amp;Raw_Data!W341&amp;"|"&amp;Raw_Data!X341&amp;"|"&amp;Raw_Data!Y341&amp;"|"&amp;Raw_Data!Z341&amp;"|"&amp;Raw_Data!AA341&amp;"|"&amp;Raw_Data!AB341&amp;"|"&amp;Raw_Data!AC341&amp;"|"&amp;Raw_Data!AD341&amp;"|"&amp;Raw_Data!AE341&amp;"|"&amp;Raw_Data!AF341&amp;"|"&amp;Raw_Data!AG341&amp;"|"&amp;Raw_Data!AH341&amp;"|"&amp;Raw_Data!AI341&amp;"|"&amp;Raw_Data!AJ341&amp;"|"&amp;Raw_Data!AK341&amp;"|"&amp;Raw_Data!AL341&amp;"|"&amp;Raw_Data!AM341&amp;"|"&amp;Raw_Data!AN341&amp;"|"&amp;Raw_Data!AO341</f>
        <v>0|3|2|1|2|2|1|2|1|23|4|2|3|5|4|1|3|3|3|5|5|5|4|4|4|5|5|5|2|3|4|3|4|4|2|2|3|1|3|5|2</v>
      </c>
      <c r="Q343" s="3" t="n">
        <f aca="false">COUNTIF($P$4:$P$513,P343)</f>
        <v>1</v>
      </c>
    </row>
    <row r="344" customFormat="false" ht="15" hidden="false" customHeight="false" outlineLevel="0" collapsed="false">
      <c r="O344" s="3" t="n">
        <v>342</v>
      </c>
      <c r="P344" s="3" t="str">
        <f aca="false">Raw_Data!A342&amp;"|"&amp;Raw_Data!B342&amp;"|"&amp;Raw_Data!C342&amp;"|"&amp;Raw_Data!D342&amp;"|"&amp;Raw_Data!E342&amp;"|"&amp;Raw_Data!F342&amp;"|"&amp;Raw_Data!G342&amp;"|"&amp;Raw_Data!H342&amp;"|"&amp;Raw_Data!I342&amp;"|"&amp;Raw_Data!J342&amp;"|"&amp;Raw_Data!K342&amp;"|"&amp;Raw_Data!L342&amp;"|"&amp;Raw_Data!M342&amp;"|"&amp;Raw_Data!N342&amp;"|"&amp;Raw_Data!O342&amp;"|"&amp;Raw_Data!P342&amp;"|"&amp;Raw_Data!Q342&amp;"|"&amp;Raw_Data!R342&amp;"|"&amp;Raw_Data!S342&amp;"|"&amp;Raw_Data!T342&amp;"|"&amp;Raw_Data!U342&amp;"|"&amp;Raw_Data!V342&amp;"|"&amp;Raw_Data!W342&amp;"|"&amp;Raw_Data!X342&amp;"|"&amp;Raw_Data!Y342&amp;"|"&amp;Raw_Data!Z342&amp;"|"&amp;Raw_Data!AA342&amp;"|"&amp;Raw_Data!AB342&amp;"|"&amp;Raw_Data!AC342&amp;"|"&amp;Raw_Data!AD342&amp;"|"&amp;Raw_Data!AE342&amp;"|"&amp;Raw_Data!AF342&amp;"|"&amp;Raw_Data!AG342&amp;"|"&amp;Raw_Data!AH342&amp;"|"&amp;Raw_Data!AI342&amp;"|"&amp;Raw_Data!AJ342&amp;"|"&amp;Raw_Data!AK342&amp;"|"&amp;Raw_Data!AL342&amp;"|"&amp;Raw_Data!AM342&amp;"|"&amp;Raw_Data!AN342&amp;"|"&amp;Raw_Data!AO342</f>
        <v>1|1|1|1|2|2|2|2|1|22|4|4|4|4|4|3|2|4|4|5|5|3|4|4|4|4|4|2|2|2|4|2|4|4|4|4|3|4|3|3|2</v>
      </c>
      <c r="Q344" s="3" t="n">
        <f aca="false">COUNTIF($P$4:$P$513,P344)</f>
        <v>1</v>
      </c>
    </row>
    <row r="345" customFormat="false" ht="15" hidden="false" customHeight="false" outlineLevel="0" collapsed="false">
      <c r="O345" s="3" t="n">
        <v>343</v>
      </c>
      <c r="P345" s="3" t="str">
        <f aca="false">Raw_Data!A343&amp;"|"&amp;Raw_Data!B343&amp;"|"&amp;Raw_Data!C343&amp;"|"&amp;Raw_Data!D343&amp;"|"&amp;Raw_Data!E343&amp;"|"&amp;Raw_Data!F343&amp;"|"&amp;Raw_Data!G343&amp;"|"&amp;Raw_Data!H343&amp;"|"&amp;Raw_Data!I343&amp;"|"&amp;Raw_Data!J343&amp;"|"&amp;Raw_Data!K343&amp;"|"&amp;Raw_Data!L343&amp;"|"&amp;Raw_Data!M343&amp;"|"&amp;Raw_Data!N343&amp;"|"&amp;Raw_Data!O343&amp;"|"&amp;Raw_Data!P343&amp;"|"&amp;Raw_Data!Q343&amp;"|"&amp;Raw_Data!R343&amp;"|"&amp;Raw_Data!S343&amp;"|"&amp;Raw_Data!T343&amp;"|"&amp;Raw_Data!U343&amp;"|"&amp;Raw_Data!V343&amp;"|"&amp;Raw_Data!W343&amp;"|"&amp;Raw_Data!X343&amp;"|"&amp;Raw_Data!Y343&amp;"|"&amp;Raw_Data!Z343&amp;"|"&amp;Raw_Data!AA343&amp;"|"&amp;Raw_Data!AB343&amp;"|"&amp;Raw_Data!AC343&amp;"|"&amp;Raw_Data!AD343&amp;"|"&amp;Raw_Data!AE343&amp;"|"&amp;Raw_Data!AF343&amp;"|"&amp;Raw_Data!AG343&amp;"|"&amp;Raw_Data!AH343&amp;"|"&amp;Raw_Data!AI343&amp;"|"&amp;Raw_Data!AJ343&amp;"|"&amp;Raw_Data!AK343&amp;"|"&amp;Raw_Data!AL343&amp;"|"&amp;Raw_Data!AM343&amp;"|"&amp;Raw_Data!AN343&amp;"|"&amp;Raw_Data!AO343</f>
        <v>0|1|2|1|2|2|3|2|1|21|3|3|4|3|4|3|4|3|3|5|4|4|4|4|4|4|4|2|3|3|3|3|4|3|4|4|3|4|3|4|2</v>
      </c>
      <c r="Q345" s="3" t="n">
        <f aca="false">COUNTIF($P$4:$P$513,P345)</f>
        <v>1</v>
      </c>
    </row>
    <row r="346" customFormat="false" ht="15" hidden="false" customHeight="false" outlineLevel="0" collapsed="false">
      <c r="O346" s="3" t="n">
        <v>344</v>
      </c>
      <c r="P346" s="3" t="str">
        <f aca="false">Raw_Data!A344&amp;"|"&amp;Raw_Data!B344&amp;"|"&amp;Raw_Data!C344&amp;"|"&amp;Raw_Data!D344&amp;"|"&amp;Raw_Data!E344&amp;"|"&amp;Raw_Data!F344&amp;"|"&amp;Raw_Data!G344&amp;"|"&amp;Raw_Data!H344&amp;"|"&amp;Raw_Data!I344&amp;"|"&amp;Raw_Data!J344&amp;"|"&amp;Raw_Data!K344&amp;"|"&amp;Raw_Data!L344&amp;"|"&amp;Raw_Data!M344&amp;"|"&amp;Raw_Data!N344&amp;"|"&amp;Raw_Data!O344&amp;"|"&amp;Raw_Data!P344&amp;"|"&amp;Raw_Data!Q344&amp;"|"&amp;Raw_Data!R344&amp;"|"&amp;Raw_Data!S344&amp;"|"&amp;Raw_Data!T344&amp;"|"&amp;Raw_Data!U344&amp;"|"&amp;Raw_Data!V344&amp;"|"&amp;Raw_Data!W344&amp;"|"&amp;Raw_Data!X344&amp;"|"&amp;Raw_Data!Y344&amp;"|"&amp;Raw_Data!Z344&amp;"|"&amp;Raw_Data!AA344&amp;"|"&amp;Raw_Data!AB344&amp;"|"&amp;Raw_Data!AC344&amp;"|"&amp;Raw_Data!AD344&amp;"|"&amp;Raw_Data!AE344&amp;"|"&amp;Raw_Data!AF344&amp;"|"&amp;Raw_Data!AG344&amp;"|"&amp;Raw_Data!AH344&amp;"|"&amp;Raw_Data!AI344&amp;"|"&amp;Raw_Data!AJ344&amp;"|"&amp;Raw_Data!AK344&amp;"|"&amp;Raw_Data!AL344&amp;"|"&amp;Raw_Data!AM344&amp;"|"&amp;Raw_Data!AN344&amp;"|"&amp;Raw_Data!AO344</f>
        <v>0|3|1|2|2|2|3|2|1|22|3|3|3|3|3|3|3|3|3|5|4|3|4|3|3|4|3|3|3|3|3|3|4|4|4|3|3|3|3|3|3</v>
      </c>
      <c r="Q346" s="3" t="n">
        <f aca="false">COUNTIF($P$4:$P$513,P346)</f>
        <v>1</v>
      </c>
    </row>
    <row r="347" customFormat="false" ht="15" hidden="false" customHeight="false" outlineLevel="0" collapsed="false">
      <c r="O347" s="3" t="n">
        <v>345</v>
      </c>
      <c r="P347" s="3" t="str">
        <f aca="false">Raw_Data!A345&amp;"|"&amp;Raw_Data!B345&amp;"|"&amp;Raw_Data!C345&amp;"|"&amp;Raw_Data!D345&amp;"|"&amp;Raw_Data!E345&amp;"|"&amp;Raw_Data!F345&amp;"|"&amp;Raw_Data!G345&amp;"|"&amp;Raw_Data!H345&amp;"|"&amp;Raw_Data!I345&amp;"|"&amp;Raw_Data!J345&amp;"|"&amp;Raw_Data!K345&amp;"|"&amp;Raw_Data!L345&amp;"|"&amp;Raw_Data!M345&amp;"|"&amp;Raw_Data!N345&amp;"|"&amp;Raw_Data!O345&amp;"|"&amp;Raw_Data!P345&amp;"|"&amp;Raw_Data!Q345&amp;"|"&amp;Raw_Data!R345&amp;"|"&amp;Raw_Data!S345&amp;"|"&amp;Raw_Data!T345&amp;"|"&amp;Raw_Data!U345&amp;"|"&amp;Raw_Data!V345&amp;"|"&amp;Raw_Data!W345&amp;"|"&amp;Raw_Data!X345&amp;"|"&amp;Raw_Data!Y345&amp;"|"&amp;Raw_Data!Z345&amp;"|"&amp;Raw_Data!AA345&amp;"|"&amp;Raw_Data!AB345&amp;"|"&amp;Raw_Data!AC345&amp;"|"&amp;Raw_Data!AD345&amp;"|"&amp;Raw_Data!AE345&amp;"|"&amp;Raw_Data!AF345&amp;"|"&amp;Raw_Data!AG345&amp;"|"&amp;Raw_Data!AH345&amp;"|"&amp;Raw_Data!AI345&amp;"|"&amp;Raw_Data!AJ345&amp;"|"&amp;Raw_Data!AK345&amp;"|"&amp;Raw_Data!AL345&amp;"|"&amp;Raw_Data!AM345&amp;"|"&amp;Raw_Data!AN345&amp;"|"&amp;Raw_Data!AO345</f>
        <v>1|4|1|1|2|2|4|2|3|25|3|3|2|2|4|1|3|1|3|4|5|4|4|3|4|4|5|1|1|1|3|2|3|3|3|4|1|5|4|2|3</v>
      </c>
      <c r="Q347" s="3" t="n">
        <f aca="false">COUNTIF($P$4:$P$513,P347)</f>
        <v>1</v>
      </c>
    </row>
    <row r="348" customFormat="false" ht="15" hidden="false" customHeight="false" outlineLevel="0" collapsed="false">
      <c r="O348" s="3" t="n">
        <v>346</v>
      </c>
      <c r="P348" s="3" t="str">
        <f aca="false">Raw_Data!A346&amp;"|"&amp;Raw_Data!B346&amp;"|"&amp;Raw_Data!C346&amp;"|"&amp;Raw_Data!D346&amp;"|"&amp;Raw_Data!E346&amp;"|"&amp;Raw_Data!F346&amp;"|"&amp;Raw_Data!G346&amp;"|"&amp;Raw_Data!H346&amp;"|"&amp;Raw_Data!I346&amp;"|"&amp;Raw_Data!J346&amp;"|"&amp;Raw_Data!K346&amp;"|"&amp;Raw_Data!L346&amp;"|"&amp;Raw_Data!M346&amp;"|"&amp;Raw_Data!N346&amp;"|"&amp;Raw_Data!O346&amp;"|"&amp;Raw_Data!P346&amp;"|"&amp;Raw_Data!Q346&amp;"|"&amp;Raw_Data!R346&amp;"|"&amp;Raw_Data!S346&amp;"|"&amp;Raw_Data!T346&amp;"|"&amp;Raw_Data!U346&amp;"|"&amp;Raw_Data!V346&amp;"|"&amp;Raw_Data!W346&amp;"|"&amp;Raw_Data!X346&amp;"|"&amp;Raw_Data!Y346&amp;"|"&amp;Raw_Data!Z346&amp;"|"&amp;Raw_Data!AA346&amp;"|"&amp;Raw_Data!AB346&amp;"|"&amp;Raw_Data!AC346&amp;"|"&amp;Raw_Data!AD346&amp;"|"&amp;Raw_Data!AE346&amp;"|"&amp;Raw_Data!AF346&amp;"|"&amp;Raw_Data!AG346&amp;"|"&amp;Raw_Data!AH346&amp;"|"&amp;Raw_Data!AI346&amp;"|"&amp;Raw_Data!AJ346&amp;"|"&amp;Raw_Data!AK346&amp;"|"&amp;Raw_Data!AL346&amp;"|"&amp;Raw_Data!AM346&amp;"|"&amp;Raw_Data!AN346&amp;"|"&amp;Raw_Data!AO346</f>
        <v>0|3|2|1|2|2|1|3|1|22|3|4|4|4|3|4|3|3|4|4|4|4|3|3|3|4|3|2|2|2|3|3|4|4|4|3|3|3|3|3|3</v>
      </c>
      <c r="Q348" s="3" t="n">
        <f aca="false">COUNTIF($P$4:$P$513,P348)</f>
        <v>1</v>
      </c>
    </row>
    <row r="349" customFormat="false" ht="15" hidden="false" customHeight="false" outlineLevel="0" collapsed="false">
      <c r="O349" s="3" t="n">
        <v>347</v>
      </c>
      <c r="P349" s="3" t="str">
        <f aca="false">Raw_Data!A347&amp;"|"&amp;Raw_Data!B347&amp;"|"&amp;Raw_Data!C347&amp;"|"&amp;Raw_Data!D347&amp;"|"&amp;Raw_Data!E347&amp;"|"&amp;Raw_Data!F347&amp;"|"&amp;Raw_Data!G347&amp;"|"&amp;Raw_Data!H347&amp;"|"&amp;Raw_Data!I347&amp;"|"&amp;Raw_Data!J347&amp;"|"&amp;Raw_Data!K347&amp;"|"&amp;Raw_Data!L347&amp;"|"&amp;Raw_Data!M347&amp;"|"&amp;Raw_Data!N347&amp;"|"&amp;Raw_Data!O347&amp;"|"&amp;Raw_Data!P347&amp;"|"&amp;Raw_Data!Q347&amp;"|"&amp;Raw_Data!R347&amp;"|"&amp;Raw_Data!S347&amp;"|"&amp;Raw_Data!T347&amp;"|"&amp;Raw_Data!U347&amp;"|"&amp;Raw_Data!V347&amp;"|"&amp;Raw_Data!W347&amp;"|"&amp;Raw_Data!X347&amp;"|"&amp;Raw_Data!Y347&amp;"|"&amp;Raw_Data!Z347&amp;"|"&amp;Raw_Data!AA347&amp;"|"&amp;Raw_Data!AB347&amp;"|"&amp;Raw_Data!AC347&amp;"|"&amp;Raw_Data!AD347&amp;"|"&amp;Raw_Data!AE347&amp;"|"&amp;Raw_Data!AF347&amp;"|"&amp;Raw_Data!AG347&amp;"|"&amp;Raw_Data!AH347&amp;"|"&amp;Raw_Data!AI347&amp;"|"&amp;Raw_Data!AJ347&amp;"|"&amp;Raw_Data!AK347&amp;"|"&amp;Raw_Data!AL347&amp;"|"&amp;Raw_Data!AM347&amp;"|"&amp;Raw_Data!AN347&amp;"|"&amp;Raw_Data!AO347</f>
        <v>0|3|1|1|2|2|1|2|1|26|3|2|3|4|4|3|3|3|4|4|4|4|3|4|4|5|3|2|2|3|3|2|4|3|4|3|3|4|2|4|3</v>
      </c>
      <c r="Q349" s="3" t="n">
        <f aca="false">COUNTIF($P$4:$P$513,P349)</f>
        <v>1</v>
      </c>
    </row>
    <row r="350" customFormat="false" ht="15" hidden="false" customHeight="false" outlineLevel="0" collapsed="false">
      <c r="O350" s="3" t="n">
        <v>348</v>
      </c>
      <c r="P350" s="3" t="str">
        <f aca="false">Raw_Data!A348&amp;"|"&amp;Raw_Data!B348&amp;"|"&amp;Raw_Data!C348&amp;"|"&amp;Raw_Data!D348&amp;"|"&amp;Raw_Data!E348&amp;"|"&amp;Raw_Data!F348&amp;"|"&amp;Raw_Data!G348&amp;"|"&amp;Raw_Data!H348&amp;"|"&amp;Raw_Data!I348&amp;"|"&amp;Raw_Data!J348&amp;"|"&amp;Raw_Data!K348&amp;"|"&amp;Raw_Data!L348&amp;"|"&amp;Raw_Data!M348&amp;"|"&amp;Raw_Data!N348&amp;"|"&amp;Raw_Data!O348&amp;"|"&amp;Raw_Data!P348&amp;"|"&amp;Raw_Data!Q348&amp;"|"&amp;Raw_Data!R348&amp;"|"&amp;Raw_Data!S348&amp;"|"&amp;Raw_Data!T348&amp;"|"&amp;Raw_Data!U348&amp;"|"&amp;Raw_Data!V348&amp;"|"&amp;Raw_Data!W348&amp;"|"&amp;Raw_Data!X348&amp;"|"&amp;Raw_Data!Y348&amp;"|"&amp;Raw_Data!Z348&amp;"|"&amp;Raw_Data!AA348&amp;"|"&amp;Raw_Data!AB348&amp;"|"&amp;Raw_Data!AC348&amp;"|"&amp;Raw_Data!AD348&amp;"|"&amp;Raw_Data!AE348&amp;"|"&amp;Raw_Data!AF348&amp;"|"&amp;Raw_Data!AG348&amp;"|"&amp;Raw_Data!AH348&amp;"|"&amp;Raw_Data!AI348&amp;"|"&amp;Raw_Data!AJ348&amp;"|"&amp;Raw_Data!AK348&amp;"|"&amp;Raw_Data!AL348&amp;"|"&amp;Raw_Data!AM348&amp;"|"&amp;Raw_Data!AN348&amp;"|"&amp;Raw_Data!AO348</f>
        <v>1|4|1|1|2|2|1|2|1|2|4|5|4|3|4|2|4|2|5|5|4|3|4|3|3|5|3|3|3|2|4|4|4|4|4|4|4|4|3|5|2</v>
      </c>
      <c r="Q350" s="3" t="n">
        <f aca="false">COUNTIF($P$4:$P$513,P350)</f>
        <v>1</v>
      </c>
    </row>
    <row r="351" customFormat="false" ht="15" hidden="false" customHeight="false" outlineLevel="0" collapsed="false">
      <c r="O351" s="3" t="n">
        <v>349</v>
      </c>
      <c r="P351" s="3" t="str">
        <f aca="false">Raw_Data!A349&amp;"|"&amp;Raw_Data!B349&amp;"|"&amp;Raw_Data!C349&amp;"|"&amp;Raw_Data!D349&amp;"|"&amp;Raw_Data!E349&amp;"|"&amp;Raw_Data!F349&amp;"|"&amp;Raw_Data!G349&amp;"|"&amp;Raw_Data!H349&amp;"|"&amp;Raw_Data!I349&amp;"|"&amp;Raw_Data!J349&amp;"|"&amp;Raw_Data!K349&amp;"|"&amp;Raw_Data!L349&amp;"|"&amp;Raw_Data!M349&amp;"|"&amp;Raw_Data!N349&amp;"|"&amp;Raw_Data!O349&amp;"|"&amp;Raw_Data!P349&amp;"|"&amp;Raw_Data!Q349&amp;"|"&amp;Raw_Data!R349&amp;"|"&amp;Raw_Data!S349&amp;"|"&amp;Raw_Data!T349&amp;"|"&amp;Raw_Data!U349&amp;"|"&amp;Raw_Data!V349&amp;"|"&amp;Raw_Data!W349&amp;"|"&amp;Raw_Data!X349&amp;"|"&amp;Raw_Data!Y349&amp;"|"&amp;Raw_Data!Z349&amp;"|"&amp;Raw_Data!AA349&amp;"|"&amp;Raw_Data!AB349&amp;"|"&amp;Raw_Data!AC349&amp;"|"&amp;Raw_Data!AD349&amp;"|"&amp;Raw_Data!AE349&amp;"|"&amp;Raw_Data!AF349&amp;"|"&amp;Raw_Data!AG349&amp;"|"&amp;Raw_Data!AH349&amp;"|"&amp;Raw_Data!AI349&amp;"|"&amp;Raw_Data!AJ349&amp;"|"&amp;Raw_Data!AK349&amp;"|"&amp;Raw_Data!AL349&amp;"|"&amp;Raw_Data!AM349&amp;"|"&amp;Raw_Data!AN349&amp;"|"&amp;Raw_Data!AO349</f>
        <v>1|3|1|1|2|2|3|3|2|23|2|3|4|4|3|2|4|1|4|5|4|5|4|4|5|5|1|1|1|1|4|2|4|4|4|4|4|4|3|2|4</v>
      </c>
      <c r="Q351" s="3" t="n">
        <f aca="false">COUNTIF($P$4:$P$513,P351)</f>
        <v>1</v>
      </c>
    </row>
    <row r="352" customFormat="false" ht="15" hidden="false" customHeight="false" outlineLevel="0" collapsed="false">
      <c r="O352" s="3" t="n">
        <v>350</v>
      </c>
      <c r="P352" s="3" t="str">
        <f aca="false">Raw_Data!A350&amp;"|"&amp;Raw_Data!B350&amp;"|"&amp;Raw_Data!C350&amp;"|"&amp;Raw_Data!D350&amp;"|"&amp;Raw_Data!E350&amp;"|"&amp;Raw_Data!F350&amp;"|"&amp;Raw_Data!G350&amp;"|"&amp;Raw_Data!H350&amp;"|"&amp;Raw_Data!I350&amp;"|"&amp;Raw_Data!J350&amp;"|"&amp;Raw_Data!K350&amp;"|"&amp;Raw_Data!L350&amp;"|"&amp;Raw_Data!M350&amp;"|"&amp;Raw_Data!N350&amp;"|"&amp;Raw_Data!O350&amp;"|"&amp;Raw_Data!P350&amp;"|"&amp;Raw_Data!Q350&amp;"|"&amp;Raw_Data!R350&amp;"|"&amp;Raw_Data!S350&amp;"|"&amp;Raw_Data!T350&amp;"|"&amp;Raw_Data!U350&amp;"|"&amp;Raw_Data!V350&amp;"|"&amp;Raw_Data!W350&amp;"|"&amp;Raw_Data!X350&amp;"|"&amp;Raw_Data!Y350&amp;"|"&amp;Raw_Data!Z350&amp;"|"&amp;Raw_Data!AA350&amp;"|"&amp;Raw_Data!AB350&amp;"|"&amp;Raw_Data!AC350&amp;"|"&amp;Raw_Data!AD350&amp;"|"&amp;Raw_Data!AE350&amp;"|"&amp;Raw_Data!AF350&amp;"|"&amp;Raw_Data!AG350&amp;"|"&amp;Raw_Data!AH350&amp;"|"&amp;Raw_Data!AI350&amp;"|"&amp;Raw_Data!AJ350&amp;"|"&amp;Raw_Data!AK350&amp;"|"&amp;Raw_Data!AL350&amp;"|"&amp;Raw_Data!AM350&amp;"|"&amp;Raw_Data!AN350&amp;"|"&amp;Raw_Data!AO350</f>
        <v>0|4|2|1|2|2|3|3|1|23|3|3|4|4|5|5|5|2|3|5|4|2|5|5|2|4|5|4|1|1|4|4|4|3|2|4|5|5|3|2|4</v>
      </c>
      <c r="Q352" s="3" t="n">
        <f aca="false">COUNTIF($P$4:$P$513,P352)</f>
        <v>1</v>
      </c>
    </row>
    <row r="353" customFormat="false" ht="15" hidden="false" customHeight="false" outlineLevel="0" collapsed="false">
      <c r="O353" s="3" t="n">
        <v>351</v>
      </c>
      <c r="P353" s="3" t="str">
        <f aca="false">Raw_Data!A351&amp;"|"&amp;Raw_Data!B351&amp;"|"&amp;Raw_Data!C351&amp;"|"&amp;Raw_Data!D351&amp;"|"&amp;Raw_Data!E351&amp;"|"&amp;Raw_Data!F351&amp;"|"&amp;Raw_Data!G351&amp;"|"&amp;Raw_Data!H351&amp;"|"&amp;Raw_Data!I351&amp;"|"&amp;Raw_Data!J351&amp;"|"&amp;Raw_Data!K351&amp;"|"&amp;Raw_Data!L351&amp;"|"&amp;Raw_Data!M351&amp;"|"&amp;Raw_Data!N351&amp;"|"&amp;Raw_Data!O351&amp;"|"&amp;Raw_Data!P351&amp;"|"&amp;Raw_Data!Q351&amp;"|"&amp;Raw_Data!R351&amp;"|"&amp;Raw_Data!S351&amp;"|"&amp;Raw_Data!T351&amp;"|"&amp;Raw_Data!U351&amp;"|"&amp;Raw_Data!V351&amp;"|"&amp;Raw_Data!W351&amp;"|"&amp;Raw_Data!X351&amp;"|"&amp;Raw_Data!Y351&amp;"|"&amp;Raw_Data!Z351&amp;"|"&amp;Raw_Data!AA351&amp;"|"&amp;Raw_Data!AB351&amp;"|"&amp;Raw_Data!AC351&amp;"|"&amp;Raw_Data!AD351&amp;"|"&amp;Raw_Data!AE351&amp;"|"&amp;Raw_Data!AF351&amp;"|"&amp;Raw_Data!AG351&amp;"|"&amp;Raw_Data!AH351&amp;"|"&amp;Raw_Data!AI351&amp;"|"&amp;Raw_Data!AJ351&amp;"|"&amp;Raw_Data!AK351&amp;"|"&amp;Raw_Data!AL351&amp;"|"&amp;Raw_Data!AM351&amp;"|"&amp;Raw_Data!AN351&amp;"|"&amp;Raw_Data!AO351</f>
        <v>0|4|2|1|1|2|3|3|1|22|5|3|5|5|3|3|3|3|5|5|5|4|5|5|3|5|5|4|3|4|5|4|5|5|5|5|2|5|4|3|4</v>
      </c>
      <c r="Q353" s="3" t="n">
        <f aca="false">COUNTIF($P$4:$P$513,P353)</f>
        <v>1</v>
      </c>
    </row>
    <row r="354" customFormat="false" ht="15" hidden="false" customHeight="false" outlineLevel="0" collapsed="false">
      <c r="O354" s="3" t="n">
        <v>352</v>
      </c>
      <c r="P354" s="3" t="str">
        <f aca="false">Raw_Data!A352&amp;"|"&amp;Raw_Data!B352&amp;"|"&amp;Raw_Data!C352&amp;"|"&amp;Raw_Data!D352&amp;"|"&amp;Raw_Data!E352&amp;"|"&amp;Raw_Data!F352&amp;"|"&amp;Raw_Data!G352&amp;"|"&amp;Raw_Data!H352&amp;"|"&amp;Raw_Data!I352&amp;"|"&amp;Raw_Data!J352&amp;"|"&amp;Raw_Data!K352&amp;"|"&amp;Raw_Data!L352&amp;"|"&amp;Raw_Data!M352&amp;"|"&amp;Raw_Data!N352&amp;"|"&amp;Raw_Data!O352&amp;"|"&amp;Raw_Data!P352&amp;"|"&amp;Raw_Data!Q352&amp;"|"&amp;Raw_Data!R352&amp;"|"&amp;Raw_Data!S352&amp;"|"&amp;Raw_Data!T352&amp;"|"&amp;Raw_Data!U352&amp;"|"&amp;Raw_Data!V352&amp;"|"&amp;Raw_Data!W352&amp;"|"&amp;Raw_Data!X352&amp;"|"&amp;Raw_Data!Y352&amp;"|"&amp;Raw_Data!Z352&amp;"|"&amp;Raw_Data!AA352&amp;"|"&amp;Raw_Data!AB352&amp;"|"&amp;Raw_Data!AC352&amp;"|"&amp;Raw_Data!AD352&amp;"|"&amp;Raw_Data!AE352&amp;"|"&amp;Raw_Data!AF352&amp;"|"&amp;Raw_Data!AG352&amp;"|"&amp;Raw_Data!AH352&amp;"|"&amp;Raw_Data!AI352&amp;"|"&amp;Raw_Data!AJ352&amp;"|"&amp;Raw_Data!AK352&amp;"|"&amp;Raw_Data!AL352&amp;"|"&amp;Raw_Data!AM352&amp;"|"&amp;Raw_Data!AN352&amp;"|"&amp;Raw_Data!AO352</f>
        <v>0|3|2|1|2|2|1|2|1|22|3|3|2|3|3|3|3|3|4|4|4|4|4|4|2|3|3|3|2|2|4|4|4|3|4|4|4|4|3|4|3</v>
      </c>
      <c r="Q354" s="3" t="n">
        <f aca="false">COUNTIF($P$4:$P$513,P354)</f>
        <v>1</v>
      </c>
    </row>
    <row r="355" customFormat="false" ht="15" hidden="false" customHeight="false" outlineLevel="0" collapsed="false">
      <c r="O355" s="3" t="n">
        <v>353</v>
      </c>
      <c r="P355" s="3" t="str">
        <f aca="false">Raw_Data!A353&amp;"|"&amp;Raw_Data!B353&amp;"|"&amp;Raw_Data!C353&amp;"|"&amp;Raw_Data!D353&amp;"|"&amp;Raw_Data!E353&amp;"|"&amp;Raw_Data!F353&amp;"|"&amp;Raw_Data!G353&amp;"|"&amp;Raw_Data!H353&amp;"|"&amp;Raw_Data!I353&amp;"|"&amp;Raw_Data!J353&amp;"|"&amp;Raw_Data!K353&amp;"|"&amp;Raw_Data!L353&amp;"|"&amp;Raw_Data!M353&amp;"|"&amp;Raw_Data!N353&amp;"|"&amp;Raw_Data!O353&amp;"|"&amp;Raw_Data!P353&amp;"|"&amp;Raw_Data!Q353&amp;"|"&amp;Raw_Data!R353&amp;"|"&amp;Raw_Data!S353&amp;"|"&amp;Raw_Data!T353&amp;"|"&amp;Raw_Data!U353&amp;"|"&amp;Raw_Data!V353&amp;"|"&amp;Raw_Data!W353&amp;"|"&amp;Raw_Data!X353&amp;"|"&amp;Raw_Data!Y353&amp;"|"&amp;Raw_Data!Z353&amp;"|"&amp;Raw_Data!AA353&amp;"|"&amp;Raw_Data!AB353&amp;"|"&amp;Raw_Data!AC353&amp;"|"&amp;Raw_Data!AD353&amp;"|"&amp;Raw_Data!AE353&amp;"|"&amp;Raw_Data!AF353&amp;"|"&amp;Raw_Data!AG353&amp;"|"&amp;Raw_Data!AH353&amp;"|"&amp;Raw_Data!AI353&amp;"|"&amp;Raw_Data!AJ353&amp;"|"&amp;Raw_Data!AK353&amp;"|"&amp;Raw_Data!AL353&amp;"|"&amp;Raw_Data!AM353&amp;"|"&amp;Raw_Data!AN353&amp;"|"&amp;Raw_Data!AO353</f>
        <v>0|3|2|1|2|2|1|1|1|21|3|5|3|3|4|4|4|3|5|4|5|3|4|4|3|4|3|4|2|3|3|3|3|5|3|4|3|4|4|4|4</v>
      </c>
      <c r="Q355" s="3" t="n">
        <f aca="false">COUNTIF($P$4:$P$513,P355)</f>
        <v>1</v>
      </c>
    </row>
    <row r="356" customFormat="false" ht="15" hidden="false" customHeight="false" outlineLevel="0" collapsed="false">
      <c r="O356" s="3" t="n">
        <v>354</v>
      </c>
      <c r="P356" s="3" t="str">
        <f aca="false">Raw_Data!A354&amp;"|"&amp;Raw_Data!B354&amp;"|"&amp;Raw_Data!C354&amp;"|"&amp;Raw_Data!D354&amp;"|"&amp;Raw_Data!E354&amp;"|"&amp;Raw_Data!F354&amp;"|"&amp;Raw_Data!G354&amp;"|"&amp;Raw_Data!H354&amp;"|"&amp;Raw_Data!I354&amp;"|"&amp;Raw_Data!J354&amp;"|"&amp;Raw_Data!K354&amp;"|"&amp;Raw_Data!L354&amp;"|"&amp;Raw_Data!M354&amp;"|"&amp;Raw_Data!N354&amp;"|"&amp;Raw_Data!O354&amp;"|"&amp;Raw_Data!P354&amp;"|"&amp;Raw_Data!Q354&amp;"|"&amp;Raw_Data!R354&amp;"|"&amp;Raw_Data!S354&amp;"|"&amp;Raw_Data!T354&amp;"|"&amp;Raw_Data!U354&amp;"|"&amp;Raw_Data!V354&amp;"|"&amp;Raw_Data!W354&amp;"|"&amp;Raw_Data!X354&amp;"|"&amp;Raw_Data!Y354&amp;"|"&amp;Raw_Data!Z354&amp;"|"&amp;Raw_Data!AA354&amp;"|"&amp;Raw_Data!AB354&amp;"|"&amp;Raw_Data!AC354&amp;"|"&amp;Raw_Data!AD354&amp;"|"&amp;Raw_Data!AE354&amp;"|"&amp;Raw_Data!AF354&amp;"|"&amp;Raw_Data!AG354&amp;"|"&amp;Raw_Data!AH354&amp;"|"&amp;Raw_Data!AI354&amp;"|"&amp;Raw_Data!AJ354&amp;"|"&amp;Raw_Data!AK354&amp;"|"&amp;Raw_Data!AL354&amp;"|"&amp;Raw_Data!AM354&amp;"|"&amp;Raw_Data!AN354&amp;"|"&amp;Raw_Data!AO354</f>
        <v>0|3|1|1|2|2|3|1|2|22|3|3|2|4|1|5|3|2|3|4|4|5|3|5|4|5|4|4|1|2|4|2|4|2|3|2|4|5|3|4|4</v>
      </c>
      <c r="Q356" s="3" t="n">
        <f aca="false">COUNTIF($P$4:$P$513,P356)</f>
        <v>1</v>
      </c>
    </row>
    <row r="357" customFormat="false" ht="15" hidden="false" customHeight="false" outlineLevel="0" collapsed="false">
      <c r="O357" s="3" t="n">
        <v>355</v>
      </c>
      <c r="P357" s="3" t="str">
        <f aca="false">Raw_Data!A355&amp;"|"&amp;Raw_Data!B355&amp;"|"&amp;Raw_Data!C355&amp;"|"&amp;Raw_Data!D355&amp;"|"&amp;Raw_Data!E355&amp;"|"&amp;Raw_Data!F355&amp;"|"&amp;Raw_Data!G355&amp;"|"&amp;Raw_Data!H355&amp;"|"&amp;Raw_Data!I355&amp;"|"&amp;Raw_Data!J355&amp;"|"&amp;Raw_Data!K355&amp;"|"&amp;Raw_Data!L355&amp;"|"&amp;Raw_Data!M355&amp;"|"&amp;Raw_Data!N355&amp;"|"&amp;Raw_Data!O355&amp;"|"&amp;Raw_Data!P355&amp;"|"&amp;Raw_Data!Q355&amp;"|"&amp;Raw_Data!R355&amp;"|"&amp;Raw_Data!S355&amp;"|"&amp;Raw_Data!T355&amp;"|"&amp;Raw_Data!U355&amp;"|"&amp;Raw_Data!V355&amp;"|"&amp;Raw_Data!W355&amp;"|"&amp;Raw_Data!X355&amp;"|"&amp;Raw_Data!Y355&amp;"|"&amp;Raw_Data!Z355&amp;"|"&amp;Raw_Data!AA355&amp;"|"&amp;Raw_Data!AB355&amp;"|"&amp;Raw_Data!AC355&amp;"|"&amp;Raw_Data!AD355&amp;"|"&amp;Raw_Data!AE355&amp;"|"&amp;Raw_Data!AF355&amp;"|"&amp;Raw_Data!AG355&amp;"|"&amp;Raw_Data!AH355&amp;"|"&amp;Raw_Data!AI355&amp;"|"&amp;Raw_Data!AJ355&amp;"|"&amp;Raw_Data!AK355&amp;"|"&amp;Raw_Data!AL355&amp;"|"&amp;Raw_Data!AM355&amp;"|"&amp;Raw_Data!AN355&amp;"|"&amp;Raw_Data!AO355</f>
        <v>1|4|2|1|2|2|3|3|3|26|5|2|4|4|5|5|2|5|4|5|4|4|5|5|4|4|1|1|1|1|4|4|4|5|4|4|4|5|3|1|4</v>
      </c>
      <c r="Q357" s="3" t="n">
        <f aca="false">COUNTIF($P$4:$P$513,P357)</f>
        <v>1</v>
      </c>
    </row>
    <row r="358" customFormat="false" ht="15" hidden="false" customHeight="false" outlineLevel="0" collapsed="false">
      <c r="O358" s="3" t="n">
        <v>356</v>
      </c>
      <c r="P358" s="3" t="str">
        <f aca="false">Raw_Data!A356&amp;"|"&amp;Raw_Data!B356&amp;"|"&amp;Raw_Data!C356&amp;"|"&amp;Raw_Data!D356&amp;"|"&amp;Raw_Data!E356&amp;"|"&amp;Raw_Data!F356&amp;"|"&amp;Raw_Data!G356&amp;"|"&amp;Raw_Data!H356&amp;"|"&amp;Raw_Data!I356&amp;"|"&amp;Raw_Data!J356&amp;"|"&amp;Raw_Data!K356&amp;"|"&amp;Raw_Data!L356&amp;"|"&amp;Raw_Data!M356&amp;"|"&amp;Raw_Data!N356&amp;"|"&amp;Raw_Data!O356&amp;"|"&amp;Raw_Data!P356&amp;"|"&amp;Raw_Data!Q356&amp;"|"&amp;Raw_Data!R356&amp;"|"&amp;Raw_Data!S356&amp;"|"&amp;Raw_Data!T356&amp;"|"&amp;Raw_Data!U356&amp;"|"&amp;Raw_Data!V356&amp;"|"&amp;Raw_Data!W356&amp;"|"&amp;Raw_Data!X356&amp;"|"&amp;Raw_Data!Y356&amp;"|"&amp;Raw_Data!Z356&amp;"|"&amp;Raw_Data!AA356&amp;"|"&amp;Raw_Data!AB356&amp;"|"&amp;Raw_Data!AC356&amp;"|"&amp;Raw_Data!AD356&amp;"|"&amp;Raw_Data!AE356&amp;"|"&amp;Raw_Data!AF356&amp;"|"&amp;Raw_Data!AG356&amp;"|"&amp;Raw_Data!AH356&amp;"|"&amp;Raw_Data!AI356&amp;"|"&amp;Raw_Data!AJ356&amp;"|"&amp;Raw_Data!AK356&amp;"|"&amp;Raw_Data!AL356&amp;"|"&amp;Raw_Data!AM356&amp;"|"&amp;Raw_Data!AN356&amp;"|"&amp;Raw_Data!AO356</f>
        <v>0|3|1|1|2|2|3|2|3|23|3|4|4|4|3|3|3|2|4|5|4|4|3|4|4|5|3|2|3|2|4|3|4|4|4|4|3|4|3|2|3</v>
      </c>
      <c r="Q358" s="3" t="n">
        <f aca="false">COUNTIF($P$4:$P$513,P358)</f>
        <v>1</v>
      </c>
    </row>
    <row r="359" customFormat="false" ht="15" hidden="false" customHeight="false" outlineLevel="0" collapsed="false">
      <c r="O359" s="3" t="n">
        <v>357</v>
      </c>
      <c r="P359" s="3" t="str">
        <f aca="false">Raw_Data!A357&amp;"|"&amp;Raw_Data!B357&amp;"|"&amp;Raw_Data!C357&amp;"|"&amp;Raw_Data!D357&amp;"|"&amp;Raw_Data!E357&amp;"|"&amp;Raw_Data!F357&amp;"|"&amp;Raw_Data!G357&amp;"|"&amp;Raw_Data!H357&amp;"|"&amp;Raw_Data!I357&amp;"|"&amp;Raw_Data!J357&amp;"|"&amp;Raw_Data!K357&amp;"|"&amp;Raw_Data!L357&amp;"|"&amp;Raw_Data!M357&amp;"|"&amp;Raw_Data!N357&amp;"|"&amp;Raw_Data!O357&amp;"|"&amp;Raw_Data!P357&amp;"|"&amp;Raw_Data!Q357&amp;"|"&amp;Raw_Data!R357&amp;"|"&amp;Raw_Data!S357&amp;"|"&amp;Raw_Data!T357&amp;"|"&amp;Raw_Data!U357&amp;"|"&amp;Raw_Data!V357&amp;"|"&amp;Raw_Data!W357&amp;"|"&amp;Raw_Data!X357&amp;"|"&amp;Raw_Data!Y357&amp;"|"&amp;Raw_Data!Z357&amp;"|"&amp;Raw_Data!AA357&amp;"|"&amp;Raw_Data!AB357&amp;"|"&amp;Raw_Data!AC357&amp;"|"&amp;Raw_Data!AD357&amp;"|"&amp;Raw_Data!AE357&amp;"|"&amp;Raw_Data!AF357&amp;"|"&amp;Raw_Data!AG357&amp;"|"&amp;Raw_Data!AH357&amp;"|"&amp;Raw_Data!AI357&amp;"|"&amp;Raw_Data!AJ357&amp;"|"&amp;Raw_Data!AK357&amp;"|"&amp;Raw_Data!AL357&amp;"|"&amp;Raw_Data!AM357&amp;"|"&amp;Raw_Data!AN357&amp;"|"&amp;Raw_Data!AO357</f>
        <v>0|3|2|1|2|2|3|3|1|22|3|3|4|3|3|3|3|3|4|5|4|4|4|4|4|3|2|2|2|2|4|3|3|3|4|3|2|3|3|3|3</v>
      </c>
      <c r="Q359" s="3" t="n">
        <f aca="false">COUNTIF($P$4:$P$513,P359)</f>
        <v>1</v>
      </c>
    </row>
    <row r="360" customFormat="false" ht="15" hidden="false" customHeight="false" outlineLevel="0" collapsed="false">
      <c r="O360" s="3" t="n">
        <v>358</v>
      </c>
      <c r="P360" s="3" t="str">
        <f aca="false">Raw_Data!A358&amp;"|"&amp;Raw_Data!B358&amp;"|"&amp;Raw_Data!C358&amp;"|"&amp;Raw_Data!D358&amp;"|"&amp;Raw_Data!E358&amp;"|"&amp;Raw_Data!F358&amp;"|"&amp;Raw_Data!G358&amp;"|"&amp;Raw_Data!H358&amp;"|"&amp;Raw_Data!I358&amp;"|"&amp;Raw_Data!J358&amp;"|"&amp;Raw_Data!K358&amp;"|"&amp;Raw_Data!L358&amp;"|"&amp;Raw_Data!M358&amp;"|"&amp;Raw_Data!N358&amp;"|"&amp;Raw_Data!O358&amp;"|"&amp;Raw_Data!P358&amp;"|"&amp;Raw_Data!Q358&amp;"|"&amp;Raw_Data!R358&amp;"|"&amp;Raw_Data!S358&amp;"|"&amp;Raw_Data!T358&amp;"|"&amp;Raw_Data!U358&amp;"|"&amp;Raw_Data!V358&amp;"|"&amp;Raw_Data!W358&amp;"|"&amp;Raw_Data!X358&amp;"|"&amp;Raw_Data!Y358&amp;"|"&amp;Raw_Data!Z358&amp;"|"&amp;Raw_Data!AA358&amp;"|"&amp;Raw_Data!AB358&amp;"|"&amp;Raw_Data!AC358&amp;"|"&amp;Raw_Data!AD358&amp;"|"&amp;Raw_Data!AE358&amp;"|"&amp;Raw_Data!AF358&amp;"|"&amp;Raw_Data!AG358&amp;"|"&amp;Raw_Data!AH358&amp;"|"&amp;Raw_Data!AI358&amp;"|"&amp;Raw_Data!AJ358&amp;"|"&amp;Raw_Data!AK358&amp;"|"&amp;Raw_Data!AL358&amp;"|"&amp;Raw_Data!AM358&amp;"|"&amp;Raw_Data!AN358&amp;"|"&amp;Raw_Data!AO358</f>
        <v>0|3|1|1|2|2|4|2|1|21|3|3|2|2|3|4|2|4|5|5|4|4|3|3|3|4|3|4|2|1|3|3|4|5|4|4|2|4|3|2|3</v>
      </c>
      <c r="Q360" s="3" t="n">
        <f aca="false">COUNTIF($P$4:$P$513,P360)</f>
        <v>1</v>
      </c>
    </row>
    <row r="361" customFormat="false" ht="15" hidden="false" customHeight="false" outlineLevel="0" collapsed="false">
      <c r="O361" s="3" t="n">
        <v>359</v>
      </c>
      <c r="P361" s="3" t="str">
        <f aca="false">Raw_Data!A359&amp;"|"&amp;Raw_Data!B359&amp;"|"&amp;Raw_Data!C359&amp;"|"&amp;Raw_Data!D359&amp;"|"&amp;Raw_Data!E359&amp;"|"&amp;Raw_Data!F359&amp;"|"&amp;Raw_Data!G359&amp;"|"&amp;Raw_Data!H359&amp;"|"&amp;Raw_Data!I359&amp;"|"&amp;Raw_Data!J359&amp;"|"&amp;Raw_Data!K359&amp;"|"&amp;Raw_Data!L359&amp;"|"&amp;Raw_Data!M359&amp;"|"&amp;Raw_Data!N359&amp;"|"&amp;Raw_Data!O359&amp;"|"&amp;Raw_Data!P359&amp;"|"&amp;Raw_Data!Q359&amp;"|"&amp;Raw_Data!R359&amp;"|"&amp;Raw_Data!S359&amp;"|"&amp;Raw_Data!T359&amp;"|"&amp;Raw_Data!U359&amp;"|"&amp;Raw_Data!V359&amp;"|"&amp;Raw_Data!W359&amp;"|"&amp;Raw_Data!X359&amp;"|"&amp;Raw_Data!Y359&amp;"|"&amp;Raw_Data!Z359&amp;"|"&amp;Raw_Data!AA359&amp;"|"&amp;Raw_Data!AB359&amp;"|"&amp;Raw_Data!AC359&amp;"|"&amp;Raw_Data!AD359&amp;"|"&amp;Raw_Data!AE359&amp;"|"&amp;Raw_Data!AF359&amp;"|"&amp;Raw_Data!AG359&amp;"|"&amp;Raw_Data!AH359&amp;"|"&amp;Raw_Data!AI359&amp;"|"&amp;Raw_Data!AJ359&amp;"|"&amp;Raw_Data!AK359&amp;"|"&amp;Raw_Data!AL359&amp;"|"&amp;Raw_Data!AM359&amp;"|"&amp;Raw_Data!AN359&amp;"|"&amp;Raw_Data!AO359</f>
        <v>1|3|1|1|2|2|3|2|1|21|4|4|4|4|5|4|2|5|4|4|5|4|4|4|4|5|2|2|1|1|4|4|4|4|4|4|4|4|3|1|4</v>
      </c>
      <c r="Q361" s="3" t="n">
        <f aca="false">COUNTIF($P$4:$P$513,P361)</f>
        <v>1</v>
      </c>
    </row>
    <row r="362" customFormat="false" ht="15" hidden="false" customHeight="false" outlineLevel="0" collapsed="false">
      <c r="O362" s="3" t="n">
        <v>360</v>
      </c>
      <c r="P362" s="3" t="str">
        <f aca="false">Raw_Data!A360&amp;"|"&amp;Raw_Data!B360&amp;"|"&amp;Raw_Data!C360&amp;"|"&amp;Raw_Data!D360&amp;"|"&amp;Raw_Data!E360&amp;"|"&amp;Raw_Data!F360&amp;"|"&amp;Raw_Data!G360&amp;"|"&amp;Raw_Data!H360&amp;"|"&amp;Raw_Data!I360&amp;"|"&amp;Raw_Data!J360&amp;"|"&amp;Raw_Data!K360&amp;"|"&amp;Raw_Data!L360&amp;"|"&amp;Raw_Data!M360&amp;"|"&amp;Raw_Data!N360&amp;"|"&amp;Raw_Data!O360&amp;"|"&amp;Raw_Data!P360&amp;"|"&amp;Raw_Data!Q360&amp;"|"&amp;Raw_Data!R360&amp;"|"&amp;Raw_Data!S360&amp;"|"&amp;Raw_Data!T360&amp;"|"&amp;Raw_Data!U360&amp;"|"&amp;Raw_Data!V360&amp;"|"&amp;Raw_Data!W360&amp;"|"&amp;Raw_Data!X360&amp;"|"&amp;Raw_Data!Y360&amp;"|"&amp;Raw_Data!Z360&amp;"|"&amp;Raw_Data!AA360&amp;"|"&amp;Raw_Data!AB360&amp;"|"&amp;Raw_Data!AC360&amp;"|"&amp;Raw_Data!AD360&amp;"|"&amp;Raw_Data!AE360&amp;"|"&amp;Raw_Data!AF360&amp;"|"&amp;Raw_Data!AG360&amp;"|"&amp;Raw_Data!AH360&amp;"|"&amp;Raw_Data!AI360&amp;"|"&amp;Raw_Data!AJ360&amp;"|"&amp;Raw_Data!AK360&amp;"|"&amp;Raw_Data!AL360&amp;"|"&amp;Raw_Data!AM360&amp;"|"&amp;Raw_Data!AN360&amp;"|"&amp;Raw_Data!AO360</f>
        <v>1|3|1|1|2|2|3|2|1|22|3|2|4|4|2|3|3|2|5|4|4|4|4|4|5|4|5|4|2|1|4|4|4|3|3|5|2|4|4|2|3</v>
      </c>
      <c r="Q362" s="3" t="n">
        <f aca="false">COUNTIF($P$4:$P$513,P362)</f>
        <v>1</v>
      </c>
    </row>
    <row r="363" customFormat="false" ht="15" hidden="false" customHeight="false" outlineLevel="0" collapsed="false">
      <c r="O363" s="3" t="n">
        <v>361</v>
      </c>
      <c r="P363" s="3" t="str">
        <f aca="false">Raw_Data!A361&amp;"|"&amp;Raw_Data!B361&amp;"|"&amp;Raw_Data!C361&amp;"|"&amp;Raw_Data!D361&amp;"|"&amp;Raw_Data!E361&amp;"|"&amp;Raw_Data!F361&amp;"|"&amp;Raw_Data!G361&amp;"|"&amp;Raw_Data!H361&amp;"|"&amp;Raw_Data!I361&amp;"|"&amp;Raw_Data!J361&amp;"|"&amp;Raw_Data!K361&amp;"|"&amp;Raw_Data!L361&amp;"|"&amp;Raw_Data!M361&amp;"|"&amp;Raw_Data!N361&amp;"|"&amp;Raw_Data!O361&amp;"|"&amp;Raw_Data!P361&amp;"|"&amp;Raw_Data!Q361&amp;"|"&amp;Raw_Data!R361&amp;"|"&amp;Raw_Data!S361&amp;"|"&amp;Raw_Data!T361&amp;"|"&amp;Raw_Data!U361&amp;"|"&amp;Raw_Data!V361&amp;"|"&amp;Raw_Data!W361&amp;"|"&amp;Raw_Data!X361&amp;"|"&amp;Raw_Data!Y361&amp;"|"&amp;Raw_Data!Z361&amp;"|"&amp;Raw_Data!AA361&amp;"|"&amp;Raw_Data!AB361&amp;"|"&amp;Raw_Data!AC361&amp;"|"&amp;Raw_Data!AD361&amp;"|"&amp;Raw_Data!AE361&amp;"|"&amp;Raw_Data!AF361&amp;"|"&amp;Raw_Data!AG361&amp;"|"&amp;Raw_Data!AH361&amp;"|"&amp;Raw_Data!AI361&amp;"|"&amp;Raw_Data!AJ361&amp;"|"&amp;Raw_Data!AK361&amp;"|"&amp;Raw_Data!AL361&amp;"|"&amp;Raw_Data!AM361&amp;"|"&amp;Raw_Data!AN361&amp;"|"&amp;Raw_Data!AO361</f>
        <v>0|4|1|1|2|2|3|3|1|23|3|2|3|5|4|4|3|5|4|5|3|3|5|5|5|4|2|4|3|4|4|4|4|5|3|4|4|4|5|1|4</v>
      </c>
      <c r="Q363" s="3" t="n">
        <f aca="false">COUNTIF($P$4:$P$513,P363)</f>
        <v>1</v>
      </c>
    </row>
    <row r="364" customFormat="false" ht="15" hidden="false" customHeight="false" outlineLevel="0" collapsed="false">
      <c r="O364" s="3" t="n">
        <v>362</v>
      </c>
      <c r="P364" s="3" t="str">
        <f aca="false">Raw_Data!A362&amp;"|"&amp;Raw_Data!B362&amp;"|"&amp;Raw_Data!C362&amp;"|"&amp;Raw_Data!D362&amp;"|"&amp;Raw_Data!E362&amp;"|"&amp;Raw_Data!F362&amp;"|"&amp;Raw_Data!G362&amp;"|"&amp;Raw_Data!H362&amp;"|"&amp;Raw_Data!I362&amp;"|"&amp;Raw_Data!J362&amp;"|"&amp;Raw_Data!K362&amp;"|"&amp;Raw_Data!L362&amp;"|"&amp;Raw_Data!M362&amp;"|"&amp;Raw_Data!N362&amp;"|"&amp;Raw_Data!O362&amp;"|"&amp;Raw_Data!P362&amp;"|"&amp;Raw_Data!Q362&amp;"|"&amp;Raw_Data!R362&amp;"|"&amp;Raw_Data!S362&amp;"|"&amp;Raw_Data!T362&amp;"|"&amp;Raw_Data!U362&amp;"|"&amp;Raw_Data!V362&amp;"|"&amp;Raw_Data!W362&amp;"|"&amp;Raw_Data!X362&amp;"|"&amp;Raw_Data!Y362&amp;"|"&amp;Raw_Data!Z362&amp;"|"&amp;Raw_Data!AA362&amp;"|"&amp;Raw_Data!AB362&amp;"|"&amp;Raw_Data!AC362&amp;"|"&amp;Raw_Data!AD362&amp;"|"&amp;Raw_Data!AE362&amp;"|"&amp;Raw_Data!AF362&amp;"|"&amp;Raw_Data!AG362&amp;"|"&amp;Raw_Data!AH362&amp;"|"&amp;Raw_Data!AI362&amp;"|"&amp;Raw_Data!AJ362&amp;"|"&amp;Raw_Data!AK362&amp;"|"&amp;Raw_Data!AL362&amp;"|"&amp;Raw_Data!AM362&amp;"|"&amp;Raw_Data!AN362&amp;"|"&amp;Raw_Data!AO362</f>
        <v>0|4|1|1|2|2|1|3|3|28|2|4|4|3|4|2|2|2|4|5|4|4|3|2|4|3|4|1|1|1|4|1|1|4|4|3|4|5|3|2|2</v>
      </c>
      <c r="Q364" s="3" t="n">
        <f aca="false">COUNTIF($P$4:$P$513,P364)</f>
        <v>1</v>
      </c>
    </row>
    <row r="365" customFormat="false" ht="15" hidden="false" customHeight="false" outlineLevel="0" collapsed="false">
      <c r="O365" s="3" t="n">
        <v>363</v>
      </c>
      <c r="P365" s="3" t="str">
        <f aca="false">Raw_Data!A363&amp;"|"&amp;Raw_Data!B363&amp;"|"&amp;Raw_Data!C363&amp;"|"&amp;Raw_Data!D363&amp;"|"&amp;Raw_Data!E363&amp;"|"&amp;Raw_Data!F363&amp;"|"&amp;Raw_Data!G363&amp;"|"&amp;Raw_Data!H363&amp;"|"&amp;Raw_Data!I363&amp;"|"&amp;Raw_Data!J363&amp;"|"&amp;Raw_Data!K363&amp;"|"&amp;Raw_Data!L363&amp;"|"&amp;Raw_Data!M363&amp;"|"&amp;Raw_Data!N363&amp;"|"&amp;Raw_Data!O363&amp;"|"&amp;Raw_Data!P363&amp;"|"&amp;Raw_Data!Q363&amp;"|"&amp;Raw_Data!R363&amp;"|"&amp;Raw_Data!S363&amp;"|"&amp;Raw_Data!T363&amp;"|"&amp;Raw_Data!U363&amp;"|"&amp;Raw_Data!V363&amp;"|"&amp;Raw_Data!W363&amp;"|"&amp;Raw_Data!X363&amp;"|"&amp;Raw_Data!Y363&amp;"|"&amp;Raw_Data!Z363&amp;"|"&amp;Raw_Data!AA363&amp;"|"&amp;Raw_Data!AB363&amp;"|"&amp;Raw_Data!AC363&amp;"|"&amp;Raw_Data!AD363&amp;"|"&amp;Raw_Data!AE363&amp;"|"&amp;Raw_Data!AF363&amp;"|"&amp;Raw_Data!AG363&amp;"|"&amp;Raw_Data!AH363&amp;"|"&amp;Raw_Data!AI363&amp;"|"&amp;Raw_Data!AJ363&amp;"|"&amp;Raw_Data!AK363&amp;"|"&amp;Raw_Data!AL363&amp;"|"&amp;Raw_Data!AM363&amp;"|"&amp;Raw_Data!AN363&amp;"|"&amp;Raw_Data!AO363</f>
        <v>1|2|2|1|2|2|3|3|3|24|3|3|3|3|4|2|3|3|4|4|4|4|3|4|4|3|2|3|2|2|4|4|4|4|4|4|2|3|3|3|3</v>
      </c>
      <c r="Q365" s="3" t="n">
        <f aca="false">COUNTIF($P$4:$P$513,P365)</f>
        <v>1</v>
      </c>
    </row>
    <row r="366" customFormat="false" ht="15" hidden="false" customHeight="false" outlineLevel="0" collapsed="false">
      <c r="O366" s="3" t="n">
        <v>364</v>
      </c>
      <c r="P366" s="3" t="str">
        <f aca="false">Raw_Data!A364&amp;"|"&amp;Raw_Data!B364&amp;"|"&amp;Raw_Data!C364&amp;"|"&amp;Raw_Data!D364&amp;"|"&amp;Raw_Data!E364&amp;"|"&amp;Raw_Data!F364&amp;"|"&amp;Raw_Data!G364&amp;"|"&amp;Raw_Data!H364&amp;"|"&amp;Raw_Data!I364&amp;"|"&amp;Raw_Data!J364&amp;"|"&amp;Raw_Data!K364&amp;"|"&amp;Raw_Data!L364&amp;"|"&amp;Raw_Data!M364&amp;"|"&amp;Raw_Data!N364&amp;"|"&amp;Raw_Data!O364&amp;"|"&amp;Raw_Data!P364&amp;"|"&amp;Raw_Data!Q364&amp;"|"&amp;Raw_Data!R364&amp;"|"&amp;Raw_Data!S364&amp;"|"&amp;Raw_Data!T364&amp;"|"&amp;Raw_Data!U364&amp;"|"&amp;Raw_Data!V364&amp;"|"&amp;Raw_Data!W364&amp;"|"&amp;Raw_Data!X364&amp;"|"&amp;Raw_Data!Y364&amp;"|"&amp;Raw_Data!Z364&amp;"|"&amp;Raw_Data!AA364&amp;"|"&amp;Raw_Data!AB364&amp;"|"&amp;Raw_Data!AC364&amp;"|"&amp;Raw_Data!AD364&amp;"|"&amp;Raw_Data!AE364&amp;"|"&amp;Raw_Data!AF364&amp;"|"&amp;Raw_Data!AG364&amp;"|"&amp;Raw_Data!AH364&amp;"|"&amp;Raw_Data!AI364&amp;"|"&amp;Raw_Data!AJ364&amp;"|"&amp;Raw_Data!AK364&amp;"|"&amp;Raw_Data!AL364&amp;"|"&amp;Raw_Data!AM364&amp;"|"&amp;Raw_Data!AN364&amp;"|"&amp;Raw_Data!AO364</f>
        <v>0|4|1|2|2|2|3|3|3|22|4|4|4|4|3|4|3|2|4|4|4|3|4|3|3|3|4|2|2|2|4|2|4|4|4|3|4|4|4|2|4</v>
      </c>
      <c r="Q366" s="3" t="n">
        <f aca="false">COUNTIF($P$4:$P$513,P366)</f>
        <v>1</v>
      </c>
    </row>
    <row r="367" customFormat="false" ht="15" hidden="false" customHeight="false" outlineLevel="0" collapsed="false">
      <c r="O367" s="3" t="n">
        <v>365</v>
      </c>
      <c r="P367" s="3" t="str">
        <f aca="false">Raw_Data!A365&amp;"|"&amp;Raw_Data!B365&amp;"|"&amp;Raw_Data!C365&amp;"|"&amp;Raw_Data!D365&amp;"|"&amp;Raw_Data!E365&amp;"|"&amp;Raw_Data!F365&amp;"|"&amp;Raw_Data!G365&amp;"|"&amp;Raw_Data!H365&amp;"|"&amp;Raw_Data!I365&amp;"|"&amp;Raw_Data!J365&amp;"|"&amp;Raw_Data!K365&amp;"|"&amp;Raw_Data!L365&amp;"|"&amp;Raw_Data!M365&amp;"|"&amp;Raw_Data!N365&amp;"|"&amp;Raw_Data!O365&amp;"|"&amp;Raw_Data!P365&amp;"|"&amp;Raw_Data!Q365&amp;"|"&amp;Raw_Data!R365&amp;"|"&amp;Raw_Data!S365&amp;"|"&amp;Raw_Data!T365&amp;"|"&amp;Raw_Data!U365&amp;"|"&amp;Raw_Data!V365&amp;"|"&amp;Raw_Data!W365&amp;"|"&amp;Raw_Data!X365&amp;"|"&amp;Raw_Data!Y365&amp;"|"&amp;Raw_Data!Z365&amp;"|"&amp;Raw_Data!AA365&amp;"|"&amp;Raw_Data!AB365&amp;"|"&amp;Raw_Data!AC365&amp;"|"&amp;Raw_Data!AD365&amp;"|"&amp;Raw_Data!AE365&amp;"|"&amp;Raw_Data!AF365&amp;"|"&amp;Raw_Data!AG365&amp;"|"&amp;Raw_Data!AH365&amp;"|"&amp;Raw_Data!AI365&amp;"|"&amp;Raw_Data!AJ365&amp;"|"&amp;Raw_Data!AK365&amp;"|"&amp;Raw_Data!AL365&amp;"|"&amp;Raw_Data!AM365&amp;"|"&amp;Raw_Data!AN365&amp;"|"&amp;Raw_Data!AO365</f>
        <v>0|3|1|2|2|2|4|1|1|21|3|3|2|4|4|5|2|2|4|5|4|3|3|3|3|3|4|2|1|2|4|4|4|3|4|4|3|5|3|3|2</v>
      </c>
      <c r="Q367" s="3" t="n">
        <f aca="false">COUNTIF($P$4:$P$513,P367)</f>
        <v>1</v>
      </c>
    </row>
    <row r="368" customFormat="false" ht="15" hidden="false" customHeight="false" outlineLevel="0" collapsed="false">
      <c r="O368" s="3" t="n">
        <v>366</v>
      </c>
      <c r="P368" s="3" t="str">
        <f aca="false">Raw_Data!A366&amp;"|"&amp;Raw_Data!B366&amp;"|"&amp;Raw_Data!C366&amp;"|"&amp;Raw_Data!D366&amp;"|"&amp;Raw_Data!E366&amp;"|"&amp;Raw_Data!F366&amp;"|"&amp;Raw_Data!G366&amp;"|"&amp;Raw_Data!H366&amp;"|"&amp;Raw_Data!I366&amp;"|"&amp;Raw_Data!J366&amp;"|"&amp;Raw_Data!K366&amp;"|"&amp;Raw_Data!L366&amp;"|"&amp;Raw_Data!M366&amp;"|"&amp;Raw_Data!N366&amp;"|"&amp;Raw_Data!O366&amp;"|"&amp;Raw_Data!P366&amp;"|"&amp;Raw_Data!Q366&amp;"|"&amp;Raw_Data!R366&amp;"|"&amp;Raw_Data!S366&amp;"|"&amp;Raw_Data!T366&amp;"|"&amp;Raw_Data!U366&amp;"|"&amp;Raw_Data!V366&amp;"|"&amp;Raw_Data!W366&amp;"|"&amp;Raw_Data!X366&amp;"|"&amp;Raw_Data!Y366&amp;"|"&amp;Raw_Data!Z366&amp;"|"&amp;Raw_Data!AA366&amp;"|"&amp;Raw_Data!AB366&amp;"|"&amp;Raw_Data!AC366&amp;"|"&amp;Raw_Data!AD366&amp;"|"&amp;Raw_Data!AE366&amp;"|"&amp;Raw_Data!AF366&amp;"|"&amp;Raw_Data!AG366&amp;"|"&amp;Raw_Data!AH366&amp;"|"&amp;Raw_Data!AI366&amp;"|"&amp;Raw_Data!AJ366&amp;"|"&amp;Raw_Data!AK366&amp;"|"&amp;Raw_Data!AL366&amp;"|"&amp;Raw_Data!AM366&amp;"|"&amp;Raw_Data!AN366&amp;"|"&amp;Raw_Data!AO366</f>
        <v>0|3|2|1|2|2|3|1|1|22|3|2|4|3|5|1|2|2|4|5|5|4|4|3|3|4|2|3|3|2|3|2|4|3|4|4|4|3|3|3|3</v>
      </c>
      <c r="Q368" s="3" t="n">
        <f aca="false">COUNTIF($P$4:$P$513,P368)</f>
        <v>1</v>
      </c>
    </row>
    <row r="369" customFormat="false" ht="15" hidden="false" customHeight="false" outlineLevel="0" collapsed="false">
      <c r="O369" s="3" t="n">
        <v>367</v>
      </c>
      <c r="P369" s="3" t="str">
        <f aca="false">Raw_Data!A367&amp;"|"&amp;Raw_Data!B367&amp;"|"&amp;Raw_Data!C367&amp;"|"&amp;Raw_Data!D367&amp;"|"&amp;Raw_Data!E367&amp;"|"&amp;Raw_Data!F367&amp;"|"&amp;Raw_Data!G367&amp;"|"&amp;Raw_Data!H367&amp;"|"&amp;Raw_Data!I367&amp;"|"&amp;Raw_Data!J367&amp;"|"&amp;Raw_Data!K367&amp;"|"&amp;Raw_Data!L367&amp;"|"&amp;Raw_Data!M367&amp;"|"&amp;Raw_Data!N367&amp;"|"&amp;Raw_Data!O367&amp;"|"&amp;Raw_Data!P367&amp;"|"&amp;Raw_Data!Q367&amp;"|"&amp;Raw_Data!R367&amp;"|"&amp;Raw_Data!S367&amp;"|"&amp;Raw_Data!T367&amp;"|"&amp;Raw_Data!U367&amp;"|"&amp;Raw_Data!V367&amp;"|"&amp;Raw_Data!W367&amp;"|"&amp;Raw_Data!X367&amp;"|"&amp;Raw_Data!Y367&amp;"|"&amp;Raw_Data!Z367&amp;"|"&amp;Raw_Data!AA367&amp;"|"&amp;Raw_Data!AB367&amp;"|"&amp;Raw_Data!AC367&amp;"|"&amp;Raw_Data!AD367&amp;"|"&amp;Raw_Data!AE367&amp;"|"&amp;Raw_Data!AF367&amp;"|"&amp;Raw_Data!AG367&amp;"|"&amp;Raw_Data!AH367&amp;"|"&amp;Raw_Data!AI367&amp;"|"&amp;Raw_Data!AJ367&amp;"|"&amp;Raw_Data!AK367&amp;"|"&amp;Raw_Data!AL367&amp;"|"&amp;Raw_Data!AM367&amp;"|"&amp;Raw_Data!AN367&amp;"|"&amp;Raw_Data!AO367</f>
        <v>0|3|2|1|2|2|3|2|1|21|3|3|3|3|3|4|4|4|4|5|5|5|5|5|5|5|3|3|2|4|5|5|4|5|5|4|4|4|3|3|4</v>
      </c>
      <c r="Q369" s="3" t="n">
        <f aca="false">COUNTIF($P$4:$P$513,P369)</f>
        <v>1</v>
      </c>
    </row>
    <row r="370" customFormat="false" ht="15" hidden="false" customHeight="false" outlineLevel="0" collapsed="false">
      <c r="O370" s="3" t="n">
        <v>368</v>
      </c>
      <c r="P370" s="3" t="str">
        <f aca="false">Raw_Data!A368&amp;"|"&amp;Raw_Data!B368&amp;"|"&amp;Raw_Data!C368&amp;"|"&amp;Raw_Data!D368&amp;"|"&amp;Raw_Data!E368&amp;"|"&amp;Raw_Data!F368&amp;"|"&amp;Raw_Data!G368&amp;"|"&amp;Raw_Data!H368&amp;"|"&amp;Raw_Data!I368&amp;"|"&amp;Raw_Data!J368&amp;"|"&amp;Raw_Data!K368&amp;"|"&amp;Raw_Data!L368&amp;"|"&amp;Raw_Data!M368&amp;"|"&amp;Raw_Data!N368&amp;"|"&amp;Raw_Data!O368&amp;"|"&amp;Raw_Data!P368&amp;"|"&amp;Raw_Data!Q368&amp;"|"&amp;Raw_Data!R368&amp;"|"&amp;Raw_Data!S368&amp;"|"&amp;Raw_Data!T368&amp;"|"&amp;Raw_Data!U368&amp;"|"&amp;Raw_Data!V368&amp;"|"&amp;Raw_Data!W368&amp;"|"&amp;Raw_Data!X368&amp;"|"&amp;Raw_Data!Y368&amp;"|"&amp;Raw_Data!Z368&amp;"|"&amp;Raw_Data!AA368&amp;"|"&amp;Raw_Data!AB368&amp;"|"&amp;Raw_Data!AC368&amp;"|"&amp;Raw_Data!AD368&amp;"|"&amp;Raw_Data!AE368&amp;"|"&amp;Raw_Data!AF368&amp;"|"&amp;Raw_Data!AG368&amp;"|"&amp;Raw_Data!AH368&amp;"|"&amp;Raw_Data!AI368&amp;"|"&amp;Raw_Data!AJ368&amp;"|"&amp;Raw_Data!AK368&amp;"|"&amp;Raw_Data!AL368&amp;"|"&amp;Raw_Data!AM368&amp;"|"&amp;Raw_Data!AN368&amp;"|"&amp;Raw_Data!AO368</f>
        <v>0|3|1|1|2|2|2|2|1|24|4|3|4|2|4|2|2|1|3|4|4|4|4|4|2|4|4|4|1|1|3|2|3|4|5|4|2|4|3|3|2</v>
      </c>
      <c r="Q370" s="3" t="n">
        <f aca="false">COUNTIF($P$4:$P$513,P370)</f>
        <v>1</v>
      </c>
    </row>
    <row r="371" customFormat="false" ht="15" hidden="false" customHeight="false" outlineLevel="0" collapsed="false">
      <c r="O371" s="3" t="n">
        <v>369</v>
      </c>
      <c r="P371" s="3" t="str">
        <f aca="false">Raw_Data!A369&amp;"|"&amp;Raw_Data!B369&amp;"|"&amp;Raw_Data!C369&amp;"|"&amp;Raw_Data!D369&amp;"|"&amp;Raw_Data!E369&amp;"|"&amp;Raw_Data!F369&amp;"|"&amp;Raw_Data!G369&amp;"|"&amp;Raw_Data!H369&amp;"|"&amp;Raw_Data!I369&amp;"|"&amp;Raw_Data!J369&amp;"|"&amp;Raw_Data!K369&amp;"|"&amp;Raw_Data!L369&amp;"|"&amp;Raw_Data!M369&amp;"|"&amp;Raw_Data!N369&amp;"|"&amp;Raw_Data!O369&amp;"|"&amp;Raw_Data!P369&amp;"|"&amp;Raw_Data!Q369&amp;"|"&amp;Raw_Data!R369&amp;"|"&amp;Raw_Data!S369&amp;"|"&amp;Raw_Data!T369&amp;"|"&amp;Raw_Data!U369&amp;"|"&amp;Raw_Data!V369&amp;"|"&amp;Raw_Data!W369&amp;"|"&amp;Raw_Data!X369&amp;"|"&amp;Raw_Data!Y369&amp;"|"&amp;Raw_Data!Z369&amp;"|"&amp;Raw_Data!AA369&amp;"|"&amp;Raw_Data!AB369&amp;"|"&amp;Raw_Data!AC369&amp;"|"&amp;Raw_Data!AD369&amp;"|"&amp;Raw_Data!AE369&amp;"|"&amp;Raw_Data!AF369&amp;"|"&amp;Raw_Data!AG369&amp;"|"&amp;Raw_Data!AH369&amp;"|"&amp;Raw_Data!AI369&amp;"|"&amp;Raw_Data!AJ369&amp;"|"&amp;Raw_Data!AK369&amp;"|"&amp;Raw_Data!AL369&amp;"|"&amp;Raw_Data!AM369&amp;"|"&amp;Raw_Data!AN369&amp;"|"&amp;Raw_Data!AO369</f>
        <v>1|4|1|1|2|2|4|2|2|23|2|4|4|4|4|2|4|3|5|5|5|4|4|4|2|4|4|4|2|2|3|2|3|3|3|5|1|5|4|3|2</v>
      </c>
      <c r="Q371" s="3" t="n">
        <f aca="false">COUNTIF($P$4:$P$513,P371)</f>
        <v>1</v>
      </c>
    </row>
    <row r="372" customFormat="false" ht="15" hidden="false" customHeight="false" outlineLevel="0" collapsed="false">
      <c r="O372" s="3" t="n">
        <v>370</v>
      </c>
      <c r="P372" s="3" t="str">
        <f aca="false">Raw_Data!A370&amp;"|"&amp;Raw_Data!B370&amp;"|"&amp;Raw_Data!C370&amp;"|"&amp;Raw_Data!D370&amp;"|"&amp;Raw_Data!E370&amp;"|"&amp;Raw_Data!F370&amp;"|"&amp;Raw_Data!G370&amp;"|"&amp;Raw_Data!H370&amp;"|"&amp;Raw_Data!I370&amp;"|"&amp;Raw_Data!J370&amp;"|"&amp;Raw_Data!K370&amp;"|"&amp;Raw_Data!L370&amp;"|"&amp;Raw_Data!M370&amp;"|"&amp;Raw_Data!N370&amp;"|"&amp;Raw_Data!O370&amp;"|"&amp;Raw_Data!P370&amp;"|"&amp;Raw_Data!Q370&amp;"|"&amp;Raw_Data!R370&amp;"|"&amp;Raw_Data!S370&amp;"|"&amp;Raw_Data!T370&amp;"|"&amp;Raw_Data!U370&amp;"|"&amp;Raw_Data!V370&amp;"|"&amp;Raw_Data!W370&amp;"|"&amp;Raw_Data!X370&amp;"|"&amp;Raw_Data!Y370&amp;"|"&amp;Raw_Data!Z370&amp;"|"&amp;Raw_Data!AA370&amp;"|"&amp;Raw_Data!AB370&amp;"|"&amp;Raw_Data!AC370&amp;"|"&amp;Raw_Data!AD370&amp;"|"&amp;Raw_Data!AE370&amp;"|"&amp;Raw_Data!AF370&amp;"|"&amp;Raw_Data!AG370&amp;"|"&amp;Raw_Data!AH370&amp;"|"&amp;Raw_Data!AI370&amp;"|"&amp;Raw_Data!AJ370&amp;"|"&amp;Raw_Data!AK370&amp;"|"&amp;Raw_Data!AL370&amp;"|"&amp;Raw_Data!AM370&amp;"|"&amp;Raw_Data!AN370&amp;"|"&amp;Raw_Data!AO370</f>
        <v>0|4|1|1|2|2|3|1|2|24|4|4|4|4|4|3|4|4|5|5|5|4|5|5|2|5|1|1|2|2|5|5|4|5|5|4|3|5|4|3|4</v>
      </c>
      <c r="Q372" s="3" t="n">
        <f aca="false">COUNTIF($P$4:$P$513,P372)</f>
        <v>1</v>
      </c>
    </row>
    <row r="373" customFormat="false" ht="15" hidden="false" customHeight="false" outlineLevel="0" collapsed="false">
      <c r="O373" s="3" t="n">
        <v>371</v>
      </c>
      <c r="P373" s="3" t="str">
        <f aca="false">Raw_Data!A371&amp;"|"&amp;Raw_Data!B371&amp;"|"&amp;Raw_Data!C371&amp;"|"&amp;Raw_Data!D371&amp;"|"&amp;Raw_Data!E371&amp;"|"&amp;Raw_Data!F371&amp;"|"&amp;Raw_Data!G371&amp;"|"&amp;Raw_Data!H371&amp;"|"&amp;Raw_Data!I371&amp;"|"&amp;Raw_Data!J371&amp;"|"&amp;Raw_Data!K371&amp;"|"&amp;Raw_Data!L371&amp;"|"&amp;Raw_Data!M371&amp;"|"&amp;Raw_Data!N371&amp;"|"&amp;Raw_Data!O371&amp;"|"&amp;Raw_Data!P371&amp;"|"&amp;Raw_Data!Q371&amp;"|"&amp;Raw_Data!R371&amp;"|"&amp;Raw_Data!S371&amp;"|"&amp;Raw_Data!T371&amp;"|"&amp;Raw_Data!U371&amp;"|"&amp;Raw_Data!V371&amp;"|"&amp;Raw_Data!W371&amp;"|"&amp;Raw_Data!X371&amp;"|"&amp;Raw_Data!Y371&amp;"|"&amp;Raw_Data!Z371&amp;"|"&amp;Raw_Data!AA371&amp;"|"&amp;Raw_Data!AB371&amp;"|"&amp;Raw_Data!AC371&amp;"|"&amp;Raw_Data!AD371&amp;"|"&amp;Raw_Data!AE371&amp;"|"&amp;Raw_Data!AF371&amp;"|"&amp;Raw_Data!AG371&amp;"|"&amp;Raw_Data!AH371&amp;"|"&amp;Raw_Data!AI371&amp;"|"&amp;Raw_Data!AJ371&amp;"|"&amp;Raw_Data!AK371&amp;"|"&amp;Raw_Data!AL371&amp;"|"&amp;Raw_Data!AM371&amp;"|"&amp;Raw_Data!AN371&amp;"|"&amp;Raw_Data!AO371</f>
        <v>0|4|1|1|2|2|2|2|1|23|2|3|2|3|4|2|2|3|3|4|4|3|3|4|4|4|3|3|2|2|2|2|3|3|2|2|4|4|3|2|3</v>
      </c>
      <c r="Q373" s="3" t="n">
        <f aca="false">COUNTIF($P$4:$P$513,P373)</f>
        <v>1</v>
      </c>
    </row>
    <row r="374" customFormat="false" ht="15" hidden="false" customHeight="false" outlineLevel="0" collapsed="false">
      <c r="O374" s="3" t="n">
        <v>372</v>
      </c>
      <c r="P374" s="3" t="str">
        <f aca="false">Raw_Data!A372&amp;"|"&amp;Raw_Data!B372&amp;"|"&amp;Raw_Data!C372&amp;"|"&amp;Raw_Data!D372&amp;"|"&amp;Raw_Data!E372&amp;"|"&amp;Raw_Data!F372&amp;"|"&amp;Raw_Data!G372&amp;"|"&amp;Raw_Data!H372&amp;"|"&amp;Raw_Data!I372&amp;"|"&amp;Raw_Data!J372&amp;"|"&amp;Raw_Data!K372&amp;"|"&amp;Raw_Data!L372&amp;"|"&amp;Raw_Data!M372&amp;"|"&amp;Raw_Data!N372&amp;"|"&amp;Raw_Data!O372&amp;"|"&amp;Raw_Data!P372&amp;"|"&amp;Raw_Data!Q372&amp;"|"&amp;Raw_Data!R372&amp;"|"&amp;Raw_Data!S372&amp;"|"&amp;Raw_Data!T372&amp;"|"&amp;Raw_Data!U372&amp;"|"&amp;Raw_Data!V372&amp;"|"&amp;Raw_Data!W372&amp;"|"&amp;Raw_Data!X372&amp;"|"&amp;Raw_Data!Y372&amp;"|"&amp;Raw_Data!Z372&amp;"|"&amp;Raw_Data!AA372&amp;"|"&amp;Raw_Data!AB372&amp;"|"&amp;Raw_Data!AC372&amp;"|"&amp;Raw_Data!AD372&amp;"|"&amp;Raw_Data!AE372&amp;"|"&amp;Raw_Data!AF372&amp;"|"&amp;Raw_Data!AG372&amp;"|"&amp;Raw_Data!AH372&amp;"|"&amp;Raw_Data!AI372&amp;"|"&amp;Raw_Data!AJ372&amp;"|"&amp;Raw_Data!AK372&amp;"|"&amp;Raw_Data!AL372&amp;"|"&amp;Raw_Data!AM372&amp;"|"&amp;Raw_Data!AN372&amp;"|"&amp;Raw_Data!AO372</f>
        <v>0|1|2|1|2|2|2|3|2|24|2|4|3|4|4|3|3|3|3|2|3|3|3|3|3|4|4|2|2|2|3|2|2|4|4|4|3|2|3|3|3</v>
      </c>
      <c r="Q374" s="3" t="n">
        <f aca="false">COUNTIF($P$4:$P$513,P374)</f>
        <v>1</v>
      </c>
    </row>
    <row r="375" customFormat="false" ht="15" hidden="false" customHeight="false" outlineLevel="0" collapsed="false">
      <c r="O375" s="3" t="n">
        <v>373</v>
      </c>
      <c r="P375" s="3" t="str">
        <f aca="false">Raw_Data!A373&amp;"|"&amp;Raw_Data!B373&amp;"|"&amp;Raw_Data!C373&amp;"|"&amp;Raw_Data!D373&amp;"|"&amp;Raw_Data!E373&amp;"|"&amp;Raw_Data!F373&amp;"|"&amp;Raw_Data!G373&amp;"|"&amp;Raw_Data!H373&amp;"|"&amp;Raw_Data!I373&amp;"|"&amp;Raw_Data!J373&amp;"|"&amp;Raw_Data!K373&amp;"|"&amp;Raw_Data!L373&amp;"|"&amp;Raw_Data!M373&amp;"|"&amp;Raw_Data!N373&amp;"|"&amp;Raw_Data!O373&amp;"|"&amp;Raw_Data!P373&amp;"|"&amp;Raw_Data!Q373&amp;"|"&amp;Raw_Data!R373&amp;"|"&amp;Raw_Data!S373&amp;"|"&amp;Raw_Data!T373&amp;"|"&amp;Raw_Data!U373&amp;"|"&amp;Raw_Data!V373&amp;"|"&amp;Raw_Data!W373&amp;"|"&amp;Raw_Data!X373&amp;"|"&amp;Raw_Data!Y373&amp;"|"&amp;Raw_Data!Z373&amp;"|"&amp;Raw_Data!AA373&amp;"|"&amp;Raw_Data!AB373&amp;"|"&amp;Raw_Data!AC373&amp;"|"&amp;Raw_Data!AD373&amp;"|"&amp;Raw_Data!AE373&amp;"|"&amp;Raw_Data!AF373&amp;"|"&amp;Raw_Data!AG373&amp;"|"&amp;Raw_Data!AH373&amp;"|"&amp;Raw_Data!AI373&amp;"|"&amp;Raw_Data!AJ373&amp;"|"&amp;Raw_Data!AK373&amp;"|"&amp;Raw_Data!AL373&amp;"|"&amp;Raw_Data!AM373&amp;"|"&amp;Raw_Data!AN373&amp;"|"&amp;Raw_Data!AO373</f>
        <v>0|4|1|1|2|2|3|2|2|24|3|3|4|3|4|3|3|1|4|5|4|3|3|2|4|4|4|4|1|2|3|3|3|4|3|3|4|4|3|2|3</v>
      </c>
      <c r="Q375" s="3" t="n">
        <f aca="false">COUNTIF($P$4:$P$513,P375)</f>
        <v>1</v>
      </c>
    </row>
    <row r="376" customFormat="false" ht="15" hidden="false" customHeight="false" outlineLevel="0" collapsed="false">
      <c r="O376" s="3" t="n">
        <v>374</v>
      </c>
      <c r="P376" s="3" t="str">
        <f aca="false">Raw_Data!A374&amp;"|"&amp;Raw_Data!B374&amp;"|"&amp;Raw_Data!C374&amp;"|"&amp;Raw_Data!D374&amp;"|"&amp;Raw_Data!E374&amp;"|"&amp;Raw_Data!F374&amp;"|"&amp;Raw_Data!G374&amp;"|"&amp;Raw_Data!H374&amp;"|"&amp;Raw_Data!I374&amp;"|"&amp;Raw_Data!J374&amp;"|"&amp;Raw_Data!K374&amp;"|"&amp;Raw_Data!L374&amp;"|"&amp;Raw_Data!M374&amp;"|"&amp;Raw_Data!N374&amp;"|"&amp;Raw_Data!O374&amp;"|"&amp;Raw_Data!P374&amp;"|"&amp;Raw_Data!Q374&amp;"|"&amp;Raw_Data!R374&amp;"|"&amp;Raw_Data!S374&amp;"|"&amp;Raw_Data!T374&amp;"|"&amp;Raw_Data!U374&amp;"|"&amp;Raw_Data!V374&amp;"|"&amp;Raw_Data!W374&amp;"|"&amp;Raw_Data!X374&amp;"|"&amp;Raw_Data!Y374&amp;"|"&amp;Raw_Data!Z374&amp;"|"&amp;Raw_Data!AA374&amp;"|"&amp;Raw_Data!AB374&amp;"|"&amp;Raw_Data!AC374&amp;"|"&amp;Raw_Data!AD374&amp;"|"&amp;Raw_Data!AE374&amp;"|"&amp;Raw_Data!AF374&amp;"|"&amp;Raw_Data!AG374&amp;"|"&amp;Raw_Data!AH374&amp;"|"&amp;Raw_Data!AI374&amp;"|"&amp;Raw_Data!AJ374&amp;"|"&amp;Raw_Data!AK374&amp;"|"&amp;Raw_Data!AL374&amp;"|"&amp;Raw_Data!AM374&amp;"|"&amp;Raw_Data!AN374&amp;"|"&amp;Raw_Data!AO374</f>
        <v>0|4|1|1|2|2|2|3|3|24|3|5|5|5|5|3|3|5|5|5|5|4|4|5|3|3|5|1|1|2|5|4|4|4|5|5|5|5|5|1|5</v>
      </c>
      <c r="Q376" s="3" t="n">
        <f aca="false">COUNTIF($P$4:$P$513,P376)</f>
        <v>1</v>
      </c>
    </row>
    <row r="377" customFormat="false" ht="15" hidden="false" customHeight="false" outlineLevel="0" collapsed="false">
      <c r="O377" s="3" t="n">
        <v>375</v>
      </c>
      <c r="P377" s="3" t="str">
        <f aca="false">Raw_Data!A375&amp;"|"&amp;Raw_Data!B375&amp;"|"&amp;Raw_Data!C375&amp;"|"&amp;Raw_Data!D375&amp;"|"&amp;Raw_Data!E375&amp;"|"&amp;Raw_Data!F375&amp;"|"&amp;Raw_Data!G375&amp;"|"&amp;Raw_Data!H375&amp;"|"&amp;Raw_Data!I375&amp;"|"&amp;Raw_Data!J375&amp;"|"&amp;Raw_Data!K375&amp;"|"&amp;Raw_Data!L375&amp;"|"&amp;Raw_Data!M375&amp;"|"&amp;Raw_Data!N375&amp;"|"&amp;Raw_Data!O375&amp;"|"&amp;Raw_Data!P375&amp;"|"&amp;Raw_Data!Q375&amp;"|"&amp;Raw_Data!R375&amp;"|"&amp;Raw_Data!S375&amp;"|"&amp;Raw_Data!T375&amp;"|"&amp;Raw_Data!U375&amp;"|"&amp;Raw_Data!V375&amp;"|"&amp;Raw_Data!W375&amp;"|"&amp;Raw_Data!X375&amp;"|"&amp;Raw_Data!Y375&amp;"|"&amp;Raw_Data!Z375&amp;"|"&amp;Raw_Data!AA375&amp;"|"&amp;Raw_Data!AB375&amp;"|"&amp;Raw_Data!AC375&amp;"|"&amp;Raw_Data!AD375&amp;"|"&amp;Raw_Data!AE375&amp;"|"&amp;Raw_Data!AF375&amp;"|"&amp;Raw_Data!AG375&amp;"|"&amp;Raw_Data!AH375&amp;"|"&amp;Raw_Data!AI375&amp;"|"&amp;Raw_Data!AJ375&amp;"|"&amp;Raw_Data!AK375&amp;"|"&amp;Raw_Data!AL375&amp;"|"&amp;Raw_Data!AM375&amp;"|"&amp;Raw_Data!AN375&amp;"|"&amp;Raw_Data!AO375</f>
        <v>0|4|2|1|2|2|2|1|3|24|5|4|5|5|5|5|5|5|4|5|4|2|4|3|2|3|4|5|5|5|5|1|5|5|5|4|2|5|4|5|5</v>
      </c>
      <c r="Q377" s="3" t="n">
        <f aca="false">COUNTIF($P$4:$P$513,P377)</f>
        <v>1</v>
      </c>
    </row>
    <row r="378" customFormat="false" ht="15" hidden="false" customHeight="false" outlineLevel="0" collapsed="false">
      <c r="O378" s="3" t="n">
        <v>376</v>
      </c>
      <c r="P378" s="3" t="str">
        <f aca="false">Raw_Data!A376&amp;"|"&amp;Raw_Data!B376&amp;"|"&amp;Raw_Data!C376&amp;"|"&amp;Raw_Data!D376&amp;"|"&amp;Raw_Data!E376&amp;"|"&amp;Raw_Data!F376&amp;"|"&amp;Raw_Data!G376&amp;"|"&amp;Raw_Data!H376&amp;"|"&amp;Raw_Data!I376&amp;"|"&amp;Raw_Data!J376&amp;"|"&amp;Raw_Data!K376&amp;"|"&amp;Raw_Data!L376&amp;"|"&amp;Raw_Data!M376&amp;"|"&amp;Raw_Data!N376&amp;"|"&amp;Raw_Data!O376&amp;"|"&amp;Raw_Data!P376&amp;"|"&amp;Raw_Data!Q376&amp;"|"&amp;Raw_Data!R376&amp;"|"&amp;Raw_Data!S376&amp;"|"&amp;Raw_Data!T376&amp;"|"&amp;Raw_Data!U376&amp;"|"&amp;Raw_Data!V376&amp;"|"&amp;Raw_Data!W376&amp;"|"&amp;Raw_Data!X376&amp;"|"&amp;Raw_Data!Y376&amp;"|"&amp;Raw_Data!Z376&amp;"|"&amp;Raw_Data!AA376&amp;"|"&amp;Raw_Data!AB376&amp;"|"&amp;Raw_Data!AC376&amp;"|"&amp;Raw_Data!AD376&amp;"|"&amp;Raw_Data!AE376&amp;"|"&amp;Raw_Data!AF376&amp;"|"&amp;Raw_Data!AG376&amp;"|"&amp;Raw_Data!AH376&amp;"|"&amp;Raw_Data!AI376&amp;"|"&amp;Raw_Data!AJ376&amp;"|"&amp;Raw_Data!AK376&amp;"|"&amp;Raw_Data!AL376&amp;"|"&amp;Raw_Data!AM376&amp;"|"&amp;Raw_Data!AN376&amp;"|"&amp;Raw_Data!AO376</f>
        <v>0|3|1|1|2|2|3|2|1|22|3|3|4|3|3|3|1|1|4|4|4|3|3|3|4|4|2|2|2|2|4|2|4|4|4|4|3|4|3|1|3</v>
      </c>
      <c r="Q378" s="3" t="n">
        <f aca="false">COUNTIF($P$4:$P$513,P378)</f>
        <v>1</v>
      </c>
    </row>
    <row r="379" customFormat="false" ht="15" hidden="false" customHeight="false" outlineLevel="0" collapsed="false">
      <c r="O379" s="3" t="n">
        <v>377</v>
      </c>
      <c r="P379" s="3" t="str">
        <f aca="false">Raw_Data!A377&amp;"|"&amp;Raw_Data!B377&amp;"|"&amp;Raw_Data!C377&amp;"|"&amp;Raw_Data!D377&amp;"|"&amp;Raw_Data!E377&amp;"|"&amp;Raw_Data!F377&amp;"|"&amp;Raw_Data!G377&amp;"|"&amp;Raw_Data!H377&amp;"|"&amp;Raw_Data!I377&amp;"|"&amp;Raw_Data!J377&amp;"|"&amp;Raw_Data!K377&amp;"|"&amp;Raw_Data!L377&amp;"|"&amp;Raw_Data!M377&amp;"|"&amp;Raw_Data!N377&amp;"|"&amp;Raw_Data!O377&amp;"|"&amp;Raw_Data!P377&amp;"|"&amp;Raw_Data!Q377&amp;"|"&amp;Raw_Data!R377&amp;"|"&amp;Raw_Data!S377&amp;"|"&amp;Raw_Data!T377&amp;"|"&amp;Raw_Data!U377&amp;"|"&amp;Raw_Data!V377&amp;"|"&amp;Raw_Data!W377&amp;"|"&amp;Raw_Data!X377&amp;"|"&amp;Raw_Data!Y377&amp;"|"&amp;Raw_Data!Z377&amp;"|"&amp;Raw_Data!AA377&amp;"|"&amp;Raw_Data!AB377&amp;"|"&amp;Raw_Data!AC377&amp;"|"&amp;Raw_Data!AD377&amp;"|"&amp;Raw_Data!AE377&amp;"|"&amp;Raw_Data!AF377&amp;"|"&amp;Raw_Data!AG377&amp;"|"&amp;Raw_Data!AH377&amp;"|"&amp;Raw_Data!AI377&amp;"|"&amp;Raw_Data!AJ377&amp;"|"&amp;Raw_Data!AK377&amp;"|"&amp;Raw_Data!AL377&amp;"|"&amp;Raw_Data!AM377&amp;"|"&amp;Raw_Data!AN377&amp;"|"&amp;Raw_Data!AO377</f>
        <v>0|3|1|1|2|2|3|2|1|21|3|3|3|3|3|2|3|3|4|5|4|2|3|1|2|2|3|2|1|2|4|4|4|5|5|4|3|4|3|3|3</v>
      </c>
      <c r="Q379" s="3" t="n">
        <f aca="false">COUNTIF($P$4:$P$513,P379)</f>
        <v>1</v>
      </c>
    </row>
    <row r="380" customFormat="false" ht="15" hidden="false" customHeight="false" outlineLevel="0" collapsed="false">
      <c r="O380" s="3" t="n">
        <v>378</v>
      </c>
      <c r="P380" s="3" t="str">
        <f aca="false">Raw_Data!A378&amp;"|"&amp;Raw_Data!B378&amp;"|"&amp;Raw_Data!C378&amp;"|"&amp;Raw_Data!D378&amp;"|"&amp;Raw_Data!E378&amp;"|"&amp;Raw_Data!F378&amp;"|"&amp;Raw_Data!G378&amp;"|"&amp;Raw_Data!H378&amp;"|"&amp;Raw_Data!I378&amp;"|"&amp;Raw_Data!J378&amp;"|"&amp;Raw_Data!K378&amp;"|"&amp;Raw_Data!L378&amp;"|"&amp;Raw_Data!M378&amp;"|"&amp;Raw_Data!N378&amp;"|"&amp;Raw_Data!O378&amp;"|"&amp;Raw_Data!P378&amp;"|"&amp;Raw_Data!Q378&amp;"|"&amp;Raw_Data!R378&amp;"|"&amp;Raw_Data!S378&amp;"|"&amp;Raw_Data!T378&amp;"|"&amp;Raw_Data!U378&amp;"|"&amp;Raw_Data!V378&amp;"|"&amp;Raw_Data!W378&amp;"|"&amp;Raw_Data!X378&amp;"|"&amp;Raw_Data!Y378&amp;"|"&amp;Raw_Data!Z378&amp;"|"&amp;Raw_Data!AA378&amp;"|"&amp;Raw_Data!AB378&amp;"|"&amp;Raw_Data!AC378&amp;"|"&amp;Raw_Data!AD378&amp;"|"&amp;Raw_Data!AE378&amp;"|"&amp;Raw_Data!AF378&amp;"|"&amp;Raw_Data!AG378&amp;"|"&amp;Raw_Data!AH378&amp;"|"&amp;Raw_Data!AI378&amp;"|"&amp;Raw_Data!AJ378&amp;"|"&amp;Raw_Data!AK378&amp;"|"&amp;Raw_Data!AL378&amp;"|"&amp;Raw_Data!AM378&amp;"|"&amp;Raw_Data!AN378&amp;"|"&amp;Raw_Data!AO378</f>
        <v>0|4|1|1|2|2|3|3|1|22|3|3|3|2|4|4|2|2|4|4|4|4|3|3|2|4|4|2|2|2|2|2|4|4|4|4|3|5|2|2|2</v>
      </c>
      <c r="Q380" s="3" t="n">
        <f aca="false">COUNTIF($P$4:$P$513,P380)</f>
        <v>1</v>
      </c>
    </row>
    <row r="381" customFormat="false" ht="15" hidden="false" customHeight="false" outlineLevel="0" collapsed="false">
      <c r="O381" s="3" t="n">
        <v>379</v>
      </c>
      <c r="P381" s="3" t="str">
        <f aca="false">Raw_Data!A379&amp;"|"&amp;Raw_Data!B379&amp;"|"&amp;Raw_Data!C379&amp;"|"&amp;Raw_Data!D379&amp;"|"&amp;Raw_Data!E379&amp;"|"&amp;Raw_Data!F379&amp;"|"&amp;Raw_Data!G379&amp;"|"&amp;Raw_Data!H379&amp;"|"&amp;Raw_Data!I379&amp;"|"&amp;Raw_Data!J379&amp;"|"&amp;Raw_Data!K379&amp;"|"&amp;Raw_Data!L379&amp;"|"&amp;Raw_Data!M379&amp;"|"&amp;Raw_Data!N379&amp;"|"&amp;Raw_Data!O379&amp;"|"&amp;Raw_Data!P379&amp;"|"&amp;Raw_Data!Q379&amp;"|"&amp;Raw_Data!R379&amp;"|"&amp;Raw_Data!S379&amp;"|"&amp;Raw_Data!T379&amp;"|"&amp;Raw_Data!U379&amp;"|"&amp;Raw_Data!V379&amp;"|"&amp;Raw_Data!W379&amp;"|"&amp;Raw_Data!X379&amp;"|"&amp;Raw_Data!Y379&amp;"|"&amp;Raw_Data!Z379&amp;"|"&amp;Raw_Data!AA379&amp;"|"&amp;Raw_Data!AB379&amp;"|"&amp;Raw_Data!AC379&amp;"|"&amp;Raw_Data!AD379&amp;"|"&amp;Raw_Data!AE379&amp;"|"&amp;Raw_Data!AF379&amp;"|"&amp;Raw_Data!AG379&amp;"|"&amp;Raw_Data!AH379&amp;"|"&amp;Raw_Data!AI379&amp;"|"&amp;Raw_Data!AJ379&amp;"|"&amp;Raw_Data!AK379&amp;"|"&amp;Raw_Data!AL379&amp;"|"&amp;Raw_Data!AM379&amp;"|"&amp;Raw_Data!AN379&amp;"|"&amp;Raw_Data!AO379</f>
        <v>1|3|1|2|2|2|4|1|1|21|3|3|3|3|3|4|4|2|4|5|5|4|5|4|4|5|2|3|2|2|5|4|5|5|4|4|2|5|3|2|4</v>
      </c>
      <c r="Q381" s="3" t="n">
        <f aca="false">COUNTIF($P$4:$P$513,P381)</f>
        <v>1</v>
      </c>
    </row>
    <row r="382" customFormat="false" ht="15" hidden="false" customHeight="false" outlineLevel="0" collapsed="false">
      <c r="O382" s="3" t="n">
        <v>380</v>
      </c>
      <c r="P382" s="3" t="str">
        <f aca="false">Raw_Data!A380&amp;"|"&amp;Raw_Data!B380&amp;"|"&amp;Raw_Data!C380&amp;"|"&amp;Raw_Data!D380&amp;"|"&amp;Raw_Data!E380&amp;"|"&amp;Raw_Data!F380&amp;"|"&amp;Raw_Data!G380&amp;"|"&amp;Raw_Data!H380&amp;"|"&amp;Raw_Data!I380&amp;"|"&amp;Raw_Data!J380&amp;"|"&amp;Raw_Data!K380&amp;"|"&amp;Raw_Data!L380&amp;"|"&amp;Raw_Data!M380&amp;"|"&amp;Raw_Data!N380&amp;"|"&amp;Raw_Data!O380&amp;"|"&amp;Raw_Data!P380&amp;"|"&amp;Raw_Data!Q380&amp;"|"&amp;Raw_Data!R380&amp;"|"&amp;Raw_Data!S380&amp;"|"&amp;Raw_Data!T380&amp;"|"&amp;Raw_Data!U380&amp;"|"&amp;Raw_Data!V380&amp;"|"&amp;Raw_Data!W380&amp;"|"&amp;Raw_Data!X380&amp;"|"&amp;Raw_Data!Y380&amp;"|"&amp;Raw_Data!Z380&amp;"|"&amp;Raw_Data!AA380&amp;"|"&amp;Raw_Data!AB380&amp;"|"&amp;Raw_Data!AC380&amp;"|"&amp;Raw_Data!AD380&amp;"|"&amp;Raw_Data!AE380&amp;"|"&amp;Raw_Data!AF380&amp;"|"&amp;Raw_Data!AG380&amp;"|"&amp;Raw_Data!AH380&amp;"|"&amp;Raw_Data!AI380&amp;"|"&amp;Raw_Data!AJ380&amp;"|"&amp;Raw_Data!AK380&amp;"|"&amp;Raw_Data!AL380&amp;"|"&amp;Raw_Data!AM380&amp;"|"&amp;Raw_Data!AN380&amp;"|"&amp;Raw_Data!AO380</f>
        <v>0|3|2|2|2|2|3|2|1|21|3|3|2|3|3|3|3|3|4|4|4|3|4|3|3|3|4|2|3|2|3|2|3|4|4|4|3|4|4|3|3</v>
      </c>
      <c r="Q382" s="3" t="n">
        <f aca="false">COUNTIF($P$4:$P$513,P382)</f>
        <v>1</v>
      </c>
    </row>
    <row r="383" customFormat="false" ht="15" hidden="false" customHeight="false" outlineLevel="0" collapsed="false">
      <c r="O383" s="3" t="n">
        <v>381</v>
      </c>
      <c r="P383" s="3" t="str">
        <f aca="false">Raw_Data!A381&amp;"|"&amp;Raw_Data!B381&amp;"|"&amp;Raw_Data!C381&amp;"|"&amp;Raw_Data!D381&amp;"|"&amp;Raw_Data!E381&amp;"|"&amp;Raw_Data!F381&amp;"|"&amp;Raw_Data!G381&amp;"|"&amp;Raw_Data!H381&amp;"|"&amp;Raw_Data!I381&amp;"|"&amp;Raw_Data!J381&amp;"|"&amp;Raw_Data!K381&amp;"|"&amp;Raw_Data!L381&amp;"|"&amp;Raw_Data!M381&amp;"|"&amp;Raw_Data!N381&amp;"|"&amp;Raw_Data!O381&amp;"|"&amp;Raw_Data!P381&amp;"|"&amp;Raw_Data!Q381&amp;"|"&amp;Raw_Data!R381&amp;"|"&amp;Raw_Data!S381&amp;"|"&amp;Raw_Data!T381&amp;"|"&amp;Raw_Data!U381&amp;"|"&amp;Raw_Data!V381&amp;"|"&amp;Raw_Data!W381&amp;"|"&amp;Raw_Data!X381&amp;"|"&amp;Raw_Data!Y381&amp;"|"&amp;Raw_Data!Z381&amp;"|"&amp;Raw_Data!AA381&amp;"|"&amp;Raw_Data!AB381&amp;"|"&amp;Raw_Data!AC381&amp;"|"&amp;Raw_Data!AD381&amp;"|"&amp;Raw_Data!AE381&amp;"|"&amp;Raw_Data!AF381&amp;"|"&amp;Raw_Data!AG381&amp;"|"&amp;Raw_Data!AH381&amp;"|"&amp;Raw_Data!AI381&amp;"|"&amp;Raw_Data!AJ381&amp;"|"&amp;Raw_Data!AK381&amp;"|"&amp;Raw_Data!AL381&amp;"|"&amp;Raw_Data!AM381&amp;"|"&amp;Raw_Data!AN381&amp;"|"&amp;Raw_Data!AO381</f>
        <v>0|3|2|2|2|2|2|3|1|21|3|4|4|4|3|2|2|3|5|4|4|4|4|4|4|3|4|2|2|4|3|2|3|4|4|4|3|4|3|4|4</v>
      </c>
      <c r="Q383" s="3" t="n">
        <f aca="false">COUNTIF($P$4:$P$513,P383)</f>
        <v>1</v>
      </c>
    </row>
    <row r="384" customFormat="false" ht="15" hidden="false" customHeight="false" outlineLevel="0" collapsed="false">
      <c r="O384" s="3" t="n">
        <v>382</v>
      </c>
      <c r="P384" s="3" t="str">
        <f aca="false">Raw_Data!A382&amp;"|"&amp;Raw_Data!B382&amp;"|"&amp;Raw_Data!C382&amp;"|"&amp;Raw_Data!D382&amp;"|"&amp;Raw_Data!E382&amp;"|"&amp;Raw_Data!F382&amp;"|"&amp;Raw_Data!G382&amp;"|"&amp;Raw_Data!H382&amp;"|"&amp;Raw_Data!I382&amp;"|"&amp;Raw_Data!J382&amp;"|"&amp;Raw_Data!K382&amp;"|"&amp;Raw_Data!L382&amp;"|"&amp;Raw_Data!M382&amp;"|"&amp;Raw_Data!N382&amp;"|"&amp;Raw_Data!O382&amp;"|"&amp;Raw_Data!P382&amp;"|"&amp;Raw_Data!Q382&amp;"|"&amp;Raw_Data!R382&amp;"|"&amp;Raw_Data!S382&amp;"|"&amp;Raw_Data!T382&amp;"|"&amp;Raw_Data!U382&amp;"|"&amp;Raw_Data!V382&amp;"|"&amp;Raw_Data!W382&amp;"|"&amp;Raw_Data!X382&amp;"|"&amp;Raw_Data!Y382&amp;"|"&amp;Raw_Data!Z382&amp;"|"&amp;Raw_Data!AA382&amp;"|"&amp;Raw_Data!AB382&amp;"|"&amp;Raw_Data!AC382&amp;"|"&amp;Raw_Data!AD382&amp;"|"&amp;Raw_Data!AE382&amp;"|"&amp;Raw_Data!AF382&amp;"|"&amp;Raw_Data!AG382&amp;"|"&amp;Raw_Data!AH382&amp;"|"&amp;Raw_Data!AI382&amp;"|"&amp;Raw_Data!AJ382&amp;"|"&amp;Raw_Data!AK382&amp;"|"&amp;Raw_Data!AL382&amp;"|"&amp;Raw_Data!AM382&amp;"|"&amp;Raw_Data!AN382&amp;"|"&amp;Raw_Data!AO382</f>
        <v>0|3|1|1|2|2|1|2|3|24|3|4|4|5|4|5|5|4|5|4|4|4|4|5|4|4|4|3|3|4|4|5|4|4|4|5|4|5|4|3|4</v>
      </c>
      <c r="Q384" s="3" t="n">
        <f aca="false">COUNTIF($P$4:$P$513,P384)</f>
        <v>1</v>
      </c>
    </row>
    <row r="385" customFormat="false" ht="15" hidden="false" customHeight="false" outlineLevel="0" collapsed="false">
      <c r="O385" s="3" t="n">
        <v>383</v>
      </c>
      <c r="P385" s="3" t="str">
        <f aca="false">Raw_Data!A383&amp;"|"&amp;Raw_Data!B383&amp;"|"&amp;Raw_Data!C383&amp;"|"&amp;Raw_Data!D383&amp;"|"&amp;Raw_Data!E383&amp;"|"&amp;Raw_Data!F383&amp;"|"&amp;Raw_Data!G383&amp;"|"&amp;Raw_Data!H383&amp;"|"&amp;Raw_Data!I383&amp;"|"&amp;Raw_Data!J383&amp;"|"&amp;Raw_Data!K383&amp;"|"&amp;Raw_Data!L383&amp;"|"&amp;Raw_Data!M383&amp;"|"&amp;Raw_Data!N383&amp;"|"&amp;Raw_Data!O383&amp;"|"&amp;Raw_Data!P383&amp;"|"&amp;Raw_Data!Q383&amp;"|"&amp;Raw_Data!R383&amp;"|"&amp;Raw_Data!S383&amp;"|"&amp;Raw_Data!T383&amp;"|"&amp;Raw_Data!U383&amp;"|"&amp;Raw_Data!V383&amp;"|"&amp;Raw_Data!W383&amp;"|"&amp;Raw_Data!X383&amp;"|"&amp;Raw_Data!Y383&amp;"|"&amp;Raw_Data!Z383&amp;"|"&amp;Raw_Data!AA383&amp;"|"&amp;Raw_Data!AB383&amp;"|"&amp;Raw_Data!AC383&amp;"|"&amp;Raw_Data!AD383&amp;"|"&amp;Raw_Data!AE383&amp;"|"&amp;Raw_Data!AF383&amp;"|"&amp;Raw_Data!AG383&amp;"|"&amp;Raw_Data!AH383&amp;"|"&amp;Raw_Data!AI383&amp;"|"&amp;Raw_Data!AJ383&amp;"|"&amp;Raw_Data!AK383&amp;"|"&amp;Raw_Data!AL383&amp;"|"&amp;Raw_Data!AM383&amp;"|"&amp;Raw_Data!AN383&amp;"|"&amp;Raw_Data!AO383</f>
        <v>0|3|2|1|2|2|3|2|1|22|3|3|3|3|3|2|3|4|4|5|4|5|4|4|4|4|5|4|2|3|4|3|4|5|5|4|3|4|4|3|3</v>
      </c>
      <c r="Q385" s="3" t="n">
        <f aca="false">COUNTIF($P$4:$P$513,P385)</f>
        <v>1</v>
      </c>
    </row>
    <row r="386" customFormat="false" ht="15" hidden="false" customHeight="false" outlineLevel="0" collapsed="false">
      <c r="O386" s="3" t="n">
        <v>384</v>
      </c>
      <c r="P386" s="3" t="str">
        <f aca="false">Raw_Data!A384&amp;"|"&amp;Raw_Data!B384&amp;"|"&amp;Raw_Data!C384&amp;"|"&amp;Raw_Data!D384&amp;"|"&amp;Raw_Data!E384&amp;"|"&amp;Raw_Data!F384&amp;"|"&amp;Raw_Data!G384&amp;"|"&amp;Raw_Data!H384&amp;"|"&amp;Raw_Data!I384&amp;"|"&amp;Raw_Data!J384&amp;"|"&amp;Raw_Data!K384&amp;"|"&amp;Raw_Data!L384&amp;"|"&amp;Raw_Data!M384&amp;"|"&amp;Raw_Data!N384&amp;"|"&amp;Raw_Data!O384&amp;"|"&amp;Raw_Data!P384&amp;"|"&amp;Raw_Data!Q384&amp;"|"&amp;Raw_Data!R384&amp;"|"&amp;Raw_Data!S384&amp;"|"&amp;Raw_Data!T384&amp;"|"&amp;Raw_Data!U384&amp;"|"&amp;Raw_Data!V384&amp;"|"&amp;Raw_Data!W384&amp;"|"&amp;Raw_Data!X384&amp;"|"&amp;Raw_Data!Y384&amp;"|"&amp;Raw_Data!Z384&amp;"|"&amp;Raw_Data!AA384&amp;"|"&amp;Raw_Data!AB384&amp;"|"&amp;Raw_Data!AC384&amp;"|"&amp;Raw_Data!AD384&amp;"|"&amp;Raw_Data!AE384&amp;"|"&amp;Raw_Data!AF384&amp;"|"&amp;Raw_Data!AG384&amp;"|"&amp;Raw_Data!AH384&amp;"|"&amp;Raw_Data!AI384&amp;"|"&amp;Raw_Data!AJ384&amp;"|"&amp;Raw_Data!AK384&amp;"|"&amp;Raw_Data!AL384&amp;"|"&amp;Raw_Data!AM384&amp;"|"&amp;Raw_Data!AN384&amp;"|"&amp;Raw_Data!AO384</f>
        <v>0|3|2|2|2|2|3|3|1|22|3|4|4|4|4|3|3|4|5|5|5|4|4|4|5|4|4|4|5|5|5|4|4|4|4|4|2|3|4|4|4</v>
      </c>
      <c r="Q386" s="3" t="n">
        <f aca="false">COUNTIF($P$4:$P$513,P386)</f>
        <v>1</v>
      </c>
    </row>
    <row r="387" customFormat="false" ht="15" hidden="false" customHeight="false" outlineLevel="0" collapsed="false">
      <c r="O387" s="3" t="n">
        <v>385</v>
      </c>
      <c r="P387" s="3" t="str">
        <f aca="false">Raw_Data!A385&amp;"|"&amp;Raw_Data!B385&amp;"|"&amp;Raw_Data!C385&amp;"|"&amp;Raw_Data!D385&amp;"|"&amp;Raw_Data!E385&amp;"|"&amp;Raw_Data!F385&amp;"|"&amp;Raw_Data!G385&amp;"|"&amp;Raw_Data!H385&amp;"|"&amp;Raw_Data!I385&amp;"|"&amp;Raw_Data!J385&amp;"|"&amp;Raw_Data!K385&amp;"|"&amp;Raw_Data!L385&amp;"|"&amp;Raw_Data!M385&amp;"|"&amp;Raw_Data!N385&amp;"|"&amp;Raw_Data!O385&amp;"|"&amp;Raw_Data!P385&amp;"|"&amp;Raw_Data!Q385&amp;"|"&amp;Raw_Data!R385&amp;"|"&amp;Raw_Data!S385&amp;"|"&amp;Raw_Data!T385&amp;"|"&amp;Raw_Data!U385&amp;"|"&amp;Raw_Data!V385&amp;"|"&amp;Raw_Data!W385&amp;"|"&amp;Raw_Data!X385&amp;"|"&amp;Raw_Data!Y385&amp;"|"&amp;Raw_Data!Z385&amp;"|"&amp;Raw_Data!AA385&amp;"|"&amp;Raw_Data!AB385&amp;"|"&amp;Raw_Data!AC385&amp;"|"&amp;Raw_Data!AD385&amp;"|"&amp;Raw_Data!AE385&amp;"|"&amp;Raw_Data!AF385&amp;"|"&amp;Raw_Data!AG385&amp;"|"&amp;Raw_Data!AH385&amp;"|"&amp;Raw_Data!AI385&amp;"|"&amp;Raw_Data!AJ385&amp;"|"&amp;Raw_Data!AK385&amp;"|"&amp;Raw_Data!AL385&amp;"|"&amp;Raw_Data!AM385&amp;"|"&amp;Raw_Data!AN385&amp;"|"&amp;Raw_Data!AO385</f>
        <v>0|3|1|1|2|2|3|1|1|20|3|3|4|3|4|3|3|3|3|3|3|2|4|3|3|4|5|4|3|4|3|4|2|3|2|4|2|4|3|3|3</v>
      </c>
      <c r="Q387" s="3" t="n">
        <f aca="false">COUNTIF($P$4:$P$513,P387)</f>
        <v>1</v>
      </c>
    </row>
    <row r="388" customFormat="false" ht="15" hidden="false" customHeight="false" outlineLevel="0" collapsed="false">
      <c r="O388" s="3" t="n">
        <v>386</v>
      </c>
      <c r="P388" s="3" t="str">
        <f aca="false">Raw_Data!A386&amp;"|"&amp;Raw_Data!B386&amp;"|"&amp;Raw_Data!C386&amp;"|"&amp;Raw_Data!D386&amp;"|"&amp;Raw_Data!E386&amp;"|"&amp;Raw_Data!F386&amp;"|"&amp;Raw_Data!G386&amp;"|"&amp;Raw_Data!H386&amp;"|"&amp;Raw_Data!I386&amp;"|"&amp;Raw_Data!J386&amp;"|"&amp;Raw_Data!K386&amp;"|"&amp;Raw_Data!L386&amp;"|"&amp;Raw_Data!M386&amp;"|"&amp;Raw_Data!N386&amp;"|"&amp;Raw_Data!O386&amp;"|"&amp;Raw_Data!P386&amp;"|"&amp;Raw_Data!Q386&amp;"|"&amp;Raw_Data!R386&amp;"|"&amp;Raw_Data!S386&amp;"|"&amp;Raw_Data!T386&amp;"|"&amp;Raw_Data!U386&amp;"|"&amp;Raw_Data!V386&amp;"|"&amp;Raw_Data!W386&amp;"|"&amp;Raw_Data!X386&amp;"|"&amp;Raw_Data!Y386&amp;"|"&amp;Raw_Data!Z386&amp;"|"&amp;Raw_Data!AA386&amp;"|"&amp;Raw_Data!AB386&amp;"|"&amp;Raw_Data!AC386&amp;"|"&amp;Raw_Data!AD386&amp;"|"&amp;Raw_Data!AE386&amp;"|"&amp;Raw_Data!AF386&amp;"|"&amp;Raw_Data!AG386&amp;"|"&amp;Raw_Data!AH386&amp;"|"&amp;Raw_Data!AI386&amp;"|"&amp;Raw_Data!AJ386&amp;"|"&amp;Raw_Data!AK386&amp;"|"&amp;Raw_Data!AL386&amp;"|"&amp;Raw_Data!AM386&amp;"|"&amp;Raw_Data!AN386&amp;"|"&amp;Raw_Data!AO386</f>
        <v>0|3|2|1|2|2|2|1|1|20|3|3|4|2|4|2|3|4|3|3|4|4|4|4|4|4|4|3|2|2|2|2|3|2|2|4|3|3|3|4|3</v>
      </c>
      <c r="Q388" s="3" t="n">
        <f aca="false">COUNTIF($P$4:$P$513,P388)</f>
        <v>1</v>
      </c>
    </row>
    <row r="389" customFormat="false" ht="15" hidden="false" customHeight="false" outlineLevel="0" collapsed="false">
      <c r="O389" s="3" t="n">
        <v>387</v>
      </c>
      <c r="P389" s="3" t="str">
        <f aca="false">Raw_Data!A387&amp;"|"&amp;Raw_Data!B387&amp;"|"&amp;Raw_Data!C387&amp;"|"&amp;Raw_Data!D387&amp;"|"&amp;Raw_Data!E387&amp;"|"&amp;Raw_Data!F387&amp;"|"&amp;Raw_Data!G387&amp;"|"&amp;Raw_Data!H387&amp;"|"&amp;Raw_Data!I387&amp;"|"&amp;Raw_Data!J387&amp;"|"&amp;Raw_Data!K387&amp;"|"&amp;Raw_Data!L387&amp;"|"&amp;Raw_Data!M387&amp;"|"&amp;Raw_Data!N387&amp;"|"&amp;Raw_Data!O387&amp;"|"&amp;Raw_Data!P387&amp;"|"&amp;Raw_Data!Q387&amp;"|"&amp;Raw_Data!R387&amp;"|"&amp;Raw_Data!S387&amp;"|"&amp;Raw_Data!T387&amp;"|"&amp;Raw_Data!U387&amp;"|"&amp;Raw_Data!V387&amp;"|"&amp;Raw_Data!W387&amp;"|"&amp;Raw_Data!X387&amp;"|"&amp;Raw_Data!Y387&amp;"|"&amp;Raw_Data!Z387&amp;"|"&amp;Raw_Data!AA387&amp;"|"&amp;Raw_Data!AB387&amp;"|"&amp;Raw_Data!AC387&amp;"|"&amp;Raw_Data!AD387&amp;"|"&amp;Raw_Data!AE387&amp;"|"&amp;Raw_Data!AF387&amp;"|"&amp;Raw_Data!AG387&amp;"|"&amp;Raw_Data!AH387&amp;"|"&amp;Raw_Data!AI387&amp;"|"&amp;Raw_Data!AJ387&amp;"|"&amp;Raw_Data!AK387&amp;"|"&amp;Raw_Data!AL387&amp;"|"&amp;Raw_Data!AM387&amp;"|"&amp;Raw_Data!AN387&amp;"|"&amp;Raw_Data!AO387</f>
        <v>0|3|1|1|2|2|2|2|1|22|3|3|3|3|4|3|3|4|4|5|4|4|4|4|5|5|1|1|2|2|4|3|4|4|5|4|3|3|3|2|3</v>
      </c>
      <c r="Q389" s="3" t="n">
        <f aca="false">COUNTIF($P$4:$P$513,P389)</f>
        <v>1</v>
      </c>
    </row>
    <row r="390" customFormat="false" ht="15" hidden="false" customHeight="false" outlineLevel="0" collapsed="false">
      <c r="O390" s="3" t="n">
        <v>388</v>
      </c>
      <c r="P390" s="3" t="str">
        <f aca="false">Raw_Data!A388&amp;"|"&amp;Raw_Data!B388&amp;"|"&amp;Raw_Data!C388&amp;"|"&amp;Raw_Data!D388&amp;"|"&amp;Raw_Data!E388&amp;"|"&amp;Raw_Data!F388&amp;"|"&amp;Raw_Data!G388&amp;"|"&amp;Raw_Data!H388&amp;"|"&amp;Raw_Data!I388&amp;"|"&amp;Raw_Data!J388&amp;"|"&amp;Raw_Data!K388&amp;"|"&amp;Raw_Data!L388&amp;"|"&amp;Raw_Data!M388&amp;"|"&amp;Raw_Data!N388&amp;"|"&amp;Raw_Data!O388&amp;"|"&amp;Raw_Data!P388&amp;"|"&amp;Raw_Data!Q388&amp;"|"&amp;Raw_Data!R388&amp;"|"&amp;Raw_Data!S388&amp;"|"&amp;Raw_Data!T388&amp;"|"&amp;Raw_Data!U388&amp;"|"&amp;Raw_Data!V388&amp;"|"&amp;Raw_Data!W388&amp;"|"&amp;Raw_Data!X388&amp;"|"&amp;Raw_Data!Y388&amp;"|"&amp;Raw_Data!Z388&amp;"|"&amp;Raw_Data!AA388&amp;"|"&amp;Raw_Data!AB388&amp;"|"&amp;Raw_Data!AC388&amp;"|"&amp;Raw_Data!AD388&amp;"|"&amp;Raw_Data!AE388&amp;"|"&amp;Raw_Data!AF388&amp;"|"&amp;Raw_Data!AG388&amp;"|"&amp;Raw_Data!AH388&amp;"|"&amp;Raw_Data!AI388&amp;"|"&amp;Raw_Data!AJ388&amp;"|"&amp;Raw_Data!AK388&amp;"|"&amp;Raw_Data!AL388&amp;"|"&amp;Raw_Data!AM388&amp;"|"&amp;Raw_Data!AN388&amp;"|"&amp;Raw_Data!AO388</f>
        <v>0|3|2|1|2|2|1|2|1|23|4|3|4|4|4|4|2|4|4|5|5|3|2|3|4|3|2|2|2|2|4|4|4|5|4|4|2|4|3|3|3</v>
      </c>
      <c r="Q390" s="3" t="n">
        <f aca="false">COUNTIF($P$4:$P$513,P390)</f>
        <v>1</v>
      </c>
    </row>
    <row r="391" customFormat="false" ht="15" hidden="false" customHeight="false" outlineLevel="0" collapsed="false">
      <c r="O391" s="3" t="n">
        <v>389</v>
      </c>
      <c r="P391" s="3" t="str">
        <f aca="false">Raw_Data!A389&amp;"|"&amp;Raw_Data!B389&amp;"|"&amp;Raw_Data!C389&amp;"|"&amp;Raw_Data!D389&amp;"|"&amp;Raw_Data!E389&amp;"|"&amp;Raw_Data!F389&amp;"|"&amp;Raw_Data!G389&amp;"|"&amp;Raw_Data!H389&amp;"|"&amp;Raw_Data!I389&amp;"|"&amp;Raw_Data!J389&amp;"|"&amp;Raw_Data!K389&amp;"|"&amp;Raw_Data!L389&amp;"|"&amp;Raw_Data!M389&amp;"|"&amp;Raw_Data!N389&amp;"|"&amp;Raw_Data!O389&amp;"|"&amp;Raw_Data!P389&amp;"|"&amp;Raw_Data!Q389&amp;"|"&amp;Raw_Data!R389&amp;"|"&amp;Raw_Data!S389&amp;"|"&amp;Raw_Data!T389&amp;"|"&amp;Raw_Data!U389&amp;"|"&amp;Raw_Data!V389&amp;"|"&amp;Raw_Data!W389&amp;"|"&amp;Raw_Data!X389&amp;"|"&amp;Raw_Data!Y389&amp;"|"&amp;Raw_Data!Z389&amp;"|"&amp;Raw_Data!AA389&amp;"|"&amp;Raw_Data!AB389&amp;"|"&amp;Raw_Data!AC389&amp;"|"&amp;Raw_Data!AD389&amp;"|"&amp;Raw_Data!AE389&amp;"|"&amp;Raw_Data!AF389&amp;"|"&amp;Raw_Data!AG389&amp;"|"&amp;Raw_Data!AH389&amp;"|"&amp;Raw_Data!AI389&amp;"|"&amp;Raw_Data!AJ389&amp;"|"&amp;Raw_Data!AK389&amp;"|"&amp;Raw_Data!AL389&amp;"|"&amp;Raw_Data!AM389&amp;"|"&amp;Raw_Data!AN389&amp;"|"&amp;Raw_Data!AO389</f>
        <v>0|4|1|1|2|2|4|3|1|23|3|3|4|3|3|3|3|3|3|4|4|4|4|4|4|4|4|3|2|2|3|3|4|4|4|3|3|4|3|3|3</v>
      </c>
      <c r="Q391" s="3" t="n">
        <f aca="false">COUNTIF($P$4:$P$513,P391)</f>
        <v>1</v>
      </c>
    </row>
    <row r="392" customFormat="false" ht="15" hidden="false" customHeight="false" outlineLevel="0" collapsed="false">
      <c r="O392" s="3" t="n">
        <v>390</v>
      </c>
      <c r="P392" s="3" t="str">
        <f aca="false">Raw_Data!A390&amp;"|"&amp;Raw_Data!B390&amp;"|"&amp;Raw_Data!C390&amp;"|"&amp;Raw_Data!D390&amp;"|"&amp;Raw_Data!E390&amp;"|"&amp;Raw_Data!F390&amp;"|"&amp;Raw_Data!G390&amp;"|"&amp;Raw_Data!H390&amp;"|"&amp;Raw_Data!I390&amp;"|"&amp;Raw_Data!J390&amp;"|"&amp;Raw_Data!K390&amp;"|"&amp;Raw_Data!L390&amp;"|"&amp;Raw_Data!M390&amp;"|"&amp;Raw_Data!N390&amp;"|"&amp;Raw_Data!O390&amp;"|"&amp;Raw_Data!P390&amp;"|"&amp;Raw_Data!Q390&amp;"|"&amp;Raw_Data!R390&amp;"|"&amp;Raw_Data!S390&amp;"|"&amp;Raw_Data!T390&amp;"|"&amp;Raw_Data!U390&amp;"|"&amp;Raw_Data!V390&amp;"|"&amp;Raw_Data!W390&amp;"|"&amp;Raw_Data!X390&amp;"|"&amp;Raw_Data!Y390&amp;"|"&amp;Raw_Data!Z390&amp;"|"&amp;Raw_Data!AA390&amp;"|"&amp;Raw_Data!AB390&amp;"|"&amp;Raw_Data!AC390&amp;"|"&amp;Raw_Data!AD390&amp;"|"&amp;Raw_Data!AE390&amp;"|"&amp;Raw_Data!AF390&amp;"|"&amp;Raw_Data!AG390&amp;"|"&amp;Raw_Data!AH390&amp;"|"&amp;Raw_Data!AI390&amp;"|"&amp;Raw_Data!AJ390&amp;"|"&amp;Raw_Data!AK390&amp;"|"&amp;Raw_Data!AL390&amp;"|"&amp;Raw_Data!AM390&amp;"|"&amp;Raw_Data!AN390&amp;"|"&amp;Raw_Data!AO390</f>
        <v>0|4|2|1|2|2|2|3|1|23|4|5|4|3|4|3|3|3|4|5|4|4|4|4|3|4|4|4|4|4|5|4|5|5|4|4|3|4|4|3|4</v>
      </c>
      <c r="Q392" s="3" t="n">
        <f aca="false">COUNTIF($P$4:$P$513,P392)</f>
        <v>1</v>
      </c>
    </row>
    <row r="393" customFormat="false" ht="15" hidden="false" customHeight="false" outlineLevel="0" collapsed="false">
      <c r="O393" s="3" t="n">
        <v>391</v>
      </c>
      <c r="P393" s="3" t="str">
        <f aca="false">Raw_Data!A391&amp;"|"&amp;Raw_Data!B391&amp;"|"&amp;Raw_Data!C391&amp;"|"&amp;Raw_Data!D391&amp;"|"&amp;Raw_Data!E391&amp;"|"&amp;Raw_Data!F391&amp;"|"&amp;Raw_Data!G391&amp;"|"&amp;Raw_Data!H391&amp;"|"&amp;Raw_Data!I391&amp;"|"&amp;Raw_Data!J391&amp;"|"&amp;Raw_Data!K391&amp;"|"&amp;Raw_Data!L391&amp;"|"&amp;Raw_Data!M391&amp;"|"&amp;Raw_Data!N391&amp;"|"&amp;Raw_Data!O391&amp;"|"&amp;Raw_Data!P391&amp;"|"&amp;Raw_Data!Q391&amp;"|"&amp;Raw_Data!R391&amp;"|"&amp;Raw_Data!S391&amp;"|"&amp;Raw_Data!T391&amp;"|"&amp;Raw_Data!U391&amp;"|"&amp;Raw_Data!V391&amp;"|"&amp;Raw_Data!W391&amp;"|"&amp;Raw_Data!X391&amp;"|"&amp;Raw_Data!Y391&amp;"|"&amp;Raw_Data!Z391&amp;"|"&amp;Raw_Data!AA391&amp;"|"&amp;Raw_Data!AB391&amp;"|"&amp;Raw_Data!AC391&amp;"|"&amp;Raw_Data!AD391&amp;"|"&amp;Raw_Data!AE391&amp;"|"&amp;Raw_Data!AF391&amp;"|"&amp;Raw_Data!AG391&amp;"|"&amp;Raw_Data!AH391&amp;"|"&amp;Raw_Data!AI391&amp;"|"&amp;Raw_Data!AJ391&amp;"|"&amp;Raw_Data!AK391&amp;"|"&amp;Raw_Data!AL391&amp;"|"&amp;Raw_Data!AM391&amp;"|"&amp;Raw_Data!AN391&amp;"|"&amp;Raw_Data!AO391</f>
        <v>0|4|1|1|2|2|3|2|1|23|3|3|4|3|4|5|3|4|4|4|5|5|4|5|4|4|4|5|4|4|2|2|3|5|4|5|2|4|3|4|3</v>
      </c>
      <c r="Q393" s="3" t="n">
        <f aca="false">COUNTIF($P$4:$P$513,P393)</f>
        <v>1</v>
      </c>
    </row>
    <row r="394" customFormat="false" ht="15" hidden="false" customHeight="false" outlineLevel="0" collapsed="false">
      <c r="O394" s="3" t="n">
        <v>392</v>
      </c>
      <c r="P394" s="3" t="str">
        <f aca="false">Raw_Data!A392&amp;"|"&amp;Raw_Data!B392&amp;"|"&amp;Raw_Data!C392&amp;"|"&amp;Raw_Data!D392&amp;"|"&amp;Raw_Data!E392&amp;"|"&amp;Raw_Data!F392&amp;"|"&amp;Raw_Data!G392&amp;"|"&amp;Raw_Data!H392&amp;"|"&amp;Raw_Data!I392&amp;"|"&amp;Raw_Data!J392&amp;"|"&amp;Raw_Data!K392&amp;"|"&amp;Raw_Data!L392&amp;"|"&amp;Raw_Data!M392&amp;"|"&amp;Raw_Data!N392&amp;"|"&amp;Raw_Data!O392&amp;"|"&amp;Raw_Data!P392&amp;"|"&amp;Raw_Data!Q392&amp;"|"&amp;Raw_Data!R392&amp;"|"&amp;Raw_Data!S392&amp;"|"&amp;Raw_Data!T392&amp;"|"&amp;Raw_Data!U392&amp;"|"&amp;Raw_Data!V392&amp;"|"&amp;Raw_Data!W392&amp;"|"&amp;Raw_Data!X392&amp;"|"&amp;Raw_Data!Y392&amp;"|"&amp;Raw_Data!Z392&amp;"|"&amp;Raw_Data!AA392&amp;"|"&amp;Raw_Data!AB392&amp;"|"&amp;Raw_Data!AC392&amp;"|"&amp;Raw_Data!AD392&amp;"|"&amp;Raw_Data!AE392&amp;"|"&amp;Raw_Data!AF392&amp;"|"&amp;Raw_Data!AG392&amp;"|"&amp;Raw_Data!AH392&amp;"|"&amp;Raw_Data!AI392&amp;"|"&amp;Raw_Data!AJ392&amp;"|"&amp;Raw_Data!AK392&amp;"|"&amp;Raw_Data!AL392&amp;"|"&amp;Raw_Data!AM392&amp;"|"&amp;Raw_Data!AN392&amp;"|"&amp;Raw_Data!AO392</f>
        <v>0|3|1|1|1|2|3|2|3|23|3|1|4|4|3|2|4|2|3|5|5|5|4|3|4|4|5|3|1|1|2|2|2|4|2|4|2|5|5|3|2</v>
      </c>
      <c r="Q394" s="3" t="n">
        <f aca="false">COUNTIF($P$4:$P$513,P394)</f>
        <v>1</v>
      </c>
    </row>
    <row r="395" customFormat="false" ht="15" hidden="false" customHeight="false" outlineLevel="0" collapsed="false">
      <c r="O395" s="3" t="n">
        <v>393</v>
      </c>
      <c r="P395" s="3" t="str">
        <f aca="false">Raw_Data!A393&amp;"|"&amp;Raw_Data!B393&amp;"|"&amp;Raw_Data!C393&amp;"|"&amp;Raw_Data!D393&amp;"|"&amp;Raw_Data!E393&amp;"|"&amp;Raw_Data!F393&amp;"|"&amp;Raw_Data!G393&amp;"|"&amp;Raw_Data!H393&amp;"|"&amp;Raw_Data!I393&amp;"|"&amp;Raw_Data!J393&amp;"|"&amp;Raw_Data!K393&amp;"|"&amp;Raw_Data!L393&amp;"|"&amp;Raw_Data!M393&amp;"|"&amp;Raw_Data!N393&amp;"|"&amp;Raw_Data!O393&amp;"|"&amp;Raw_Data!P393&amp;"|"&amp;Raw_Data!Q393&amp;"|"&amp;Raw_Data!R393&amp;"|"&amp;Raw_Data!S393&amp;"|"&amp;Raw_Data!T393&amp;"|"&amp;Raw_Data!U393&amp;"|"&amp;Raw_Data!V393&amp;"|"&amp;Raw_Data!W393&amp;"|"&amp;Raw_Data!X393&amp;"|"&amp;Raw_Data!Y393&amp;"|"&amp;Raw_Data!Z393&amp;"|"&amp;Raw_Data!AA393&amp;"|"&amp;Raw_Data!AB393&amp;"|"&amp;Raw_Data!AC393&amp;"|"&amp;Raw_Data!AD393&amp;"|"&amp;Raw_Data!AE393&amp;"|"&amp;Raw_Data!AF393&amp;"|"&amp;Raw_Data!AG393&amp;"|"&amp;Raw_Data!AH393&amp;"|"&amp;Raw_Data!AI393&amp;"|"&amp;Raw_Data!AJ393&amp;"|"&amp;Raw_Data!AK393&amp;"|"&amp;Raw_Data!AL393&amp;"|"&amp;Raw_Data!AM393&amp;"|"&amp;Raw_Data!AN393&amp;"|"&amp;Raw_Data!AO393</f>
        <v>1|3|1|1|2|2|3|2|1|23|4|4|2|5|3|2|4|2|5|5|4|4|4|3|4|4|4|4|4|2|4|5|4|4|4|4|4|5|5|4|2</v>
      </c>
      <c r="Q395" s="3" t="n">
        <f aca="false">COUNTIF($P$4:$P$513,P395)</f>
        <v>1</v>
      </c>
    </row>
    <row r="396" customFormat="false" ht="15" hidden="false" customHeight="false" outlineLevel="0" collapsed="false">
      <c r="O396" s="3" t="n">
        <v>394</v>
      </c>
      <c r="P396" s="3" t="str">
        <f aca="false">Raw_Data!A394&amp;"|"&amp;Raw_Data!B394&amp;"|"&amp;Raw_Data!C394&amp;"|"&amp;Raw_Data!D394&amp;"|"&amp;Raw_Data!E394&amp;"|"&amp;Raw_Data!F394&amp;"|"&amp;Raw_Data!G394&amp;"|"&amp;Raw_Data!H394&amp;"|"&amp;Raw_Data!I394&amp;"|"&amp;Raw_Data!J394&amp;"|"&amp;Raw_Data!K394&amp;"|"&amp;Raw_Data!L394&amp;"|"&amp;Raw_Data!M394&amp;"|"&amp;Raw_Data!N394&amp;"|"&amp;Raw_Data!O394&amp;"|"&amp;Raw_Data!P394&amp;"|"&amp;Raw_Data!Q394&amp;"|"&amp;Raw_Data!R394&amp;"|"&amp;Raw_Data!S394&amp;"|"&amp;Raw_Data!T394&amp;"|"&amp;Raw_Data!U394&amp;"|"&amp;Raw_Data!V394&amp;"|"&amp;Raw_Data!W394&amp;"|"&amp;Raw_Data!X394&amp;"|"&amp;Raw_Data!Y394&amp;"|"&amp;Raw_Data!Z394&amp;"|"&amp;Raw_Data!AA394&amp;"|"&amp;Raw_Data!AB394&amp;"|"&amp;Raw_Data!AC394&amp;"|"&amp;Raw_Data!AD394&amp;"|"&amp;Raw_Data!AE394&amp;"|"&amp;Raw_Data!AF394&amp;"|"&amp;Raw_Data!AG394&amp;"|"&amp;Raw_Data!AH394&amp;"|"&amp;Raw_Data!AI394&amp;"|"&amp;Raw_Data!AJ394&amp;"|"&amp;Raw_Data!AK394&amp;"|"&amp;Raw_Data!AL394&amp;"|"&amp;Raw_Data!AM394&amp;"|"&amp;Raw_Data!AN394&amp;"|"&amp;Raw_Data!AO394</f>
        <v>0|3|1|2|2|2|3|2|1|23|4|3|4|3|4|3|2|2|4|4|4|3|4|4|4|4|3|3|1|1|3|2|3|4|2|3|3|5|4|3|2</v>
      </c>
      <c r="Q396" s="3" t="n">
        <f aca="false">COUNTIF($P$4:$P$513,P396)</f>
        <v>1</v>
      </c>
    </row>
    <row r="397" customFormat="false" ht="15" hidden="false" customHeight="false" outlineLevel="0" collapsed="false">
      <c r="O397" s="3" t="n">
        <v>395</v>
      </c>
      <c r="P397" s="3" t="str">
        <f aca="false">Raw_Data!A395&amp;"|"&amp;Raw_Data!B395&amp;"|"&amp;Raw_Data!C395&amp;"|"&amp;Raw_Data!D395&amp;"|"&amp;Raw_Data!E395&amp;"|"&amp;Raw_Data!F395&amp;"|"&amp;Raw_Data!G395&amp;"|"&amp;Raw_Data!H395&amp;"|"&amp;Raw_Data!I395&amp;"|"&amp;Raw_Data!J395&amp;"|"&amp;Raw_Data!K395&amp;"|"&amp;Raw_Data!L395&amp;"|"&amp;Raw_Data!M395&amp;"|"&amp;Raw_Data!N395&amp;"|"&amp;Raw_Data!O395&amp;"|"&amp;Raw_Data!P395&amp;"|"&amp;Raw_Data!Q395&amp;"|"&amp;Raw_Data!R395&amp;"|"&amp;Raw_Data!S395&amp;"|"&amp;Raw_Data!T395&amp;"|"&amp;Raw_Data!U395&amp;"|"&amp;Raw_Data!V395&amp;"|"&amp;Raw_Data!W395&amp;"|"&amp;Raw_Data!X395&amp;"|"&amp;Raw_Data!Y395&amp;"|"&amp;Raw_Data!Z395&amp;"|"&amp;Raw_Data!AA395&amp;"|"&amp;Raw_Data!AB395&amp;"|"&amp;Raw_Data!AC395&amp;"|"&amp;Raw_Data!AD395&amp;"|"&amp;Raw_Data!AE395&amp;"|"&amp;Raw_Data!AF395&amp;"|"&amp;Raw_Data!AG395&amp;"|"&amp;Raw_Data!AH395&amp;"|"&amp;Raw_Data!AI395&amp;"|"&amp;Raw_Data!AJ395&amp;"|"&amp;Raw_Data!AK395&amp;"|"&amp;Raw_Data!AL395&amp;"|"&amp;Raw_Data!AM395&amp;"|"&amp;Raw_Data!AN395&amp;"|"&amp;Raw_Data!AO395</f>
        <v>0|1|2|1|2|2|3|3|1|22|3|3|4|3|3|2|4|3|5|5|4|3|4|4|3|3|2|2|3|3|4|2|4|4|3|4|4|4|4|3|2</v>
      </c>
      <c r="Q397" s="3" t="n">
        <f aca="false">COUNTIF($P$4:$P$513,P397)</f>
        <v>1</v>
      </c>
    </row>
    <row r="398" customFormat="false" ht="15" hidden="false" customHeight="false" outlineLevel="0" collapsed="false">
      <c r="O398" s="3" t="n">
        <v>396</v>
      </c>
      <c r="P398" s="3" t="str">
        <f aca="false">Raw_Data!A396&amp;"|"&amp;Raw_Data!B396&amp;"|"&amp;Raw_Data!C396&amp;"|"&amp;Raw_Data!D396&amp;"|"&amp;Raw_Data!E396&amp;"|"&amp;Raw_Data!F396&amp;"|"&amp;Raw_Data!G396&amp;"|"&amp;Raw_Data!H396&amp;"|"&amp;Raw_Data!I396&amp;"|"&amp;Raw_Data!J396&amp;"|"&amp;Raw_Data!K396&amp;"|"&amp;Raw_Data!L396&amp;"|"&amp;Raw_Data!M396&amp;"|"&amp;Raw_Data!N396&amp;"|"&amp;Raw_Data!O396&amp;"|"&amp;Raw_Data!P396&amp;"|"&amp;Raw_Data!Q396&amp;"|"&amp;Raw_Data!R396&amp;"|"&amp;Raw_Data!S396&amp;"|"&amp;Raw_Data!T396&amp;"|"&amp;Raw_Data!U396&amp;"|"&amp;Raw_Data!V396&amp;"|"&amp;Raw_Data!W396&amp;"|"&amp;Raw_Data!X396&amp;"|"&amp;Raw_Data!Y396&amp;"|"&amp;Raw_Data!Z396&amp;"|"&amp;Raw_Data!AA396&amp;"|"&amp;Raw_Data!AB396&amp;"|"&amp;Raw_Data!AC396&amp;"|"&amp;Raw_Data!AD396&amp;"|"&amp;Raw_Data!AE396&amp;"|"&amp;Raw_Data!AF396&amp;"|"&amp;Raw_Data!AG396&amp;"|"&amp;Raw_Data!AH396&amp;"|"&amp;Raw_Data!AI396&amp;"|"&amp;Raw_Data!AJ396&amp;"|"&amp;Raw_Data!AK396&amp;"|"&amp;Raw_Data!AL396&amp;"|"&amp;Raw_Data!AM396&amp;"|"&amp;Raw_Data!AN396&amp;"|"&amp;Raw_Data!AO396</f>
        <v>0|3|1|1|2|2|1|2|1|21|4|2|5|3|5|2|4|3|5|5|4|4|4|4|4|5|3|3|3|3|4|3|4|3|2|4|3|4|4|3|4</v>
      </c>
      <c r="Q398" s="3" t="n">
        <f aca="false">COUNTIF($P$4:$P$513,P398)</f>
        <v>1</v>
      </c>
    </row>
    <row r="399" customFormat="false" ht="15" hidden="false" customHeight="false" outlineLevel="0" collapsed="false">
      <c r="O399" s="3" t="n">
        <v>397</v>
      </c>
      <c r="P399" s="3" t="str">
        <f aca="false">Raw_Data!A397&amp;"|"&amp;Raw_Data!B397&amp;"|"&amp;Raw_Data!C397&amp;"|"&amp;Raw_Data!D397&amp;"|"&amp;Raw_Data!E397&amp;"|"&amp;Raw_Data!F397&amp;"|"&amp;Raw_Data!G397&amp;"|"&amp;Raw_Data!H397&amp;"|"&amp;Raw_Data!I397&amp;"|"&amp;Raw_Data!J397&amp;"|"&amp;Raw_Data!K397&amp;"|"&amp;Raw_Data!L397&amp;"|"&amp;Raw_Data!M397&amp;"|"&amp;Raw_Data!N397&amp;"|"&amp;Raw_Data!O397&amp;"|"&amp;Raw_Data!P397&amp;"|"&amp;Raw_Data!Q397&amp;"|"&amp;Raw_Data!R397&amp;"|"&amp;Raw_Data!S397&amp;"|"&amp;Raw_Data!T397&amp;"|"&amp;Raw_Data!U397&amp;"|"&amp;Raw_Data!V397&amp;"|"&amp;Raw_Data!W397&amp;"|"&amp;Raw_Data!X397&amp;"|"&amp;Raw_Data!Y397&amp;"|"&amp;Raw_Data!Z397&amp;"|"&amp;Raw_Data!AA397&amp;"|"&amp;Raw_Data!AB397&amp;"|"&amp;Raw_Data!AC397&amp;"|"&amp;Raw_Data!AD397&amp;"|"&amp;Raw_Data!AE397&amp;"|"&amp;Raw_Data!AF397&amp;"|"&amp;Raw_Data!AG397&amp;"|"&amp;Raw_Data!AH397&amp;"|"&amp;Raw_Data!AI397&amp;"|"&amp;Raw_Data!AJ397&amp;"|"&amp;Raw_Data!AK397&amp;"|"&amp;Raw_Data!AL397&amp;"|"&amp;Raw_Data!AM397&amp;"|"&amp;Raw_Data!AN397&amp;"|"&amp;Raw_Data!AO397</f>
        <v>0|4|1|1|2|2|3|3|3|26|2|2|5|5|5|2|4|1|5|5|5|2|3|5|2|4|4|2|1|1|4|2|3|5|5|5|2|5|5|3|3</v>
      </c>
      <c r="Q399" s="3" t="n">
        <f aca="false">COUNTIF($P$4:$P$513,P399)</f>
        <v>1</v>
      </c>
    </row>
    <row r="400" customFormat="false" ht="15" hidden="false" customHeight="false" outlineLevel="0" collapsed="false">
      <c r="O400" s="3" t="n">
        <v>398</v>
      </c>
      <c r="P400" s="3" t="str">
        <f aca="false">Raw_Data!A398&amp;"|"&amp;Raw_Data!B398&amp;"|"&amp;Raw_Data!C398&amp;"|"&amp;Raw_Data!D398&amp;"|"&amp;Raw_Data!E398&amp;"|"&amp;Raw_Data!F398&amp;"|"&amp;Raw_Data!G398&amp;"|"&amp;Raw_Data!H398&amp;"|"&amp;Raw_Data!I398&amp;"|"&amp;Raw_Data!J398&amp;"|"&amp;Raw_Data!K398&amp;"|"&amp;Raw_Data!L398&amp;"|"&amp;Raw_Data!M398&amp;"|"&amp;Raw_Data!N398&amp;"|"&amp;Raw_Data!O398&amp;"|"&amp;Raw_Data!P398&amp;"|"&amp;Raw_Data!Q398&amp;"|"&amp;Raw_Data!R398&amp;"|"&amp;Raw_Data!S398&amp;"|"&amp;Raw_Data!T398&amp;"|"&amp;Raw_Data!U398&amp;"|"&amp;Raw_Data!V398&amp;"|"&amp;Raw_Data!W398&amp;"|"&amp;Raw_Data!X398&amp;"|"&amp;Raw_Data!Y398&amp;"|"&amp;Raw_Data!Z398&amp;"|"&amp;Raw_Data!AA398&amp;"|"&amp;Raw_Data!AB398&amp;"|"&amp;Raw_Data!AC398&amp;"|"&amp;Raw_Data!AD398&amp;"|"&amp;Raw_Data!AE398&amp;"|"&amp;Raw_Data!AF398&amp;"|"&amp;Raw_Data!AG398&amp;"|"&amp;Raw_Data!AH398&amp;"|"&amp;Raw_Data!AI398&amp;"|"&amp;Raw_Data!AJ398&amp;"|"&amp;Raw_Data!AK398&amp;"|"&amp;Raw_Data!AL398&amp;"|"&amp;Raw_Data!AM398&amp;"|"&amp;Raw_Data!AN398&amp;"|"&amp;Raw_Data!AO398</f>
        <v>0|3|2|1|2|2|3|2|2|22|3|4|2|3|4|4|4|4|3|5|3|4|4|4|4|4|4|3|3|2|4|3|3|4|3|4|3|4|3|4|3</v>
      </c>
      <c r="Q400" s="3" t="n">
        <f aca="false">COUNTIF($P$4:$P$513,P400)</f>
        <v>1</v>
      </c>
    </row>
    <row r="401" customFormat="false" ht="15" hidden="false" customHeight="false" outlineLevel="0" collapsed="false">
      <c r="O401" s="3" t="n">
        <v>399</v>
      </c>
      <c r="P401" s="3" t="str">
        <f aca="false">Raw_Data!A399&amp;"|"&amp;Raw_Data!B399&amp;"|"&amp;Raw_Data!C399&amp;"|"&amp;Raw_Data!D399&amp;"|"&amp;Raw_Data!E399&amp;"|"&amp;Raw_Data!F399&amp;"|"&amp;Raw_Data!G399&amp;"|"&amp;Raw_Data!H399&amp;"|"&amp;Raw_Data!I399&amp;"|"&amp;Raw_Data!J399&amp;"|"&amp;Raw_Data!K399&amp;"|"&amp;Raw_Data!L399&amp;"|"&amp;Raw_Data!M399&amp;"|"&amp;Raw_Data!N399&amp;"|"&amp;Raw_Data!O399&amp;"|"&amp;Raw_Data!P399&amp;"|"&amp;Raw_Data!Q399&amp;"|"&amp;Raw_Data!R399&amp;"|"&amp;Raw_Data!S399&amp;"|"&amp;Raw_Data!T399&amp;"|"&amp;Raw_Data!U399&amp;"|"&amp;Raw_Data!V399&amp;"|"&amp;Raw_Data!W399&amp;"|"&amp;Raw_Data!X399&amp;"|"&amp;Raw_Data!Y399&amp;"|"&amp;Raw_Data!Z399&amp;"|"&amp;Raw_Data!AA399&amp;"|"&amp;Raw_Data!AB399&amp;"|"&amp;Raw_Data!AC399&amp;"|"&amp;Raw_Data!AD399&amp;"|"&amp;Raw_Data!AE399&amp;"|"&amp;Raw_Data!AF399&amp;"|"&amp;Raw_Data!AG399&amp;"|"&amp;Raw_Data!AH399&amp;"|"&amp;Raw_Data!AI399&amp;"|"&amp;Raw_Data!AJ399&amp;"|"&amp;Raw_Data!AK399&amp;"|"&amp;Raw_Data!AL399&amp;"|"&amp;Raw_Data!AM399&amp;"|"&amp;Raw_Data!AN399&amp;"|"&amp;Raw_Data!AO399</f>
        <v>0|3|1|1|2|2|3|1|1|22|4|3|3|3|4|3|4|3|5|5|4|4|5|4|5|5|3|5|2|2|4|4|4|5|5|4|3|5|5|4|3</v>
      </c>
      <c r="Q401" s="3" t="n">
        <f aca="false">COUNTIF($P$4:$P$513,P401)</f>
        <v>1</v>
      </c>
    </row>
    <row r="402" customFormat="false" ht="15" hidden="false" customHeight="false" outlineLevel="0" collapsed="false">
      <c r="O402" s="3" t="n">
        <v>400</v>
      </c>
      <c r="P402" s="3" t="str">
        <f aca="false">Raw_Data!A400&amp;"|"&amp;Raw_Data!B400&amp;"|"&amp;Raw_Data!C400&amp;"|"&amp;Raw_Data!D400&amp;"|"&amp;Raw_Data!E400&amp;"|"&amp;Raw_Data!F400&amp;"|"&amp;Raw_Data!G400&amp;"|"&amp;Raw_Data!H400&amp;"|"&amp;Raw_Data!I400&amp;"|"&amp;Raw_Data!J400&amp;"|"&amp;Raw_Data!K400&amp;"|"&amp;Raw_Data!L400&amp;"|"&amp;Raw_Data!M400&amp;"|"&amp;Raw_Data!N400&amp;"|"&amp;Raw_Data!O400&amp;"|"&amp;Raw_Data!P400&amp;"|"&amp;Raw_Data!Q400&amp;"|"&amp;Raw_Data!R400&amp;"|"&amp;Raw_Data!S400&amp;"|"&amp;Raw_Data!T400&amp;"|"&amp;Raw_Data!U400&amp;"|"&amp;Raw_Data!V400&amp;"|"&amp;Raw_Data!W400&amp;"|"&amp;Raw_Data!X400&amp;"|"&amp;Raw_Data!Y400&amp;"|"&amp;Raw_Data!Z400&amp;"|"&amp;Raw_Data!AA400&amp;"|"&amp;Raw_Data!AB400&amp;"|"&amp;Raw_Data!AC400&amp;"|"&amp;Raw_Data!AD400&amp;"|"&amp;Raw_Data!AE400&amp;"|"&amp;Raw_Data!AF400&amp;"|"&amp;Raw_Data!AG400&amp;"|"&amp;Raw_Data!AH400&amp;"|"&amp;Raw_Data!AI400&amp;"|"&amp;Raw_Data!AJ400&amp;"|"&amp;Raw_Data!AK400&amp;"|"&amp;Raw_Data!AL400&amp;"|"&amp;Raw_Data!AM400&amp;"|"&amp;Raw_Data!AN400&amp;"|"&amp;Raw_Data!AO400</f>
        <v>0|6|1|1|2|2|3|3|2|23|4|3|3|4|4|4|3|3|4|5|4|3|2|3|2|4|4|2|2|2|3|2|4|4|4|2|4|4|3|2|3</v>
      </c>
      <c r="Q402" s="3" t="n">
        <f aca="false">COUNTIF($P$4:$P$513,P402)</f>
        <v>1</v>
      </c>
    </row>
    <row r="403" customFormat="false" ht="15" hidden="false" customHeight="false" outlineLevel="0" collapsed="false">
      <c r="O403" s="3" t="n">
        <v>401</v>
      </c>
      <c r="P403" s="3" t="str">
        <f aca="false">Raw_Data!A401&amp;"|"&amp;Raw_Data!B401&amp;"|"&amp;Raw_Data!C401&amp;"|"&amp;Raw_Data!D401&amp;"|"&amp;Raw_Data!E401&amp;"|"&amp;Raw_Data!F401&amp;"|"&amp;Raw_Data!G401&amp;"|"&amp;Raw_Data!H401&amp;"|"&amp;Raw_Data!I401&amp;"|"&amp;Raw_Data!J401&amp;"|"&amp;Raw_Data!K401&amp;"|"&amp;Raw_Data!L401&amp;"|"&amp;Raw_Data!M401&amp;"|"&amp;Raw_Data!N401&amp;"|"&amp;Raw_Data!O401&amp;"|"&amp;Raw_Data!P401&amp;"|"&amp;Raw_Data!Q401&amp;"|"&amp;Raw_Data!R401&amp;"|"&amp;Raw_Data!S401&amp;"|"&amp;Raw_Data!T401&amp;"|"&amp;Raw_Data!U401&amp;"|"&amp;Raw_Data!V401&amp;"|"&amp;Raw_Data!W401&amp;"|"&amp;Raw_Data!X401&amp;"|"&amp;Raw_Data!Y401&amp;"|"&amp;Raw_Data!Z401&amp;"|"&amp;Raw_Data!AA401&amp;"|"&amp;Raw_Data!AB401&amp;"|"&amp;Raw_Data!AC401&amp;"|"&amp;Raw_Data!AD401&amp;"|"&amp;Raw_Data!AE401&amp;"|"&amp;Raw_Data!AF401&amp;"|"&amp;Raw_Data!AG401&amp;"|"&amp;Raw_Data!AH401&amp;"|"&amp;Raw_Data!AI401&amp;"|"&amp;Raw_Data!AJ401&amp;"|"&amp;Raw_Data!AK401&amp;"|"&amp;Raw_Data!AL401&amp;"|"&amp;Raw_Data!AM401&amp;"|"&amp;Raw_Data!AN401&amp;"|"&amp;Raw_Data!AO401</f>
        <v>0|3|1|2|2|2|3|3|1|23|3|3|4|3|4|1|1|3|3|3|4|4|5|3|5|5|3|1|2|2|3|2|5|3|2|2|3|5|3|3|3</v>
      </c>
      <c r="Q403" s="3" t="n">
        <f aca="false">COUNTIF($P$4:$P$513,P403)</f>
        <v>1</v>
      </c>
    </row>
    <row r="404" customFormat="false" ht="15" hidden="false" customHeight="false" outlineLevel="0" collapsed="false">
      <c r="O404" s="3" t="n">
        <v>402</v>
      </c>
      <c r="P404" s="3" t="str">
        <f aca="false">Raw_Data!A402&amp;"|"&amp;Raw_Data!B402&amp;"|"&amp;Raw_Data!C402&amp;"|"&amp;Raw_Data!D402&amp;"|"&amp;Raw_Data!E402&amp;"|"&amp;Raw_Data!F402&amp;"|"&amp;Raw_Data!G402&amp;"|"&amp;Raw_Data!H402&amp;"|"&amp;Raw_Data!I402&amp;"|"&amp;Raw_Data!J402&amp;"|"&amp;Raw_Data!K402&amp;"|"&amp;Raw_Data!L402&amp;"|"&amp;Raw_Data!M402&amp;"|"&amp;Raw_Data!N402&amp;"|"&amp;Raw_Data!O402&amp;"|"&amp;Raw_Data!P402&amp;"|"&amp;Raw_Data!Q402&amp;"|"&amp;Raw_Data!R402&amp;"|"&amp;Raw_Data!S402&amp;"|"&amp;Raw_Data!T402&amp;"|"&amp;Raw_Data!U402&amp;"|"&amp;Raw_Data!V402&amp;"|"&amp;Raw_Data!W402&amp;"|"&amp;Raw_Data!X402&amp;"|"&amp;Raw_Data!Y402&amp;"|"&amp;Raw_Data!Z402&amp;"|"&amp;Raw_Data!AA402&amp;"|"&amp;Raw_Data!AB402&amp;"|"&amp;Raw_Data!AC402&amp;"|"&amp;Raw_Data!AD402&amp;"|"&amp;Raw_Data!AE402&amp;"|"&amp;Raw_Data!AF402&amp;"|"&amp;Raw_Data!AG402&amp;"|"&amp;Raw_Data!AH402&amp;"|"&amp;Raw_Data!AI402&amp;"|"&amp;Raw_Data!AJ402&amp;"|"&amp;Raw_Data!AK402&amp;"|"&amp;Raw_Data!AL402&amp;"|"&amp;Raw_Data!AM402&amp;"|"&amp;Raw_Data!AN402&amp;"|"&amp;Raw_Data!AO402</f>
        <v>0|6|1|1|2|2|3|2|1|22|3|3|3|3|3|3|3|3|4|4|4|4|4|4|3|4|4|3|2|3|4|1|2|4|5|4|3|4|2|3|2</v>
      </c>
      <c r="Q404" s="3" t="n">
        <f aca="false">COUNTIF($P$4:$P$513,P404)</f>
        <v>1</v>
      </c>
    </row>
    <row r="405" customFormat="false" ht="15" hidden="false" customHeight="false" outlineLevel="0" collapsed="false">
      <c r="O405" s="3" t="n">
        <v>403</v>
      </c>
      <c r="P405" s="3" t="str">
        <f aca="false">Raw_Data!A403&amp;"|"&amp;Raw_Data!B403&amp;"|"&amp;Raw_Data!C403&amp;"|"&amp;Raw_Data!D403&amp;"|"&amp;Raw_Data!E403&amp;"|"&amp;Raw_Data!F403&amp;"|"&amp;Raw_Data!G403&amp;"|"&amp;Raw_Data!H403&amp;"|"&amp;Raw_Data!I403&amp;"|"&amp;Raw_Data!J403&amp;"|"&amp;Raw_Data!K403&amp;"|"&amp;Raw_Data!L403&amp;"|"&amp;Raw_Data!M403&amp;"|"&amp;Raw_Data!N403&amp;"|"&amp;Raw_Data!O403&amp;"|"&amp;Raw_Data!P403&amp;"|"&amp;Raw_Data!Q403&amp;"|"&amp;Raw_Data!R403&amp;"|"&amp;Raw_Data!S403&amp;"|"&amp;Raw_Data!T403&amp;"|"&amp;Raw_Data!U403&amp;"|"&amp;Raw_Data!V403&amp;"|"&amp;Raw_Data!W403&amp;"|"&amp;Raw_Data!X403&amp;"|"&amp;Raw_Data!Y403&amp;"|"&amp;Raw_Data!Z403&amp;"|"&amp;Raw_Data!AA403&amp;"|"&amp;Raw_Data!AB403&amp;"|"&amp;Raw_Data!AC403&amp;"|"&amp;Raw_Data!AD403&amp;"|"&amp;Raw_Data!AE403&amp;"|"&amp;Raw_Data!AF403&amp;"|"&amp;Raw_Data!AG403&amp;"|"&amp;Raw_Data!AH403&amp;"|"&amp;Raw_Data!AI403&amp;"|"&amp;Raw_Data!AJ403&amp;"|"&amp;Raw_Data!AK403&amp;"|"&amp;Raw_Data!AL403&amp;"|"&amp;Raw_Data!AM403&amp;"|"&amp;Raw_Data!AN403&amp;"|"&amp;Raw_Data!AO403</f>
        <v>0|1|2|1|2|2|1|3|1|23|4|4|3|5|3|2|3|4|4|3|5|3|3|4|3|4|1|4|2|2|4|4|4|5|5|2|3|4|4|3|3</v>
      </c>
      <c r="Q405" s="3" t="n">
        <f aca="false">COUNTIF($P$4:$P$513,P405)</f>
        <v>1</v>
      </c>
    </row>
    <row r="406" customFormat="false" ht="15" hidden="false" customHeight="false" outlineLevel="0" collapsed="false">
      <c r="O406" s="3" t="n">
        <v>404</v>
      </c>
      <c r="P406" s="3" t="str">
        <f aca="false">Raw_Data!A404&amp;"|"&amp;Raw_Data!B404&amp;"|"&amp;Raw_Data!C404&amp;"|"&amp;Raw_Data!D404&amp;"|"&amp;Raw_Data!E404&amp;"|"&amp;Raw_Data!F404&amp;"|"&amp;Raw_Data!G404&amp;"|"&amp;Raw_Data!H404&amp;"|"&amp;Raw_Data!I404&amp;"|"&amp;Raw_Data!J404&amp;"|"&amp;Raw_Data!K404&amp;"|"&amp;Raw_Data!L404&amp;"|"&amp;Raw_Data!M404&amp;"|"&amp;Raw_Data!N404&amp;"|"&amp;Raw_Data!O404&amp;"|"&amp;Raw_Data!P404&amp;"|"&amp;Raw_Data!Q404&amp;"|"&amp;Raw_Data!R404&amp;"|"&amp;Raw_Data!S404&amp;"|"&amp;Raw_Data!T404&amp;"|"&amp;Raw_Data!U404&amp;"|"&amp;Raw_Data!V404&amp;"|"&amp;Raw_Data!W404&amp;"|"&amp;Raw_Data!X404&amp;"|"&amp;Raw_Data!Y404&amp;"|"&amp;Raw_Data!Z404&amp;"|"&amp;Raw_Data!AA404&amp;"|"&amp;Raw_Data!AB404&amp;"|"&amp;Raw_Data!AC404&amp;"|"&amp;Raw_Data!AD404&amp;"|"&amp;Raw_Data!AE404&amp;"|"&amp;Raw_Data!AF404&amp;"|"&amp;Raw_Data!AG404&amp;"|"&amp;Raw_Data!AH404&amp;"|"&amp;Raw_Data!AI404&amp;"|"&amp;Raw_Data!AJ404&amp;"|"&amp;Raw_Data!AK404&amp;"|"&amp;Raw_Data!AL404&amp;"|"&amp;Raw_Data!AM404&amp;"|"&amp;Raw_Data!AN404&amp;"|"&amp;Raw_Data!AO404</f>
        <v>0|3|2|1|2|2|2|1|1|22|3|2|4|3|2|2|3|3|4|4|4|4|4|4|4|4|2|3|2|2|4|4|4|4|4|3|2|4|2|2|3</v>
      </c>
      <c r="Q406" s="3" t="n">
        <f aca="false">COUNTIF($P$4:$P$513,P406)</f>
        <v>1</v>
      </c>
    </row>
    <row r="407" customFormat="false" ht="15" hidden="false" customHeight="false" outlineLevel="0" collapsed="false">
      <c r="O407" s="3" t="n">
        <v>405</v>
      </c>
      <c r="P407" s="3" t="str">
        <f aca="false">Raw_Data!A405&amp;"|"&amp;Raw_Data!B405&amp;"|"&amp;Raw_Data!C405&amp;"|"&amp;Raw_Data!D405&amp;"|"&amp;Raw_Data!E405&amp;"|"&amp;Raw_Data!F405&amp;"|"&amp;Raw_Data!G405&amp;"|"&amp;Raw_Data!H405&amp;"|"&amp;Raw_Data!I405&amp;"|"&amp;Raw_Data!J405&amp;"|"&amp;Raw_Data!K405&amp;"|"&amp;Raw_Data!L405&amp;"|"&amp;Raw_Data!M405&amp;"|"&amp;Raw_Data!N405&amp;"|"&amp;Raw_Data!O405&amp;"|"&amp;Raw_Data!P405&amp;"|"&amp;Raw_Data!Q405&amp;"|"&amp;Raw_Data!R405&amp;"|"&amp;Raw_Data!S405&amp;"|"&amp;Raw_Data!T405&amp;"|"&amp;Raw_Data!U405&amp;"|"&amp;Raw_Data!V405&amp;"|"&amp;Raw_Data!W405&amp;"|"&amp;Raw_Data!X405&amp;"|"&amp;Raw_Data!Y405&amp;"|"&amp;Raw_Data!Z405&amp;"|"&amp;Raw_Data!AA405&amp;"|"&amp;Raw_Data!AB405&amp;"|"&amp;Raw_Data!AC405&amp;"|"&amp;Raw_Data!AD405&amp;"|"&amp;Raw_Data!AE405&amp;"|"&amp;Raw_Data!AF405&amp;"|"&amp;Raw_Data!AG405&amp;"|"&amp;Raw_Data!AH405&amp;"|"&amp;Raw_Data!AI405&amp;"|"&amp;Raw_Data!AJ405&amp;"|"&amp;Raw_Data!AK405&amp;"|"&amp;Raw_Data!AL405&amp;"|"&amp;Raw_Data!AM405&amp;"|"&amp;Raw_Data!AN405&amp;"|"&amp;Raw_Data!AO405</f>
        <v>1|1|1|1|2|2|3|1|3|26|2|2|3|4|3|2|4|3|4|4|5|4|4|4|4|4|4|2|2|2|3|2|4|4|4|3|2|4|4|3|3</v>
      </c>
      <c r="Q407" s="3" t="n">
        <f aca="false">COUNTIF($P$4:$P$513,P407)</f>
        <v>1</v>
      </c>
    </row>
    <row r="408" customFormat="false" ht="15" hidden="false" customHeight="false" outlineLevel="0" collapsed="false">
      <c r="O408" s="3" t="n">
        <v>406</v>
      </c>
      <c r="P408" s="3" t="str">
        <f aca="false">Raw_Data!A406&amp;"|"&amp;Raw_Data!B406&amp;"|"&amp;Raw_Data!C406&amp;"|"&amp;Raw_Data!D406&amp;"|"&amp;Raw_Data!E406&amp;"|"&amp;Raw_Data!F406&amp;"|"&amp;Raw_Data!G406&amp;"|"&amp;Raw_Data!H406&amp;"|"&amp;Raw_Data!I406&amp;"|"&amp;Raw_Data!J406&amp;"|"&amp;Raw_Data!K406&amp;"|"&amp;Raw_Data!L406&amp;"|"&amp;Raw_Data!M406&amp;"|"&amp;Raw_Data!N406&amp;"|"&amp;Raw_Data!O406&amp;"|"&amp;Raw_Data!P406&amp;"|"&amp;Raw_Data!Q406&amp;"|"&amp;Raw_Data!R406&amp;"|"&amp;Raw_Data!S406&amp;"|"&amp;Raw_Data!T406&amp;"|"&amp;Raw_Data!U406&amp;"|"&amp;Raw_Data!V406&amp;"|"&amp;Raw_Data!W406&amp;"|"&amp;Raw_Data!X406&amp;"|"&amp;Raw_Data!Y406&amp;"|"&amp;Raw_Data!Z406&amp;"|"&amp;Raw_Data!AA406&amp;"|"&amp;Raw_Data!AB406&amp;"|"&amp;Raw_Data!AC406&amp;"|"&amp;Raw_Data!AD406&amp;"|"&amp;Raw_Data!AE406&amp;"|"&amp;Raw_Data!AF406&amp;"|"&amp;Raw_Data!AG406&amp;"|"&amp;Raw_Data!AH406&amp;"|"&amp;Raw_Data!AI406&amp;"|"&amp;Raw_Data!AJ406&amp;"|"&amp;Raw_Data!AK406&amp;"|"&amp;Raw_Data!AL406&amp;"|"&amp;Raw_Data!AM406&amp;"|"&amp;Raw_Data!AN406&amp;"|"&amp;Raw_Data!AO406</f>
        <v>1|4|1|1|2|2|2|1|3|27|4|4|2|2|5|2|3|3|5|5|5|3|4|4|4|5|4|4|2|2|4|4|5|5|4|2|5|5|4|2|3</v>
      </c>
      <c r="Q408" s="3" t="n">
        <f aca="false">COUNTIF($P$4:$P$513,P408)</f>
        <v>1</v>
      </c>
    </row>
    <row r="409" customFormat="false" ht="15" hidden="false" customHeight="false" outlineLevel="0" collapsed="false">
      <c r="O409" s="3" t="n">
        <v>407</v>
      </c>
      <c r="P409" s="3" t="str">
        <f aca="false">Raw_Data!A407&amp;"|"&amp;Raw_Data!B407&amp;"|"&amp;Raw_Data!C407&amp;"|"&amp;Raw_Data!D407&amp;"|"&amp;Raw_Data!E407&amp;"|"&amp;Raw_Data!F407&amp;"|"&amp;Raw_Data!G407&amp;"|"&amp;Raw_Data!H407&amp;"|"&amp;Raw_Data!I407&amp;"|"&amp;Raw_Data!J407&amp;"|"&amp;Raw_Data!K407&amp;"|"&amp;Raw_Data!L407&amp;"|"&amp;Raw_Data!M407&amp;"|"&amp;Raw_Data!N407&amp;"|"&amp;Raw_Data!O407&amp;"|"&amp;Raw_Data!P407&amp;"|"&amp;Raw_Data!Q407&amp;"|"&amp;Raw_Data!R407&amp;"|"&amp;Raw_Data!S407&amp;"|"&amp;Raw_Data!T407&amp;"|"&amp;Raw_Data!U407&amp;"|"&amp;Raw_Data!V407&amp;"|"&amp;Raw_Data!W407&amp;"|"&amp;Raw_Data!X407&amp;"|"&amp;Raw_Data!Y407&amp;"|"&amp;Raw_Data!Z407&amp;"|"&amp;Raw_Data!AA407&amp;"|"&amp;Raw_Data!AB407&amp;"|"&amp;Raw_Data!AC407&amp;"|"&amp;Raw_Data!AD407&amp;"|"&amp;Raw_Data!AE407&amp;"|"&amp;Raw_Data!AF407&amp;"|"&amp;Raw_Data!AG407&amp;"|"&amp;Raw_Data!AH407&amp;"|"&amp;Raw_Data!AI407&amp;"|"&amp;Raw_Data!AJ407&amp;"|"&amp;Raw_Data!AK407&amp;"|"&amp;Raw_Data!AL407&amp;"|"&amp;Raw_Data!AM407&amp;"|"&amp;Raw_Data!AN407&amp;"|"&amp;Raw_Data!AO407</f>
        <v>1|3|2|1|2|2|1|3|3|24|3|4|4|4|3|2|3|3|5|5|5|4|5|5|5|5|3|3|3|3|4|4|4|4|4|2|3|3|3|3|4</v>
      </c>
      <c r="Q409" s="3" t="n">
        <f aca="false">COUNTIF($P$4:$P$513,P409)</f>
        <v>1</v>
      </c>
    </row>
    <row r="410" customFormat="false" ht="15" hidden="false" customHeight="false" outlineLevel="0" collapsed="false">
      <c r="O410" s="3" t="n">
        <v>408</v>
      </c>
      <c r="P410" s="3" t="str">
        <f aca="false">Raw_Data!A408&amp;"|"&amp;Raw_Data!B408&amp;"|"&amp;Raw_Data!C408&amp;"|"&amp;Raw_Data!D408&amp;"|"&amp;Raw_Data!E408&amp;"|"&amp;Raw_Data!F408&amp;"|"&amp;Raw_Data!G408&amp;"|"&amp;Raw_Data!H408&amp;"|"&amp;Raw_Data!I408&amp;"|"&amp;Raw_Data!J408&amp;"|"&amp;Raw_Data!K408&amp;"|"&amp;Raw_Data!L408&amp;"|"&amp;Raw_Data!M408&amp;"|"&amp;Raw_Data!N408&amp;"|"&amp;Raw_Data!O408&amp;"|"&amp;Raw_Data!P408&amp;"|"&amp;Raw_Data!Q408&amp;"|"&amp;Raw_Data!R408&amp;"|"&amp;Raw_Data!S408&amp;"|"&amp;Raw_Data!T408&amp;"|"&amp;Raw_Data!U408&amp;"|"&amp;Raw_Data!V408&amp;"|"&amp;Raw_Data!W408&amp;"|"&amp;Raw_Data!X408&amp;"|"&amp;Raw_Data!Y408&amp;"|"&amp;Raw_Data!Z408&amp;"|"&amp;Raw_Data!AA408&amp;"|"&amp;Raw_Data!AB408&amp;"|"&amp;Raw_Data!AC408&amp;"|"&amp;Raw_Data!AD408&amp;"|"&amp;Raw_Data!AE408&amp;"|"&amp;Raw_Data!AF408&amp;"|"&amp;Raw_Data!AG408&amp;"|"&amp;Raw_Data!AH408&amp;"|"&amp;Raw_Data!AI408&amp;"|"&amp;Raw_Data!AJ408&amp;"|"&amp;Raw_Data!AK408&amp;"|"&amp;Raw_Data!AL408&amp;"|"&amp;Raw_Data!AM408&amp;"|"&amp;Raw_Data!AN408&amp;"|"&amp;Raw_Data!AO408</f>
        <v>1|3|1|1|2|2|3|3|1|21|4|3|4|5|3|3|4|2|4|5|5|4|4|3|3|5|5|4|2|2|4|3|4|5|5|5|4|4|3|3|4</v>
      </c>
      <c r="Q410" s="3" t="n">
        <f aca="false">COUNTIF($P$4:$P$513,P410)</f>
        <v>1</v>
      </c>
    </row>
    <row r="411" customFormat="false" ht="15" hidden="false" customHeight="false" outlineLevel="0" collapsed="false">
      <c r="O411" s="3" t="n">
        <v>409</v>
      </c>
      <c r="P411" s="3" t="str">
        <f aca="false">Raw_Data!A409&amp;"|"&amp;Raw_Data!B409&amp;"|"&amp;Raw_Data!C409&amp;"|"&amp;Raw_Data!D409&amp;"|"&amp;Raw_Data!E409&amp;"|"&amp;Raw_Data!F409&amp;"|"&amp;Raw_Data!G409&amp;"|"&amp;Raw_Data!H409&amp;"|"&amp;Raw_Data!I409&amp;"|"&amp;Raw_Data!J409&amp;"|"&amp;Raw_Data!K409&amp;"|"&amp;Raw_Data!L409&amp;"|"&amp;Raw_Data!M409&amp;"|"&amp;Raw_Data!N409&amp;"|"&amp;Raw_Data!O409&amp;"|"&amp;Raw_Data!P409&amp;"|"&amp;Raw_Data!Q409&amp;"|"&amp;Raw_Data!R409&amp;"|"&amp;Raw_Data!S409&amp;"|"&amp;Raw_Data!T409&amp;"|"&amp;Raw_Data!U409&amp;"|"&amp;Raw_Data!V409&amp;"|"&amp;Raw_Data!W409&amp;"|"&amp;Raw_Data!X409&amp;"|"&amp;Raw_Data!Y409&amp;"|"&amp;Raw_Data!Z409&amp;"|"&amp;Raw_Data!AA409&amp;"|"&amp;Raw_Data!AB409&amp;"|"&amp;Raw_Data!AC409&amp;"|"&amp;Raw_Data!AD409&amp;"|"&amp;Raw_Data!AE409&amp;"|"&amp;Raw_Data!AF409&amp;"|"&amp;Raw_Data!AG409&amp;"|"&amp;Raw_Data!AH409&amp;"|"&amp;Raw_Data!AI409&amp;"|"&amp;Raw_Data!AJ409&amp;"|"&amp;Raw_Data!AK409&amp;"|"&amp;Raw_Data!AL409&amp;"|"&amp;Raw_Data!AM409&amp;"|"&amp;Raw_Data!AN409&amp;"|"&amp;Raw_Data!AO409</f>
        <v>0|3|2|1|2|2|3|3|2|20|4|4|4|5|4|4|3|4|4|5|4|4|4|4|3|4|4|4|3|4|4|3|4|4|4|5|3|4|4|4|4</v>
      </c>
      <c r="Q411" s="3" t="n">
        <f aca="false">COUNTIF($P$4:$P$513,P411)</f>
        <v>1</v>
      </c>
    </row>
    <row r="412" customFormat="false" ht="15" hidden="false" customHeight="false" outlineLevel="0" collapsed="false">
      <c r="O412" s="3" t="n">
        <v>410</v>
      </c>
      <c r="P412" s="3" t="str">
        <f aca="false">Raw_Data!A410&amp;"|"&amp;Raw_Data!B410&amp;"|"&amp;Raw_Data!C410&amp;"|"&amp;Raw_Data!D410&amp;"|"&amp;Raw_Data!E410&amp;"|"&amp;Raw_Data!F410&amp;"|"&amp;Raw_Data!G410&amp;"|"&amp;Raw_Data!H410&amp;"|"&amp;Raw_Data!I410&amp;"|"&amp;Raw_Data!J410&amp;"|"&amp;Raw_Data!K410&amp;"|"&amp;Raw_Data!L410&amp;"|"&amp;Raw_Data!M410&amp;"|"&amp;Raw_Data!N410&amp;"|"&amp;Raw_Data!O410&amp;"|"&amp;Raw_Data!P410&amp;"|"&amp;Raw_Data!Q410&amp;"|"&amp;Raw_Data!R410&amp;"|"&amp;Raw_Data!S410&amp;"|"&amp;Raw_Data!T410&amp;"|"&amp;Raw_Data!U410&amp;"|"&amp;Raw_Data!V410&amp;"|"&amp;Raw_Data!W410&amp;"|"&amp;Raw_Data!X410&amp;"|"&amp;Raw_Data!Y410&amp;"|"&amp;Raw_Data!Z410&amp;"|"&amp;Raw_Data!AA410&amp;"|"&amp;Raw_Data!AB410&amp;"|"&amp;Raw_Data!AC410&amp;"|"&amp;Raw_Data!AD410&amp;"|"&amp;Raw_Data!AE410&amp;"|"&amp;Raw_Data!AF410&amp;"|"&amp;Raw_Data!AG410&amp;"|"&amp;Raw_Data!AH410&amp;"|"&amp;Raw_Data!AI410&amp;"|"&amp;Raw_Data!AJ410&amp;"|"&amp;Raw_Data!AK410&amp;"|"&amp;Raw_Data!AL410&amp;"|"&amp;Raw_Data!AM410&amp;"|"&amp;Raw_Data!AN410&amp;"|"&amp;Raw_Data!AO410</f>
        <v>0|3|2|1|2|2|1|3|1|24|3|4|3|3|3|4|3|3|4|4|4|4|4|3|4|4|3|2|3|3|4|3|4|4|3|4|3|3|3|3|3</v>
      </c>
      <c r="Q412" s="3" t="n">
        <f aca="false">COUNTIF($P$4:$P$513,P412)</f>
        <v>1</v>
      </c>
    </row>
    <row r="413" customFormat="false" ht="15" hidden="false" customHeight="false" outlineLevel="0" collapsed="false">
      <c r="O413" s="3" t="n">
        <v>411</v>
      </c>
      <c r="P413" s="3" t="str">
        <f aca="false">Raw_Data!A411&amp;"|"&amp;Raw_Data!B411&amp;"|"&amp;Raw_Data!C411&amp;"|"&amp;Raw_Data!D411&amp;"|"&amp;Raw_Data!E411&amp;"|"&amp;Raw_Data!F411&amp;"|"&amp;Raw_Data!G411&amp;"|"&amp;Raw_Data!H411&amp;"|"&amp;Raw_Data!I411&amp;"|"&amp;Raw_Data!J411&amp;"|"&amp;Raw_Data!K411&amp;"|"&amp;Raw_Data!L411&amp;"|"&amp;Raw_Data!M411&amp;"|"&amp;Raw_Data!N411&amp;"|"&amp;Raw_Data!O411&amp;"|"&amp;Raw_Data!P411&amp;"|"&amp;Raw_Data!Q411&amp;"|"&amp;Raw_Data!R411&amp;"|"&amp;Raw_Data!S411&amp;"|"&amp;Raw_Data!T411&amp;"|"&amp;Raw_Data!U411&amp;"|"&amp;Raw_Data!V411&amp;"|"&amp;Raw_Data!W411&amp;"|"&amp;Raw_Data!X411&amp;"|"&amp;Raw_Data!Y411&amp;"|"&amp;Raw_Data!Z411&amp;"|"&amp;Raw_Data!AA411&amp;"|"&amp;Raw_Data!AB411&amp;"|"&amp;Raw_Data!AC411&amp;"|"&amp;Raw_Data!AD411&amp;"|"&amp;Raw_Data!AE411&amp;"|"&amp;Raw_Data!AF411&amp;"|"&amp;Raw_Data!AG411&amp;"|"&amp;Raw_Data!AH411&amp;"|"&amp;Raw_Data!AI411&amp;"|"&amp;Raw_Data!AJ411&amp;"|"&amp;Raw_Data!AK411&amp;"|"&amp;Raw_Data!AL411&amp;"|"&amp;Raw_Data!AM411&amp;"|"&amp;Raw_Data!AN411&amp;"|"&amp;Raw_Data!AO411</f>
        <v>0|6|1|1|2|2|2|3|1|22|3|3|5|3|5|3|3|3|4|5|4|4|4|4|3|4|5|3|1|2|4|3|2|4|4|3|3|5|3|3|3</v>
      </c>
      <c r="Q413" s="3" t="n">
        <f aca="false">COUNTIF($P$4:$P$513,P413)</f>
        <v>1</v>
      </c>
    </row>
    <row r="414" customFormat="false" ht="15" hidden="false" customHeight="false" outlineLevel="0" collapsed="false">
      <c r="O414" s="3" t="n">
        <v>412</v>
      </c>
      <c r="P414" s="3" t="str">
        <f aca="false">Raw_Data!A412&amp;"|"&amp;Raw_Data!B412&amp;"|"&amp;Raw_Data!C412&amp;"|"&amp;Raw_Data!D412&amp;"|"&amp;Raw_Data!E412&amp;"|"&amp;Raw_Data!F412&amp;"|"&amp;Raw_Data!G412&amp;"|"&amp;Raw_Data!H412&amp;"|"&amp;Raw_Data!I412&amp;"|"&amp;Raw_Data!J412&amp;"|"&amp;Raw_Data!K412&amp;"|"&amp;Raw_Data!L412&amp;"|"&amp;Raw_Data!M412&amp;"|"&amp;Raw_Data!N412&amp;"|"&amp;Raw_Data!O412&amp;"|"&amp;Raw_Data!P412&amp;"|"&amp;Raw_Data!Q412&amp;"|"&amp;Raw_Data!R412&amp;"|"&amp;Raw_Data!S412&amp;"|"&amp;Raw_Data!T412&amp;"|"&amp;Raw_Data!U412&amp;"|"&amp;Raw_Data!V412&amp;"|"&amp;Raw_Data!W412&amp;"|"&amp;Raw_Data!X412&amp;"|"&amp;Raw_Data!Y412&amp;"|"&amp;Raw_Data!Z412&amp;"|"&amp;Raw_Data!AA412&amp;"|"&amp;Raw_Data!AB412&amp;"|"&amp;Raw_Data!AC412&amp;"|"&amp;Raw_Data!AD412&amp;"|"&amp;Raw_Data!AE412&amp;"|"&amp;Raw_Data!AF412&amp;"|"&amp;Raw_Data!AG412&amp;"|"&amp;Raw_Data!AH412&amp;"|"&amp;Raw_Data!AI412&amp;"|"&amp;Raw_Data!AJ412&amp;"|"&amp;Raw_Data!AK412&amp;"|"&amp;Raw_Data!AL412&amp;"|"&amp;Raw_Data!AM412&amp;"|"&amp;Raw_Data!AN412&amp;"|"&amp;Raw_Data!AO412</f>
        <v>0|3|2|1|2|2|3|2|1|21|3|2|4|4|2|2|2|2|1|4|4|3|4|3|3|4|4|4|2|3|3|2|3|3|4|3|3|3|3|2|3</v>
      </c>
      <c r="Q414" s="3" t="n">
        <f aca="false">COUNTIF($P$4:$P$513,P414)</f>
        <v>1</v>
      </c>
    </row>
    <row r="415" customFormat="false" ht="15" hidden="false" customHeight="false" outlineLevel="0" collapsed="false">
      <c r="O415" s="3" t="n">
        <v>413</v>
      </c>
      <c r="P415" s="3" t="str">
        <f aca="false">Raw_Data!A413&amp;"|"&amp;Raw_Data!B413&amp;"|"&amp;Raw_Data!C413&amp;"|"&amp;Raw_Data!D413&amp;"|"&amp;Raw_Data!E413&amp;"|"&amp;Raw_Data!F413&amp;"|"&amp;Raw_Data!G413&amp;"|"&amp;Raw_Data!H413&amp;"|"&amp;Raw_Data!I413&amp;"|"&amp;Raw_Data!J413&amp;"|"&amp;Raw_Data!K413&amp;"|"&amp;Raw_Data!L413&amp;"|"&amp;Raw_Data!M413&amp;"|"&amp;Raw_Data!N413&amp;"|"&amp;Raw_Data!O413&amp;"|"&amp;Raw_Data!P413&amp;"|"&amp;Raw_Data!Q413&amp;"|"&amp;Raw_Data!R413&amp;"|"&amp;Raw_Data!S413&amp;"|"&amp;Raw_Data!T413&amp;"|"&amp;Raw_Data!U413&amp;"|"&amp;Raw_Data!V413&amp;"|"&amp;Raw_Data!W413&amp;"|"&amp;Raw_Data!X413&amp;"|"&amp;Raw_Data!Y413&amp;"|"&amp;Raw_Data!Z413&amp;"|"&amp;Raw_Data!AA413&amp;"|"&amp;Raw_Data!AB413&amp;"|"&amp;Raw_Data!AC413&amp;"|"&amp;Raw_Data!AD413&amp;"|"&amp;Raw_Data!AE413&amp;"|"&amp;Raw_Data!AF413&amp;"|"&amp;Raw_Data!AG413&amp;"|"&amp;Raw_Data!AH413&amp;"|"&amp;Raw_Data!AI413&amp;"|"&amp;Raw_Data!AJ413&amp;"|"&amp;Raw_Data!AK413&amp;"|"&amp;Raw_Data!AL413&amp;"|"&amp;Raw_Data!AM413&amp;"|"&amp;Raw_Data!AN413&amp;"|"&amp;Raw_Data!AO413</f>
        <v>0|3|1|2|2|2|1|1|1|22|2|3|3|3|3|2|4|2|4|3|4|4|4|3|3|3|3|2|4|3|3|2|2|5|3|3|4|3|3|4|3</v>
      </c>
      <c r="Q415" s="3" t="n">
        <f aca="false">COUNTIF($P$4:$P$513,P415)</f>
        <v>1</v>
      </c>
    </row>
    <row r="416" customFormat="false" ht="15" hidden="false" customHeight="false" outlineLevel="0" collapsed="false">
      <c r="O416" s="3" t="n">
        <v>414</v>
      </c>
      <c r="P416" s="3" t="str">
        <f aca="false">Raw_Data!A414&amp;"|"&amp;Raw_Data!B414&amp;"|"&amp;Raw_Data!C414&amp;"|"&amp;Raw_Data!D414&amp;"|"&amp;Raw_Data!E414&amp;"|"&amp;Raw_Data!F414&amp;"|"&amp;Raw_Data!G414&amp;"|"&amp;Raw_Data!H414&amp;"|"&amp;Raw_Data!I414&amp;"|"&amp;Raw_Data!J414&amp;"|"&amp;Raw_Data!K414&amp;"|"&amp;Raw_Data!L414&amp;"|"&amp;Raw_Data!M414&amp;"|"&amp;Raw_Data!N414&amp;"|"&amp;Raw_Data!O414&amp;"|"&amp;Raw_Data!P414&amp;"|"&amp;Raw_Data!Q414&amp;"|"&amp;Raw_Data!R414&amp;"|"&amp;Raw_Data!S414&amp;"|"&amp;Raw_Data!T414&amp;"|"&amp;Raw_Data!U414&amp;"|"&amp;Raw_Data!V414&amp;"|"&amp;Raw_Data!W414&amp;"|"&amp;Raw_Data!X414&amp;"|"&amp;Raw_Data!Y414&amp;"|"&amp;Raw_Data!Z414&amp;"|"&amp;Raw_Data!AA414&amp;"|"&amp;Raw_Data!AB414&amp;"|"&amp;Raw_Data!AC414&amp;"|"&amp;Raw_Data!AD414&amp;"|"&amp;Raw_Data!AE414&amp;"|"&amp;Raw_Data!AF414&amp;"|"&amp;Raw_Data!AG414&amp;"|"&amp;Raw_Data!AH414&amp;"|"&amp;Raw_Data!AI414&amp;"|"&amp;Raw_Data!AJ414&amp;"|"&amp;Raw_Data!AK414&amp;"|"&amp;Raw_Data!AL414&amp;"|"&amp;Raw_Data!AM414&amp;"|"&amp;Raw_Data!AN414&amp;"|"&amp;Raw_Data!AO414</f>
        <v>0|3|2|1|2|2|1|2|1|22|3|3|3|3|3|3|3|3|4|4|4|4|4|4|4|4|4|3|3|3|4|3|4|4|4|4|2|4|3|3|3</v>
      </c>
      <c r="Q416" s="3" t="n">
        <f aca="false">COUNTIF($P$4:$P$513,P416)</f>
        <v>1</v>
      </c>
    </row>
    <row r="417" customFormat="false" ht="15" hidden="false" customHeight="false" outlineLevel="0" collapsed="false">
      <c r="O417" s="3" t="n">
        <v>415</v>
      </c>
      <c r="P417" s="3" t="str">
        <f aca="false">Raw_Data!A415&amp;"|"&amp;Raw_Data!B415&amp;"|"&amp;Raw_Data!C415&amp;"|"&amp;Raw_Data!D415&amp;"|"&amp;Raw_Data!E415&amp;"|"&amp;Raw_Data!F415&amp;"|"&amp;Raw_Data!G415&amp;"|"&amp;Raw_Data!H415&amp;"|"&amp;Raw_Data!I415&amp;"|"&amp;Raw_Data!J415&amp;"|"&amp;Raw_Data!K415&amp;"|"&amp;Raw_Data!L415&amp;"|"&amp;Raw_Data!M415&amp;"|"&amp;Raw_Data!N415&amp;"|"&amp;Raw_Data!O415&amp;"|"&amp;Raw_Data!P415&amp;"|"&amp;Raw_Data!Q415&amp;"|"&amp;Raw_Data!R415&amp;"|"&amp;Raw_Data!S415&amp;"|"&amp;Raw_Data!T415&amp;"|"&amp;Raw_Data!U415&amp;"|"&amp;Raw_Data!V415&amp;"|"&amp;Raw_Data!W415&amp;"|"&amp;Raw_Data!X415&amp;"|"&amp;Raw_Data!Y415&amp;"|"&amp;Raw_Data!Z415&amp;"|"&amp;Raw_Data!AA415&amp;"|"&amp;Raw_Data!AB415&amp;"|"&amp;Raw_Data!AC415&amp;"|"&amp;Raw_Data!AD415&amp;"|"&amp;Raw_Data!AE415&amp;"|"&amp;Raw_Data!AF415&amp;"|"&amp;Raw_Data!AG415&amp;"|"&amp;Raw_Data!AH415&amp;"|"&amp;Raw_Data!AI415&amp;"|"&amp;Raw_Data!AJ415&amp;"|"&amp;Raw_Data!AK415&amp;"|"&amp;Raw_Data!AL415&amp;"|"&amp;Raw_Data!AM415&amp;"|"&amp;Raw_Data!AN415&amp;"|"&amp;Raw_Data!AO415</f>
        <v>0|3|2|1|2|2|1|3|1|21|4|4|4|3|4|3|4|4|2|4|3|4|4|3|3|4|3|2|4|3|5|3|3|3|2|3|3|3|3|4|3</v>
      </c>
      <c r="Q417" s="3" t="n">
        <f aca="false">COUNTIF($P$4:$P$513,P417)</f>
        <v>1</v>
      </c>
    </row>
    <row r="418" customFormat="false" ht="15" hidden="false" customHeight="false" outlineLevel="0" collapsed="false">
      <c r="O418" s="3" t="n">
        <v>416</v>
      </c>
      <c r="P418" s="3" t="str">
        <f aca="false">Raw_Data!A416&amp;"|"&amp;Raw_Data!B416&amp;"|"&amp;Raw_Data!C416&amp;"|"&amp;Raw_Data!D416&amp;"|"&amp;Raw_Data!E416&amp;"|"&amp;Raw_Data!F416&amp;"|"&amp;Raw_Data!G416&amp;"|"&amp;Raw_Data!H416&amp;"|"&amp;Raw_Data!I416&amp;"|"&amp;Raw_Data!J416&amp;"|"&amp;Raw_Data!K416&amp;"|"&amp;Raw_Data!L416&amp;"|"&amp;Raw_Data!M416&amp;"|"&amp;Raw_Data!N416&amp;"|"&amp;Raw_Data!O416&amp;"|"&amp;Raw_Data!P416&amp;"|"&amp;Raw_Data!Q416&amp;"|"&amp;Raw_Data!R416&amp;"|"&amp;Raw_Data!S416&amp;"|"&amp;Raw_Data!T416&amp;"|"&amp;Raw_Data!U416&amp;"|"&amp;Raw_Data!V416&amp;"|"&amp;Raw_Data!W416&amp;"|"&amp;Raw_Data!X416&amp;"|"&amp;Raw_Data!Y416&amp;"|"&amp;Raw_Data!Z416&amp;"|"&amp;Raw_Data!AA416&amp;"|"&amp;Raw_Data!AB416&amp;"|"&amp;Raw_Data!AC416&amp;"|"&amp;Raw_Data!AD416&amp;"|"&amp;Raw_Data!AE416&amp;"|"&amp;Raw_Data!AF416&amp;"|"&amp;Raw_Data!AG416&amp;"|"&amp;Raw_Data!AH416&amp;"|"&amp;Raw_Data!AI416&amp;"|"&amp;Raw_Data!AJ416&amp;"|"&amp;Raw_Data!AK416&amp;"|"&amp;Raw_Data!AL416&amp;"|"&amp;Raw_Data!AM416&amp;"|"&amp;Raw_Data!AN416&amp;"|"&amp;Raw_Data!AO416</f>
        <v>0|3|2|1|2|2|1|3|1|21|3|3|4|4|4|3|4|4|4|3|3|4|4|3|3|4|4|3|4|3|3|4|3|4|4|2|3|3|3|5|3</v>
      </c>
      <c r="Q418" s="3" t="n">
        <f aca="false">COUNTIF($P$4:$P$513,P418)</f>
        <v>1</v>
      </c>
    </row>
    <row r="419" customFormat="false" ht="15" hidden="false" customHeight="false" outlineLevel="0" collapsed="false">
      <c r="O419" s="3" t="n">
        <v>417</v>
      </c>
      <c r="P419" s="3" t="str">
        <f aca="false">Raw_Data!A417&amp;"|"&amp;Raw_Data!B417&amp;"|"&amp;Raw_Data!C417&amp;"|"&amp;Raw_Data!D417&amp;"|"&amp;Raw_Data!E417&amp;"|"&amp;Raw_Data!F417&amp;"|"&amp;Raw_Data!G417&amp;"|"&amp;Raw_Data!H417&amp;"|"&amp;Raw_Data!I417&amp;"|"&amp;Raw_Data!J417&amp;"|"&amp;Raw_Data!K417&amp;"|"&amp;Raw_Data!L417&amp;"|"&amp;Raw_Data!M417&amp;"|"&amp;Raw_Data!N417&amp;"|"&amp;Raw_Data!O417&amp;"|"&amp;Raw_Data!P417&amp;"|"&amp;Raw_Data!Q417&amp;"|"&amp;Raw_Data!R417&amp;"|"&amp;Raw_Data!S417&amp;"|"&amp;Raw_Data!T417&amp;"|"&amp;Raw_Data!U417&amp;"|"&amp;Raw_Data!V417&amp;"|"&amp;Raw_Data!W417&amp;"|"&amp;Raw_Data!X417&amp;"|"&amp;Raw_Data!Y417&amp;"|"&amp;Raw_Data!Z417&amp;"|"&amp;Raw_Data!AA417&amp;"|"&amp;Raw_Data!AB417&amp;"|"&amp;Raw_Data!AC417&amp;"|"&amp;Raw_Data!AD417&amp;"|"&amp;Raw_Data!AE417&amp;"|"&amp;Raw_Data!AF417&amp;"|"&amp;Raw_Data!AG417&amp;"|"&amp;Raw_Data!AH417&amp;"|"&amp;Raw_Data!AI417&amp;"|"&amp;Raw_Data!AJ417&amp;"|"&amp;Raw_Data!AK417&amp;"|"&amp;Raw_Data!AL417&amp;"|"&amp;Raw_Data!AM417&amp;"|"&amp;Raw_Data!AN417&amp;"|"&amp;Raw_Data!AO417</f>
        <v>0|3|1|2|1|2|3|1|1|22|4|2|4|4|4|4|4|3|3|4|5|2|4|3|3|4|4|4|2|3|4|3|4|4|4|3|4|4|3|2|3</v>
      </c>
      <c r="Q419" s="3" t="n">
        <f aca="false">COUNTIF($P$4:$P$513,P419)</f>
        <v>1</v>
      </c>
    </row>
    <row r="420" customFormat="false" ht="15" hidden="false" customHeight="false" outlineLevel="0" collapsed="false">
      <c r="O420" s="3" t="n">
        <v>418</v>
      </c>
      <c r="P420" s="3" t="str">
        <f aca="false">Raw_Data!A418&amp;"|"&amp;Raw_Data!B418&amp;"|"&amp;Raw_Data!C418&amp;"|"&amp;Raw_Data!D418&amp;"|"&amp;Raw_Data!E418&amp;"|"&amp;Raw_Data!F418&amp;"|"&amp;Raw_Data!G418&amp;"|"&amp;Raw_Data!H418&amp;"|"&amp;Raw_Data!I418&amp;"|"&amp;Raw_Data!J418&amp;"|"&amp;Raw_Data!K418&amp;"|"&amp;Raw_Data!L418&amp;"|"&amp;Raw_Data!M418&amp;"|"&amp;Raw_Data!N418&amp;"|"&amp;Raw_Data!O418&amp;"|"&amp;Raw_Data!P418&amp;"|"&amp;Raw_Data!Q418&amp;"|"&amp;Raw_Data!R418&amp;"|"&amp;Raw_Data!S418&amp;"|"&amp;Raw_Data!T418&amp;"|"&amp;Raw_Data!U418&amp;"|"&amp;Raw_Data!V418&amp;"|"&amp;Raw_Data!W418&amp;"|"&amp;Raw_Data!X418&amp;"|"&amp;Raw_Data!Y418&amp;"|"&amp;Raw_Data!Z418&amp;"|"&amp;Raw_Data!AA418&amp;"|"&amp;Raw_Data!AB418&amp;"|"&amp;Raw_Data!AC418&amp;"|"&amp;Raw_Data!AD418&amp;"|"&amp;Raw_Data!AE418&amp;"|"&amp;Raw_Data!AF418&amp;"|"&amp;Raw_Data!AG418&amp;"|"&amp;Raw_Data!AH418&amp;"|"&amp;Raw_Data!AI418&amp;"|"&amp;Raw_Data!AJ418&amp;"|"&amp;Raw_Data!AK418&amp;"|"&amp;Raw_Data!AL418&amp;"|"&amp;Raw_Data!AM418&amp;"|"&amp;Raw_Data!AN418&amp;"|"&amp;Raw_Data!AO418</f>
        <v>0|4|1|1|2|2|2|1|3|25|4|4|4|4|4|4|4|3|5|5|4|3|3|2|3|4|3|2|2|4|4|4|4|4|4|4|4|3|3|4|2</v>
      </c>
      <c r="Q420" s="3" t="n">
        <f aca="false">COUNTIF($P$4:$P$513,P420)</f>
        <v>1</v>
      </c>
    </row>
    <row r="421" customFormat="false" ht="15" hidden="false" customHeight="false" outlineLevel="0" collapsed="false">
      <c r="O421" s="3" t="n">
        <v>419</v>
      </c>
      <c r="P421" s="3" t="str">
        <f aca="false">Raw_Data!A419&amp;"|"&amp;Raw_Data!B419&amp;"|"&amp;Raw_Data!C419&amp;"|"&amp;Raw_Data!D419&amp;"|"&amp;Raw_Data!E419&amp;"|"&amp;Raw_Data!F419&amp;"|"&amp;Raw_Data!G419&amp;"|"&amp;Raw_Data!H419&amp;"|"&amp;Raw_Data!I419&amp;"|"&amp;Raw_Data!J419&amp;"|"&amp;Raw_Data!K419&amp;"|"&amp;Raw_Data!L419&amp;"|"&amp;Raw_Data!M419&amp;"|"&amp;Raw_Data!N419&amp;"|"&amp;Raw_Data!O419&amp;"|"&amp;Raw_Data!P419&amp;"|"&amp;Raw_Data!Q419&amp;"|"&amp;Raw_Data!R419&amp;"|"&amp;Raw_Data!S419&amp;"|"&amp;Raw_Data!T419&amp;"|"&amp;Raw_Data!U419&amp;"|"&amp;Raw_Data!V419&amp;"|"&amp;Raw_Data!W419&amp;"|"&amp;Raw_Data!X419&amp;"|"&amp;Raw_Data!Y419&amp;"|"&amp;Raw_Data!Z419&amp;"|"&amp;Raw_Data!AA419&amp;"|"&amp;Raw_Data!AB419&amp;"|"&amp;Raw_Data!AC419&amp;"|"&amp;Raw_Data!AD419&amp;"|"&amp;Raw_Data!AE419&amp;"|"&amp;Raw_Data!AF419&amp;"|"&amp;Raw_Data!AG419&amp;"|"&amp;Raw_Data!AH419&amp;"|"&amp;Raw_Data!AI419&amp;"|"&amp;Raw_Data!AJ419&amp;"|"&amp;Raw_Data!AK419&amp;"|"&amp;Raw_Data!AL419&amp;"|"&amp;Raw_Data!AM419&amp;"|"&amp;Raw_Data!AN419&amp;"|"&amp;Raw_Data!AO419</f>
        <v>0|1|2|2|2|2|3|1|2|22|4|3|3|3|4|2|2|2|3|2|4|3|4|4|4|4|2|3|1|1|3|4|4|3|4|4|2|3|3|2|3</v>
      </c>
      <c r="Q421" s="3" t="n">
        <f aca="false">COUNTIF($P$4:$P$513,P421)</f>
        <v>1</v>
      </c>
    </row>
    <row r="422" customFormat="false" ht="15" hidden="false" customHeight="false" outlineLevel="0" collapsed="false">
      <c r="O422" s="3" t="n">
        <v>420</v>
      </c>
      <c r="P422" s="3" t="str">
        <f aca="false">Raw_Data!A420&amp;"|"&amp;Raw_Data!B420&amp;"|"&amp;Raw_Data!C420&amp;"|"&amp;Raw_Data!D420&amp;"|"&amp;Raw_Data!E420&amp;"|"&amp;Raw_Data!F420&amp;"|"&amp;Raw_Data!G420&amp;"|"&amp;Raw_Data!H420&amp;"|"&amp;Raw_Data!I420&amp;"|"&amp;Raw_Data!J420&amp;"|"&amp;Raw_Data!K420&amp;"|"&amp;Raw_Data!L420&amp;"|"&amp;Raw_Data!M420&amp;"|"&amp;Raw_Data!N420&amp;"|"&amp;Raw_Data!O420&amp;"|"&amp;Raw_Data!P420&amp;"|"&amp;Raw_Data!Q420&amp;"|"&amp;Raw_Data!R420&amp;"|"&amp;Raw_Data!S420&amp;"|"&amp;Raw_Data!T420&amp;"|"&amp;Raw_Data!U420&amp;"|"&amp;Raw_Data!V420&amp;"|"&amp;Raw_Data!W420&amp;"|"&amp;Raw_Data!X420&amp;"|"&amp;Raw_Data!Y420&amp;"|"&amp;Raw_Data!Z420&amp;"|"&amp;Raw_Data!AA420&amp;"|"&amp;Raw_Data!AB420&amp;"|"&amp;Raw_Data!AC420&amp;"|"&amp;Raw_Data!AD420&amp;"|"&amp;Raw_Data!AE420&amp;"|"&amp;Raw_Data!AF420&amp;"|"&amp;Raw_Data!AG420&amp;"|"&amp;Raw_Data!AH420&amp;"|"&amp;Raw_Data!AI420&amp;"|"&amp;Raw_Data!AJ420&amp;"|"&amp;Raw_Data!AK420&amp;"|"&amp;Raw_Data!AL420&amp;"|"&amp;Raw_Data!AM420&amp;"|"&amp;Raw_Data!AN420&amp;"|"&amp;Raw_Data!AO420</f>
        <v>0|6|1|2|2|2|2|3|1|21|4|3|2|3|3|3|3|3|3|4|4|4|4|4|4|4|3|3|3|3|3|2|3|2|2|4|3|3|3|3|3</v>
      </c>
      <c r="Q422" s="3" t="n">
        <f aca="false">COUNTIF($P$4:$P$513,P422)</f>
        <v>1</v>
      </c>
    </row>
    <row r="423" customFormat="false" ht="15" hidden="false" customHeight="false" outlineLevel="0" collapsed="false">
      <c r="O423" s="3" t="n">
        <v>421</v>
      </c>
      <c r="P423" s="3" t="str">
        <f aca="false">Raw_Data!A421&amp;"|"&amp;Raw_Data!B421&amp;"|"&amp;Raw_Data!C421&amp;"|"&amp;Raw_Data!D421&amp;"|"&amp;Raw_Data!E421&amp;"|"&amp;Raw_Data!F421&amp;"|"&amp;Raw_Data!G421&amp;"|"&amp;Raw_Data!H421&amp;"|"&amp;Raw_Data!I421&amp;"|"&amp;Raw_Data!J421&amp;"|"&amp;Raw_Data!K421&amp;"|"&amp;Raw_Data!L421&amp;"|"&amp;Raw_Data!M421&amp;"|"&amp;Raw_Data!N421&amp;"|"&amp;Raw_Data!O421&amp;"|"&amp;Raw_Data!P421&amp;"|"&amp;Raw_Data!Q421&amp;"|"&amp;Raw_Data!R421&amp;"|"&amp;Raw_Data!S421&amp;"|"&amp;Raw_Data!T421&amp;"|"&amp;Raw_Data!U421&amp;"|"&amp;Raw_Data!V421&amp;"|"&amp;Raw_Data!W421&amp;"|"&amp;Raw_Data!X421&amp;"|"&amp;Raw_Data!Y421&amp;"|"&amp;Raw_Data!Z421&amp;"|"&amp;Raw_Data!AA421&amp;"|"&amp;Raw_Data!AB421&amp;"|"&amp;Raw_Data!AC421&amp;"|"&amp;Raw_Data!AD421&amp;"|"&amp;Raw_Data!AE421&amp;"|"&amp;Raw_Data!AF421&amp;"|"&amp;Raw_Data!AG421&amp;"|"&amp;Raw_Data!AH421&amp;"|"&amp;Raw_Data!AI421&amp;"|"&amp;Raw_Data!AJ421&amp;"|"&amp;Raw_Data!AK421&amp;"|"&amp;Raw_Data!AL421&amp;"|"&amp;Raw_Data!AM421&amp;"|"&amp;Raw_Data!AN421&amp;"|"&amp;Raw_Data!AO421</f>
        <v>0|1|1|2|2|2|3|2|1|22|4|2|2|1|5|4|1|2|4|5|4|3|3|2|3|3|4|2|1|1|4|3|3|4|4|5|2|5|4|3|3</v>
      </c>
      <c r="Q423" s="3" t="n">
        <f aca="false">COUNTIF($P$4:$P$513,P423)</f>
        <v>1</v>
      </c>
    </row>
    <row r="424" customFormat="false" ht="15" hidden="false" customHeight="false" outlineLevel="0" collapsed="false">
      <c r="O424" s="3" t="n">
        <v>422</v>
      </c>
      <c r="P424" s="3" t="str">
        <f aca="false">Raw_Data!A422&amp;"|"&amp;Raw_Data!B422&amp;"|"&amp;Raw_Data!C422&amp;"|"&amp;Raw_Data!D422&amp;"|"&amp;Raw_Data!E422&amp;"|"&amp;Raw_Data!F422&amp;"|"&amp;Raw_Data!G422&amp;"|"&amp;Raw_Data!H422&amp;"|"&amp;Raw_Data!I422&amp;"|"&amp;Raw_Data!J422&amp;"|"&amp;Raw_Data!K422&amp;"|"&amp;Raw_Data!L422&amp;"|"&amp;Raw_Data!M422&amp;"|"&amp;Raw_Data!N422&amp;"|"&amp;Raw_Data!O422&amp;"|"&amp;Raw_Data!P422&amp;"|"&amp;Raw_Data!Q422&amp;"|"&amp;Raw_Data!R422&amp;"|"&amp;Raw_Data!S422&amp;"|"&amp;Raw_Data!T422&amp;"|"&amp;Raw_Data!U422&amp;"|"&amp;Raw_Data!V422&amp;"|"&amp;Raw_Data!W422&amp;"|"&amp;Raw_Data!X422&amp;"|"&amp;Raw_Data!Y422&amp;"|"&amp;Raw_Data!Z422&amp;"|"&amp;Raw_Data!AA422&amp;"|"&amp;Raw_Data!AB422&amp;"|"&amp;Raw_Data!AC422&amp;"|"&amp;Raw_Data!AD422&amp;"|"&amp;Raw_Data!AE422&amp;"|"&amp;Raw_Data!AF422&amp;"|"&amp;Raw_Data!AG422&amp;"|"&amp;Raw_Data!AH422&amp;"|"&amp;Raw_Data!AI422&amp;"|"&amp;Raw_Data!AJ422&amp;"|"&amp;Raw_Data!AK422&amp;"|"&amp;Raw_Data!AL422&amp;"|"&amp;Raw_Data!AM422&amp;"|"&amp;Raw_Data!AN422&amp;"|"&amp;Raw_Data!AO422</f>
        <v>0|3|2|1|2|2|1|3|1|21|4|4|2|4|4|3|4|3|4|4|5|4|5|4|4|5|2|4|2|2|4|3|4|4|4|5|3|3|3|4|4</v>
      </c>
      <c r="Q424" s="3" t="n">
        <f aca="false">COUNTIF($P$4:$P$513,P424)</f>
        <v>1</v>
      </c>
    </row>
    <row r="425" customFormat="false" ht="15" hidden="false" customHeight="false" outlineLevel="0" collapsed="false">
      <c r="O425" s="3" t="n">
        <v>423</v>
      </c>
      <c r="P425" s="3" t="str">
        <f aca="false">Raw_Data!A423&amp;"|"&amp;Raw_Data!B423&amp;"|"&amp;Raw_Data!C423&amp;"|"&amp;Raw_Data!D423&amp;"|"&amp;Raw_Data!E423&amp;"|"&amp;Raw_Data!F423&amp;"|"&amp;Raw_Data!G423&amp;"|"&amp;Raw_Data!H423&amp;"|"&amp;Raw_Data!I423&amp;"|"&amp;Raw_Data!J423&amp;"|"&amp;Raw_Data!K423&amp;"|"&amp;Raw_Data!L423&amp;"|"&amp;Raw_Data!M423&amp;"|"&amp;Raw_Data!N423&amp;"|"&amp;Raw_Data!O423&amp;"|"&amp;Raw_Data!P423&amp;"|"&amp;Raw_Data!Q423&amp;"|"&amp;Raw_Data!R423&amp;"|"&amp;Raw_Data!S423&amp;"|"&amp;Raw_Data!T423&amp;"|"&amp;Raw_Data!U423&amp;"|"&amp;Raw_Data!V423&amp;"|"&amp;Raw_Data!W423&amp;"|"&amp;Raw_Data!X423&amp;"|"&amp;Raw_Data!Y423&amp;"|"&amp;Raw_Data!Z423&amp;"|"&amp;Raw_Data!AA423&amp;"|"&amp;Raw_Data!AB423&amp;"|"&amp;Raw_Data!AC423&amp;"|"&amp;Raw_Data!AD423&amp;"|"&amp;Raw_Data!AE423&amp;"|"&amp;Raw_Data!AF423&amp;"|"&amp;Raw_Data!AG423&amp;"|"&amp;Raw_Data!AH423&amp;"|"&amp;Raw_Data!AI423&amp;"|"&amp;Raw_Data!AJ423&amp;"|"&amp;Raw_Data!AK423&amp;"|"&amp;Raw_Data!AL423&amp;"|"&amp;Raw_Data!AM423&amp;"|"&amp;Raw_Data!AN423&amp;"|"&amp;Raw_Data!AO423</f>
        <v>1|4|2|1|2|2|3|2|3|26|3|4|2|4|4|4|2|2|4|5|5|2|3|4|2|3|1|2|2|2|4|4|4|4|4|4|2|4|4|2|3</v>
      </c>
      <c r="Q425" s="3" t="n">
        <f aca="false">COUNTIF($P$4:$P$513,P425)</f>
        <v>1</v>
      </c>
    </row>
    <row r="426" customFormat="false" ht="15" hidden="false" customHeight="false" outlineLevel="0" collapsed="false">
      <c r="O426" s="3" t="n">
        <v>424</v>
      </c>
      <c r="P426" s="3" t="str">
        <f aca="false">Raw_Data!A424&amp;"|"&amp;Raw_Data!B424&amp;"|"&amp;Raw_Data!C424&amp;"|"&amp;Raw_Data!D424&amp;"|"&amp;Raw_Data!E424&amp;"|"&amp;Raw_Data!F424&amp;"|"&amp;Raw_Data!G424&amp;"|"&amp;Raw_Data!H424&amp;"|"&amp;Raw_Data!I424&amp;"|"&amp;Raw_Data!J424&amp;"|"&amp;Raw_Data!K424&amp;"|"&amp;Raw_Data!L424&amp;"|"&amp;Raw_Data!M424&amp;"|"&amp;Raw_Data!N424&amp;"|"&amp;Raw_Data!O424&amp;"|"&amp;Raw_Data!P424&amp;"|"&amp;Raw_Data!Q424&amp;"|"&amp;Raw_Data!R424&amp;"|"&amp;Raw_Data!S424&amp;"|"&amp;Raw_Data!T424&amp;"|"&amp;Raw_Data!U424&amp;"|"&amp;Raw_Data!V424&amp;"|"&amp;Raw_Data!W424&amp;"|"&amp;Raw_Data!X424&amp;"|"&amp;Raw_Data!Y424&amp;"|"&amp;Raw_Data!Z424&amp;"|"&amp;Raw_Data!AA424&amp;"|"&amp;Raw_Data!AB424&amp;"|"&amp;Raw_Data!AC424&amp;"|"&amp;Raw_Data!AD424&amp;"|"&amp;Raw_Data!AE424&amp;"|"&amp;Raw_Data!AF424&amp;"|"&amp;Raw_Data!AG424&amp;"|"&amp;Raw_Data!AH424&amp;"|"&amp;Raw_Data!AI424&amp;"|"&amp;Raw_Data!AJ424&amp;"|"&amp;Raw_Data!AK424&amp;"|"&amp;Raw_Data!AL424&amp;"|"&amp;Raw_Data!AM424&amp;"|"&amp;Raw_Data!AN424&amp;"|"&amp;Raw_Data!AO424</f>
        <v>1|6|1|1|2|2|3|1|1|22|3|4|2|4|4|4|4|1|4|5|5|3|3|2|2|3|4|4|2|2|4|2|4|4|4|3|3|5|4|2|4</v>
      </c>
      <c r="Q426" s="3" t="n">
        <f aca="false">COUNTIF($P$4:$P$513,P426)</f>
        <v>1</v>
      </c>
    </row>
    <row r="427" customFormat="false" ht="15" hidden="false" customHeight="false" outlineLevel="0" collapsed="false">
      <c r="O427" s="3" t="n">
        <v>425</v>
      </c>
      <c r="P427" s="3" t="str">
        <f aca="false">Raw_Data!A425&amp;"|"&amp;Raw_Data!B425&amp;"|"&amp;Raw_Data!C425&amp;"|"&amp;Raw_Data!D425&amp;"|"&amp;Raw_Data!E425&amp;"|"&amp;Raw_Data!F425&amp;"|"&amp;Raw_Data!G425&amp;"|"&amp;Raw_Data!H425&amp;"|"&amp;Raw_Data!I425&amp;"|"&amp;Raw_Data!J425&amp;"|"&amp;Raw_Data!K425&amp;"|"&amp;Raw_Data!L425&amp;"|"&amp;Raw_Data!M425&amp;"|"&amp;Raw_Data!N425&amp;"|"&amp;Raw_Data!O425&amp;"|"&amp;Raw_Data!P425&amp;"|"&amp;Raw_Data!Q425&amp;"|"&amp;Raw_Data!R425&amp;"|"&amp;Raw_Data!S425&amp;"|"&amp;Raw_Data!T425&amp;"|"&amp;Raw_Data!U425&amp;"|"&amp;Raw_Data!V425&amp;"|"&amp;Raw_Data!W425&amp;"|"&amp;Raw_Data!X425&amp;"|"&amp;Raw_Data!Y425&amp;"|"&amp;Raw_Data!Z425&amp;"|"&amp;Raw_Data!AA425&amp;"|"&amp;Raw_Data!AB425&amp;"|"&amp;Raw_Data!AC425&amp;"|"&amp;Raw_Data!AD425&amp;"|"&amp;Raw_Data!AE425&amp;"|"&amp;Raw_Data!AF425&amp;"|"&amp;Raw_Data!AG425&amp;"|"&amp;Raw_Data!AH425&amp;"|"&amp;Raw_Data!AI425&amp;"|"&amp;Raw_Data!AJ425&amp;"|"&amp;Raw_Data!AK425&amp;"|"&amp;Raw_Data!AL425&amp;"|"&amp;Raw_Data!AM425&amp;"|"&amp;Raw_Data!AN425&amp;"|"&amp;Raw_Data!AO425</f>
        <v>0|4|1|1|2|2|2|1|3|25|3|4|3|3|4|2|2|3|4|5|5|4|5|3|5|4|2|4|3|4|4|3|5|3|3|5|3|5|3|4|3</v>
      </c>
      <c r="Q427" s="3" t="n">
        <f aca="false">COUNTIF($P$4:$P$513,P427)</f>
        <v>1</v>
      </c>
    </row>
    <row r="428" customFormat="false" ht="15" hidden="false" customHeight="false" outlineLevel="0" collapsed="false">
      <c r="O428" s="3" t="n">
        <v>426</v>
      </c>
      <c r="P428" s="3" t="str">
        <f aca="false">Raw_Data!A426&amp;"|"&amp;Raw_Data!B426&amp;"|"&amp;Raw_Data!C426&amp;"|"&amp;Raw_Data!D426&amp;"|"&amp;Raw_Data!E426&amp;"|"&amp;Raw_Data!F426&amp;"|"&amp;Raw_Data!G426&amp;"|"&amp;Raw_Data!H426&amp;"|"&amp;Raw_Data!I426&amp;"|"&amp;Raw_Data!J426&amp;"|"&amp;Raw_Data!K426&amp;"|"&amp;Raw_Data!L426&amp;"|"&amp;Raw_Data!M426&amp;"|"&amp;Raw_Data!N426&amp;"|"&amp;Raw_Data!O426&amp;"|"&amp;Raw_Data!P426&amp;"|"&amp;Raw_Data!Q426&amp;"|"&amp;Raw_Data!R426&amp;"|"&amp;Raw_Data!S426&amp;"|"&amp;Raw_Data!T426&amp;"|"&amp;Raw_Data!U426&amp;"|"&amp;Raw_Data!V426&amp;"|"&amp;Raw_Data!W426&amp;"|"&amp;Raw_Data!X426&amp;"|"&amp;Raw_Data!Y426&amp;"|"&amp;Raw_Data!Z426&amp;"|"&amp;Raw_Data!AA426&amp;"|"&amp;Raw_Data!AB426&amp;"|"&amp;Raw_Data!AC426&amp;"|"&amp;Raw_Data!AD426&amp;"|"&amp;Raw_Data!AE426&amp;"|"&amp;Raw_Data!AF426&amp;"|"&amp;Raw_Data!AG426&amp;"|"&amp;Raw_Data!AH426&amp;"|"&amp;Raw_Data!AI426&amp;"|"&amp;Raw_Data!AJ426&amp;"|"&amp;Raw_Data!AK426&amp;"|"&amp;Raw_Data!AL426&amp;"|"&amp;Raw_Data!AM426&amp;"|"&amp;Raw_Data!AN426&amp;"|"&amp;Raw_Data!AO426</f>
        <v>1|3|1|1|2|2|3|2|3|23|2|4|4|3|3|4|4|2|4|4|4|4|4|4|4|4|4|4|2|2|4|4|4|3|3|4|2|5|4|4|2</v>
      </c>
      <c r="Q428" s="3" t="n">
        <f aca="false">COUNTIF($P$4:$P$513,P428)</f>
        <v>1</v>
      </c>
    </row>
    <row r="429" customFormat="false" ht="15" hidden="false" customHeight="false" outlineLevel="0" collapsed="false">
      <c r="O429" s="3" t="n">
        <v>427</v>
      </c>
      <c r="P429" s="3" t="str">
        <f aca="false">Raw_Data!A427&amp;"|"&amp;Raw_Data!B427&amp;"|"&amp;Raw_Data!C427&amp;"|"&amp;Raw_Data!D427&amp;"|"&amp;Raw_Data!E427&amp;"|"&amp;Raw_Data!F427&amp;"|"&amp;Raw_Data!G427&amp;"|"&amp;Raw_Data!H427&amp;"|"&amp;Raw_Data!I427&amp;"|"&amp;Raw_Data!J427&amp;"|"&amp;Raw_Data!K427&amp;"|"&amp;Raw_Data!L427&amp;"|"&amp;Raw_Data!M427&amp;"|"&amp;Raw_Data!N427&amp;"|"&amp;Raw_Data!O427&amp;"|"&amp;Raw_Data!P427&amp;"|"&amp;Raw_Data!Q427&amp;"|"&amp;Raw_Data!R427&amp;"|"&amp;Raw_Data!S427&amp;"|"&amp;Raw_Data!T427&amp;"|"&amp;Raw_Data!U427&amp;"|"&amp;Raw_Data!V427&amp;"|"&amp;Raw_Data!W427&amp;"|"&amp;Raw_Data!X427&amp;"|"&amp;Raw_Data!Y427&amp;"|"&amp;Raw_Data!Z427&amp;"|"&amp;Raw_Data!AA427&amp;"|"&amp;Raw_Data!AB427&amp;"|"&amp;Raw_Data!AC427&amp;"|"&amp;Raw_Data!AD427&amp;"|"&amp;Raw_Data!AE427&amp;"|"&amp;Raw_Data!AF427&amp;"|"&amp;Raw_Data!AG427&amp;"|"&amp;Raw_Data!AH427&amp;"|"&amp;Raw_Data!AI427&amp;"|"&amp;Raw_Data!AJ427&amp;"|"&amp;Raw_Data!AK427&amp;"|"&amp;Raw_Data!AL427&amp;"|"&amp;Raw_Data!AM427&amp;"|"&amp;Raw_Data!AN427&amp;"|"&amp;Raw_Data!AO427</f>
        <v>0|4|1|1|2|2|3|2|3|24|3|3|4|3|4|3|4|1|4|5|4|4|3|4|4|4|4|4|1|2|4|3|4|3|5|3|4|5|4|2|3</v>
      </c>
      <c r="Q429" s="3" t="n">
        <f aca="false">COUNTIF($P$4:$P$513,P429)</f>
        <v>1</v>
      </c>
    </row>
    <row r="430" customFormat="false" ht="15" hidden="false" customHeight="false" outlineLevel="0" collapsed="false">
      <c r="O430" s="3" t="n">
        <v>428</v>
      </c>
      <c r="P430" s="3" t="str">
        <f aca="false">Raw_Data!A428&amp;"|"&amp;Raw_Data!B428&amp;"|"&amp;Raw_Data!C428&amp;"|"&amp;Raw_Data!D428&amp;"|"&amp;Raw_Data!E428&amp;"|"&amp;Raw_Data!F428&amp;"|"&amp;Raw_Data!G428&amp;"|"&amp;Raw_Data!H428&amp;"|"&amp;Raw_Data!I428&amp;"|"&amp;Raw_Data!J428&amp;"|"&amp;Raw_Data!K428&amp;"|"&amp;Raw_Data!L428&amp;"|"&amp;Raw_Data!M428&amp;"|"&amp;Raw_Data!N428&amp;"|"&amp;Raw_Data!O428&amp;"|"&amp;Raw_Data!P428&amp;"|"&amp;Raw_Data!Q428&amp;"|"&amp;Raw_Data!R428&amp;"|"&amp;Raw_Data!S428&amp;"|"&amp;Raw_Data!T428&amp;"|"&amp;Raw_Data!U428&amp;"|"&amp;Raw_Data!V428&amp;"|"&amp;Raw_Data!W428&amp;"|"&amp;Raw_Data!X428&amp;"|"&amp;Raw_Data!Y428&amp;"|"&amp;Raw_Data!Z428&amp;"|"&amp;Raw_Data!AA428&amp;"|"&amp;Raw_Data!AB428&amp;"|"&amp;Raw_Data!AC428&amp;"|"&amp;Raw_Data!AD428&amp;"|"&amp;Raw_Data!AE428&amp;"|"&amp;Raw_Data!AF428&amp;"|"&amp;Raw_Data!AG428&amp;"|"&amp;Raw_Data!AH428&amp;"|"&amp;Raw_Data!AI428&amp;"|"&amp;Raw_Data!AJ428&amp;"|"&amp;Raw_Data!AK428&amp;"|"&amp;Raw_Data!AL428&amp;"|"&amp;Raw_Data!AM428&amp;"|"&amp;Raw_Data!AN428&amp;"|"&amp;Raw_Data!AO428</f>
        <v>0|3|2|1|2|2|2|2|1|21|3|3|4|4|3|3|4|2|4|2|4|4|3|3|2|4|3|2|2|3|4|2|4|3|4|4|3|4|4|2|3</v>
      </c>
      <c r="Q430" s="3" t="n">
        <f aca="false">COUNTIF($P$4:$P$513,P430)</f>
        <v>1</v>
      </c>
    </row>
    <row r="431" customFormat="false" ht="15" hidden="false" customHeight="false" outlineLevel="0" collapsed="false">
      <c r="O431" s="3" t="n">
        <v>429</v>
      </c>
      <c r="P431" s="3" t="str">
        <f aca="false">Raw_Data!A429&amp;"|"&amp;Raw_Data!B429&amp;"|"&amp;Raw_Data!C429&amp;"|"&amp;Raw_Data!D429&amp;"|"&amp;Raw_Data!E429&amp;"|"&amp;Raw_Data!F429&amp;"|"&amp;Raw_Data!G429&amp;"|"&amp;Raw_Data!H429&amp;"|"&amp;Raw_Data!I429&amp;"|"&amp;Raw_Data!J429&amp;"|"&amp;Raw_Data!K429&amp;"|"&amp;Raw_Data!L429&amp;"|"&amp;Raw_Data!M429&amp;"|"&amp;Raw_Data!N429&amp;"|"&amp;Raw_Data!O429&amp;"|"&amp;Raw_Data!P429&amp;"|"&amp;Raw_Data!Q429&amp;"|"&amp;Raw_Data!R429&amp;"|"&amp;Raw_Data!S429&amp;"|"&amp;Raw_Data!T429&amp;"|"&amp;Raw_Data!U429&amp;"|"&amp;Raw_Data!V429&amp;"|"&amp;Raw_Data!W429&amp;"|"&amp;Raw_Data!X429&amp;"|"&amp;Raw_Data!Y429&amp;"|"&amp;Raw_Data!Z429&amp;"|"&amp;Raw_Data!AA429&amp;"|"&amp;Raw_Data!AB429&amp;"|"&amp;Raw_Data!AC429&amp;"|"&amp;Raw_Data!AD429&amp;"|"&amp;Raw_Data!AE429&amp;"|"&amp;Raw_Data!AF429&amp;"|"&amp;Raw_Data!AG429&amp;"|"&amp;Raw_Data!AH429&amp;"|"&amp;Raw_Data!AI429&amp;"|"&amp;Raw_Data!AJ429&amp;"|"&amp;Raw_Data!AK429&amp;"|"&amp;Raw_Data!AL429&amp;"|"&amp;Raw_Data!AM429&amp;"|"&amp;Raw_Data!AN429&amp;"|"&amp;Raw_Data!AO429</f>
        <v>0|3|2|1|2|2|1|2|3|22|3|3|5|4|4|4|4|4|4|5|5|5|5|5|5|5|5|2|2|2|4|5|2|2|2|5|3|5|4|3|4</v>
      </c>
      <c r="Q431" s="3" t="n">
        <f aca="false">COUNTIF($P$4:$P$513,P431)</f>
        <v>1</v>
      </c>
    </row>
    <row r="432" customFormat="false" ht="15" hidden="false" customHeight="false" outlineLevel="0" collapsed="false">
      <c r="O432" s="3" t="n">
        <v>430</v>
      </c>
      <c r="P432" s="3" t="str">
        <f aca="false">Raw_Data!A430&amp;"|"&amp;Raw_Data!B430&amp;"|"&amp;Raw_Data!C430&amp;"|"&amp;Raw_Data!D430&amp;"|"&amp;Raw_Data!E430&amp;"|"&amp;Raw_Data!F430&amp;"|"&amp;Raw_Data!G430&amp;"|"&amp;Raw_Data!H430&amp;"|"&amp;Raw_Data!I430&amp;"|"&amp;Raw_Data!J430&amp;"|"&amp;Raw_Data!K430&amp;"|"&amp;Raw_Data!L430&amp;"|"&amp;Raw_Data!M430&amp;"|"&amp;Raw_Data!N430&amp;"|"&amp;Raw_Data!O430&amp;"|"&amp;Raw_Data!P430&amp;"|"&amp;Raw_Data!Q430&amp;"|"&amp;Raw_Data!R430&amp;"|"&amp;Raw_Data!S430&amp;"|"&amp;Raw_Data!T430&amp;"|"&amp;Raw_Data!U430&amp;"|"&amp;Raw_Data!V430&amp;"|"&amp;Raw_Data!W430&amp;"|"&amp;Raw_Data!X430&amp;"|"&amp;Raw_Data!Y430&amp;"|"&amp;Raw_Data!Z430&amp;"|"&amp;Raw_Data!AA430&amp;"|"&amp;Raw_Data!AB430&amp;"|"&amp;Raw_Data!AC430&amp;"|"&amp;Raw_Data!AD430&amp;"|"&amp;Raw_Data!AE430&amp;"|"&amp;Raw_Data!AF430&amp;"|"&amp;Raw_Data!AG430&amp;"|"&amp;Raw_Data!AH430&amp;"|"&amp;Raw_Data!AI430&amp;"|"&amp;Raw_Data!AJ430&amp;"|"&amp;Raw_Data!AK430&amp;"|"&amp;Raw_Data!AL430&amp;"|"&amp;Raw_Data!AM430&amp;"|"&amp;Raw_Data!AN430&amp;"|"&amp;Raw_Data!AO430</f>
        <v>0|1|1|1|2|2|2|2|3|24|4|2|3|4|2|3|4|2|4|4|4|4|4|4|4|4|4|2|2|2|4|2|4|4|4|2|2|4|4|3|3</v>
      </c>
      <c r="Q432" s="3" t="n">
        <f aca="false">COUNTIF($P$4:$P$513,P432)</f>
        <v>1</v>
      </c>
    </row>
    <row r="433" customFormat="false" ht="15" hidden="false" customHeight="false" outlineLevel="0" collapsed="false">
      <c r="O433" s="3" t="n">
        <v>431</v>
      </c>
      <c r="P433" s="3" t="str">
        <f aca="false">Raw_Data!A431&amp;"|"&amp;Raw_Data!B431&amp;"|"&amp;Raw_Data!C431&amp;"|"&amp;Raw_Data!D431&amp;"|"&amp;Raw_Data!E431&amp;"|"&amp;Raw_Data!F431&amp;"|"&amp;Raw_Data!G431&amp;"|"&amp;Raw_Data!H431&amp;"|"&amp;Raw_Data!I431&amp;"|"&amp;Raw_Data!J431&amp;"|"&amp;Raw_Data!K431&amp;"|"&amp;Raw_Data!L431&amp;"|"&amp;Raw_Data!M431&amp;"|"&amp;Raw_Data!N431&amp;"|"&amp;Raw_Data!O431&amp;"|"&amp;Raw_Data!P431&amp;"|"&amp;Raw_Data!Q431&amp;"|"&amp;Raw_Data!R431&amp;"|"&amp;Raw_Data!S431&amp;"|"&amp;Raw_Data!T431&amp;"|"&amp;Raw_Data!U431&amp;"|"&amp;Raw_Data!V431&amp;"|"&amp;Raw_Data!W431&amp;"|"&amp;Raw_Data!X431&amp;"|"&amp;Raw_Data!Y431&amp;"|"&amp;Raw_Data!Z431&amp;"|"&amp;Raw_Data!AA431&amp;"|"&amp;Raw_Data!AB431&amp;"|"&amp;Raw_Data!AC431&amp;"|"&amp;Raw_Data!AD431&amp;"|"&amp;Raw_Data!AE431&amp;"|"&amp;Raw_Data!AF431&amp;"|"&amp;Raw_Data!AG431&amp;"|"&amp;Raw_Data!AH431&amp;"|"&amp;Raw_Data!AI431&amp;"|"&amp;Raw_Data!AJ431&amp;"|"&amp;Raw_Data!AK431&amp;"|"&amp;Raw_Data!AL431&amp;"|"&amp;Raw_Data!AM431&amp;"|"&amp;Raw_Data!AN431&amp;"|"&amp;Raw_Data!AO431</f>
        <v>1|4|1|1|2|2|2|2|1|23|2|3|2|2|4|2|4|4|4|4|4|4|4|4|4|5|5|2|2|2|4|1|4|4|4|2|2|4|4|3|2</v>
      </c>
      <c r="Q433" s="3" t="n">
        <f aca="false">COUNTIF($P$4:$P$513,P433)</f>
        <v>1</v>
      </c>
    </row>
    <row r="434" customFormat="false" ht="15" hidden="false" customHeight="false" outlineLevel="0" collapsed="false">
      <c r="O434" s="3" t="n">
        <v>432</v>
      </c>
      <c r="P434" s="3" t="str">
        <f aca="false">Raw_Data!A432&amp;"|"&amp;Raw_Data!B432&amp;"|"&amp;Raw_Data!C432&amp;"|"&amp;Raw_Data!D432&amp;"|"&amp;Raw_Data!E432&amp;"|"&amp;Raw_Data!F432&amp;"|"&amp;Raw_Data!G432&amp;"|"&amp;Raw_Data!H432&amp;"|"&amp;Raw_Data!I432&amp;"|"&amp;Raw_Data!J432&amp;"|"&amp;Raw_Data!K432&amp;"|"&amp;Raw_Data!L432&amp;"|"&amp;Raw_Data!M432&amp;"|"&amp;Raw_Data!N432&amp;"|"&amp;Raw_Data!O432&amp;"|"&amp;Raw_Data!P432&amp;"|"&amp;Raw_Data!Q432&amp;"|"&amp;Raw_Data!R432&amp;"|"&amp;Raw_Data!S432&amp;"|"&amp;Raw_Data!T432&amp;"|"&amp;Raw_Data!U432&amp;"|"&amp;Raw_Data!V432&amp;"|"&amp;Raw_Data!W432&amp;"|"&amp;Raw_Data!X432&amp;"|"&amp;Raw_Data!Y432&amp;"|"&amp;Raw_Data!Z432&amp;"|"&amp;Raw_Data!AA432&amp;"|"&amp;Raw_Data!AB432&amp;"|"&amp;Raw_Data!AC432&amp;"|"&amp;Raw_Data!AD432&amp;"|"&amp;Raw_Data!AE432&amp;"|"&amp;Raw_Data!AF432&amp;"|"&amp;Raw_Data!AG432&amp;"|"&amp;Raw_Data!AH432&amp;"|"&amp;Raw_Data!AI432&amp;"|"&amp;Raw_Data!AJ432&amp;"|"&amp;Raw_Data!AK432&amp;"|"&amp;Raw_Data!AL432&amp;"|"&amp;Raw_Data!AM432&amp;"|"&amp;Raw_Data!AN432&amp;"|"&amp;Raw_Data!AO432</f>
        <v>1|3|1|1|2|2|2|2|1|22|3|3|1|2|4|3|3|2|4|4|5|4|1|2|3|4|3|1|1|1|2|1|5|2|2|3|3|5|2|1|4</v>
      </c>
      <c r="Q434" s="3" t="n">
        <f aca="false">COUNTIF($P$4:$P$513,P434)</f>
        <v>1</v>
      </c>
    </row>
    <row r="435" customFormat="false" ht="15" hidden="false" customHeight="false" outlineLevel="0" collapsed="false">
      <c r="O435" s="3" t="n">
        <v>433</v>
      </c>
      <c r="P435" s="3" t="str">
        <f aca="false">Raw_Data!A433&amp;"|"&amp;Raw_Data!B433&amp;"|"&amp;Raw_Data!C433&amp;"|"&amp;Raw_Data!D433&amp;"|"&amp;Raw_Data!E433&amp;"|"&amp;Raw_Data!F433&amp;"|"&amp;Raw_Data!G433&amp;"|"&amp;Raw_Data!H433&amp;"|"&amp;Raw_Data!I433&amp;"|"&amp;Raw_Data!J433&amp;"|"&amp;Raw_Data!K433&amp;"|"&amp;Raw_Data!L433&amp;"|"&amp;Raw_Data!M433&amp;"|"&amp;Raw_Data!N433&amp;"|"&amp;Raw_Data!O433&amp;"|"&amp;Raw_Data!P433&amp;"|"&amp;Raw_Data!Q433&amp;"|"&amp;Raw_Data!R433&amp;"|"&amp;Raw_Data!S433&amp;"|"&amp;Raw_Data!T433&amp;"|"&amp;Raw_Data!U433&amp;"|"&amp;Raw_Data!V433&amp;"|"&amp;Raw_Data!W433&amp;"|"&amp;Raw_Data!X433&amp;"|"&amp;Raw_Data!Y433&amp;"|"&amp;Raw_Data!Z433&amp;"|"&amp;Raw_Data!AA433&amp;"|"&amp;Raw_Data!AB433&amp;"|"&amp;Raw_Data!AC433&amp;"|"&amp;Raw_Data!AD433&amp;"|"&amp;Raw_Data!AE433&amp;"|"&amp;Raw_Data!AF433&amp;"|"&amp;Raw_Data!AG433&amp;"|"&amp;Raw_Data!AH433&amp;"|"&amp;Raw_Data!AI433&amp;"|"&amp;Raw_Data!AJ433&amp;"|"&amp;Raw_Data!AK433&amp;"|"&amp;Raw_Data!AL433&amp;"|"&amp;Raw_Data!AM433&amp;"|"&amp;Raw_Data!AN433&amp;"|"&amp;Raw_Data!AO433</f>
        <v>0|1|2|2|1|2|3|1|1|22|4|3|4|4|5|5|4|3|5|4|5|4|3|3|3|4|4|4|3|3|4|5|5|5|5|5|5|5|4|4|4</v>
      </c>
      <c r="Q435" s="3" t="n">
        <f aca="false">COUNTIF($P$4:$P$513,P435)</f>
        <v>1</v>
      </c>
    </row>
    <row r="436" customFormat="false" ht="15" hidden="false" customHeight="false" outlineLevel="0" collapsed="false">
      <c r="O436" s="3" t="n">
        <v>434</v>
      </c>
      <c r="P436" s="3" t="str">
        <f aca="false">Raw_Data!A434&amp;"|"&amp;Raw_Data!B434&amp;"|"&amp;Raw_Data!C434&amp;"|"&amp;Raw_Data!D434&amp;"|"&amp;Raw_Data!E434&amp;"|"&amp;Raw_Data!F434&amp;"|"&amp;Raw_Data!G434&amp;"|"&amp;Raw_Data!H434&amp;"|"&amp;Raw_Data!I434&amp;"|"&amp;Raw_Data!J434&amp;"|"&amp;Raw_Data!K434&amp;"|"&amp;Raw_Data!L434&amp;"|"&amp;Raw_Data!M434&amp;"|"&amp;Raw_Data!N434&amp;"|"&amp;Raw_Data!O434&amp;"|"&amp;Raw_Data!P434&amp;"|"&amp;Raw_Data!Q434&amp;"|"&amp;Raw_Data!R434&amp;"|"&amp;Raw_Data!S434&amp;"|"&amp;Raw_Data!T434&amp;"|"&amp;Raw_Data!U434&amp;"|"&amp;Raw_Data!V434&amp;"|"&amp;Raw_Data!W434&amp;"|"&amp;Raw_Data!X434&amp;"|"&amp;Raw_Data!Y434&amp;"|"&amp;Raw_Data!Z434&amp;"|"&amp;Raw_Data!AA434&amp;"|"&amp;Raw_Data!AB434&amp;"|"&amp;Raw_Data!AC434&amp;"|"&amp;Raw_Data!AD434&amp;"|"&amp;Raw_Data!AE434&amp;"|"&amp;Raw_Data!AF434&amp;"|"&amp;Raw_Data!AG434&amp;"|"&amp;Raw_Data!AH434&amp;"|"&amp;Raw_Data!AI434&amp;"|"&amp;Raw_Data!AJ434&amp;"|"&amp;Raw_Data!AK434&amp;"|"&amp;Raw_Data!AL434&amp;"|"&amp;Raw_Data!AM434&amp;"|"&amp;Raw_Data!AN434&amp;"|"&amp;Raw_Data!AO434</f>
        <v>0|1|2|2|2|2|3|2|1|21|3|4|5|4|4|2|5|2|3|3|4|4|3|4|4|4|4|4|3|2|2|2|2|3|3|4|2|2|2|4|3</v>
      </c>
      <c r="Q436" s="3" t="n">
        <f aca="false">COUNTIF($P$4:$P$513,P436)</f>
        <v>1</v>
      </c>
    </row>
    <row r="437" customFormat="false" ht="15" hidden="false" customHeight="false" outlineLevel="0" collapsed="false">
      <c r="O437" s="3" t="n">
        <v>435</v>
      </c>
      <c r="P437" s="3" t="str">
        <f aca="false">Raw_Data!A435&amp;"|"&amp;Raw_Data!B435&amp;"|"&amp;Raw_Data!C435&amp;"|"&amp;Raw_Data!D435&amp;"|"&amp;Raw_Data!E435&amp;"|"&amp;Raw_Data!F435&amp;"|"&amp;Raw_Data!G435&amp;"|"&amp;Raw_Data!H435&amp;"|"&amp;Raw_Data!I435&amp;"|"&amp;Raw_Data!J435&amp;"|"&amp;Raw_Data!K435&amp;"|"&amp;Raw_Data!L435&amp;"|"&amp;Raw_Data!M435&amp;"|"&amp;Raw_Data!N435&amp;"|"&amp;Raw_Data!O435&amp;"|"&amp;Raw_Data!P435&amp;"|"&amp;Raw_Data!Q435&amp;"|"&amp;Raw_Data!R435&amp;"|"&amp;Raw_Data!S435&amp;"|"&amp;Raw_Data!T435&amp;"|"&amp;Raw_Data!U435&amp;"|"&amp;Raw_Data!V435&amp;"|"&amp;Raw_Data!W435&amp;"|"&amp;Raw_Data!X435&amp;"|"&amp;Raw_Data!Y435&amp;"|"&amp;Raw_Data!Z435&amp;"|"&amp;Raw_Data!AA435&amp;"|"&amp;Raw_Data!AB435&amp;"|"&amp;Raw_Data!AC435&amp;"|"&amp;Raw_Data!AD435&amp;"|"&amp;Raw_Data!AE435&amp;"|"&amp;Raw_Data!AF435&amp;"|"&amp;Raw_Data!AG435&amp;"|"&amp;Raw_Data!AH435&amp;"|"&amp;Raw_Data!AI435&amp;"|"&amp;Raw_Data!AJ435&amp;"|"&amp;Raw_Data!AK435&amp;"|"&amp;Raw_Data!AL435&amp;"|"&amp;Raw_Data!AM435&amp;"|"&amp;Raw_Data!AN435&amp;"|"&amp;Raw_Data!AO435</f>
        <v>0|3|2|1|2|2|2|3|3|25|3|4|4|4|5|2|2|4|5|5|5|3|4|4|4|4|2|3|2|2|2|2|3|5|5|5|2|4|4|4|4</v>
      </c>
      <c r="Q437" s="3" t="n">
        <f aca="false">COUNTIF($P$4:$P$513,P437)</f>
        <v>1</v>
      </c>
    </row>
    <row r="438" customFormat="false" ht="15" hidden="false" customHeight="false" outlineLevel="0" collapsed="false">
      <c r="O438" s="3" t="n">
        <v>436</v>
      </c>
      <c r="P438" s="3" t="str">
        <f aca="false">Raw_Data!A436&amp;"|"&amp;Raw_Data!B436&amp;"|"&amp;Raw_Data!C436&amp;"|"&amp;Raw_Data!D436&amp;"|"&amp;Raw_Data!E436&amp;"|"&amp;Raw_Data!F436&amp;"|"&amp;Raw_Data!G436&amp;"|"&amp;Raw_Data!H436&amp;"|"&amp;Raw_Data!I436&amp;"|"&amp;Raw_Data!J436&amp;"|"&amp;Raw_Data!K436&amp;"|"&amp;Raw_Data!L436&amp;"|"&amp;Raw_Data!M436&amp;"|"&amp;Raw_Data!N436&amp;"|"&amp;Raw_Data!O436&amp;"|"&amp;Raw_Data!P436&amp;"|"&amp;Raw_Data!Q436&amp;"|"&amp;Raw_Data!R436&amp;"|"&amp;Raw_Data!S436&amp;"|"&amp;Raw_Data!T436&amp;"|"&amp;Raw_Data!U436&amp;"|"&amp;Raw_Data!V436&amp;"|"&amp;Raw_Data!W436&amp;"|"&amp;Raw_Data!X436&amp;"|"&amp;Raw_Data!Y436&amp;"|"&amp;Raw_Data!Z436&amp;"|"&amp;Raw_Data!AA436&amp;"|"&amp;Raw_Data!AB436&amp;"|"&amp;Raw_Data!AC436&amp;"|"&amp;Raw_Data!AD436&amp;"|"&amp;Raw_Data!AE436&amp;"|"&amp;Raw_Data!AF436&amp;"|"&amp;Raw_Data!AG436&amp;"|"&amp;Raw_Data!AH436&amp;"|"&amp;Raw_Data!AI436&amp;"|"&amp;Raw_Data!AJ436&amp;"|"&amp;Raw_Data!AK436&amp;"|"&amp;Raw_Data!AL436&amp;"|"&amp;Raw_Data!AM436&amp;"|"&amp;Raw_Data!AN436&amp;"|"&amp;Raw_Data!AO436</f>
        <v>0|3|1|2|2|2|1|2|2|26|1|3|4|4|1|1|2|4|4|1|4|4|5|5|4|4|2|1|1|1|4|2|4|5|4|1|4|2|4|1|2</v>
      </c>
      <c r="Q438" s="3" t="n">
        <f aca="false">COUNTIF($P$4:$P$513,P438)</f>
        <v>1</v>
      </c>
    </row>
    <row r="439" customFormat="false" ht="15" hidden="false" customHeight="false" outlineLevel="0" collapsed="false">
      <c r="O439" s="3" t="n">
        <v>437</v>
      </c>
      <c r="P439" s="3" t="str">
        <f aca="false">Raw_Data!A437&amp;"|"&amp;Raw_Data!B437&amp;"|"&amp;Raw_Data!C437&amp;"|"&amp;Raw_Data!D437&amp;"|"&amp;Raw_Data!E437&amp;"|"&amp;Raw_Data!F437&amp;"|"&amp;Raw_Data!G437&amp;"|"&amp;Raw_Data!H437&amp;"|"&amp;Raw_Data!I437&amp;"|"&amp;Raw_Data!J437&amp;"|"&amp;Raw_Data!K437&amp;"|"&amp;Raw_Data!L437&amp;"|"&amp;Raw_Data!M437&amp;"|"&amp;Raw_Data!N437&amp;"|"&amp;Raw_Data!O437&amp;"|"&amp;Raw_Data!P437&amp;"|"&amp;Raw_Data!Q437&amp;"|"&amp;Raw_Data!R437&amp;"|"&amp;Raw_Data!S437&amp;"|"&amp;Raw_Data!T437&amp;"|"&amp;Raw_Data!U437&amp;"|"&amp;Raw_Data!V437&amp;"|"&amp;Raw_Data!W437&amp;"|"&amp;Raw_Data!X437&amp;"|"&amp;Raw_Data!Y437&amp;"|"&amp;Raw_Data!Z437&amp;"|"&amp;Raw_Data!AA437&amp;"|"&amp;Raw_Data!AB437&amp;"|"&amp;Raw_Data!AC437&amp;"|"&amp;Raw_Data!AD437&amp;"|"&amp;Raw_Data!AE437&amp;"|"&amp;Raw_Data!AF437&amp;"|"&amp;Raw_Data!AG437&amp;"|"&amp;Raw_Data!AH437&amp;"|"&amp;Raw_Data!AI437&amp;"|"&amp;Raw_Data!AJ437&amp;"|"&amp;Raw_Data!AK437&amp;"|"&amp;Raw_Data!AL437&amp;"|"&amp;Raw_Data!AM437&amp;"|"&amp;Raw_Data!AN437&amp;"|"&amp;Raw_Data!AO437</f>
        <v>0|3|1|1|2|2|3|1|1|21|4|1|4|4|5|4|3|4|4|5|5|4|3|4|3|5|3|1|1|1|3|2|3|5|5|3|3|4|4|4|3</v>
      </c>
      <c r="Q439" s="3" t="n">
        <f aca="false">COUNTIF($P$4:$P$513,P439)</f>
        <v>1</v>
      </c>
    </row>
    <row r="440" customFormat="false" ht="15" hidden="false" customHeight="false" outlineLevel="0" collapsed="false">
      <c r="O440" s="3" t="n">
        <v>438</v>
      </c>
      <c r="P440" s="3" t="str">
        <f aca="false">Raw_Data!A438&amp;"|"&amp;Raw_Data!B438&amp;"|"&amp;Raw_Data!C438&amp;"|"&amp;Raw_Data!D438&amp;"|"&amp;Raw_Data!E438&amp;"|"&amp;Raw_Data!F438&amp;"|"&amp;Raw_Data!G438&amp;"|"&amp;Raw_Data!H438&amp;"|"&amp;Raw_Data!I438&amp;"|"&amp;Raw_Data!J438&amp;"|"&amp;Raw_Data!K438&amp;"|"&amp;Raw_Data!L438&amp;"|"&amp;Raw_Data!M438&amp;"|"&amp;Raw_Data!N438&amp;"|"&amp;Raw_Data!O438&amp;"|"&amp;Raw_Data!P438&amp;"|"&amp;Raw_Data!Q438&amp;"|"&amp;Raw_Data!R438&amp;"|"&amp;Raw_Data!S438&amp;"|"&amp;Raw_Data!T438&amp;"|"&amp;Raw_Data!U438&amp;"|"&amp;Raw_Data!V438&amp;"|"&amp;Raw_Data!W438&amp;"|"&amp;Raw_Data!X438&amp;"|"&amp;Raw_Data!Y438&amp;"|"&amp;Raw_Data!Z438&amp;"|"&amp;Raw_Data!AA438&amp;"|"&amp;Raw_Data!AB438&amp;"|"&amp;Raw_Data!AC438&amp;"|"&amp;Raw_Data!AD438&amp;"|"&amp;Raw_Data!AE438&amp;"|"&amp;Raw_Data!AF438&amp;"|"&amp;Raw_Data!AG438&amp;"|"&amp;Raw_Data!AH438&amp;"|"&amp;Raw_Data!AI438&amp;"|"&amp;Raw_Data!AJ438&amp;"|"&amp;Raw_Data!AK438&amp;"|"&amp;Raw_Data!AL438&amp;"|"&amp;Raw_Data!AM438&amp;"|"&amp;Raw_Data!AN438&amp;"|"&amp;Raw_Data!AO438</f>
        <v>1|3|1|1|2|2|2|1|1|21|3|4|3|3|2|2|2|4|3|3|3|4|4|4|2|4|4|4|2|2|4|1|4|2|2|3|4|3|4|2|4</v>
      </c>
      <c r="Q440" s="3" t="n">
        <f aca="false">COUNTIF($P$4:$P$513,P440)</f>
        <v>1</v>
      </c>
    </row>
    <row r="441" customFormat="false" ht="15" hidden="false" customHeight="false" outlineLevel="0" collapsed="false">
      <c r="O441" s="3" t="n">
        <v>439</v>
      </c>
      <c r="P441" s="3" t="str">
        <f aca="false">Raw_Data!A439&amp;"|"&amp;Raw_Data!B439&amp;"|"&amp;Raw_Data!C439&amp;"|"&amp;Raw_Data!D439&amp;"|"&amp;Raw_Data!E439&amp;"|"&amp;Raw_Data!F439&amp;"|"&amp;Raw_Data!G439&amp;"|"&amp;Raw_Data!H439&amp;"|"&amp;Raw_Data!I439&amp;"|"&amp;Raw_Data!J439&amp;"|"&amp;Raw_Data!K439&amp;"|"&amp;Raw_Data!L439&amp;"|"&amp;Raw_Data!M439&amp;"|"&amp;Raw_Data!N439&amp;"|"&amp;Raw_Data!O439&amp;"|"&amp;Raw_Data!P439&amp;"|"&amp;Raw_Data!Q439&amp;"|"&amp;Raw_Data!R439&amp;"|"&amp;Raw_Data!S439&amp;"|"&amp;Raw_Data!T439&amp;"|"&amp;Raw_Data!U439&amp;"|"&amp;Raw_Data!V439&amp;"|"&amp;Raw_Data!W439&amp;"|"&amp;Raw_Data!X439&amp;"|"&amp;Raw_Data!Y439&amp;"|"&amp;Raw_Data!Z439&amp;"|"&amp;Raw_Data!AA439&amp;"|"&amp;Raw_Data!AB439&amp;"|"&amp;Raw_Data!AC439&amp;"|"&amp;Raw_Data!AD439&amp;"|"&amp;Raw_Data!AE439&amp;"|"&amp;Raw_Data!AF439&amp;"|"&amp;Raw_Data!AG439&amp;"|"&amp;Raw_Data!AH439&amp;"|"&amp;Raw_Data!AI439&amp;"|"&amp;Raw_Data!AJ439&amp;"|"&amp;Raw_Data!AK439&amp;"|"&amp;Raw_Data!AL439&amp;"|"&amp;Raw_Data!AM439&amp;"|"&amp;Raw_Data!AN439&amp;"|"&amp;Raw_Data!AO439</f>
        <v>0|3|2|2|2|2|1|3|1|23|4|3|3|3|4|4|3|3|4|4|4|4|4|3|4|2|4|4|2|2|4|1|4|3|4|3|4|4|3|3|4</v>
      </c>
      <c r="Q441" s="3" t="n">
        <f aca="false">COUNTIF($P$4:$P$513,P441)</f>
        <v>1</v>
      </c>
    </row>
    <row r="442" customFormat="false" ht="15" hidden="false" customHeight="false" outlineLevel="0" collapsed="false">
      <c r="O442" s="3" t="n">
        <v>440</v>
      </c>
      <c r="P442" s="3" t="str">
        <f aca="false">Raw_Data!A440&amp;"|"&amp;Raw_Data!B440&amp;"|"&amp;Raw_Data!C440&amp;"|"&amp;Raw_Data!D440&amp;"|"&amp;Raw_Data!E440&amp;"|"&amp;Raw_Data!F440&amp;"|"&amp;Raw_Data!G440&amp;"|"&amp;Raw_Data!H440&amp;"|"&amp;Raw_Data!I440&amp;"|"&amp;Raw_Data!J440&amp;"|"&amp;Raw_Data!K440&amp;"|"&amp;Raw_Data!L440&amp;"|"&amp;Raw_Data!M440&amp;"|"&amp;Raw_Data!N440&amp;"|"&amp;Raw_Data!O440&amp;"|"&amp;Raw_Data!P440&amp;"|"&amp;Raw_Data!Q440&amp;"|"&amp;Raw_Data!R440&amp;"|"&amp;Raw_Data!S440&amp;"|"&amp;Raw_Data!T440&amp;"|"&amp;Raw_Data!U440&amp;"|"&amp;Raw_Data!V440&amp;"|"&amp;Raw_Data!W440&amp;"|"&amp;Raw_Data!X440&amp;"|"&amp;Raw_Data!Y440&amp;"|"&amp;Raw_Data!Z440&amp;"|"&amp;Raw_Data!AA440&amp;"|"&amp;Raw_Data!AB440&amp;"|"&amp;Raw_Data!AC440&amp;"|"&amp;Raw_Data!AD440&amp;"|"&amp;Raw_Data!AE440&amp;"|"&amp;Raw_Data!AF440&amp;"|"&amp;Raw_Data!AG440&amp;"|"&amp;Raw_Data!AH440&amp;"|"&amp;Raw_Data!AI440&amp;"|"&amp;Raw_Data!AJ440&amp;"|"&amp;Raw_Data!AK440&amp;"|"&amp;Raw_Data!AL440&amp;"|"&amp;Raw_Data!AM440&amp;"|"&amp;Raw_Data!AN440&amp;"|"&amp;Raw_Data!AO440</f>
        <v>0|3|1|1|2|2|4|3|3|24|4|3|4|4|5|1|4|3|3|4|3|4|3|2|3|4|4|2|1|1|2|2|3|5|4|5|5|4|4|1|3</v>
      </c>
      <c r="Q442" s="3" t="n">
        <f aca="false">COUNTIF($P$4:$P$513,P442)</f>
        <v>1</v>
      </c>
    </row>
    <row r="443" customFormat="false" ht="15" hidden="false" customHeight="false" outlineLevel="0" collapsed="false">
      <c r="O443" s="3" t="n">
        <v>441</v>
      </c>
      <c r="P443" s="3" t="str">
        <f aca="false">Raw_Data!A441&amp;"|"&amp;Raw_Data!B441&amp;"|"&amp;Raw_Data!C441&amp;"|"&amp;Raw_Data!D441&amp;"|"&amp;Raw_Data!E441&amp;"|"&amp;Raw_Data!F441&amp;"|"&amp;Raw_Data!G441&amp;"|"&amp;Raw_Data!H441&amp;"|"&amp;Raw_Data!I441&amp;"|"&amp;Raw_Data!J441&amp;"|"&amp;Raw_Data!K441&amp;"|"&amp;Raw_Data!L441&amp;"|"&amp;Raw_Data!M441&amp;"|"&amp;Raw_Data!N441&amp;"|"&amp;Raw_Data!O441&amp;"|"&amp;Raw_Data!P441&amp;"|"&amp;Raw_Data!Q441&amp;"|"&amp;Raw_Data!R441&amp;"|"&amp;Raw_Data!S441&amp;"|"&amp;Raw_Data!T441&amp;"|"&amp;Raw_Data!U441&amp;"|"&amp;Raw_Data!V441&amp;"|"&amp;Raw_Data!W441&amp;"|"&amp;Raw_Data!X441&amp;"|"&amp;Raw_Data!Y441&amp;"|"&amp;Raw_Data!Z441&amp;"|"&amp;Raw_Data!AA441&amp;"|"&amp;Raw_Data!AB441&amp;"|"&amp;Raw_Data!AC441&amp;"|"&amp;Raw_Data!AD441&amp;"|"&amp;Raw_Data!AE441&amp;"|"&amp;Raw_Data!AF441&amp;"|"&amp;Raw_Data!AG441&amp;"|"&amp;Raw_Data!AH441&amp;"|"&amp;Raw_Data!AI441&amp;"|"&amp;Raw_Data!AJ441&amp;"|"&amp;Raw_Data!AK441&amp;"|"&amp;Raw_Data!AL441&amp;"|"&amp;Raw_Data!AM441&amp;"|"&amp;Raw_Data!AN441&amp;"|"&amp;Raw_Data!AO441</f>
        <v>0|4|1|1|2|2|2|2|1|22|4|2|5|4|5|1|5|2|5|5|4|4|5|5|2|4|3|2|1|1|3|1|4|4|4|4|1|5|3|2|2</v>
      </c>
      <c r="Q443" s="3" t="n">
        <f aca="false">COUNTIF($P$4:$P$513,P443)</f>
        <v>1</v>
      </c>
    </row>
    <row r="444" customFormat="false" ht="15" hidden="false" customHeight="false" outlineLevel="0" collapsed="false">
      <c r="O444" s="3" t="n">
        <v>442</v>
      </c>
      <c r="P444" s="3" t="str">
        <f aca="false">Raw_Data!A442&amp;"|"&amp;Raw_Data!B442&amp;"|"&amp;Raw_Data!C442&amp;"|"&amp;Raw_Data!D442&amp;"|"&amp;Raw_Data!E442&amp;"|"&amp;Raw_Data!F442&amp;"|"&amp;Raw_Data!G442&amp;"|"&amp;Raw_Data!H442&amp;"|"&amp;Raw_Data!I442&amp;"|"&amp;Raw_Data!J442&amp;"|"&amp;Raw_Data!K442&amp;"|"&amp;Raw_Data!L442&amp;"|"&amp;Raw_Data!M442&amp;"|"&amp;Raw_Data!N442&amp;"|"&amp;Raw_Data!O442&amp;"|"&amp;Raw_Data!P442&amp;"|"&amp;Raw_Data!Q442&amp;"|"&amp;Raw_Data!R442&amp;"|"&amp;Raw_Data!S442&amp;"|"&amp;Raw_Data!T442&amp;"|"&amp;Raw_Data!U442&amp;"|"&amp;Raw_Data!V442&amp;"|"&amp;Raw_Data!W442&amp;"|"&amp;Raw_Data!X442&amp;"|"&amp;Raw_Data!Y442&amp;"|"&amp;Raw_Data!Z442&amp;"|"&amp;Raw_Data!AA442&amp;"|"&amp;Raw_Data!AB442&amp;"|"&amp;Raw_Data!AC442&amp;"|"&amp;Raw_Data!AD442&amp;"|"&amp;Raw_Data!AE442&amp;"|"&amp;Raw_Data!AF442&amp;"|"&amp;Raw_Data!AG442&amp;"|"&amp;Raw_Data!AH442&amp;"|"&amp;Raw_Data!AI442&amp;"|"&amp;Raw_Data!AJ442&amp;"|"&amp;Raw_Data!AK442&amp;"|"&amp;Raw_Data!AL442&amp;"|"&amp;Raw_Data!AM442&amp;"|"&amp;Raw_Data!AN442&amp;"|"&amp;Raw_Data!AO442</f>
        <v>0|1|1|2|2|2|3|2|1|21|2|2|4|3|2|2|3|2|4|4|4|4|4|4|2|4|2|4|2|2|2|2|2|4|1|2|2|4|2|2|1</v>
      </c>
      <c r="Q444" s="3" t="n">
        <f aca="false">COUNTIF($P$4:$P$513,P444)</f>
        <v>1</v>
      </c>
    </row>
    <row r="445" customFormat="false" ht="15" hidden="false" customHeight="false" outlineLevel="0" collapsed="false">
      <c r="O445" s="3" t="n">
        <v>443</v>
      </c>
      <c r="P445" s="3" t="str">
        <f aca="false">Raw_Data!A443&amp;"|"&amp;Raw_Data!B443&amp;"|"&amp;Raw_Data!C443&amp;"|"&amp;Raw_Data!D443&amp;"|"&amp;Raw_Data!E443&amp;"|"&amp;Raw_Data!F443&amp;"|"&amp;Raw_Data!G443&amp;"|"&amp;Raw_Data!H443&amp;"|"&amp;Raw_Data!I443&amp;"|"&amp;Raw_Data!J443&amp;"|"&amp;Raw_Data!K443&amp;"|"&amp;Raw_Data!L443&amp;"|"&amp;Raw_Data!M443&amp;"|"&amp;Raw_Data!N443&amp;"|"&amp;Raw_Data!O443&amp;"|"&amp;Raw_Data!P443&amp;"|"&amp;Raw_Data!Q443&amp;"|"&amp;Raw_Data!R443&amp;"|"&amp;Raw_Data!S443&amp;"|"&amp;Raw_Data!T443&amp;"|"&amp;Raw_Data!U443&amp;"|"&amp;Raw_Data!V443&amp;"|"&amp;Raw_Data!W443&amp;"|"&amp;Raw_Data!X443&amp;"|"&amp;Raw_Data!Y443&amp;"|"&amp;Raw_Data!Z443&amp;"|"&amp;Raw_Data!AA443&amp;"|"&amp;Raw_Data!AB443&amp;"|"&amp;Raw_Data!AC443&amp;"|"&amp;Raw_Data!AD443&amp;"|"&amp;Raw_Data!AE443&amp;"|"&amp;Raw_Data!AF443&amp;"|"&amp;Raw_Data!AG443&amp;"|"&amp;Raw_Data!AH443&amp;"|"&amp;Raw_Data!AI443&amp;"|"&amp;Raw_Data!AJ443&amp;"|"&amp;Raw_Data!AK443&amp;"|"&amp;Raw_Data!AL443&amp;"|"&amp;Raw_Data!AM443&amp;"|"&amp;Raw_Data!AN443&amp;"|"&amp;Raw_Data!AO443</f>
        <v>0|3|1|1|2|2|3|2|3|28|4|3|4|4|4|2|3|4|4|5|5|4|4|4|4|4|4|2|2|2|4|3|4|4|4|4|3|4|3|3|4</v>
      </c>
      <c r="Q445" s="3" t="n">
        <f aca="false">COUNTIF($P$4:$P$513,P445)</f>
        <v>1</v>
      </c>
    </row>
    <row r="446" customFormat="false" ht="15" hidden="false" customHeight="false" outlineLevel="0" collapsed="false">
      <c r="O446" s="3" t="n">
        <v>444</v>
      </c>
      <c r="P446" s="3" t="str">
        <f aca="false">Raw_Data!A444&amp;"|"&amp;Raw_Data!B444&amp;"|"&amp;Raw_Data!C444&amp;"|"&amp;Raw_Data!D444&amp;"|"&amp;Raw_Data!E444&amp;"|"&amp;Raw_Data!F444&amp;"|"&amp;Raw_Data!G444&amp;"|"&amp;Raw_Data!H444&amp;"|"&amp;Raw_Data!I444&amp;"|"&amp;Raw_Data!J444&amp;"|"&amp;Raw_Data!K444&amp;"|"&amp;Raw_Data!L444&amp;"|"&amp;Raw_Data!M444&amp;"|"&amp;Raw_Data!N444&amp;"|"&amp;Raw_Data!O444&amp;"|"&amp;Raw_Data!P444&amp;"|"&amp;Raw_Data!Q444&amp;"|"&amp;Raw_Data!R444&amp;"|"&amp;Raw_Data!S444&amp;"|"&amp;Raw_Data!T444&amp;"|"&amp;Raw_Data!U444&amp;"|"&amp;Raw_Data!V444&amp;"|"&amp;Raw_Data!W444&amp;"|"&amp;Raw_Data!X444&amp;"|"&amp;Raw_Data!Y444&amp;"|"&amp;Raw_Data!Z444&amp;"|"&amp;Raw_Data!AA444&amp;"|"&amp;Raw_Data!AB444&amp;"|"&amp;Raw_Data!AC444&amp;"|"&amp;Raw_Data!AD444&amp;"|"&amp;Raw_Data!AE444&amp;"|"&amp;Raw_Data!AF444&amp;"|"&amp;Raw_Data!AG444&amp;"|"&amp;Raw_Data!AH444&amp;"|"&amp;Raw_Data!AI444&amp;"|"&amp;Raw_Data!AJ444&amp;"|"&amp;Raw_Data!AK444&amp;"|"&amp;Raw_Data!AL444&amp;"|"&amp;Raw_Data!AM444&amp;"|"&amp;Raw_Data!AN444&amp;"|"&amp;Raw_Data!AO444</f>
        <v>0|6|2|1|2|2|1|3|1|22|4|3|3|4|4|3|3|3|4|4|4|4|4|4|4|4|3|3|2|3|3|3|4|4|4|4|2|3|3|3|3</v>
      </c>
      <c r="Q446" s="3" t="n">
        <f aca="false">COUNTIF($P$4:$P$513,P446)</f>
        <v>1</v>
      </c>
    </row>
    <row r="447" customFormat="false" ht="15" hidden="false" customHeight="false" outlineLevel="0" collapsed="false">
      <c r="O447" s="3" t="n">
        <v>445</v>
      </c>
      <c r="P447" s="3" t="str">
        <f aca="false">Raw_Data!A445&amp;"|"&amp;Raw_Data!B445&amp;"|"&amp;Raw_Data!C445&amp;"|"&amp;Raw_Data!D445&amp;"|"&amp;Raw_Data!E445&amp;"|"&amp;Raw_Data!F445&amp;"|"&amp;Raw_Data!G445&amp;"|"&amp;Raw_Data!H445&amp;"|"&amp;Raw_Data!I445&amp;"|"&amp;Raw_Data!J445&amp;"|"&amp;Raw_Data!K445&amp;"|"&amp;Raw_Data!L445&amp;"|"&amp;Raw_Data!M445&amp;"|"&amp;Raw_Data!N445&amp;"|"&amp;Raw_Data!O445&amp;"|"&amp;Raw_Data!P445&amp;"|"&amp;Raw_Data!Q445&amp;"|"&amp;Raw_Data!R445&amp;"|"&amp;Raw_Data!S445&amp;"|"&amp;Raw_Data!T445&amp;"|"&amp;Raw_Data!U445&amp;"|"&amp;Raw_Data!V445&amp;"|"&amp;Raw_Data!W445&amp;"|"&amp;Raw_Data!X445&amp;"|"&amp;Raw_Data!Y445&amp;"|"&amp;Raw_Data!Z445&amp;"|"&amp;Raw_Data!AA445&amp;"|"&amp;Raw_Data!AB445&amp;"|"&amp;Raw_Data!AC445&amp;"|"&amp;Raw_Data!AD445&amp;"|"&amp;Raw_Data!AE445&amp;"|"&amp;Raw_Data!AF445&amp;"|"&amp;Raw_Data!AG445&amp;"|"&amp;Raw_Data!AH445&amp;"|"&amp;Raw_Data!AI445&amp;"|"&amp;Raw_Data!AJ445&amp;"|"&amp;Raw_Data!AK445&amp;"|"&amp;Raw_Data!AL445&amp;"|"&amp;Raw_Data!AM445&amp;"|"&amp;Raw_Data!AN445&amp;"|"&amp;Raw_Data!AO445</f>
        <v>0|4|2|2|2|2|3|2|1|23|4|3|4|4|4|4|3|3|4|5|4|3|4|3|5|4|3|3|2|1|3|3|4|5|4|4|4|5|3|3|4</v>
      </c>
      <c r="Q447" s="3" t="n">
        <f aca="false">COUNTIF($P$4:$P$513,P447)</f>
        <v>1</v>
      </c>
    </row>
    <row r="448" customFormat="false" ht="15" hidden="false" customHeight="false" outlineLevel="0" collapsed="false">
      <c r="O448" s="3" t="n">
        <v>446</v>
      </c>
      <c r="P448" s="3" t="str">
        <f aca="false">Raw_Data!A446&amp;"|"&amp;Raw_Data!B446&amp;"|"&amp;Raw_Data!C446&amp;"|"&amp;Raw_Data!D446&amp;"|"&amp;Raw_Data!E446&amp;"|"&amp;Raw_Data!F446&amp;"|"&amp;Raw_Data!G446&amp;"|"&amp;Raw_Data!H446&amp;"|"&amp;Raw_Data!I446&amp;"|"&amp;Raw_Data!J446&amp;"|"&amp;Raw_Data!K446&amp;"|"&amp;Raw_Data!L446&amp;"|"&amp;Raw_Data!M446&amp;"|"&amp;Raw_Data!N446&amp;"|"&amp;Raw_Data!O446&amp;"|"&amp;Raw_Data!P446&amp;"|"&amp;Raw_Data!Q446&amp;"|"&amp;Raw_Data!R446&amp;"|"&amp;Raw_Data!S446&amp;"|"&amp;Raw_Data!T446&amp;"|"&amp;Raw_Data!U446&amp;"|"&amp;Raw_Data!V446&amp;"|"&amp;Raw_Data!W446&amp;"|"&amp;Raw_Data!X446&amp;"|"&amp;Raw_Data!Y446&amp;"|"&amp;Raw_Data!Z446&amp;"|"&amp;Raw_Data!AA446&amp;"|"&amp;Raw_Data!AB446&amp;"|"&amp;Raw_Data!AC446&amp;"|"&amp;Raw_Data!AD446&amp;"|"&amp;Raw_Data!AE446&amp;"|"&amp;Raw_Data!AF446&amp;"|"&amp;Raw_Data!AG446&amp;"|"&amp;Raw_Data!AH446&amp;"|"&amp;Raw_Data!AI446&amp;"|"&amp;Raw_Data!AJ446&amp;"|"&amp;Raw_Data!AK446&amp;"|"&amp;Raw_Data!AL446&amp;"|"&amp;Raw_Data!AM446&amp;"|"&amp;Raw_Data!AN446&amp;"|"&amp;Raw_Data!AO446</f>
        <v>0|3|1|1|2|2|1|2|1|22|4|4|4|4|3|4|2|4|4|5|4|4|4|1|4|4|4|4|1|2|4|4|5|3|3|5|1|5|4|1|3</v>
      </c>
      <c r="Q448" s="3" t="n">
        <f aca="false">COUNTIF($P$4:$P$513,P448)</f>
        <v>1</v>
      </c>
    </row>
    <row r="449" customFormat="false" ht="15" hidden="false" customHeight="false" outlineLevel="0" collapsed="false">
      <c r="O449" s="3" t="n">
        <v>447</v>
      </c>
      <c r="P449" s="3" t="str">
        <f aca="false">Raw_Data!A447&amp;"|"&amp;Raw_Data!B447&amp;"|"&amp;Raw_Data!C447&amp;"|"&amp;Raw_Data!D447&amp;"|"&amp;Raw_Data!E447&amp;"|"&amp;Raw_Data!F447&amp;"|"&amp;Raw_Data!G447&amp;"|"&amp;Raw_Data!H447&amp;"|"&amp;Raw_Data!I447&amp;"|"&amp;Raw_Data!J447&amp;"|"&amp;Raw_Data!K447&amp;"|"&amp;Raw_Data!L447&amp;"|"&amp;Raw_Data!M447&amp;"|"&amp;Raw_Data!N447&amp;"|"&amp;Raw_Data!O447&amp;"|"&amp;Raw_Data!P447&amp;"|"&amp;Raw_Data!Q447&amp;"|"&amp;Raw_Data!R447&amp;"|"&amp;Raw_Data!S447&amp;"|"&amp;Raw_Data!T447&amp;"|"&amp;Raw_Data!U447&amp;"|"&amp;Raw_Data!V447&amp;"|"&amp;Raw_Data!W447&amp;"|"&amp;Raw_Data!X447&amp;"|"&amp;Raw_Data!Y447&amp;"|"&amp;Raw_Data!Z447&amp;"|"&amp;Raw_Data!AA447&amp;"|"&amp;Raw_Data!AB447&amp;"|"&amp;Raw_Data!AC447&amp;"|"&amp;Raw_Data!AD447&amp;"|"&amp;Raw_Data!AE447&amp;"|"&amp;Raw_Data!AF447&amp;"|"&amp;Raw_Data!AG447&amp;"|"&amp;Raw_Data!AH447&amp;"|"&amp;Raw_Data!AI447&amp;"|"&amp;Raw_Data!AJ447&amp;"|"&amp;Raw_Data!AK447&amp;"|"&amp;Raw_Data!AL447&amp;"|"&amp;Raw_Data!AM447&amp;"|"&amp;Raw_Data!AN447&amp;"|"&amp;Raw_Data!AO447</f>
        <v>0|4|2|1|2|2|1|3|3|26|4|3|4|4|3|3|4|2|5|4|4|3|4|2|4|4|3|4|2|2|5|4|3|4|4|5|3|3|3|3|3</v>
      </c>
      <c r="Q449" s="3" t="n">
        <f aca="false">COUNTIF($P$4:$P$513,P449)</f>
        <v>1</v>
      </c>
    </row>
    <row r="450" customFormat="false" ht="15" hidden="false" customHeight="false" outlineLevel="0" collapsed="false">
      <c r="O450" s="3" t="n">
        <v>448</v>
      </c>
      <c r="P450" s="3" t="str">
        <f aca="false">Raw_Data!A448&amp;"|"&amp;Raw_Data!B448&amp;"|"&amp;Raw_Data!C448&amp;"|"&amp;Raw_Data!D448&amp;"|"&amp;Raw_Data!E448&amp;"|"&amp;Raw_Data!F448&amp;"|"&amp;Raw_Data!G448&amp;"|"&amp;Raw_Data!H448&amp;"|"&amp;Raw_Data!I448&amp;"|"&amp;Raw_Data!J448&amp;"|"&amp;Raw_Data!K448&amp;"|"&amp;Raw_Data!L448&amp;"|"&amp;Raw_Data!M448&amp;"|"&amp;Raw_Data!N448&amp;"|"&amp;Raw_Data!O448&amp;"|"&amp;Raw_Data!P448&amp;"|"&amp;Raw_Data!Q448&amp;"|"&amp;Raw_Data!R448&amp;"|"&amp;Raw_Data!S448&amp;"|"&amp;Raw_Data!T448&amp;"|"&amp;Raw_Data!U448&amp;"|"&amp;Raw_Data!V448&amp;"|"&amp;Raw_Data!W448&amp;"|"&amp;Raw_Data!X448&amp;"|"&amp;Raw_Data!Y448&amp;"|"&amp;Raw_Data!Z448&amp;"|"&amp;Raw_Data!AA448&amp;"|"&amp;Raw_Data!AB448&amp;"|"&amp;Raw_Data!AC448&amp;"|"&amp;Raw_Data!AD448&amp;"|"&amp;Raw_Data!AE448&amp;"|"&amp;Raw_Data!AF448&amp;"|"&amp;Raw_Data!AG448&amp;"|"&amp;Raw_Data!AH448&amp;"|"&amp;Raw_Data!AI448&amp;"|"&amp;Raw_Data!AJ448&amp;"|"&amp;Raw_Data!AK448&amp;"|"&amp;Raw_Data!AL448&amp;"|"&amp;Raw_Data!AM448&amp;"|"&amp;Raw_Data!AN448&amp;"|"&amp;Raw_Data!AO448</f>
        <v>0|3|1|2|2|2|3|1|1|22|5|4|4|4|3|4|3|3|4|5|3|4|5|3|4|5|4|1|3|3|4|3|4|4|5|3|3|4|3|3|2</v>
      </c>
      <c r="Q450" s="3" t="n">
        <f aca="false">COUNTIF($P$4:$P$513,P450)</f>
        <v>1</v>
      </c>
    </row>
    <row r="451" customFormat="false" ht="15" hidden="false" customHeight="false" outlineLevel="0" collapsed="false">
      <c r="O451" s="3" t="n">
        <v>449</v>
      </c>
      <c r="P451" s="3" t="str">
        <f aca="false">Raw_Data!A449&amp;"|"&amp;Raw_Data!B449&amp;"|"&amp;Raw_Data!C449&amp;"|"&amp;Raw_Data!D449&amp;"|"&amp;Raw_Data!E449&amp;"|"&amp;Raw_Data!F449&amp;"|"&amp;Raw_Data!G449&amp;"|"&amp;Raw_Data!H449&amp;"|"&amp;Raw_Data!I449&amp;"|"&amp;Raw_Data!J449&amp;"|"&amp;Raw_Data!K449&amp;"|"&amp;Raw_Data!L449&amp;"|"&amp;Raw_Data!M449&amp;"|"&amp;Raw_Data!N449&amp;"|"&amp;Raw_Data!O449&amp;"|"&amp;Raw_Data!P449&amp;"|"&amp;Raw_Data!Q449&amp;"|"&amp;Raw_Data!R449&amp;"|"&amp;Raw_Data!S449&amp;"|"&amp;Raw_Data!T449&amp;"|"&amp;Raw_Data!U449&amp;"|"&amp;Raw_Data!V449&amp;"|"&amp;Raw_Data!W449&amp;"|"&amp;Raw_Data!X449&amp;"|"&amp;Raw_Data!Y449&amp;"|"&amp;Raw_Data!Z449&amp;"|"&amp;Raw_Data!AA449&amp;"|"&amp;Raw_Data!AB449&amp;"|"&amp;Raw_Data!AC449&amp;"|"&amp;Raw_Data!AD449&amp;"|"&amp;Raw_Data!AE449&amp;"|"&amp;Raw_Data!AF449&amp;"|"&amp;Raw_Data!AG449&amp;"|"&amp;Raw_Data!AH449&amp;"|"&amp;Raw_Data!AI449&amp;"|"&amp;Raw_Data!AJ449&amp;"|"&amp;Raw_Data!AK449&amp;"|"&amp;Raw_Data!AL449&amp;"|"&amp;Raw_Data!AM449&amp;"|"&amp;Raw_Data!AN449&amp;"|"&amp;Raw_Data!AO449</f>
        <v>0|3|1|1|2|2|3|1|3|23|4|4|4|4|3|4|3|4|4|4|4|4|4|4|4|4|4|3|2|4|4|4|4|3|4|4|4|4|4|2|4</v>
      </c>
      <c r="Q451" s="3" t="n">
        <f aca="false">COUNTIF($P$4:$P$513,P451)</f>
        <v>1</v>
      </c>
    </row>
    <row r="452" customFormat="false" ht="15" hidden="false" customHeight="false" outlineLevel="0" collapsed="false">
      <c r="O452" s="3" t="n">
        <v>450</v>
      </c>
      <c r="P452" s="3" t="str">
        <f aca="false">Raw_Data!A450&amp;"|"&amp;Raw_Data!B450&amp;"|"&amp;Raw_Data!C450&amp;"|"&amp;Raw_Data!D450&amp;"|"&amp;Raw_Data!E450&amp;"|"&amp;Raw_Data!F450&amp;"|"&amp;Raw_Data!G450&amp;"|"&amp;Raw_Data!H450&amp;"|"&amp;Raw_Data!I450&amp;"|"&amp;Raw_Data!J450&amp;"|"&amp;Raw_Data!K450&amp;"|"&amp;Raw_Data!L450&amp;"|"&amp;Raw_Data!M450&amp;"|"&amp;Raw_Data!N450&amp;"|"&amp;Raw_Data!O450&amp;"|"&amp;Raw_Data!P450&amp;"|"&amp;Raw_Data!Q450&amp;"|"&amp;Raw_Data!R450&amp;"|"&amp;Raw_Data!S450&amp;"|"&amp;Raw_Data!T450&amp;"|"&amp;Raw_Data!U450&amp;"|"&amp;Raw_Data!V450&amp;"|"&amp;Raw_Data!W450&amp;"|"&amp;Raw_Data!X450&amp;"|"&amp;Raw_Data!Y450&amp;"|"&amp;Raw_Data!Z450&amp;"|"&amp;Raw_Data!AA450&amp;"|"&amp;Raw_Data!AB450&amp;"|"&amp;Raw_Data!AC450&amp;"|"&amp;Raw_Data!AD450&amp;"|"&amp;Raw_Data!AE450&amp;"|"&amp;Raw_Data!AF450&amp;"|"&amp;Raw_Data!AG450&amp;"|"&amp;Raw_Data!AH450&amp;"|"&amp;Raw_Data!AI450&amp;"|"&amp;Raw_Data!AJ450&amp;"|"&amp;Raw_Data!AK450&amp;"|"&amp;Raw_Data!AL450&amp;"|"&amp;Raw_Data!AM450&amp;"|"&amp;Raw_Data!AN450&amp;"|"&amp;Raw_Data!AO450</f>
        <v>1|4|1|1|2|2|2|2|3|24|3|4|4|4|3|2|3|3|5|5|5|4|4|4|4|4|3|4|2|2|5|4|4|5|5|4|3|3|3|4|2</v>
      </c>
      <c r="Q452" s="3" t="n">
        <f aca="false">COUNTIF($P$4:$P$513,P452)</f>
        <v>1</v>
      </c>
    </row>
    <row r="453" customFormat="false" ht="15" hidden="false" customHeight="false" outlineLevel="0" collapsed="false">
      <c r="O453" s="3" t="n">
        <v>451</v>
      </c>
      <c r="P453" s="3" t="str">
        <f aca="false">Raw_Data!A451&amp;"|"&amp;Raw_Data!B451&amp;"|"&amp;Raw_Data!C451&amp;"|"&amp;Raw_Data!D451&amp;"|"&amp;Raw_Data!E451&amp;"|"&amp;Raw_Data!F451&amp;"|"&amp;Raw_Data!G451&amp;"|"&amp;Raw_Data!H451&amp;"|"&amp;Raw_Data!I451&amp;"|"&amp;Raw_Data!J451&amp;"|"&amp;Raw_Data!K451&amp;"|"&amp;Raw_Data!L451&amp;"|"&amp;Raw_Data!M451&amp;"|"&amp;Raw_Data!N451&amp;"|"&amp;Raw_Data!O451&amp;"|"&amp;Raw_Data!P451&amp;"|"&amp;Raw_Data!Q451&amp;"|"&amp;Raw_Data!R451&amp;"|"&amp;Raw_Data!S451&amp;"|"&amp;Raw_Data!T451&amp;"|"&amp;Raw_Data!U451&amp;"|"&amp;Raw_Data!V451&amp;"|"&amp;Raw_Data!W451&amp;"|"&amp;Raw_Data!X451&amp;"|"&amp;Raw_Data!Y451&amp;"|"&amp;Raw_Data!Z451&amp;"|"&amp;Raw_Data!AA451&amp;"|"&amp;Raw_Data!AB451&amp;"|"&amp;Raw_Data!AC451&amp;"|"&amp;Raw_Data!AD451&amp;"|"&amp;Raw_Data!AE451&amp;"|"&amp;Raw_Data!AF451&amp;"|"&amp;Raw_Data!AG451&amp;"|"&amp;Raw_Data!AH451&amp;"|"&amp;Raw_Data!AI451&amp;"|"&amp;Raw_Data!AJ451&amp;"|"&amp;Raw_Data!AK451&amp;"|"&amp;Raw_Data!AL451&amp;"|"&amp;Raw_Data!AM451&amp;"|"&amp;Raw_Data!AN451&amp;"|"&amp;Raw_Data!AO451</f>
        <v>0|3|2|1|2|2|2|3|1|21|3|4|4|3|3|3|4|3|3|4|4|3|4|4|3|4|4|3|3|3|4|1|3|5|4|4|2|4|4|3|3</v>
      </c>
      <c r="Q453" s="3" t="n">
        <f aca="false">COUNTIF($P$4:$P$513,P453)</f>
        <v>1</v>
      </c>
    </row>
    <row r="454" customFormat="false" ht="15" hidden="false" customHeight="false" outlineLevel="0" collapsed="false">
      <c r="O454" s="3" t="n">
        <v>452</v>
      </c>
      <c r="P454" s="3" t="str">
        <f aca="false">Raw_Data!A452&amp;"|"&amp;Raw_Data!B452&amp;"|"&amp;Raw_Data!C452&amp;"|"&amp;Raw_Data!D452&amp;"|"&amp;Raw_Data!E452&amp;"|"&amp;Raw_Data!F452&amp;"|"&amp;Raw_Data!G452&amp;"|"&amp;Raw_Data!H452&amp;"|"&amp;Raw_Data!I452&amp;"|"&amp;Raw_Data!J452&amp;"|"&amp;Raw_Data!K452&amp;"|"&amp;Raw_Data!L452&amp;"|"&amp;Raw_Data!M452&amp;"|"&amp;Raw_Data!N452&amp;"|"&amp;Raw_Data!O452&amp;"|"&amp;Raw_Data!P452&amp;"|"&amp;Raw_Data!Q452&amp;"|"&amp;Raw_Data!R452&amp;"|"&amp;Raw_Data!S452&amp;"|"&amp;Raw_Data!T452&amp;"|"&amp;Raw_Data!U452&amp;"|"&amp;Raw_Data!V452&amp;"|"&amp;Raw_Data!W452&amp;"|"&amp;Raw_Data!X452&amp;"|"&amp;Raw_Data!Y452&amp;"|"&amp;Raw_Data!Z452&amp;"|"&amp;Raw_Data!AA452&amp;"|"&amp;Raw_Data!AB452&amp;"|"&amp;Raw_Data!AC452&amp;"|"&amp;Raw_Data!AD452&amp;"|"&amp;Raw_Data!AE452&amp;"|"&amp;Raw_Data!AF452&amp;"|"&amp;Raw_Data!AG452&amp;"|"&amp;Raw_Data!AH452&amp;"|"&amp;Raw_Data!AI452&amp;"|"&amp;Raw_Data!AJ452&amp;"|"&amp;Raw_Data!AK452&amp;"|"&amp;Raw_Data!AL452&amp;"|"&amp;Raw_Data!AM452&amp;"|"&amp;Raw_Data!AN452&amp;"|"&amp;Raw_Data!AO452</f>
        <v>0|4|1|1|2|2|4|1|1|24|4|4|3|3|4|4|4|3|4|4|5|3|4|3|3|3|4|4|4|4|3|2|2|4|4|3|3|2|3|4|2</v>
      </c>
      <c r="Q454" s="3" t="n">
        <f aca="false">COUNTIF($P$4:$P$513,P454)</f>
        <v>1</v>
      </c>
    </row>
    <row r="455" customFormat="false" ht="15" hidden="false" customHeight="false" outlineLevel="0" collapsed="false">
      <c r="O455" s="3" t="n">
        <v>453</v>
      </c>
      <c r="P455" s="3" t="str">
        <f aca="false">Raw_Data!A453&amp;"|"&amp;Raw_Data!B453&amp;"|"&amp;Raw_Data!C453&amp;"|"&amp;Raw_Data!D453&amp;"|"&amp;Raw_Data!E453&amp;"|"&amp;Raw_Data!F453&amp;"|"&amp;Raw_Data!G453&amp;"|"&amp;Raw_Data!H453&amp;"|"&amp;Raw_Data!I453&amp;"|"&amp;Raw_Data!J453&amp;"|"&amp;Raw_Data!K453&amp;"|"&amp;Raw_Data!L453&amp;"|"&amp;Raw_Data!M453&amp;"|"&amp;Raw_Data!N453&amp;"|"&amp;Raw_Data!O453&amp;"|"&amp;Raw_Data!P453&amp;"|"&amp;Raw_Data!Q453&amp;"|"&amp;Raw_Data!R453&amp;"|"&amp;Raw_Data!S453&amp;"|"&amp;Raw_Data!T453&amp;"|"&amp;Raw_Data!U453&amp;"|"&amp;Raw_Data!V453&amp;"|"&amp;Raw_Data!W453&amp;"|"&amp;Raw_Data!X453&amp;"|"&amp;Raw_Data!Y453&amp;"|"&amp;Raw_Data!Z453&amp;"|"&amp;Raw_Data!AA453&amp;"|"&amp;Raw_Data!AB453&amp;"|"&amp;Raw_Data!AC453&amp;"|"&amp;Raw_Data!AD453&amp;"|"&amp;Raw_Data!AE453&amp;"|"&amp;Raw_Data!AF453&amp;"|"&amp;Raw_Data!AG453&amp;"|"&amp;Raw_Data!AH453&amp;"|"&amp;Raw_Data!AI453&amp;"|"&amp;Raw_Data!AJ453&amp;"|"&amp;Raw_Data!AK453&amp;"|"&amp;Raw_Data!AL453&amp;"|"&amp;Raw_Data!AM453&amp;"|"&amp;Raw_Data!AN453&amp;"|"&amp;Raw_Data!AO453</f>
        <v>0|3|1|1|2|2|1|3|3|24|3|2|4|3|4|3|4|4|3|5|4|2|4|4|3|4|4|2|2|2|4|2|4|3|3|4|3|5|3|3|4</v>
      </c>
      <c r="Q455" s="3" t="n">
        <f aca="false">COUNTIF($P$4:$P$513,P455)</f>
        <v>1</v>
      </c>
    </row>
    <row r="456" customFormat="false" ht="15" hidden="false" customHeight="false" outlineLevel="0" collapsed="false">
      <c r="O456" s="3" t="n">
        <v>454</v>
      </c>
      <c r="P456" s="3" t="str">
        <f aca="false">Raw_Data!A454&amp;"|"&amp;Raw_Data!B454&amp;"|"&amp;Raw_Data!C454&amp;"|"&amp;Raw_Data!D454&amp;"|"&amp;Raw_Data!E454&amp;"|"&amp;Raw_Data!F454&amp;"|"&amp;Raw_Data!G454&amp;"|"&amp;Raw_Data!H454&amp;"|"&amp;Raw_Data!I454&amp;"|"&amp;Raw_Data!J454&amp;"|"&amp;Raw_Data!K454&amp;"|"&amp;Raw_Data!L454&amp;"|"&amp;Raw_Data!M454&amp;"|"&amp;Raw_Data!N454&amp;"|"&amp;Raw_Data!O454&amp;"|"&amp;Raw_Data!P454&amp;"|"&amp;Raw_Data!Q454&amp;"|"&amp;Raw_Data!R454&amp;"|"&amp;Raw_Data!S454&amp;"|"&amp;Raw_Data!T454&amp;"|"&amp;Raw_Data!U454&amp;"|"&amp;Raw_Data!V454&amp;"|"&amp;Raw_Data!W454&amp;"|"&amp;Raw_Data!X454&amp;"|"&amp;Raw_Data!Y454&amp;"|"&amp;Raw_Data!Z454&amp;"|"&amp;Raw_Data!AA454&amp;"|"&amp;Raw_Data!AB454&amp;"|"&amp;Raw_Data!AC454&amp;"|"&amp;Raw_Data!AD454&amp;"|"&amp;Raw_Data!AE454&amp;"|"&amp;Raw_Data!AF454&amp;"|"&amp;Raw_Data!AG454&amp;"|"&amp;Raw_Data!AH454&amp;"|"&amp;Raw_Data!AI454&amp;"|"&amp;Raw_Data!AJ454&amp;"|"&amp;Raw_Data!AK454&amp;"|"&amp;Raw_Data!AL454&amp;"|"&amp;Raw_Data!AM454&amp;"|"&amp;Raw_Data!AN454&amp;"|"&amp;Raw_Data!AO454</f>
        <v>0|3|2|2|2|2|1|3|1|22|4|4|4|3|4|2|2|2|4|5|5|4|5|4|2|4|1|2|2|2|4|2|2|4|2|5|4|4|4|4|2</v>
      </c>
      <c r="Q456" s="3" t="n">
        <f aca="false">COUNTIF($P$4:$P$513,P456)</f>
        <v>1</v>
      </c>
    </row>
    <row r="457" customFormat="false" ht="15" hidden="false" customHeight="false" outlineLevel="0" collapsed="false">
      <c r="O457" s="3" t="n">
        <v>455</v>
      </c>
      <c r="P457" s="3" t="str">
        <f aca="false">Raw_Data!A455&amp;"|"&amp;Raw_Data!B455&amp;"|"&amp;Raw_Data!C455&amp;"|"&amp;Raw_Data!D455&amp;"|"&amp;Raw_Data!E455&amp;"|"&amp;Raw_Data!F455&amp;"|"&amp;Raw_Data!G455&amp;"|"&amp;Raw_Data!H455&amp;"|"&amp;Raw_Data!I455&amp;"|"&amp;Raw_Data!J455&amp;"|"&amp;Raw_Data!K455&amp;"|"&amp;Raw_Data!L455&amp;"|"&amp;Raw_Data!M455&amp;"|"&amp;Raw_Data!N455&amp;"|"&amp;Raw_Data!O455&amp;"|"&amp;Raw_Data!P455&amp;"|"&amp;Raw_Data!Q455&amp;"|"&amp;Raw_Data!R455&amp;"|"&amp;Raw_Data!S455&amp;"|"&amp;Raw_Data!T455&amp;"|"&amp;Raw_Data!U455&amp;"|"&amp;Raw_Data!V455&amp;"|"&amp;Raw_Data!W455&amp;"|"&amp;Raw_Data!X455&amp;"|"&amp;Raw_Data!Y455&amp;"|"&amp;Raw_Data!Z455&amp;"|"&amp;Raw_Data!AA455&amp;"|"&amp;Raw_Data!AB455&amp;"|"&amp;Raw_Data!AC455&amp;"|"&amp;Raw_Data!AD455&amp;"|"&amp;Raw_Data!AE455&amp;"|"&amp;Raw_Data!AF455&amp;"|"&amp;Raw_Data!AG455&amp;"|"&amp;Raw_Data!AH455&amp;"|"&amp;Raw_Data!AI455&amp;"|"&amp;Raw_Data!AJ455&amp;"|"&amp;Raw_Data!AK455&amp;"|"&amp;Raw_Data!AL455&amp;"|"&amp;Raw_Data!AM455&amp;"|"&amp;Raw_Data!AN455&amp;"|"&amp;Raw_Data!AO455</f>
        <v>0|4|1|1|2|2|1|3|1|23|3|4|5|5|5|4|3|5|5|5|5|4|5|5|5|5|5|4|1|2|4|3|4|5|5|4|4|5|4|4|4</v>
      </c>
      <c r="Q457" s="3" t="n">
        <f aca="false">COUNTIF($P$4:$P$513,P457)</f>
        <v>1</v>
      </c>
    </row>
    <row r="458" customFormat="false" ht="15" hidden="false" customHeight="false" outlineLevel="0" collapsed="false">
      <c r="O458" s="3" t="n">
        <v>456</v>
      </c>
      <c r="P458" s="3" t="str">
        <f aca="false">Raw_Data!A456&amp;"|"&amp;Raw_Data!B456&amp;"|"&amp;Raw_Data!C456&amp;"|"&amp;Raw_Data!D456&amp;"|"&amp;Raw_Data!E456&amp;"|"&amp;Raw_Data!F456&amp;"|"&amp;Raw_Data!G456&amp;"|"&amp;Raw_Data!H456&amp;"|"&amp;Raw_Data!I456&amp;"|"&amp;Raw_Data!J456&amp;"|"&amp;Raw_Data!K456&amp;"|"&amp;Raw_Data!L456&amp;"|"&amp;Raw_Data!M456&amp;"|"&amp;Raw_Data!N456&amp;"|"&amp;Raw_Data!O456&amp;"|"&amp;Raw_Data!P456&amp;"|"&amp;Raw_Data!Q456&amp;"|"&amp;Raw_Data!R456&amp;"|"&amp;Raw_Data!S456&amp;"|"&amp;Raw_Data!T456&amp;"|"&amp;Raw_Data!U456&amp;"|"&amp;Raw_Data!V456&amp;"|"&amp;Raw_Data!W456&amp;"|"&amp;Raw_Data!X456&amp;"|"&amp;Raw_Data!Y456&amp;"|"&amp;Raw_Data!Z456&amp;"|"&amp;Raw_Data!AA456&amp;"|"&amp;Raw_Data!AB456&amp;"|"&amp;Raw_Data!AC456&amp;"|"&amp;Raw_Data!AD456&amp;"|"&amp;Raw_Data!AE456&amp;"|"&amp;Raw_Data!AF456&amp;"|"&amp;Raw_Data!AG456&amp;"|"&amp;Raw_Data!AH456&amp;"|"&amp;Raw_Data!AI456&amp;"|"&amp;Raw_Data!AJ456&amp;"|"&amp;Raw_Data!AK456&amp;"|"&amp;Raw_Data!AL456&amp;"|"&amp;Raw_Data!AM456&amp;"|"&amp;Raw_Data!AN456&amp;"|"&amp;Raw_Data!AO456</f>
        <v>0|3|1|1|2|2|2|2|1|20|3|2|4|3|4|2|2|2|3|3|4|2|3|3|3|4|4|4|2|2|4|4|3|4|3|2|3|2|3|2|3</v>
      </c>
      <c r="Q458" s="3" t="n">
        <f aca="false">COUNTIF($P$4:$P$513,P458)</f>
        <v>1</v>
      </c>
    </row>
    <row r="459" customFormat="false" ht="15" hidden="false" customHeight="false" outlineLevel="0" collapsed="false">
      <c r="O459" s="3" t="n">
        <v>457</v>
      </c>
      <c r="P459" s="3" t="str">
        <f aca="false">Raw_Data!A457&amp;"|"&amp;Raw_Data!B457&amp;"|"&amp;Raw_Data!C457&amp;"|"&amp;Raw_Data!D457&amp;"|"&amp;Raw_Data!E457&amp;"|"&amp;Raw_Data!F457&amp;"|"&amp;Raw_Data!G457&amp;"|"&amp;Raw_Data!H457&amp;"|"&amp;Raw_Data!I457&amp;"|"&amp;Raw_Data!J457&amp;"|"&amp;Raw_Data!K457&amp;"|"&amp;Raw_Data!L457&amp;"|"&amp;Raw_Data!M457&amp;"|"&amp;Raw_Data!N457&amp;"|"&amp;Raw_Data!O457&amp;"|"&amp;Raw_Data!P457&amp;"|"&amp;Raw_Data!Q457&amp;"|"&amp;Raw_Data!R457&amp;"|"&amp;Raw_Data!S457&amp;"|"&amp;Raw_Data!T457&amp;"|"&amp;Raw_Data!U457&amp;"|"&amp;Raw_Data!V457&amp;"|"&amp;Raw_Data!W457&amp;"|"&amp;Raw_Data!X457&amp;"|"&amp;Raw_Data!Y457&amp;"|"&amp;Raw_Data!Z457&amp;"|"&amp;Raw_Data!AA457&amp;"|"&amp;Raw_Data!AB457&amp;"|"&amp;Raw_Data!AC457&amp;"|"&amp;Raw_Data!AD457&amp;"|"&amp;Raw_Data!AE457&amp;"|"&amp;Raw_Data!AF457&amp;"|"&amp;Raw_Data!AG457&amp;"|"&amp;Raw_Data!AH457&amp;"|"&amp;Raw_Data!AI457&amp;"|"&amp;Raw_Data!AJ457&amp;"|"&amp;Raw_Data!AK457&amp;"|"&amp;Raw_Data!AL457&amp;"|"&amp;Raw_Data!AM457&amp;"|"&amp;Raw_Data!AN457&amp;"|"&amp;Raw_Data!AO457</f>
        <v>1|3|2|1|2|2|2|2|1|23|3|3|4|4|3|3|4|2|4|5|5|5|4|4|4|5|2|4|1|2|3|2|2|4|4|4|4|4|4|3|3</v>
      </c>
      <c r="Q459" s="3" t="n">
        <f aca="false">COUNTIF($P$4:$P$513,P459)</f>
        <v>1</v>
      </c>
    </row>
    <row r="460" customFormat="false" ht="15" hidden="false" customHeight="false" outlineLevel="0" collapsed="false">
      <c r="O460" s="3" t="n">
        <v>458</v>
      </c>
      <c r="P460" s="3" t="str">
        <f aca="false">Raw_Data!A458&amp;"|"&amp;Raw_Data!B458&amp;"|"&amp;Raw_Data!C458&amp;"|"&amp;Raw_Data!D458&amp;"|"&amp;Raw_Data!E458&amp;"|"&amp;Raw_Data!F458&amp;"|"&amp;Raw_Data!G458&amp;"|"&amp;Raw_Data!H458&amp;"|"&amp;Raw_Data!I458&amp;"|"&amp;Raw_Data!J458&amp;"|"&amp;Raw_Data!K458&amp;"|"&amp;Raw_Data!L458&amp;"|"&amp;Raw_Data!M458&amp;"|"&amp;Raw_Data!N458&amp;"|"&amp;Raw_Data!O458&amp;"|"&amp;Raw_Data!P458&amp;"|"&amp;Raw_Data!Q458&amp;"|"&amp;Raw_Data!R458&amp;"|"&amp;Raw_Data!S458&amp;"|"&amp;Raw_Data!T458&amp;"|"&amp;Raw_Data!U458&amp;"|"&amp;Raw_Data!V458&amp;"|"&amp;Raw_Data!W458&amp;"|"&amp;Raw_Data!X458&amp;"|"&amp;Raw_Data!Y458&amp;"|"&amp;Raw_Data!Z458&amp;"|"&amp;Raw_Data!AA458&amp;"|"&amp;Raw_Data!AB458&amp;"|"&amp;Raw_Data!AC458&amp;"|"&amp;Raw_Data!AD458&amp;"|"&amp;Raw_Data!AE458&amp;"|"&amp;Raw_Data!AF458&amp;"|"&amp;Raw_Data!AG458&amp;"|"&amp;Raw_Data!AH458&amp;"|"&amp;Raw_Data!AI458&amp;"|"&amp;Raw_Data!AJ458&amp;"|"&amp;Raw_Data!AK458&amp;"|"&amp;Raw_Data!AL458&amp;"|"&amp;Raw_Data!AM458&amp;"|"&amp;Raw_Data!AN458&amp;"|"&amp;Raw_Data!AO458</f>
        <v>0|1|2|2|2|2|1|2|1|22|5|4|5|4|5|1|1|2|5|4|4|4|4|3|3|5|3|2|1|1|3|4|4|3|5|4|1|4|4|2|2</v>
      </c>
      <c r="Q460" s="3" t="n">
        <f aca="false">COUNTIF($P$4:$P$513,P460)</f>
        <v>1</v>
      </c>
    </row>
    <row r="461" customFormat="false" ht="15" hidden="false" customHeight="false" outlineLevel="0" collapsed="false">
      <c r="O461" s="3" t="n">
        <v>459</v>
      </c>
      <c r="P461" s="3" t="str">
        <f aca="false">Raw_Data!A459&amp;"|"&amp;Raw_Data!B459&amp;"|"&amp;Raw_Data!C459&amp;"|"&amp;Raw_Data!D459&amp;"|"&amp;Raw_Data!E459&amp;"|"&amp;Raw_Data!F459&amp;"|"&amp;Raw_Data!G459&amp;"|"&amp;Raw_Data!H459&amp;"|"&amp;Raw_Data!I459&amp;"|"&amp;Raw_Data!J459&amp;"|"&amp;Raw_Data!K459&amp;"|"&amp;Raw_Data!L459&amp;"|"&amp;Raw_Data!M459&amp;"|"&amp;Raw_Data!N459&amp;"|"&amp;Raw_Data!O459&amp;"|"&amp;Raw_Data!P459&amp;"|"&amp;Raw_Data!Q459&amp;"|"&amp;Raw_Data!R459&amp;"|"&amp;Raw_Data!S459&amp;"|"&amp;Raw_Data!T459&amp;"|"&amp;Raw_Data!U459&amp;"|"&amp;Raw_Data!V459&amp;"|"&amp;Raw_Data!W459&amp;"|"&amp;Raw_Data!X459&amp;"|"&amp;Raw_Data!Y459&amp;"|"&amp;Raw_Data!Z459&amp;"|"&amp;Raw_Data!AA459&amp;"|"&amp;Raw_Data!AB459&amp;"|"&amp;Raw_Data!AC459&amp;"|"&amp;Raw_Data!AD459&amp;"|"&amp;Raw_Data!AE459&amp;"|"&amp;Raw_Data!AF459&amp;"|"&amp;Raw_Data!AG459&amp;"|"&amp;Raw_Data!AH459&amp;"|"&amp;Raw_Data!AI459&amp;"|"&amp;Raw_Data!AJ459&amp;"|"&amp;Raw_Data!AK459&amp;"|"&amp;Raw_Data!AL459&amp;"|"&amp;Raw_Data!AM459&amp;"|"&amp;Raw_Data!AN459&amp;"|"&amp;Raw_Data!AO459</f>
        <v>1|3|1|1|2|2|1|3|1|22|4|3|4|3|3|4|3|3|3|4|3|3|1|4|4|4|4|4|4|4|4|4|4|4|4|3|4|4|3|1|4</v>
      </c>
      <c r="Q461" s="3" t="n">
        <f aca="false">COUNTIF($P$4:$P$513,P461)</f>
        <v>1</v>
      </c>
    </row>
    <row r="462" customFormat="false" ht="15" hidden="false" customHeight="false" outlineLevel="0" collapsed="false">
      <c r="O462" s="3" t="n">
        <v>460</v>
      </c>
      <c r="P462" s="3" t="str">
        <f aca="false">Raw_Data!A460&amp;"|"&amp;Raw_Data!B460&amp;"|"&amp;Raw_Data!C460&amp;"|"&amp;Raw_Data!D460&amp;"|"&amp;Raw_Data!E460&amp;"|"&amp;Raw_Data!F460&amp;"|"&amp;Raw_Data!G460&amp;"|"&amp;Raw_Data!H460&amp;"|"&amp;Raw_Data!I460&amp;"|"&amp;Raw_Data!J460&amp;"|"&amp;Raw_Data!K460&amp;"|"&amp;Raw_Data!L460&amp;"|"&amp;Raw_Data!M460&amp;"|"&amp;Raw_Data!N460&amp;"|"&amp;Raw_Data!O460&amp;"|"&amp;Raw_Data!P460&amp;"|"&amp;Raw_Data!Q460&amp;"|"&amp;Raw_Data!R460&amp;"|"&amp;Raw_Data!S460&amp;"|"&amp;Raw_Data!T460&amp;"|"&amp;Raw_Data!U460&amp;"|"&amp;Raw_Data!V460&amp;"|"&amp;Raw_Data!W460&amp;"|"&amp;Raw_Data!X460&amp;"|"&amp;Raw_Data!Y460&amp;"|"&amp;Raw_Data!Z460&amp;"|"&amp;Raw_Data!AA460&amp;"|"&amp;Raw_Data!AB460&amp;"|"&amp;Raw_Data!AC460&amp;"|"&amp;Raw_Data!AD460&amp;"|"&amp;Raw_Data!AE460&amp;"|"&amp;Raw_Data!AF460&amp;"|"&amp;Raw_Data!AG460&amp;"|"&amp;Raw_Data!AH460&amp;"|"&amp;Raw_Data!AI460&amp;"|"&amp;Raw_Data!AJ460&amp;"|"&amp;Raw_Data!AK460&amp;"|"&amp;Raw_Data!AL460&amp;"|"&amp;Raw_Data!AM460&amp;"|"&amp;Raw_Data!AN460&amp;"|"&amp;Raw_Data!AO460</f>
        <v>1|3|1|1|2|2|2|2|1|23|3|4|4|3|4|4|4|2|4|4|4|4|4|4|4|4|4|3|3|3|4|2|4|4|4|5|4|4|3|3|3</v>
      </c>
      <c r="Q462" s="3" t="n">
        <f aca="false">COUNTIF($P$4:$P$513,P462)</f>
        <v>1</v>
      </c>
    </row>
    <row r="463" customFormat="false" ht="15" hidden="false" customHeight="false" outlineLevel="0" collapsed="false">
      <c r="O463" s="3" t="n">
        <v>461</v>
      </c>
      <c r="P463" s="3" t="str">
        <f aca="false">Raw_Data!A461&amp;"|"&amp;Raw_Data!B461&amp;"|"&amp;Raw_Data!C461&amp;"|"&amp;Raw_Data!D461&amp;"|"&amp;Raw_Data!E461&amp;"|"&amp;Raw_Data!F461&amp;"|"&amp;Raw_Data!G461&amp;"|"&amp;Raw_Data!H461&amp;"|"&amp;Raw_Data!I461&amp;"|"&amp;Raw_Data!J461&amp;"|"&amp;Raw_Data!K461&amp;"|"&amp;Raw_Data!L461&amp;"|"&amp;Raw_Data!M461&amp;"|"&amp;Raw_Data!N461&amp;"|"&amp;Raw_Data!O461&amp;"|"&amp;Raw_Data!P461&amp;"|"&amp;Raw_Data!Q461&amp;"|"&amp;Raw_Data!R461&amp;"|"&amp;Raw_Data!S461&amp;"|"&amp;Raw_Data!T461&amp;"|"&amp;Raw_Data!U461&amp;"|"&amp;Raw_Data!V461&amp;"|"&amp;Raw_Data!W461&amp;"|"&amp;Raw_Data!X461&amp;"|"&amp;Raw_Data!Y461&amp;"|"&amp;Raw_Data!Z461&amp;"|"&amp;Raw_Data!AA461&amp;"|"&amp;Raw_Data!AB461&amp;"|"&amp;Raw_Data!AC461&amp;"|"&amp;Raw_Data!AD461&amp;"|"&amp;Raw_Data!AE461&amp;"|"&amp;Raw_Data!AF461&amp;"|"&amp;Raw_Data!AG461&amp;"|"&amp;Raw_Data!AH461&amp;"|"&amp;Raw_Data!AI461&amp;"|"&amp;Raw_Data!AJ461&amp;"|"&amp;Raw_Data!AK461&amp;"|"&amp;Raw_Data!AL461&amp;"|"&amp;Raw_Data!AM461&amp;"|"&amp;Raw_Data!AN461&amp;"|"&amp;Raw_Data!AO461</f>
        <v>0|6|2|2|2|2|1|3|3|26|4|4|4|4|4|3|4|3|5|5|4|3|4|3|4|4|4|3|3|3|4|4|3|5|4|5|3|3|4|4|3</v>
      </c>
      <c r="Q463" s="3" t="n">
        <f aca="false">COUNTIF($P$4:$P$513,P463)</f>
        <v>1</v>
      </c>
    </row>
    <row r="464" customFormat="false" ht="15" hidden="false" customHeight="false" outlineLevel="0" collapsed="false">
      <c r="O464" s="3" t="n">
        <v>462</v>
      </c>
      <c r="P464" s="3" t="str">
        <f aca="false">Raw_Data!A462&amp;"|"&amp;Raw_Data!B462&amp;"|"&amp;Raw_Data!C462&amp;"|"&amp;Raw_Data!D462&amp;"|"&amp;Raw_Data!E462&amp;"|"&amp;Raw_Data!F462&amp;"|"&amp;Raw_Data!G462&amp;"|"&amp;Raw_Data!H462&amp;"|"&amp;Raw_Data!I462&amp;"|"&amp;Raw_Data!J462&amp;"|"&amp;Raw_Data!K462&amp;"|"&amp;Raw_Data!L462&amp;"|"&amp;Raw_Data!M462&amp;"|"&amp;Raw_Data!N462&amp;"|"&amp;Raw_Data!O462&amp;"|"&amp;Raw_Data!P462&amp;"|"&amp;Raw_Data!Q462&amp;"|"&amp;Raw_Data!R462&amp;"|"&amp;Raw_Data!S462&amp;"|"&amp;Raw_Data!T462&amp;"|"&amp;Raw_Data!U462&amp;"|"&amp;Raw_Data!V462&amp;"|"&amp;Raw_Data!W462&amp;"|"&amp;Raw_Data!X462&amp;"|"&amp;Raw_Data!Y462&amp;"|"&amp;Raw_Data!Z462&amp;"|"&amp;Raw_Data!AA462&amp;"|"&amp;Raw_Data!AB462&amp;"|"&amp;Raw_Data!AC462&amp;"|"&amp;Raw_Data!AD462&amp;"|"&amp;Raw_Data!AE462&amp;"|"&amp;Raw_Data!AF462&amp;"|"&amp;Raw_Data!AG462&amp;"|"&amp;Raw_Data!AH462&amp;"|"&amp;Raw_Data!AI462&amp;"|"&amp;Raw_Data!AJ462&amp;"|"&amp;Raw_Data!AK462&amp;"|"&amp;Raw_Data!AL462&amp;"|"&amp;Raw_Data!AM462&amp;"|"&amp;Raw_Data!AN462&amp;"|"&amp;Raw_Data!AO462</f>
        <v>0|3|2|1|2|2|2|2|3|25|4|4|4|3|4|4|3|3|4|5|4|4|4|3|4|4|3|4|1|1|4|5|4|3|3|3|2|4|4|4|2</v>
      </c>
      <c r="Q464" s="3" t="n">
        <f aca="false">COUNTIF($P$4:$P$513,P464)</f>
        <v>1</v>
      </c>
    </row>
    <row r="465" customFormat="false" ht="15" hidden="false" customHeight="false" outlineLevel="0" collapsed="false">
      <c r="O465" s="3" t="n">
        <v>463</v>
      </c>
      <c r="P465" s="3" t="str">
        <f aca="false">Raw_Data!A463&amp;"|"&amp;Raw_Data!B463&amp;"|"&amp;Raw_Data!C463&amp;"|"&amp;Raw_Data!D463&amp;"|"&amp;Raw_Data!E463&amp;"|"&amp;Raw_Data!F463&amp;"|"&amp;Raw_Data!G463&amp;"|"&amp;Raw_Data!H463&amp;"|"&amp;Raw_Data!I463&amp;"|"&amp;Raw_Data!J463&amp;"|"&amp;Raw_Data!K463&amp;"|"&amp;Raw_Data!L463&amp;"|"&amp;Raw_Data!M463&amp;"|"&amp;Raw_Data!N463&amp;"|"&amp;Raw_Data!O463&amp;"|"&amp;Raw_Data!P463&amp;"|"&amp;Raw_Data!Q463&amp;"|"&amp;Raw_Data!R463&amp;"|"&amp;Raw_Data!S463&amp;"|"&amp;Raw_Data!T463&amp;"|"&amp;Raw_Data!U463&amp;"|"&amp;Raw_Data!V463&amp;"|"&amp;Raw_Data!W463&amp;"|"&amp;Raw_Data!X463&amp;"|"&amp;Raw_Data!Y463&amp;"|"&amp;Raw_Data!Z463&amp;"|"&amp;Raw_Data!AA463&amp;"|"&amp;Raw_Data!AB463&amp;"|"&amp;Raw_Data!AC463&amp;"|"&amp;Raw_Data!AD463&amp;"|"&amp;Raw_Data!AE463&amp;"|"&amp;Raw_Data!AF463&amp;"|"&amp;Raw_Data!AG463&amp;"|"&amp;Raw_Data!AH463&amp;"|"&amp;Raw_Data!AI463&amp;"|"&amp;Raw_Data!AJ463&amp;"|"&amp;Raw_Data!AK463&amp;"|"&amp;Raw_Data!AL463&amp;"|"&amp;Raw_Data!AM463&amp;"|"&amp;Raw_Data!AN463&amp;"|"&amp;Raw_Data!AO463</f>
        <v>0|3|2|2|2|2|1|2|1|20|3|4|4|4|3|3|2|3|4|5|4|4|4|4|4|4|3|3|2|2|4|3|4|4|5|4|2|4|4|2|3</v>
      </c>
      <c r="Q465" s="3" t="n">
        <f aca="false">COUNTIF($P$4:$P$513,P465)</f>
        <v>1</v>
      </c>
    </row>
    <row r="466" customFormat="false" ht="15" hidden="false" customHeight="false" outlineLevel="0" collapsed="false">
      <c r="O466" s="3" t="n">
        <v>464</v>
      </c>
      <c r="P466" s="3" t="str">
        <f aca="false">Raw_Data!A464&amp;"|"&amp;Raw_Data!B464&amp;"|"&amp;Raw_Data!C464&amp;"|"&amp;Raw_Data!D464&amp;"|"&amp;Raw_Data!E464&amp;"|"&amp;Raw_Data!F464&amp;"|"&amp;Raw_Data!G464&amp;"|"&amp;Raw_Data!H464&amp;"|"&amp;Raw_Data!I464&amp;"|"&amp;Raw_Data!J464&amp;"|"&amp;Raw_Data!K464&amp;"|"&amp;Raw_Data!L464&amp;"|"&amp;Raw_Data!M464&amp;"|"&amp;Raw_Data!N464&amp;"|"&amp;Raw_Data!O464&amp;"|"&amp;Raw_Data!P464&amp;"|"&amp;Raw_Data!Q464&amp;"|"&amp;Raw_Data!R464&amp;"|"&amp;Raw_Data!S464&amp;"|"&amp;Raw_Data!T464&amp;"|"&amp;Raw_Data!U464&amp;"|"&amp;Raw_Data!V464&amp;"|"&amp;Raw_Data!W464&amp;"|"&amp;Raw_Data!X464&amp;"|"&amp;Raw_Data!Y464&amp;"|"&amp;Raw_Data!Z464&amp;"|"&amp;Raw_Data!AA464&amp;"|"&amp;Raw_Data!AB464&amp;"|"&amp;Raw_Data!AC464&amp;"|"&amp;Raw_Data!AD464&amp;"|"&amp;Raw_Data!AE464&amp;"|"&amp;Raw_Data!AF464&amp;"|"&amp;Raw_Data!AG464&amp;"|"&amp;Raw_Data!AH464&amp;"|"&amp;Raw_Data!AI464&amp;"|"&amp;Raw_Data!AJ464&amp;"|"&amp;Raw_Data!AK464&amp;"|"&amp;Raw_Data!AL464&amp;"|"&amp;Raw_Data!AM464&amp;"|"&amp;Raw_Data!AN464&amp;"|"&amp;Raw_Data!AO464</f>
        <v>0|2|2|1|2|2|3|3|1|21|4|3|4|3|4|4|4|3|5|4|4|4|4|3|3|4|4|3|2|3|4|3|4|3|3|3|4|5|3|4|4</v>
      </c>
      <c r="Q466" s="3" t="n">
        <f aca="false">COUNTIF($P$4:$P$513,P466)</f>
        <v>1</v>
      </c>
    </row>
    <row r="467" customFormat="false" ht="15" hidden="false" customHeight="false" outlineLevel="0" collapsed="false">
      <c r="O467" s="3" t="n">
        <v>465</v>
      </c>
      <c r="P467" s="3" t="str">
        <f aca="false">Raw_Data!A465&amp;"|"&amp;Raw_Data!B465&amp;"|"&amp;Raw_Data!C465&amp;"|"&amp;Raw_Data!D465&amp;"|"&amp;Raw_Data!E465&amp;"|"&amp;Raw_Data!F465&amp;"|"&amp;Raw_Data!G465&amp;"|"&amp;Raw_Data!H465&amp;"|"&amp;Raw_Data!I465&amp;"|"&amp;Raw_Data!J465&amp;"|"&amp;Raw_Data!K465&amp;"|"&amp;Raw_Data!L465&amp;"|"&amp;Raw_Data!M465&amp;"|"&amp;Raw_Data!N465&amp;"|"&amp;Raw_Data!O465&amp;"|"&amp;Raw_Data!P465&amp;"|"&amp;Raw_Data!Q465&amp;"|"&amp;Raw_Data!R465&amp;"|"&amp;Raw_Data!S465&amp;"|"&amp;Raw_Data!T465&amp;"|"&amp;Raw_Data!U465&amp;"|"&amp;Raw_Data!V465&amp;"|"&amp;Raw_Data!W465&amp;"|"&amp;Raw_Data!X465&amp;"|"&amp;Raw_Data!Y465&amp;"|"&amp;Raw_Data!Z465&amp;"|"&amp;Raw_Data!AA465&amp;"|"&amp;Raw_Data!AB465&amp;"|"&amp;Raw_Data!AC465&amp;"|"&amp;Raw_Data!AD465&amp;"|"&amp;Raw_Data!AE465&amp;"|"&amp;Raw_Data!AF465&amp;"|"&amp;Raw_Data!AG465&amp;"|"&amp;Raw_Data!AH465&amp;"|"&amp;Raw_Data!AI465&amp;"|"&amp;Raw_Data!AJ465&amp;"|"&amp;Raw_Data!AK465&amp;"|"&amp;Raw_Data!AL465&amp;"|"&amp;Raw_Data!AM465&amp;"|"&amp;Raw_Data!AN465&amp;"|"&amp;Raw_Data!AO465</f>
        <v>1|3|1|1|2|2|3|1|1|22|4|4|2|4|4|4|3|2|3|5|4|4|4|3|4|4|4|2|2|2|3|3|4|4|4|4|3|4|2|3|2</v>
      </c>
      <c r="Q467" s="3" t="n">
        <f aca="false">COUNTIF($P$4:$P$513,P467)</f>
        <v>1</v>
      </c>
    </row>
    <row r="468" customFormat="false" ht="15" hidden="false" customHeight="false" outlineLevel="0" collapsed="false">
      <c r="O468" s="3" t="n">
        <v>466</v>
      </c>
      <c r="P468" s="3" t="str">
        <f aca="false">Raw_Data!A466&amp;"|"&amp;Raw_Data!B466&amp;"|"&amp;Raw_Data!C466&amp;"|"&amp;Raw_Data!D466&amp;"|"&amp;Raw_Data!E466&amp;"|"&amp;Raw_Data!F466&amp;"|"&amp;Raw_Data!G466&amp;"|"&amp;Raw_Data!H466&amp;"|"&amp;Raw_Data!I466&amp;"|"&amp;Raw_Data!J466&amp;"|"&amp;Raw_Data!K466&amp;"|"&amp;Raw_Data!L466&amp;"|"&amp;Raw_Data!M466&amp;"|"&amp;Raw_Data!N466&amp;"|"&amp;Raw_Data!O466&amp;"|"&amp;Raw_Data!P466&amp;"|"&amp;Raw_Data!Q466&amp;"|"&amp;Raw_Data!R466&amp;"|"&amp;Raw_Data!S466&amp;"|"&amp;Raw_Data!T466&amp;"|"&amp;Raw_Data!U466&amp;"|"&amp;Raw_Data!V466&amp;"|"&amp;Raw_Data!W466&amp;"|"&amp;Raw_Data!X466&amp;"|"&amp;Raw_Data!Y466&amp;"|"&amp;Raw_Data!Z466&amp;"|"&amp;Raw_Data!AA466&amp;"|"&amp;Raw_Data!AB466&amp;"|"&amp;Raw_Data!AC466&amp;"|"&amp;Raw_Data!AD466&amp;"|"&amp;Raw_Data!AE466&amp;"|"&amp;Raw_Data!AF466&amp;"|"&amp;Raw_Data!AG466&amp;"|"&amp;Raw_Data!AH466&amp;"|"&amp;Raw_Data!AI466&amp;"|"&amp;Raw_Data!AJ466&amp;"|"&amp;Raw_Data!AK466&amp;"|"&amp;Raw_Data!AL466&amp;"|"&amp;Raw_Data!AM466&amp;"|"&amp;Raw_Data!AN466&amp;"|"&amp;Raw_Data!AO466</f>
        <v>0|3|1|1|2|2|1|2|3|22|3|2|5|4|4|4|4|3|5|5|5|3|4|4|4|5|4|3|2|2|4|4|3|5|5|4|2|3|3|4|3</v>
      </c>
      <c r="Q468" s="3" t="n">
        <f aca="false">COUNTIF($P$4:$P$513,P468)</f>
        <v>1</v>
      </c>
    </row>
    <row r="469" customFormat="false" ht="15" hidden="false" customHeight="false" outlineLevel="0" collapsed="false">
      <c r="O469" s="3" t="n">
        <v>467</v>
      </c>
      <c r="P469" s="3" t="str">
        <f aca="false">Raw_Data!A467&amp;"|"&amp;Raw_Data!B467&amp;"|"&amp;Raw_Data!C467&amp;"|"&amp;Raw_Data!D467&amp;"|"&amp;Raw_Data!E467&amp;"|"&amp;Raw_Data!F467&amp;"|"&amp;Raw_Data!G467&amp;"|"&amp;Raw_Data!H467&amp;"|"&amp;Raw_Data!I467&amp;"|"&amp;Raw_Data!J467&amp;"|"&amp;Raw_Data!K467&amp;"|"&amp;Raw_Data!L467&amp;"|"&amp;Raw_Data!M467&amp;"|"&amp;Raw_Data!N467&amp;"|"&amp;Raw_Data!O467&amp;"|"&amp;Raw_Data!P467&amp;"|"&amp;Raw_Data!Q467&amp;"|"&amp;Raw_Data!R467&amp;"|"&amp;Raw_Data!S467&amp;"|"&amp;Raw_Data!T467&amp;"|"&amp;Raw_Data!U467&amp;"|"&amp;Raw_Data!V467&amp;"|"&amp;Raw_Data!W467&amp;"|"&amp;Raw_Data!X467&amp;"|"&amp;Raw_Data!Y467&amp;"|"&amp;Raw_Data!Z467&amp;"|"&amp;Raw_Data!AA467&amp;"|"&amp;Raw_Data!AB467&amp;"|"&amp;Raw_Data!AC467&amp;"|"&amp;Raw_Data!AD467&amp;"|"&amp;Raw_Data!AE467&amp;"|"&amp;Raw_Data!AF467&amp;"|"&amp;Raw_Data!AG467&amp;"|"&amp;Raw_Data!AH467&amp;"|"&amp;Raw_Data!AI467&amp;"|"&amp;Raw_Data!AJ467&amp;"|"&amp;Raw_Data!AK467&amp;"|"&amp;Raw_Data!AL467&amp;"|"&amp;Raw_Data!AM467&amp;"|"&amp;Raw_Data!AN467&amp;"|"&amp;Raw_Data!AO467</f>
        <v>0|6|2|2|2|2|3|2|1|21|4|2|1|4|2|1|1|3|5|5|5|5|5|3|4|5|3|2|2|3|3|5|5|3|3|4|1|4|3|2|4</v>
      </c>
      <c r="Q469" s="3" t="n">
        <f aca="false">COUNTIF($P$4:$P$513,P469)</f>
        <v>1</v>
      </c>
    </row>
    <row r="470" customFormat="false" ht="15" hidden="false" customHeight="false" outlineLevel="0" collapsed="false">
      <c r="O470" s="3" t="n">
        <v>468</v>
      </c>
      <c r="P470" s="3" t="str">
        <f aca="false">Raw_Data!A468&amp;"|"&amp;Raw_Data!B468&amp;"|"&amp;Raw_Data!C468&amp;"|"&amp;Raw_Data!D468&amp;"|"&amp;Raw_Data!E468&amp;"|"&amp;Raw_Data!F468&amp;"|"&amp;Raw_Data!G468&amp;"|"&amp;Raw_Data!H468&amp;"|"&amp;Raw_Data!I468&amp;"|"&amp;Raw_Data!J468&amp;"|"&amp;Raw_Data!K468&amp;"|"&amp;Raw_Data!L468&amp;"|"&amp;Raw_Data!M468&amp;"|"&amp;Raw_Data!N468&amp;"|"&amp;Raw_Data!O468&amp;"|"&amp;Raw_Data!P468&amp;"|"&amp;Raw_Data!Q468&amp;"|"&amp;Raw_Data!R468&amp;"|"&amp;Raw_Data!S468&amp;"|"&amp;Raw_Data!T468&amp;"|"&amp;Raw_Data!U468&amp;"|"&amp;Raw_Data!V468&amp;"|"&amp;Raw_Data!W468&amp;"|"&amp;Raw_Data!X468&amp;"|"&amp;Raw_Data!Y468&amp;"|"&amp;Raw_Data!Z468&amp;"|"&amp;Raw_Data!AA468&amp;"|"&amp;Raw_Data!AB468&amp;"|"&amp;Raw_Data!AC468&amp;"|"&amp;Raw_Data!AD468&amp;"|"&amp;Raw_Data!AE468&amp;"|"&amp;Raw_Data!AF468&amp;"|"&amp;Raw_Data!AG468&amp;"|"&amp;Raw_Data!AH468&amp;"|"&amp;Raw_Data!AI468&amp;"|"&amp;Raw_Data!AJ468&amp;"|"&amp;Raw_Data!AK468&amp;"|"&amp;Raw_Data!AL468&amp;"|"&amp;Raw_Data!AM468&amp;"|"&amp;Raw_Data!AN468&amp;"|"&amp;Raw_Data!AO468</f>
        <v>0|1|2|1|2|2|2|1|1|22|3|4|3|4|4|3|4|3|4|5|5|3|4|4|4|3|4|3|3|3|4|3|3|3|4|4|3|3|3|3|3</v>
      </c>
      <c r="Q470" s="3" t="n">
        <f aca="false">COUNTIF($P$4:$P$513,P470)</f>
        <v>1</v>
      </c>
    </row>
    <row r="471" customFormat="false" ht="15" hidden="false" customHeight="false" outlineLevel="0" collapsed="false">
      <c r="O471" s="3" t="n">
        <v>469</v>
      </c>
      <c r="P471" s="3" t="str">
        <f aca="false">Raw_Data!A469&amp;"|"&amp;Raw_Data!B469&amp;"|"&amp;Raw_Data!C469&amp;"|"&amp;Raw_Data!D469&amp;"|"&amp;Raw_Data!E469&amp;"|"&amp;Raw_Data!F469&amp;"|"&amp;Raw_Data!G469&amp;"|"&amp;Raw_Data!H469&amp;"|"&amp;Raw_Data!I469&amp;"|"&amp;Raw_Data!J469&amp;"|"&amp;Raw_Data!K469&amp;"|"&amp;Raw_Data!L469&amp;"|"&amp;Raw_Data!M469&amp;"|"&amp;Raw_Data!N469&amp;"|"&amp;Raw_Data!O469&amp;"|"&amp;Raw_Data!P469&amp;"|"&amp;Raw_Data!Q469&amp;"|"&amp;Raw_Data!R469&amp;"|"&amp;Raw_Data!S469&amp;"|"&amp;Raw_Data!T469&amp;"|"&amp;Raw_Data!U469&amp;"|"&amp;Raw_Data!V469&amp;"|"&amp;Raw_Data!W469&amp;"|"&amp;Raw_Data!X469&amp;"|"&amp;Raw_Data!Y469&amp;"|"&amp;Raw_Data!Z469&amp;"|"&amp;Raw_Data!AA469&amp;"|"&amp;Raw_Data!AB469&amp;"|"&amp;Raw_Data!AC469&amp;"|"&amp;Raw_Data!AD469&amp;"|"&amp;Raw_Data!AE469&amp;"|"&amp;Raw_Data!AF469&amp;"|"&amp;Raw_Data!AG469&amp;"|"&amp;Raw_Data!AH469&amp;"|"&amp;Raw_Data!AI469&amp;"|"&amp;Raw_Data!AJ469&amp;"|"&amp;Raw_Data!AK469&amp;"|"&amp;Raw_Data!AL469&amp;"|"&amp;Raw_Data!AM469&amp;"|"&amp;Raw_Data!AN469&amp;"|"&amp;Raw_Data!AO469</f>
        <v>0|1|2|1|2|2|1|3|3|29|3|4|5|4|4|2|5|3|5|3|5|4|3|4|4|4|5|5|4|4|4|4|3|4|4|5|3|4|1|4|4</v>
      </c>
      <c r="Q471" s="3" t="n">
        <f aca="false">COUNTIF($P$4:$P$513,P471)</f>
        <v>1</v>
      </c>
    </row>
    <row r="472" customFormat="false" ht="15" hidden="false" customHeight="false" outlineLevel="0" collapsed="false">
      <c r="O472" s="3" t="n">
        <v>470</v>
      </c>
      <c r="P472" s="3" t="str">
        <f aca="false">Raw_Data!A470&amp;"|"&amp;Raw_Data!B470&amp;"|"&amp;Raw_Data!C470&amp;"|"&amp;Raw_Data!D470&amp;"|"&amp;Raw_Data!E470&amp;"|"&amp;Raw_Data!F470&amp;"|"&amp;Raw_Data!G470&amp;"|"&amp;Raw_Data!H470&amp;"|"&amp;Raw_Data!I470&amp;"|"&amp;Raw_Data!J470&amp;"|"&amp;Raw_Data!K470&amp;"|"&amp;Raw_Data!L470&amp;"|"&amp;Raw_Data!M470&amp;"|"&amp;Raw_Data!N470&amp;"|"&amp;Raw_Data!O470&amp;"|"&amp;Raw_Data!P470&amp;"|"&amp;Raw_Data!Q470&amp;"|"&amp;Raw_Data!R470&amp;"|"&amp;Raw_Data!S470&amp;"|"&amp;Raw_Data!T470&amp;"|"&amp;Raw_Data!U470&amp;"|"&amp;Raw_Data!V470&amp;"|"&amp;Raw_Data!W470&amp;"|"&amp;Raw_Data!X470&amp;"|"&amp;Raw_Data!Y470&amp;"|"&amp;Raw_Data!Z470&amp;"|"&amp;Raw_Data!AA470&amp;"|"&amp;Raw_Data!AB470&amp;"|"&amp;Raw_Data!AC470&amp;"|"&amp;Raw_Data!AD470&amp;"|"&amp;Raw_Data!AE470&amp;"|"&amp;Raw_Data!AF470&amp;"|"&amp;Raw_Data!AG470&amp;"|"&amp;Raw_Data!AH470&amp;"|"&amp;Raw_Data!AI470&amp;"|"&amp;Raw_Data!AJ470&amp;"|"&amp;Raw_Data!AK470&amp;"|"&amp;Raw_Data!AL470&amp;"|"&amp;Raw_Data!AM470&amp;"|"&amp;Raw_Data!AN470&amp;"|"&amp;Raw_Data!AO470</f>
        <v>0|4|1|1|2|2|3|2|1|23|3|2|3|3|3|2|3|3|4|4|4|3|3|4|3|3|4|2|2|2|2|2|2|2|4|2|3|4|2|3|3</v>
      </c>
      <c r="Q472" s="3" t="n">
        <f aca="false">COUNTIF($P$4:$P$513,P472)</f>
        <v>1</v>
      </c>
    </row>
    <row r="473" customFormat="false" ht="15" hidden="false" customHeight="false" outlineLevel="0" collapsed="false">
      <c r="O473" s="3" t="n">
        <v>471</v>
      </c>
      <c r="P473" s="3" t="str">
        <f aca="false">Raw_Data!A471&amp;"|"&amp;Raw_Data!B471&amp;"|"&amp;Raw_Data!C471&amp;"|"&amp;Raw_Data!D471&amp;"|"&amp;Raw_Data!E471&amp;"|"&amp;Raw_Data!F471&amp;"|"&amp;Raw_Data!G471&amp;"|"&amp;Raw_Data!H471&amp;"|"&amp;Raw_Data!I471&amp;"|"&amp;Raw_Data!J471&amp;"|"&amp;Raw_Data!K471&amp;"|"&amp;Raw_Data!L471&amp;"|"&amp;Raw_Data!M471&amp;"|"&amp;Raw_Data!N471&amp;"|"&amp;Raw_Data!O471&amp;"|"&amp;Raw_Data!P471&amp;"|"&amp;Raw_Data!Q471&amp;"|"&amp;Raw_Data!R471&amp;"|"&amp;Raw_Data!S471&amp;"|"&amp;Raw_Data!T471&amp;"|"&amp;Raw_Data!U471&amp;"|"&amp;Raw_Data!V471&amp;"|"&amp;Raw_Data!W471&amp;"|"&amp;Raw_Data!X471&amp;"|"&amp;Raw_Data!Y471&amp;"|"&amp;Raw_Data!Z471&amp;"|"&amp;Raw_Data!AA471&amp;"|"&amp;Raw_Data!AB471&amp;"|"&amp;Raw_Data!AC471&amp;"|"&amp;Raw_Data!AD471&amp;"|"&amp;Raw_Data!AE471&amp;"|"&amp;Raw_Data!AF471&amp;"|"&amp;Raw_Data!AG471&amp;"|"&amp;Raw_Data!AH471&amp;"|"&amp;Raw_Data!AI471&amp;"|"&amp;Raw_Data!AJ471&amp;"|"&amp;Raw_Data!AK471&amp;"|"&amp;Raw_Data!AL471&amp;"|"&amp;Raw_Data!AM471&amp;"|"&amp;Raw_Data!AN471&amp;"|"&amp;Raw_Data!AO471</f>
        <v>1|3|1|1|2|2|3|2|1|21|4|2|3|4|1|4|4|2|5|5|5|4|5|4|5|5|3|1|1|1|3|3|3|5|5|3|3|5|3|2|4</v>
      </c>
      <c r="Q473" s="3" t="n">
        <f aca="false">COUNTIF($P$4:$P$513,P473)</f>
        <v>1</v>
      </c>
    </row>
    <row r="474" customFormat="false" ht="15" hidden="false" customHeight="false" outlineLevel="0" collapsed="false">
      <c r="O474" s="3" t="n">
        <v>472</v>
      </c>
      <c r="P474" s="3" t="str">
        <f aca="false">Raw_Data!A472&amp;"|"&amp;Raw_Data!B472&amp;"|"&amp;Raw_Data!C472&amp;"|"&amp;Raw_Data!D472&amp;"|"&amp;Raw_Data!E472&amp;"|"&amp;Raw_Data!F472&amp;"|"&amp;Raw_Data!G472&amp;"|"&amp;Raw_Data!H472&amp;"|"&amp;Raw_Data!I472&amp;"|"&amp;Raw_Data!J472&amp;"|"&amp;Raw_Data!K472&amp;"|"&amp;Raw_Data!L472&amp;"|"&amp;Raw_Data!M472&amp;"|"&amp;Raw_Data!N472&amp;"|"&amp;Raw_Data!O472&amp;"|"&amp;Raw_Data!P472&amp;"|"&amp;Raw_Data!Q472&amp;"|"&amp;Raw_Data!R472&amp;"|"&amp;Raw_Data!S472&amp;"|"&amp;Raw_Data!T472&amp;"|"&amp;Raw_Data!U472&amp;"|"&amp;Raw_Data!V472&amp;"|"&amp;Raw_Data!W472&amp;"|"&amp;Raw_Data!X472&amp;"|"&amp;Raw_Data!Y472&amp;"|"&amp;Raw_Data!Z472&amp;"|"&amp;Raw_Data!AA472&amp;"|"&amp;Raw_Data!AB472&amp;"|"&amp;Raw_Data!AC472&amp;"|"&amp;Raw_Data!AD472&amp;"|"&amp;Raw_Data!AE472&amp;"|"&amp;Raw_Data!AF472&amp;"|"&amp;Raw_Data!AG472&amp;"|"&amp;Raw_Data!AH472&amp;"|"&amp;Raw_Data!AI472&amp;"|"&amp;Raw_Data!AJ472&amp;"|"&amp;Raw_Data!AK472&amp;"|"&amp;Raw_Data!AL472&amp;"|"&amp;Raw_Data!AM472&amp;"|"&amp;Raw_Data!AN472&amp;"|"&amp;Raw_Data!AO472</f>
        <v>0|4|1|1|2|2|3|2|1|21|4|4|5|4|3|2|5|3|4|5|5|4|4|4|4|4|4|4|3|3|4|4|3|4|4|4|4|4|3|4|3</v>
      </c>
      <c r="Q474" s="3" t="n">
        <f aca="false">COUNTIF($P$4:$P$513,P474)</f>
        <v>1</v>
      </c>
    </row>
    <row r="475" customFormat="false" ht="15" hidden="false" customHeight="false" outlineLevel="0" collapsed="false">
      <c r="O475" s="3" t="n">
        <v>473</v>
      </c>
      <c r="P475" s="3" t="str">
        <f aca="false">Raw_Data!A473&amp;"|"&amp;Raw_Data!B473&amp;"|"&amp;Raw_Data!C473&amp;"|"&amp;Raw_Data!D473&amp;"|"&amp;Raw_Data!E473&amp;"|"&amp;Raw_Data!F473&amp;"|"&amp;Raw_Data!G473&amp;"|"&amp;Raw_Data!H473&amp;"|"&amp;Raw_Data!I473&amp;"|"&amp;Raw_Data!J473&amp;"|"&amp;Raw_Data!K473&amp;"|"&amp;Raw_Data!L473&amp;"|"&amp;Raw_Data!M473&amp;"|"&amp;Raw_Data!N473&amp;"|"&amp;Raw_Data!O473&amp;"|"&amp;Raw_Data!P473&amp;"|"&amp;Raw_Data!Q473&amp;"|"&amp;Raw_Data!R473&amp;"|"&amp;Raw_Data!S473&amp;"|"&amp;Raw_Data!T473&amp;"|"&amp;Raw_Data!U473&amp;"|"&amp;Raw_Data!V473&amp;"|"&amp;Raw_Data!W473&amp;"|"&amp;Raw_Data!X473&amp;"|"&amp;Raw_Data!Y473&amp;"|"&amp;Raw_Data!Z473&amp;"|"&amp;Raw_Data!AA473&amp;"|"&amp;Raw_Data!AB473&amp;"|"&amp;Raw_Data!AC473&amp;"|"&amp;Raw_Data!AD473&amp;"|"&amp;Raw_Data!AE473&amp;"|"&amp;Raw_Data!AF473&amp;"|"&amp;Raw_Data!AG473&amp;"|"&amp;Raw_Data!AH473&amp;"|"&amp;Raw_Data!AI473&amp;"|"&amp;Raw_Data!AJ473&amp;"|"&amp;Raw_Data!AK473&amp;"|"&amp;Raw_Data!AL473&amp;"|"&amp;Raw_Data!AM473&amp;"|"&amp;Raw_Data!AN473&amp;"|"&amp;Raw_Data!AO473</f>
        <v>0|3|1|1|1|2|4|2|1|20|2|3|4|3|4|4|3|4|3|4|4|2|3|3|4|3|2|4|4|3|3|4|3|3|5|3|2|3|2|3|4</v>
      </c>
      <c r="Q475" s="3" t="n">
        <f aca="false">COUNTIF($P$4:$P$513,P475)</f>
        <v>1</v>
      </c>
    </row>
    <row r="476" customFormat="false" ht="15" hidden="false" customHeight="false" outlineLevel="0" collapsed="false">
      <c r="O476" s="3" t="n">
        <v>474</v>
      </c>
      <c r="P476" s="3" t="str">
        <f aca="false">Raw_Data!A474&amp;"|"&amp;Raw_Data!B474&amp;"|"&amp;Raw_Data!C474&amp;"|"&amp;Raw_Data!D474&amp;"|"&amp;Raw_Data!E474&amp;"|"&amp;Raw_Data!F474&amp;"|"&amp;Raw_Data!G474&amp;"|"&amp;Raw_Data!H474&amp;"|"&amp;Raw_Data!I474&amp;"|"&amp;Raw_Data!J474&amp;"|"&amp;Raw_Data!K474&amp;"|"&amp;Raw_Data!L474&amp;"|"&amp;Raw_Data!M474&amp;"|"&amp;Raw_Data!N474&amp;"|"&amp;Raw_Data!O474&amp;"|"&amp;Raw_Data!P474&amp;"|"&amp;Raw_Data!Q474&amp;"|"&amp;Raw_Data!R474&amp;"|"&amp;Raw_Data!S474&amp;"|"&amp;Raw_Data!T474&amp;"|"&amp;Raw_Data!U474&amp;"|"&amp;Raw_Data!V474&amp;"|"&amp;Raw_Data!W474&amp;"|"&amp;Raw_Data!X474&amp;"|"&amp;Raw_Data!Y474&amp;"|"&amp;Raw_Data!Z474&amp;"|"&amp;Raw_Data!AA474&amp;"|"&amp;Raw_Data!AB474&amp;"|"&amp;Raw_Data!AC474&amp;"|"&amp;Raw_Data!AD474&amp;"|"&amp;Raw_Data!AE474&amp;"|"&amp;Raw_Data!AF474&amp;"|"&amp;Raw_Data!AG474&amp;"|"&amp;Raw_Data!AH474&amp;"|"&amp;Raw_Data!AI474&amp;"|"&amp;Raw_Data!AJ474&amp;"|"&amp;Raw_Data!AK474&amp;"|"&amp;Raw_Data!AL474&amp;"|"&amp;Raw_Data!AM474&amp;"|"&amp;Raw_Data!AN474&amp;"|"&amp;Raw_Data!AO474</f>
        <v>0|4|1|1|2|2|4|2|3|24|4|2|4|4|2|2|3|3|5|5|4|3|4|5|2|4|4|2|2|1|4|5|5|4|4|5|3|4|3|4|3</v>
      </c>
      <c r="Q476" s="3" t="n">
        <f aca="false">COUNTIF($P$4:$P$513,P476)</f>
        <v>1</v>
      </c>
    </row>
    <row r="477" customFormat="false" ht="15" hidden="false" customHeight="false" outlineLevel="0" collapsed="false">
      <c r="O477" s="3" t="n">
        <v>475</v>
      </c>
      <c r="P477" s="3" t="str">
        <f aca="false">Raw_Data!A475&amp;"|"&amp;Raw_Data!B475&amp;"|"&amp;Raw_Data!C475&amp;"|"&amp;Raw_Data!D475&amp;"|"&amp;Raw_Data!E475&amp;"|"&amp;Raw_Data!F475&amp;"|"&amp;Raw_Data!G475&amp;"|"&amp;Raw_Data!H475&amp;"|"&amp;Raw_Data!I475&amp;"|"&amp;Raw_Data!J475&amp;"|"&amp;Raw_Data!K475&amp;"|"&amp;Raw_Data!L475&amp;"|"&amp;Raw_Data!M475&amp;"|"&amp;Raw_Data!N475&amp;"|"&amp;Raw_Data!O475&amp;"|"&amp;Raw_Data!P475&amp;"|"&amp;Raw_Data!Q475&amp;"|"&amp;Raw_Data!R475&amp;"|"&amp;Raw_Data!S475&amp;"|"&amp;Raw_Data!T475&amp;"|"&amp;Raw_Data!U475&amp;"|"&amp;Raw_Data!V475&amp;"|"&amp;Raw_Data!W475&amp;"|"&amp;Raw_Data!X475&amp;"|"&amp;Raw_Data!Y475&amp;"|"&amp;Raw_Data!Z475&amp;"|"&amp;Raw_Data!AA475&amp;"|"&amp;Raw_Data!AB475&amp;"|"&amp;Raw_Data!AC475&amp;"|"&amp;Raw_Data!AD475&amp;"|"&amp;Raw_Data!AE475&amp;"|"&amp;Raw_Data!AF475&amp;"|"&amp;Raw_Data!AG475&amp;"|"&amp;Raw_Data!AH475&amp;"|"&amp;Raw_Data!AI475&amp;"|"&amp;Raw_Data!AJ475&amp;"|"&amp;Raw_Data!AK475&amp;"|"&amp;Raw_Data!AL475&amp;"|"&amp;Raw_Data!AM475&amp;"|"&amp;Raw_Data!AN475&amp;"|"&amp;Raw_Data!AO475</f>
        <v>0|3|1|1|2|2|1|3|1|20|4|2|5|4|4|2|2|3|3|5|4|4|5|4|4|5|4|4|3|3|4|3|4|2|2|5|1|3|3|3|3</v>
      </c>
      <c r="Q477" s="3" t="n">
        <f aca="false">COUNTIF($P$4:$P$513,P477)</f>
        <v>1</v>
      </c>
    </row>
    <row r="478" customFormat="false" ht="15" hidden="false" customHeight="false" outlineLevel="0" collapsed="false">
      <c r="O478" s="3" t="n">
        <v>476</v>
      </c>
      <c r="P478" s="3" t="str">
        <f aca="false">Raw_Data!A476&amp;"|"&amp;Raw_Data!B476&amp;"|"&amp;Raw_Data!C476&amp;"|"&amp;Raw_Data!D476&amp;"|"&amp;Raw_Data!E476&amp;"|"&amp;Raw_Data!F476&amp;"|"&amp;Raw_Data!G476&amp;"|"&amp;Raw_Data!H476&amp;"|"&amp;Raw_Data!I476&amp;"|"&amp;Raw_Data!J476&amp;"|"&amp;Raw_Data!K476&amp;"|"&amp;Raw_Data!L476&amp;"|"&amp;Raw_Data!M476&amp;"|"&amp;Raw_Data!N476&amp;"|"&amp;Raw_Data!O476&amp;"|"&amp;Raw_Data!P476&amp;"|"&amp;Raw_Data!Q476&amp;"|"&amp;Raw_Data!R476&amp;"|"&amp;Raw_Data!S476&amp;"|"&amp;Raw_Data!T476&amp;"|"&amp;Raw_Data!U476&amp;"|"&amp;Raw_Data!V476&amp;"|"&amp;Raw_Data!W476&amp;"|"&amp;Raw_Data!X476&amp;"|"&amp;Raw_Data!Y476&amp;"|"&amp;Raw_Data!Z476&amp;"|"&amp;Raw_Data!AA476&amp;"|"&amp;Raw_Data!AB476&amp;"|"&amp;Raw_Data!AC476&amp;"|"&amp;Raw_Data!AD476&amp;"|"&amp;Raw_Data!AE476&amp;"|"&amp;Raw_Data!AF476&amp;"|"&amp;Raw_Data!AG476&amp;"|"&amp;Raw_Data!AH476&amp;"|"&amp;Raw_Data!AI476&amp;"|"&amp;Raw_Data!AJ476&amp;"|"&amp;Raw_Data!AK476&amp;"|"&amp;Raw_Data!AL476&amp;"|"&amp;Raw_Data!AM476&amp;"|"&amp;Raw_Data!AN476&amp;"|"&amp;Raw_Data!AO476</f>
        <v>0|3|1|2|2|2|3|1|1|21|3|2|4|3|4|2|3|2|4|4|4|4|4|4|4|2|2|2|1|2|3|3|3|3|4|4|1|4|3|3|2</v>
      </c>
      <c r="Q478" s="3" t="n">
        <f aca="false">COUNTIF($P$4:$P$513,P478)</f>
        <v>1</v>
      </c>
    </row>
    <row r="479" customFormat="false" ht="15" hidden="false" customHeight="false" outlineLevel="0" collapsed="false">
      <c r="O479" s="3" t="n">
        <v>477</v>
      </c>
      <c r="P479" s="3" t="str">
        <f aca="false">Raw_Data!A477&amp;"|"&amp;Raw_Data!B477&amp;"|"&amp;Raw_Data!C477&amp;"|"&amp;Raw_Data!D477&amp;"|"&amp;Raw_Data!E477&amp;"|"&amp;Raw_Data!F477&amp;"|"&amp;Raw_Data!G477&amp;"|"&amp;Raw_Data!H477&amp;"|"&amp;Raw_Data!I477&amp;"|"&amp;Raw_Data!J477&amp;"|"&amp;Raw_Data!K477&amp;"|"&amp;Raw_Data!L477&amp;"|"&amp;Raw_Data!M477&amp;"|"&amp;Raw_Data!N477&amp;"|"&amp;Raw_Data!O477&amp;"|"&amp;Raw_Data!P477&amp;"|"&amp;Raw_Data!Q477&amp;"|"&amp;Raw_Data!R477&amp;"|"&amp;Raw_Data!S477&amp;"|"&amp;Raw_Data!T477&amp;"|"&amp;Raw_Data!U477&amp;"|"&amp;Raw_Data!V477&amp;"|"&amp;Raw_Data!W477&amp;"|"&amp;Raw_Data!X477&amp;"|"&amp;Raw_Data!Y477&amp;"|"&amp;Raw_Data!Z477&amp;"|"&amp;Raw_Data!AA477&amp;"|"&amp;Raw_Data!AB477&amp;"|"&amp;Raw_Data!AC477&amp;"|"&amp;Raw_Data!AD477&amp;"|"&amp;Raw_Data!AE477&amp;"|"&amp;Raw_Data!AF477&amp;"|"&amp;Raw_Data!AG477&amp;"|"&amp;Raw_Data!AH477&amp;"|"&amp;Raw_Data!AI477&amp;"|"&amp;Raw_Data!AJ477&amp;"|"&amp;Raw_Data!AK477&amp;"|"&amp;Raw_Data!AL477&amp;"|"&amp;Raw_Data!AM477&amp;"|"&amp;Raw_Data!AN477&amp;"|"&amp;Raw_Data!AO477</f>
        <v>0|3|2|1|2|2|3|2|1|22|3|3|3|4|5|4|3|3|4|4|5|4|4|4|4|4|3|2|4|4|4|2|4|4|4|4|4|3|3|3|4</v>
      </c>
      <c r="Q479" s="3" t="n">
        <f aca="false">COUNTIF($P$4:$P$513,P479)</f>
        <v>1</v>
      </c>
    </row>
    <row r="480" customFormat="false" ht="15" hidden="false" customHeight="false" outlineLevel="0" collapsed="false">
      <c r="O480" s="3" t="n">
        <v>478</v>
      </c>
      <c r="P480" s="3" t="str">
        <f aca="false">Raw_Data!A478&amp;"|"&amp;Raw_Data!B478&amp;"|"&amp;Raw_Data!C478&amp;"|"&amp;Raw_Data!D478&amp;"|"&amp;Raw_Data!E478&amp;"|"&amp;Raw_Data!F478&amp;"|"&amp;Raw_Data!G478&amp;"|"&amp;Raw_Data!H478&amp;"|"&amp;Raw_Data!I478&amp;"|"&amp;Raw_Data!J478&amp;"|"&amp;Raw_Data!K478&amp;"|"&amp;Raw_Data!L478&amp;"|"&amp;Raw_Data!M478&amp;"|"&amp;Raw_Data!N478&amp;"|"&amp;Raw_Data!O478&amp;"|"&amp;Raw_Data!P478&amp;"|"&amp;Raw_Data!Q478&amp;"|"&amp;Raw_Data!R478&amp;"|"&amp;Raw_Data!S478&amp;"|"&amp;Raw_Data!T478&amp;"|"&amp;Raw_Data!U478&amp;"|"&amp;Raw_Data!V478&amp;"|"&amp;Raw_Data!W478&amp;"|"&amp;Raw_Data!X478&amp;"|"&amp;Raw_Data!Y478&amp;"|"&amp;Raw_Data!Z478&amp;"|"&amp;Raw_Data!AA478&amp;"|"&amp;Raw_Data!AB478&amp;"|"&amp;Raw_Data!AC478&amp;"|"&amp;Raw_Data!AD478&amp;"|"&amp;Raw_Data!AE478&amp;"|"&amp;Raw_Data!AF478&amp;"|"&amp;Raw_Data!AG478&amp;"|"&amp;Raw_Data!AH478&amp;"|"&amp;Raw_Data!AI478&amp;"|"&amp;Raw_Data!AJ478&amp;"|"&amp;Raw_Data!AK478&amp;"|"&amp;Raw_Data!AL478&amp;"|"&amp;Raw_Data!AM478&amp;"|"&amp;Raw_Data!AN478&amp;"|"&amp;Raw_Data!AO478</f>
        <v>0|3|2|1|2|2|1|2|1|22|4|3|3|4|4|2|3|3|4|4|5|3|3|3|3|4|3|3|2|3|4|3|4|4|3|4|3|3|4|4|3</v>
      </c>
      <c r="Q480" s="3" t="n">
        <f aca="false">COUNTIF($P$4:$P$513,P480)</f>
        <v>1</v>
      </c>
    </row>
    <row r="481" customFormat="false" ht="15" hidden="false" customHeight="false" outlineLevel="0" collapsed="false">
      <c r="O481" s="3" t="n">
        <v>479</v>
      </c>
      <c r="P481" s="3" t="str">
        <f aca="false">Raw_Data!A479&amp;"|"&amp;Raw_Data!B479&amp;"|"&amp;Raw_Data!C479&amp;"|"&amp;Raw_Data!D479&amp;"|"&amp;Raw_Data!E479&amp;"|"&amp;Raw_Data!F479&amp;"|"&amp;Raw_Data!G479&amp;"|"&amp;Raw_Data!H479&amp;"|"&amp;Raw_Data!I479&amp;"|"&amp;Raw_Data!J479&amp;"|"&amp;Raw_Data!K479&amp;"|"&amp;Raw_Data!L479&amp;"|"&amp;Raw_Data!M479&amp;"|"&amp;Raw_Data!N479&amp;"|"&amp;Raw_Data!O479&amp;"|"&amp;Raw_Data!P479&amp;"|"&amp;Raw_Data!Q479&amp;"|"&amp;Raw_Data!R479&amp;"|"&amp;Raw_Data!S479&amp;"|"&amp;Raw_Data!T479&amp;"|"&amp;Raw_Data!U479&amp;"|"&amp;Raw_Data!V479&amp;"|"&amp;Raw_Data!W479&amp;"|"&amp;Raw_Data!X479&amp;"|"&amp;Raw_Data!Y479&amp;"|"&amp;Raw_Data!Z479&amp;"|"&amp;Raw_Data!AA479&amp;"|"&amp;Raw_Data!AB479&amp;"|"&amp;Raw_Data!AC479&amp;"|"&amp;Raw_Data!AD479&amp;"|"&amp;Raw_Data!AE479&amp;"|"&amp;Raw_Data!AF479&amp;"|"&amp;Raw_Data!AG479&amp;"|"&amp;Raw_Data!AH479&amp;"|"&amp;Raw_Data!AI479&amp;"|"&amp;Raw_Data!AJ479&amp;"|"&amp;Raw_Data!AK479&amp;"|"&amp;Raw_Data!AL479&amp;"|"&amp;Raw_Data!AM479&amp;"|"&amp;Raw_Data!AN479&amp;"|"&amp;Raw_Data!AO479</f>
        <v>0|3|1|2|2|2|1|2|2|22|4|3|3|4|4|3|4|3|4|4|4|4|4|4|4|4|3|2|3|2|3|3|3|4|4|4|3|3|3|3|3</v>
      </c>
      <c r="Q481" s="3" t="n">
        <f aca="false">COUNTIF($P$4:$P$513,P481)</f>
        <v>1</v>
      </c>
    </row>
    <row r="482" customFormat="false" ht="15" hidden="false" customHeight="false" outlineLevel="0" collapsed="false">
      <c r="O482" s="3" t="n">
        <v>480</v>
      </c>
      <c r="P482" s="3" t="str">
        <f aca="false">Raw_Data!A480&amp;"|"&amp;Raw_Data!B480&amp;"|"&amp;Raw_Data!C480&amp;"|"&amp;Raw_Data!D480&amp;"|"&amp;Raw_Data!E480&amp;"|"&amp;Raw_Data!F480&amp;"|"&amp;Raw_Data!G480&amp;"|"&amp;Raw_Data!H480&amp;"|"&amp;Raw_Data!I480&amp;"|"&amp;Raw_Data!J480&amp;"|"&amp;Raw_Data!K480&amp;"|"&amp;Raw_Data!L480&amp;"|"&amp;Raw_Data!M480&amp;"|"&amp;Raw_Data!N480&amp;"|"&amp;Raw_Data!O480&amp;"|"&amp;Raw_Data!P480&amp;"|"&amp;Raw_Data!Q480&amp;"|"&amp;Raw_Data!R480&amp;"|"&amp;Raw_Data!S480&amp;"|"&amp;Raw_Data!T480&amp;"|"&amp;Raw_Data!U480&amp;"|"&amp;Raw_Data!V480&amp;"|"&amp;Raw_Data!W480&amp;"|"&amp;Raw_Data!X480&amp;"|"&amp;Raw_Data!Y480&amp;"|"&amp;Raw_Data!Z480&amp;"|"&amp;Raw_Data!AA480&amp;"|"&amp;Raw_Data!AB480&amp;"|"&amp;Raw_Data!AC480&amp;"|"&amp;Raw_Data!AD480&amp;"|"&amp;Raw_Data!AE480&amp;"|"&amp;Raw_Data!AF480&amp;"|"&amp;Raw_Data!AG480&amp;"|"&amp;Raw_Data!AH480&amp;"|"&amp;Raw_Data!AI480&amp;"|"&amp;Raw_Data!AJ480&amp;"|"&amp;Raw_Data!AK480&amp;"|"&amp;Raw_Data!AL480&amp;"|"&amp;Raw_Data!AM480&amp;"|"&amp;Raw_Data!AN480&amp;"|"&amp;Raw_Data!AO480</f>
        <v>0|4|1|1|1|2|3|3|1|23|2|4|4|4|4|3|3|2|5|4|4|3|4|4|3|4|4|1|2|2|4|3|4|3|2|4|1|4|4|3|2</v>
      </c>
      <c r="Q482" s="3" t="n">
        <f aca="false">COUNTIF($P$4:$P$513,P482)</f>
        <v>1</v>
      </c>
    </row>
    <row r="483" customFormat="false" ht="15" hidden="false" customHeight="false" outlineLevel="0" collapsed="false">
      <c r="O483" s="3" t="n">
        <v>481</v>
      </c>
      <c r="P483" s="3" t="str">
        <f aca="false">Raw_Data!A481&amp;"|"&amp;Raw_Data!B481&amp;"|"&amp;Raw_Data!C481&amp;"|"&amp;Raw_Data!D481&amp;"|"&amp;Raw_Data!E481&amp;"|"&amp;Raw_Data!F481&amp;"|"&amp;Raw_Data!G481&amp;"|"&amp;Raw_Data!H481&amp;"|"&amp;Raw_Data!I481&amp;"|"&amp;Raw_Data!J481&amp;"|"&amp;Raw_Data!K481&amp;"|"&amp;Raw_Data!L481&amp;"|"&amp;Raw_Data!M481&amp;"|"&amp;Raw_Data!N481&amp;"|"&amp;Raw_Data!O481&amp;"|"&amp;Raw_Data!P481&amp;"|"&amp;Raw_Data!Q481&amp;"|"&amp;Raw_Data!R481&amp;"|"&amp;Raw_Data!S481&amp;"|"&amp;Raw_Data!T481&amp;"|"&amp;Raw_Data!U481&amp;"|"&amp;Raw_Data!V481&amp;"|"&amp;Raw_Data!W481&amp;"|"&amp;Raw_Data!X481&amp;"|"&amp;Raw_Data!Y481&amp;"|"&amp;Raw_Data!Z481&amp;"|"&amp;Raw_Data!AA481&amp;"|"&amp;Raw_Data!AB481&amp;"|"&amp;Raw_Data!AC481&amp;"|"&amp;Raw_Data!AD481&amp;"|"&amp;Raw_Data!AE481&amp;"|"&amp;Raw_Data!AF481&amp;"|"&amp;Raw_Data!AG481&amp;"|"&amp;Raw_Data!AH481&amp;"|"&amp;Raw_Data!AI481&amp;"|"&amp;Raw_Data!AJ481&amp;"|"&amp;Raw_Data!AK481&amp;"|"&amp;Raw_Data!AL481&amp;"|"&amp;Raw_Data!AM481&amp;"|"&amp;Raw_Data!AN481&amp;"|"&amp;Raw_Data!AO481</f>
        <v>0|4|1|2|2|2|4|2|1|22|4|4|4|3|3|2|4|4|4|4|4|4|4|4|5|4|3|2|2|2|3|5|3|4|3|4|2|4|3|3|4</v>
      </c>
      <c r="Q483" s="3" t="n">
        <f aca="false">COUNTIF($P$4:$P$513,P483)</f>
        <v>1</v>
      </c>
    </row>
    <row r="484" customFormat="false" ht="15" hidden="false" customHeight="false" outlineLevel="0" collapsed="false">
      <c r="O484" s="3" t="n">
        <v>482</v>
      </c>
      <c r="P484" s="3" t="str">
        <f aca="false">Raw_Data!A482&amp;"|"&amp;Raw_Data!B482&amp;"|"&amp;Raw_Data!C482&amp;"|"&amp;Raw_Data!D482&amp;"|"&amp;Raw_Data!E482&amp;"|"&amp;Raw_Data!F482&amp;"|"&amp;Raw_Data!G482&amp;"|"&amp;Raw_Data!H482&amp;"|"&amp;Raw_Data!I482&amp;"|"&amp;Raw_Data!J482&amp;"|"&amp;Raw_Data!K482&amp;"|"&amp;Raw_Data!L482&amp;"|"&amp;Raw_Data!M482&amp;"|"&amp;Raw_Data!N482&amp;"|"&amp;Raw_Data!O482&amp;"|"&amp;Raw_Data!P482&amp;"|"&amp;Raw_Data!Q482&amp;"|"&amp;Raw_Data!R482&amp;"|"&amp;Raw_Data!S482&amp;"|"&amp;Raw_Data!T482&amp;"|"&amp;Raw_Data!U482&amp;"|"&amp;Raw_Data!V482&amp;"|"&amp;Raw_Data!W482&amp;"|"&amp;Raw_Data!X482&amp;"|"&amp;Raw_Data!Y482&amp;"|"&amp;Raw_Data!Z482&amp;"|"&amp;Raw_Data!AA482&amp;"|"&amp;Raw_Data!AB482&amp;"|"&amp;Raw_Data!AC482&amp;"|"&amp;Raw_Data!AD482&amp;"|"&amp;Raw_Data!AE482&amp;"|"&amp;Raw_Data!AF482&amp;"|"&amp;Raw_Data!AG482&amp;"|"&amp;Raw_Data!AH482&amp;"|"&amp;Raw_Data!AI482&amp;"|"&amp;Raw_Data!AJ482&amp;"|"&amp;Raw_Data!AK482&amp;"|"&amp;Raw_Data!AL482&amp;"|"&amp;Raw_Data!AM482&amp;"|"&amp;Raw_Data!AN482&amp;"|"&amp;Raw_Data!AO482</f>
        <v>1|3|1|1|2|2|3|1|1|22|4|2|5|3|4|4|2|2|4|4|4|2|5|5|4|5|5|4|2|4|4|3|4|4|2|5|4|5|5|2|4</v>
      </c>
      <c r="Q484" s="3" t="n">
        <f aca="false">COUNTIF($P$4:$P$513,P484)</f>
        <v>1</v>
      </c>
    </row>
    <row r="485" customFormat="false" ht="15" hidden="false" customHeight="false" outlineLevel="0" collapsed="false">
      <c r="O485" s="3" t="n">
        <v>483</v>
      </c>
      <c r="P485" s="3" t="str">
        <f aca="false">Raw_Data!A483&amp;"|"&amp;Raw_Data!B483&amp;"|"&amp;Raw_Data!C483&amp;"|"&amp;Raw_Data!D483&amp;"|"&amp;Raw_Data!E483&amp;"|"&amp;Raw_Data!F483&amp;"|"&amp;Raw_Data!G483&amp;"|"&amp;Raw_Data!H483&amp;"|"&amp;Raw_Data!I483&amp;"|"&amp;Raw_Data!J483&amp;"|"&amp;Raw_Data!K483&amp;"|"&amp;Raw_Data!L483&amp;"|"&amp;Raw_Data!M483&amp;"|"&amp;Raw_Data!N483&amp;"|"&amp;Raw_Data!O483&amp;"|"&amp;Raw_Data!P483&amp;"|"&amp;Raw_Data!Q483&amp;"|"&amp;Raw_Data!R483&amp;"|"&amp;Raw_Data!S483&amp;"|"&amp;Raw_Data!T483&amp;"|"&amp;Raw_Data!U483&amp;"|"&amp;Raw_Data!V483&amp;"|"&amp;Raw_Data!W483&amp;"|"&amp;Raw_Data!X483&amp;"|"&amp;Raw_Data!Y483&amp;"|"&amp;Raw_Data!Z483&amp;"|"&amp;Raw_Data!AA483&amp;"|"&amp;Raw_Data!AB483&amp;"|"&amp;Raw_Data!AC483&amp;"|"&amp;Raw_Data!AD483&amp;"|"&amp;Raw_Data!AE483&amp;"|"&amp;Raw_Data!AF483&amp;"|"&amp;Raw_Data!AG483&amp;"|"&amp;Raw_Data!AH483&amp;"|"&amp;Raw_Data!AI483&amp;"|"&amp;Raw_Data!AJ483&amp;"|"&amp;Raw_Data!AK483&amp;"|"&amp;Raw_Data!AL483&amp;"|"&amp;Raw_Data!AM483&amp;"|"&amp;Raw_Data!AN483&amp;"|"&amp;Raw_Data!AO483</f>
        <v>0|1|2|1|2|2|4|1|1|23|3|3|2|4|3|2|2|2|5|5|5|4|4|4|3|4|2|2|2|2|4|3|4|4|4|4|3|4|4|2|4</v>
      </c>
      <c r="Q485" s="3" t="n">
        <f aca="false">COUNTIF($P$4:$P$513,P485)</f>
        <v>1</v>
      </c>
    </row>
    <row r="486" customFormat="false" ht="15" hidden="false" customHeight="false" outlineLevel="0" collapsed="false">
      <c r="O486" s="3" t="n">
        <v>484</v>
      </c>
      <c r="P486" s="3" t="str">
        <f aca="false">Raw_Data!A484&amp;"|"&amp;Raw_Data!B484&amp;"|"&amp;Raw_Data!C484&amp;"|"&amp;Raw_Data!D484&amp;"|"&amp;Raw_Data!E484&amp;"|"&amp;Raw_Data!F484&amp;"|"&amp;Raw_Data!G484&amp;"|"&amp;Raw_Data!H484&amp;"|"&amp;Raw_Data!I484&amp;"|"&amp;Raw_Data!J484&amp;"|"&amp;Raw_Data!K484&amp;"|"&amp;Raw_Data!L484&amp;"|"&amp;Raw_Data!M484&amp;"|"&amp;Raw_Data!N484&amp;"|"&amp;Raw_Data!O484&amp;"|"&amp;Raw_Data!P484&amp;"|"&amp;Raw_Data!Q484&amp;"|"&amp;Raw_Data!R484&amp;"|"&amp;Raw_Data!S484&amp;"|"&amp;Raw_Data!T484&amp;"|"&amp;Raw_Data!U484&amp;"|"&amp;Raw_Data!V484&amp;"|"&amp;Raw_Data!W484&amp;"|"&amp;Raw_Data!X484&amp;"|"&amp;Raw_Data!Y484&amp;"|"&amp;Raw_Data!Z484&amp;"|"&amp;Raw_Data!AA484&amp;"|"&amp;Raw_Data!AB484&amp;"|"&amp;Raw_Data!AC484&amp;"|"&amp;Raw_Data!AD484&amp;"|"&amp;Raw_Data!AE484&amp;"|"&amp;Raw_Data!AF484&amp;"|"&amp;Raw_Data!AG484&amp;"|"&amp;Raw_Data!AH484&amp;"|"&amp;Raw_Data!AI484&amp;"|"&amp;Raw_Data!AJ484&amp;"|"&amp;Raw_Data!AK484&amp;"|"&amp;Raw_Data!AL484&amp;"|"&amp;Raw_Data!AM484&amp;"|"&amp;Raw_Data!AN484&amp;"|"&amp;Raw_Data!AO484</f>
        <v>0|1|1|1|2|2|2|2|3|26|5|3|4|5|3|5|2|3|1|4|4|4|4|4|4|5|5|3|1|2|3|4|4|3|2|5|5|5|4|3|4</v>
      </c>
      <c r="Q486" s="3" t="n">
        <f aca="false">COUNTIF($P$4:$P$513,P486)</f>
        <v>1</v>
      </c>
    </row>
    <row r="487" customFormat="false" ht="15" hidden="false" customHeight="false" outlineLevel="0" collapsed="false">
      <c r="O487" s="3" t="n">
        <v>485</v>
      </c>
      <c r="P487" s="3" t="str">
        <f aca="false">Raw_Data!A485&amp;"|"&amp;Raw_Data!B485&amp;"|"&amp;Raw_Data!C485&amp;"|"&amp;Raw_Data!D485&amp;"|"&amp;Raw_Data!E485&amp;"|"&amp;Raw_Data!F485&amp;"|"&amp;Raw_Data!G485&amp;"|"&amp;Raw_Data!H485&amp;"|"&amp;Raw_Data!I485&amp;"|"&amp;Raw_Data!J485&amp;"|"&amp;Raw_Data!K485&amp;"|"&amp;Raw_Data!L485&amp;"|"&amp;Raw_Data!M485&amp;"|"&amp;Raw_Data!N485&amp;"|"&amp;Raw_Data!O485&amp;"|"&amp;Raw_Data!P485&amp;"|"&amp;Raw_Data!Q485&amp;"|"&amp;Raw_Data!R485&amp;"|"&amp;Raw_Data!S485&amp;"|"&amp;Raw_Data!T485&amp;"|"&amp;Raw_Data!U485&amp;"|"&amp;Raw_Data!V485&amp;"|"&amp;Raw_Data!W485&amp;"|"&amp;Raw_Data!X485&amp;"|"&amp;Raw_Data!Y485&amp;"|"&amp;Raw_Data!Z485&amp;"|"&amp;Raw_Data!AA485&amp;"|"&amp;Raw_Data!AB485&amp;"|"&amp;Raw_Data!AC485&amp;"|"&amp;Raw_Data!AD485&amp;"|"&amp;Raw_Data!AE485&amp;"|"&amp;Raw_Data!AF485&amp;"|"&amp;Raw_Data!AG485&amp;"|"&amp;Raw_Data!AH485&amp;"|"&amp;Raw_Data!AI485&amp;"|"&amp;Raw_Data!AJ485&amp;"|"&amp;Raw_Data!AK485&amp;"|"&amp;Raw_Data!AL485&amp;"|"&amp;Raw_Data!AM485&amp;"|"&amp;Raw_Data!AN485&amp;"|"&amp;Raw_Data!AO485</f>
        <v>0|6|1|1|2|2|2|3|1|23|2|4|4|3|3|2|3|3|4|4|4|4|4|4|3|4|4|4|1|1|4|3|5|3|4|5|2|4|5|4|4</v>
      </c>
      <c r="Q487" s="3" t="n">
        <f aca="false">COUNTIF($P$4:$P$513,P487)</f>
        <v>1</v>
      </c>
    </row>
    <row r="488" customFormat="false" ht="15" hidden="false" customHeight="false" outlineLevel="0" collapsed="false">
      <c r="O488" s="3" t="n">
        <v>486</v>
      </c>
      <c r="P488" s="3" t="str">
        <f aca="false">Raw_Data!A486&amp;"|"&amp;Raw_Data!B486&amp;"|"&amp;Raw_Data!C486&amp;"|"&amp;Raw_Data!D486&amp;"|"&amp;Raw_Data!E486&amp;"|"&amp;Raw_Data!F486&amp;"|"&amp;Raw_Data!G486&amp;"|"&amp;Raw_Data!H486&amp;"|"&amp;Raw_Data!I486&amp;"|"&amp;Raw_Data!J486&amp;"|"&amp;Raw_Data!K486&amp;"|"&amp;Raw_Data!L486&amp;"|"&amp;Raw_Data!M486&amp;"|"&amp;Raw_Data!N486&amp;"|"&amp;Raw_Data!O486&amp;"|"&amp;Raw_Data!P486&amp;"|"&amp;Raw_Data!Q486&amp;"|"&amp;Raw_Data!R486&amp;"|"&amp;Raw_Data!S486&amp;"|"&amp;Raw_Data!T486&amp;"|"&amp;Raw_Data!U486&amp;"|"&amp;Raw_Data!V486&amp;"|"&amp;Raw_Data!W486&amp;"|"&amp;Raw_Data!X486&amp;"|"&amp;Raw_Data!Y486&amp;"|"&amp;Raw_Data!Z486&amp;"|"&amp;Raw_Data!AA486&amp;"|"&amp;Raw_Data!AB486&amp;"|"&amp;Raw_Data!AC486&amp;"|"&amp;Raw_Data!AD486&amp;"|"&amp;Raw_Data!AE486&amp;"|"&amp;Raw_Data!AF486&amp;"|"&amp;Raw_Data!AG486&amp;"|"&amp;Raw_Data!AH486&amp;"|"&amp;Raw_Data!AI486&amp;"|"&amp;Raw_Data!AJ486&amp;"|"&amp;Raw_Data!AK486&amp;"|"&amp;Raw_Data!AL486&amp;"|"&amp;Raw_Data!AM486&amp;"|"&amp;Raw_Data!AN486&amp;"|"&amp;Raw_Data!AO486</f>
        <v>0|4|1|2|2|2|1|3|1|22|4|3|4|4|2|2|4|2|4|5|5|4|5|5|4|4|2|2|2|2|3|2|4|4|4|4|2|4|3|2|3</v>
      </c>
      <c r="Q488" s="3" t="n">
        <f aca="false">COUNTIF($P$4:$P$513,P488)</f>
        <v>1</v>
      </c>
    </row>
    <row r="489" customFormat="false" ht="15" hidden="false" customHeight="false" outlineLevel="0" collapsed="false">
      <c r="O489" s="3" t="n">
        <v>487</v>
      </c>
      <c r="P489" s="3" t="str">
        <f aca="false">Raw_Data!A487&amp;"|"&amp;Raw_Data!B487&amp;"|"&amp;Raw_Data!C487&amp;"|"&amp;Raw_Data!D487&amp;"|"&amp;Raw_Data!E487&amp;"|"&amp;Raw_Data!F487&amp;"|"&amp;Raw_Data!G487&amp;"|"&amp;Raw_Data!H487&amp;"|"&amp;Raw_Data!I487&amp;"|"&amp;Raw_Data!J487&amp;"|"&amp;Raw_Data!K487&amp;"|"&amp;Raw_Data!L487&amp;"|"&amp;Raw_Data!M487&amp;"|"&amp;Raw_Data!N487&amp;"|"&amp;Raw_Data!O487&amp;"|"&amp;Raw_Data!P487&amp;"|"&amp;Raw_Data!Q487&amp;"|"&amp;Raw_Data!R487&amp;"|"&amp;Raw_Data!S487&amp;"|"&amp;Raw_Data!T487&amp;"|"&amp;Raw_Data!U487&amp;"|"&amp;Raw_Data!V487&amp;"|"&amp;Raw_Data!W487&amp;"|"&amp;Raw_Data!X487&amp;"|"&amp;Raw_Data!Y487&amp;"|"&amp;Raw_Data!Z487&amp;"|"&amp;Raw_Data!AA487&amp;"|"&amp;Raw_Data!AB487&amp;"|"&amp;Raw_Data!AC487&amp;"|"&amp;Raw_Data!AD487&amp;"|"&amp;Raw_Data!AE487&amp;"|"&amp;Raw_Data!AF487&amp;"|"&amp;Raw_Data!AG487&amp;"|"&amp;Raw_Data!AH487&amp;"|"&amp;Raw_Data!AI487&amp;"|"&amp;Raw_Data!AJ487&amp;"|"&amp;Raw_Data!AK487&amp;"|"&amp;Raw_Data!AL487&amp;"|"&amp;Raw_Data!AM487&amp;"|"&amp;Raw_Data!AN487&amp;"|"&amp;Raw_Data!AO487</f>
        <v>1|3|2|2|1|2|3|2|1|22|3|4|3|3|4|3|3|3|5|3|2|3|4|2|4|3|3|4|3|3|3|2|3|3|3|4|2|2|4|3|3</v>
      </c>
      <c r="Q489" s="3" t="n">
        <f aca="false">COUNTIF($P$4:$P$513,P489)</f>
        <v>1</v>
      </c>
    </row>
    <row r="490" customFormat="false" ht="15" hidden="false" customHeight="false" outlineLevel="0" collapsed="false">
      <c r="O490" s="3" t="n">
        <v>488</v>
      </c>
      <c r="P490" s="3" t="str">
        <f aca="false">Raw_Data!A488&amp;"|"&amp;Raw_Data!B488&amp;"|"&amp;Raw_Data!C488&amp;"|"&amp;Raw_Data!D488&amp;"|"&amp;Raw_Data!E488&amp;"|"&amp;Raw_Data!F488&amp;"|"&amp;Raw_Data!G488&amp;"|"&amp;Raw_Data!H488&amp;"|"&amp;Raw_Data!I488&amp;"|"&amp;Raw_Data!J488&amp;"|"&amp;Raw_Data!K488&amp;"|"&amp;Raw_Data!L488&amp;"|"&amp;Raw_Data!M488&amp;"|"&amp;Raw_Data!N488&amp;"|"&amp;Raw_Data!O488&amp;"|"&amp;Raw_Data!P488&amp;"|"&amp;Raw_Data!Q488&amp;"|"&amp;Raw_Data!R488&amp;"|"&amp;Raw_Data!S488&amp;"|"&amp;Raw_Data!T488&amp;"|"&amp;Raw_Data!U488&amp;"|"&amp;Raw_Data!V488&amp;"|"&amp;Raw_Data!W488&amp;"|"&amp;Raw_Data!X488&amp;"|"&amp;Raw_Data!Y488&amp;"|"&amp;Raw_Data!Z488&amp;"|"&amp;Raw_Data!AA488&amp;"|"&amp;Raw_Data!AB488&amp;"|"&amp;Raw_Data!AC488&amp;"|"&amp;Raw_Data!AD488&amp;"|"&amp;Raw_Data!AE488&amp;"|"&amp;Raw_Data!AF488&amp;"|"&amp;Raw_Data!AG488&amp;"|"&amp;Raw_Data!AH488&amp;"|"&amp;Raw_Data!AI488&amp;"|"&amp;Raw_Data!AJ488&amp;"|"&amp;Raw_Data!AK488&amp;"|"&amp;Raw_Data!AL488&amp;"|"&amp;Raw_Data!AM488&amp;"|"&amp;Raw_Data!AN488&amp;"|"&amp;Raw_Data!AO488</f>
        <v>1|4|1|1|2|2|2|3|3|25|4|3|4|3|3|4|3|1|3|5|5|4|5|1|4|4|4|2|1|1|4|2|4|4|4|2|4|5|4|1|2</v>
      </c>
      <c r="Q490" s="3" t="n">
        <f aca="false">COUNTIF($P$4:$P$513,P490)</f>
        <v>1</v>
      </c>
    </row>
    <row r="491" customFormat="false" ht="15" hidden="false" customHeight="false" outlineLevel="0" collapsed="false">
      <c r="O491" s="3" t="n">
        <v>489</v>
      </c>
      <c r="P491" s="3" t="str">
        <f aca="false">Raw_Data!A489&amp;"|"&amp;Raw_Data!B489&amp;"|"&amp;Raw_Data!C489&amp;"|"&amp;Raw_Data!D489&amp;"|"&amp;Raw_Data!E489&amp;"|"&amp;Raw_Data!F489&amp;"|"&amp;Raw_Data!G489&amp;"|"&amp;Raw_Data!H489&amp;"|"&amp;Raw_Data!I489&amp;"|"&amp;Raw_Data!J489&amp;"|"&amp;Raw_Data!K489&amp;"|"&amp;Raw_Data!L489&amp;"|"&amp;Raw_Data!M489&amp;"|"&amp;Raw_Data!N489&amp;"|"&amp;Raw_Data!O489&amp;"|"&amp;Raw_Data!P489&amp;"|"&amp;Raw_Data!Q489&amp;"|"&amp;Raw_Data!R489&amp;"|"&amp;Raw_Data!S489&amp;"|"&amp;Raw_Data!T489&amp;"|"&amp;Raw_Data!U489&amp;"|"&amp;Raw_Data!V489&amp;"|"&amp;Raw_Data!W489&amp;"|"&amp;Raw_Data!X489&amp;"|"&amp;Raw_Data!Y489&amp;"|"&amp;Raw_Data!Z489&amp;"|"&amp;Raw_Data!AA489&amp;"|"&amp;Raw_Data!AB489&amp;"|"&amp;Raw_Data!AC489&amp;"|"&amp;Raw_Data!AD489&amp;"|"&amp;Raw_Data!AE489&amp;"|"&amp;Raw_Data!AF489&amp;"|"&amp;Raw_Data!AG489&amp;"|"&amp;Raw_Data!AH489&amp;"|"&amp;Raw_Data!AI489&amp;"|"&amp;Raw_Data!AJ489&amp;"|"&amp;Raw_Data!AK489&amp;"|"&amp;Raw_Data!AL489&amp;"|"&amp;Raw_Data!AM489&amp;"|"&amp;Raw_Data!AN489&amp;"|"&amp;Raw_Data!AO489</f>
        <v>0|2|1|1|2|2|2|2|1|23|5|4|5|3|3|3|3|1|3|5|4|5|3|5|5|5|5|4|3|3|3|1|5|3|4|4|4|5|4|2|4</v>
      </c>
      <c r="Q491" s="3" t="n">
        <f aca="false">COUNTIF($P$4:$P$513,P491)</f>
        <v>1</v>
      </c>
    </row>
    <row r="492" customFormat="false" ht="15" hidden="false" customHeight="false" outlineLevel="0" collapsed="false">
      <c r="O492" s="3" t="n">
        <v>490</v>
      </c>
      <c r="P492" s="3" t="str">
        <f aca="false">Raw_Data!A490&amp;"|"&amp;Raw_Data!B490&amp;"|"&amp;Raw_Data!C490&amp;"|"&amp;Raw_Data!D490&amp;"|"&amp;Raw_Data!E490&amp;"|"&amp;Raw_Data!F490&amp;"|"&amp;Raw_Data!G490&amp;"|"&amp;Raw_Data!H490&amp;"|"&amp;Raw_Data!I490&amp;"|"&amp;Raw_Data!J490&amp;"|"&amp;Raw_Data!K490&amp;"|"&amp;Raw_Data!L490&amp;"|"&amp;Raw_Data!M490&amp;"|"&amp;Raw_Data!N490&amp;"|"&amp;Raw_Data!O490&amp;"|"&amp;Raw_Data!P490&amp;"|"&amp;Raw_Data!Q490&amp;"|"&amp;Raw_Data!R490&amp;"|"&amp;Raw_Data!S490&amp;"|"&amp;Raw_Data!T490&amp;"|"&amp;Raw_Data!U490&amp;"|"&amp;Raw_Data!V490&amp;"|"&amp;Raw_Data!W490&amp;"|"&amp;Raw_Data!X490&amp;"|"&amp;Raw_Data!Y490&amp;"|"&amp;Raw_Data!Z490&amp;"|"&amp;Raw_Data!AA490&amp;"|"&amp;Raw_Data!AB490&amp;"|"&amp;Raw_Data!AC490&amp;"|"&amp;Raw_Data!AD490&amp;"|"&amp;Raw_Data!AE490&amp;"|"&amp;Raw_Data!AF490&amp;"|"&amp;Raw_Data!AG490&amp;"|"&amp;Raw_Data!AH490&amp;"|"&amp;Raw_Data!AI490&amp;"|"&amp;Raw_Data!AJ490&amp;"|"&amp;Raw_Data!AK490&amp;"|"&amp;Raw_Data!AL490&amp;"|"&amp;Raw_Data!AM490&amp;"|"&amp;Raw_Data!AN490&amp;"|"&amp;Raw_Data!AO490</f>
        <v>0|4|1|1|2|2|3|3|1|23|1|2|5|1|4|4|3|1|5|4|5|4|4|4|4|5|4|4|1|1|2|1|2|4|4|1|2|5|3|2|3</v>
      </c>
      <c r="Q492" s="3" t="n">
        <f aca="false">COUNTIF($P$4:$P$513,P492)</f>
        <v>1</v>
      </c>
    </row>
    <row r="493" customFormat="false" ht="15" hidden="false" customHeight="false" outlineLevel="0" collapsed="false">
      <c r="O493" s="3" t="n">
        <v>491</v>
      </c>
      <c r="P493" s="3" t="str">
        <f aca="false">Raw_Data!A491&amp;"|"&amp;Raw_Data!B491&amp;"|"&amp;Raw_Data!C491&amp;"|"&amp;Raw_Data!D491&amp;"|"&amp;Raw_Data!E491&amp;"|"&amp;Raw_Data!F491&amp;"|"&amp;Raw_Data!G491&amp;"|"&amp;Raw_Data!H491&amp;"|"&amp;Raw_Data!I491&amp;"|"&amp;Raw_Data!J491&amp;"|"&amp;Raw_Data!K491&amp;"|"&amp;Raw_Data!L491&amp;"|"&amp;Raw_Data!M491&amp;"|"&amp;Raw_Data!N491&amp;"|"&amp;Raw_Data!O491&amp;"|"&amp;Raw_Data!P491&amp;"|"&amp;Raw_Data!Q491&amp;"|"&amp;Raw_Data!R491&amp;"|"&amp;Raw_Data!S491&amp;"|"&amp;Raw_Data!T491&amp;"|"&amp;Raw_Data!U491&amp;"|"&amp;Raw_Data!V491&amp;"|"&amp;Raw_Data!W491&amp;"|"&amp;Raw_Data!X491&amp;"|"&amp;Raw_Data!Y491&amp;"|"&amp;Raw_Data!Z491&amp;"|"&amp;Raw_Data!AA491&amp;"|"&amp;Raw_Data!AB491&amp;"|"&amp;Raw_Data!AC491&amp;"|"&amp;Raw_Data!AD491&amp;"|"&amp;Raw_Data!AE491&amp;"|"&amp;Raw_Data!AF491&amp;"|"&amp;Raw_Data!AG491&amp;"|"&amp;Raw_Data!AH491&amp;"|"&amp;Raw_Data!AI491&amp;"|"&amp;Raw_Data!AJ491&amp;"|"&amp;Raw_Data!AK491&amp;"|"&amp;Raw_Data!AL491&amp;"|"&amp;Raw_Data!AM491&amp;"|"&amp;Raw_Data!AN491&amp;"|"&amp;Raw_Data!AO491</f>
        <v>1|4|1|1|2|2|3|2|1|24|3|4|3|4|5|4|4|4|5|4|5|3|4|4|4|4|4|3|2|2|3|2|4|5|4|3|5|4|4|4|2</v>
      </c>
      <c r="Q493" s="3" t="n">
        <f aca="false">COUNTIF($P$4:$P$513,P493)</f>
        <v>1</v>
      </c>
    </row>
    <row r="494" customFormat="false" ht="15" hidden="false" customHeight="false" outlineLevel="0" collapsed="false">
      <c r="O494" s="3" t="n">
        <v>492</v>
      </c>
      <c r="P494" s="3" t="str">
        <f aca="false">Raw_Data!A492&amp;"|"&amp;Raw_Data!B492&amp;"|"&amp;Raw_Data!C492&amp;"|"&amp;Raw_Data!D492&amp;"|"&amp;Raw_Data!E492&amp;"|"&amp;Raw_Data!F492&amp;"|"&amp;Raw_Data!G492&amp;"|"&amp;Raw_Data!H492&amp;"|"&amp;Raw_Data!I492&amp;"|"&amp;Raw_Data!J492&amp;"|"&amp;Raw_Data!K492&amp;"|"&amp;Raw_Data!L492&amp;"|"&amp;Raw_Data!M492&amp;"|"&amp;Raw_Data!N492&amp;"|"&amp;Raw_Data!O492&amp;"|"&amp;Raw_Data!P492&amp;"|"&amp;Raw_Data!Q492&amp;"|"&amp;Raw_Data!R492&amp;"|"&amp;Raw_Data!S492&amp;"|"&amp;Raw_Data!T492&amp;"|"&amp;Raw_Data!U492&amp;"|"&amp;Raw_Data!V492&amp;"|"&amp;Raw_Data!W492&amp;"|"&amp;Raw_Data!X492&amp;"|"&amp;Raw_Data!Y492&amp;"|"&amp;Raw_Data!Z492&amp;"|"&amp;Raw_Data!AA492&amp;"|"&amp;Raw_Data!AB492&amp;"|"&amp;Raw_Data!AC492&amp;"|"&amp;Raw_Data!AD492&amp;"|"&amp;Raw_Data!AE492&amp;"|"&amp;Raw_Data!AF492&amp;"|"&amp;Raw_Data!AG492&amp;"|"&amp;Raw_Data!AH492&amp;"|"&amp;Raw_Data!AI492&amp;"|"&amp;Raw_Data!AJ492&amp;"|"&amp;Raw_Data!AK492&amp;"|"&amp;Raw_Data!AL492&amp;"|"&amp;Raw_Data!AM492&amp;"|"&amp;Raw_Data!AN492&amp;"|"&amp;Raw_Data!AO492</f>
        <v>0|3|2|1|2|2|2|2|1|21|3|3|4|4|4|2|3|3|4|5|4|4|5|3|4|4|4|3|3|3|4|4|3|4|4|4|2|4|4|4|4</v>
      </c>
      <c r="Q494" s="3" t="n">
        <f aca="false">COUNTIF($P$4:$P$513,P494)</f>
        <v>1</v>
      </c>
    </row>
    <row r="495" customFormat="false" ht="15" hidden="false" customHeight="false" outlineLevel="0" collapsed="false">
      <c r="O495" s="3" t="n">
        <v>493</v>
      </c>
      <c r="P495" s="3" t="str">
        <f aca="false">Raw_Data!A493&amp;"|"&amp;Raw_Data!B493&amp;"|"&amp;Raw_Data!C493&amp;"|"&amp;Raw_Data!D493&amp;"|"&amp;Raw_Data!E493&amp;"|"&amp;Raw_Data!F493&amp;"|"&amp;Raw_Data!G493&amp;"|"&amp;Raw_Data!H493&amp;"|"&amp;Raw_Data!I493&amp;"|"&amp;Raw_Data!J493&amp;"|"&amp;Raw_Data!K493&amp;"|"&amp;Raw_Data!L493&amp;"|"&amp;Raw_Data!M493&amp;"|"&amp;Raw_Data!N493&amp;"|"&amp;Raw_Data!O493&amp;"|"&amp;Raw_Data!P493&amp;"|"&amp;Raw_Data!Q493&amp;"|"&amp;Raw_Data!R493&amp;"|"&amp;Raw_Data!S493&amp;"|"&amp;Raw_Data!T493&amp;"|"&amp;Raw_Data!U493&amp;"|"&amp;Raw_Data!V493&amp;"|"&amp;Raw_Data!W493&amp;"|"&amp;Raw_Data!X493&amp;"|"&amp;Raw_Data!Y493&amp;"|"&amp;Raw_Data!Z493&amp;"|"&amp;Raw_Data!AA493&amp;"|"&amp;Raw_Data!AB493&amp;"|"&amp;Raw_Data!AC493&amp;"|"&amp;Raw_Data!AD493&amp;"|"&amp;Raw_Data!AE493&amp;"|"&amp;Raw_Data!AF493&amp;"|"&amp;Raw_Data!AG493&amp;"|"&amp;Raw_Data!AH493&amp;"|"&amp;Raw_Data!AI493&amp;"|"&amp;Raw_Data!AJ493&amp;"|"&amp;Raw_Data!AK493&amp;"|"&amp;Raw_Data!AL493&amp;"|"&amp;Raw_Data!AM493&amp;"|"&amp;Raw_Data!AN493&amp;"|"&amp;Raw_Data!AO493</f>
        <v>1|4|1|1|2|2|2|2|1|23|5|4|4|4|5|5|5|4|4|5|5|4|4|5|4|5|1|5|4|2|2|4|5|5|4|4|4|5|4|5|4</v>
      </c>
      <c r="Q495" s="3" t="n">
        <f aca="false">COUNTIF($P$4:$P$513,P495)</f>
        <v>1</v>
      </c>
    </row>
    <row r="496" customFormat="false" ht="15" hidden="false" customHeight="false" outlineLevel="0" collapsed="false">
      <c r="O496" s="3" t="n">
        <v>494</v>
      </c>
      <c r="P496" s="3" t="str">
        <f aca="false">Raw_Data!A494&amp;"|"&amp;Raw_Data!B494&amp;"|"&amp;Raw_Data!C494&amp;"|"&amp;Raw_Data!D494&amp;"|"&amp;Raw_Data!E494&amp;"|"&amp;Raw_Data!F494&amp;"|"&amp;Raw_Data!G494&amp;"|"&amp;Raw_Data!H494&amp;"|"&amp;Raw_Data!I494&amp;"|"&amp;Raw_Data!J494&amp;"|"&amp;Raw_Data!K494&amp;"|"&amp;Raw_Data!L494&amp;"|"&amp;Raw_Data!M494&amp;"|"&amp;Raw_Data!N494&amp;"|"&amp;Raw_Data!O494&amp;"|"&amp;Raw_Data!P494&amp;"|"&amp;Raw_Data!Q494&amp;"|"&amp;Raw_Data!R494&amp;"|"&amp;Raw_Data!S494&amp;"|"&amp;Raw_Data!T494&amp;"|"&amp;Raw_Data!U494&amp;"|"&amp;Raw_Data!V494&amp;"|"&amp;Raw_Data!W494&amp;"|"&amp;Raw_Data!X494&amp;"|"&amp;Raw_Data!Y494&amp;"|"&amp;Raw_Data!Z494&amp;"|"&amp;Raw_Data!AA494&amp;"|"&amp;Raw_Data!AB494&amp;"|"&amp;Raw_Data!AC494&amp;"|"&amp;Raw_Data!AD494&amp;"|"&amp;Raw_Data!AE494&amp;"|"&amp;Raw_Data!AF494&amp;"|"&amp;Raw_Data!AG494&amp;"|"&amp;Raw_Data!AH494&amp;"|"&amp;Raw_Data!AI494&amp;"|"&amp;Raw_Data!AJ494&amp;"|"&amp;Raw_Data!AK494&amp;"|"&amp;Raw_Data!AL494&amp;"|"&amp;Raw_Data!AM494&amp;"|"&amp;Raw_Data!AN494&amp;"|"&amp;Raw_Data!AO494</f>
        <v>0|4|1|1|2|2|2|3|3|24|3|2|4|4|2|2|2|2|3|4|3|4|4|4|4|4|2|1|1|1|2|1|1|4|4|3|4|3|3|2|1</v>
      </c>
      <c r="Q496" s="3" t="n">
        <f aca="false">COUNTIF($P$4:$P$513,P496)</f>
        <v>1</v>
      </c>
    </row>
    <row r="497" customFormat="false" ht="15" hidden="false" customHeight="false" outlineLevel="0" collapsed="false">
      <c r="O497" s="3" t="n">
        <v>495</v>
      </c>
      <c r="P497" s="3" t="str">
        <f aca="false">Raw_Data!A495&amp;"|"&amp;Raw_Data!B495&amp;"|"&amp;Raw_Data!C495&amp;"|"&amp;Raw_Data!D495&amp;"|"&amp;Raw_Data!E495&amp;"|"&amp;Raw_Data!F495&amp;"|"&amp;Raw_Data!G495&amp;"|"&amp;Raw_Data!H495&amp;"|"&amp;Raw_Data!I495&amp;"|"&amp;Raw_Data!J495&amp;"|"&amp;Raw_Data!K495&amp;"|"&amp;Raw_Data!L495&amp;"|"&amp;Raw_Data!M495&amp;"|"&amp;Raw_Data!N495&amp;"|"&amp;Raw_Data!O495&amp;"|"&amp;Raw_Data!P495&amp;"|"&amp;Raw_Data!Q495&amp;"|"&amp;Raw_Data!R495&amp;"|"&amp;Raw_Data!S495&amp;"|"&amp;Raw_Data!T495&amp;"|"&amp;Raw_Data!U495&amp;"|"&amp;Raw_Data!V495&amp;"|"&amp;Raw_Data!W495&amp;"|"&amp;Raw_Data!X495&amp;"|"&amp;Raw_Data!Y495&amp;"|"&amp;Raw_Data!Z495&amp;"|"&amp;Raw_Data!AA495&amp;"|"&amp;Raw_Data!AB495&amp;"|"&amp;Raw_Data!AC495&amp;"|"&amp;Raw_Data!AD495&amp;"|"&amp;Raw_Data!AE495&amp;"|"&amp;Raw_Data!AF495&amp;"|"&amp;Raw_Data!AG495&amp;"|"&amp;Raw_Data!AH495&amp;"|"&amp;Raw_Data!AI495&amp;"|"&amp;Raw_Data!AJ495&amp;"|"&amp;Raw_Data!AK495&amp;"|"&amp;Raw_Data!AL495&amp;"|"&amp;Raw_Data!AM495&amp;"|"&amp;Raw_Data!AN495&amp;"|"&amp;Raw_Data!AO495</f>
        <v>0|4|2|1|2|2|3|3|2|24|4|2|2|2|4|2|3|4|4|5|5|3|4|1|3|4|2|3|1|1|3|2|4|3|2|3|3|4|4|3|2</v>
      </c>
      <c r="Q497" s="3" t="n">
        <f aca="false">COUNTIF($P$4:$P$513,P497)</f>
        <v>1</v>
      </c>
    </row>
    <row r="498" customFormat="false" ht="15" hidden="false" customHeight="false" outlineLevel="0" collapsed="false">
      <c r="O498" s="3" t="n">
        <v>496</v>
      </c>
      <c r="P498" s="3" t="str">
        <f aca="false">Raw_Data!A496&amp;"|"&amp;Raw_Data!B496&amp;"|"&amp;Raw_Data!C496&amp;"|"&amp;Raw_Data!D496&amp;"|"&amp;Raw_Data!E496&amp;"|"&amp;Raw_Data!F496&amp;"|"&amp;Raw_Data!G496&amp;"|"&amp;Raw_Data!H496&amp;"|"&amp;Raw_Data!I496&amp;"|"&amp;Raw_Data!J496&amp;"|"&amp;Raw_Data!K496&amp;"|"&amp;Raw_Data!L496&amp;"|"&amp;Raw_Data!M496&amp;"|"&amp;Raw_Data!N496&amp;"|"&amp;Raw_Data!O496&amp;"|"&amp;Raw_Data!P496&amp;"|"&amp;Raw_Data!Q496&amp;"|"&amp;Raw_Data!R496&amp;"|"&amp;Raw_Data!S496&amp;"|"&amp;Raw_Data!T496&amp;"|"&amp;Raw_Data!U496&amp;"|"&amp;Raw_Data!V496&amp;"|"&amp;Raw_Data!W496&amp;"|"&amp;Raw_Data!X496&amp;"|"&amp;Raw_Data!Y496&amp;"|"&amp;Raw_Data!Z496&amp;"|"&amp;Raw_Data!AA496&amp;"|"&amp;Raw_Data!AB496&amp;"|"&amp;Raw_Data!AC496&amp;"|"&amp;Raw_Data!AD496&amp;"|"&amp;Raw_Data!AE496&amp;"|"&amp;Raw_Data!AF496&amp;"|"&amp;Raw_Data!AG496&amp;"|"&amp;Raw_Data!AH496&amp;"|"&amp;Raw_Data!AI496&amp;"|"&amp;Raw_Data!AJ496&amp;"|"&amp;Raw_Data!AK496&amp;"|"&amp;Raw_Data!AL496&amp;"|"&amp;Raw_Data!AM496&amp;"|"&amp;Raw_Data!AN496&amp;"|"&amp;Raw_Data!AO496</f>
        <v>0|4|1|1|2|2|2|1|2|24|5|2|4|4|2|3|2|5|4|5|5|4|5|4|4|5|5|4|2|2|4|2|4|2|2|4|2|5|3|2|4</v>
      </c>
      <c r="Q498" s="3" t="n">
        <f aca="false">COUNTIF($P$4:$P$513,P498)</f>
        <v>1</v>
      </c>
    </row>
    <row r="499" customFormat="false" ht="15" hidden="false" customHeight="false" outlineLevel="0" collapsed="false">
      <c r="O499" s="3" t="n">
        <v>497</v>
      </c>
      <c r="P499" s="3" t="str">
        <f aca="false">Raw_Data!A497&amp;"|"&amp;Raw_Data!B497&amp;"|"&amp;Raw_Data!C497&amp;"|"&amp;Raw_Data!D497&amp;"|"&amp;Raw_Data!E497&amp;"|"&amp;Raw_Data!F497&amp;"|"&amp;Raw_Data!G497&amp;"|"&amp;Raw_Data!H497&amp;"|"&amp;Raw_Data!I497&amp;"|"&amp;Raw_Data!J497&amp;"|"&amp;Raw_Data!K497&amp;"|"&amp;Raw_Data!L497&amp;"|"&amp;Raw_Data!M497&amp;"|"&amp;Raw_Data!N497&amp;"|"&amp;Raw_Data!O497&amp;"|"&amp;Raw_Data!P497&amp;"|"&amp;Raw_Data!Q497&amp;"|"&amp;Raw_Data!R497&amp;"|"&amp;Raw_Data!S497&amp;"|"&amp;Raw_Data!T497&amp;"|"&amp;Raw_Data!U497&amp;"|"&amp;Raw_Data!V497&amp;"|"&amp;Raw_Data!W497&amp;"|"&amp;Raw_Data!X497&amp;"|"&amp;Raw_Data!Y497&amp;"|"&amp;Raw_Data!Z497&amp;"|"&amp;Raw_Data!AA497&amp;"|"&amp;Raw_Data!AB497&amp;"|"&amp;Raw_Data!AC497&amp;"|"&amp;Raw_Data!AD497&amp;"|"&amp;Raw_Data!AE497&amp;"|"&amp;Raw_Data!AF497&amp;"|"&amp;Raw_Data!AG497&amp;"|"&amp;Raw_Data!AH497&amp;"|"&amp;Raw_Data!AI497&amp;"|"&amp;Raw_Data!AJ497&amp;"|"&amp;Raw_Data!AK497&amp;"|"&amp;Raw_Data!AL497&amp;"|"&amp;Raw_Data!AM497&amp;"|"&amp;Raw_Data!AN497&amp;"|"&amp;Raw_Data!AO497</f>
        <v>0|1|1|2|2|2|3|1|1|22|3|2|3|4|3|3|3|3|5|5|5|4|4|4|4|4|3|3|2|2|3|4|4|3|3|2|3|4|3|3|3</v>
      </c>
      <c r="Q499" s="3" t="n">
        <f aca="false">COUNTIF($P$4:$P$513,P499)</f>
        <v>1</v>
      </c>
    </row>
    <row r="500" customFormat="false" ht="15" hidden="false" customHeight="false" outlineLevel="0" collapsed="false">
      <c r="O500" s="3" t="n">
        <v>498</v>
      </c>
      <c r="P500" s="3" t="str">
        <f aca="false">Raw_Data!A498&amp;"|"&amp;Raw_Data!B498&amp;"|"&amp;Raw_Data!C498&amp;"|"&amp;Raw_Data!D498&amp;"|"&amp;Raw_Data!E498&amp;"|"&amp;Raw_Data!F498&amp;"|"&amp;Raw_Data!G498&amp;"|"&amp;Raw_Data!H498&amp;"|"&amp;Raw_Data!I498&amp;"|"&amp;Raw_Data!J498&amp;"|"&amp;Raw_Data!K498&amp;"|"&amp;Raw_Data!L498&amp;"|"&amp;Raw_Data!M498&amp;"|"&amp;Raw_Data!N498&amp;"|"&amp;Raw_Data!O498&amp;"|"&amp;Raw_Data!P498&amp;"|"&amp;Raw_Data!Q498&amp;"|"&amp;Raw_Data!R498&amp;"|"&amp;Raw_Data!S498&amp;"|"&amp;Raw_Data!T498&amp;"|"&amp;Raw_Data!U498&amp;"|"&amp;Raw_Data!V498&amp;"|"&amp;Raw_Data!W498&amp;"|"&amp;Raw_Data!X498&amp;"|"&amp;Raw_Data!Y498&amp;"|"&amp;Raw_Data!Z498&amp;"|"&amp;Raw_Data!AA498&amp;"|"&amp;Raw_Data!AB498&amp;"|"&amp;Raw_Data!AC498&amp;"|"&amp;Raw_Data!AD498&amp;"|"&amp;Raw_Data!AE498&amp;"|"&amp;Raw_Data!AF498&amp;"|"&amp;Raw_Data!AG498&amp;"|"&amp;Raw_Data!AH498&amp;"|"&amp;Raw_Data!AI498&amp;"|"&amp;Raw_Data!AJ498&amp;"|"&amp;Raw_Data!AK498&amp;"|"&amp;Raw_Data!AL498&amp;"|"&amp;Raw_Data!AM498&amp;"|"&amp;Raw_Data!AN498&amp;"|"&amp;Raw_Data!AO498</f>
        <v>0|3|2|1|2|2|3|2|1|22|3|4|4|4|3|3|3|3|4|4|4|4|4|2|4|4|4|4|2|2|4|3|3|4|4|4|3|3|3|3|3</v>
      </c>
      <c r="Q500" s="3" t="n">
        <f aca="false">COUNTIF($P$4:$P$513,P500)</f>
        <v>1</v>
      </c>
    </row>
    <row r="501" customFormat="false" ht="15" hidden="false" customHeight="false" outlineLevel="0" collapsed="false">
      <c r="O501" s="3" t="n">
        <v>499</v>
      </c>
      <c r="P501" s="3" t="str">
        <f aca="false">Raw_Data!A499&amp;"|"&amp;Raw_Data!B499&amp;"|"&amp;Raw_Data!C499&amp;"|"&amp;Raw_Data!D499&amp;"|"&amp;Raw_Data!E499&amp;"|"&amp;Raw_Data!F499&amp;"|"&amp;Raw_Data!G499&amp;"|"&amp;Raw_Data!H499&amp;"|"&amp;Raw_Data!I499&amp;"|"&amp;Raw_Data!J499&amp;"|"&amp;Raw_Data!K499&amp;"|"&amp;Raw_Data!L499&amp;"|"&amp;Raw_Data!M499&amp;"|"&amp;Raw_Data!N499&amp;"|"&amp;Raw_Data!O499&amp;"|"&amp;Raw_Data!P499&amp;"|"&amp;Raw_Data!Q499&amp;"|"&amp;Raw_Data!R499&amp;"|"&amp;Raw_Data!S499&amp;"|"&amp;Raw_Data!T499&amp;"|"&amp;Raw_Data!U499&amp;"|"&amp;Raw_Data!V499&amp;"|"&amp;Raw_Data!W499&amp;"|"&amp;Raw_Data!X499&amp;"|"&amp;Raw_Data!Y499&amp;"|"&amp;Raw_Data!Z499&amp;"|"&amp;Raw_Data!AA499&amp;"|"&amp;Raw_Data!AB499&amp;"|"&amp;Raw_Data!AC499&amp;"|"&amp;Raw_Data!AD499&amp;"|"&amp;Raw_Data!AE499&amp;"|"&amp;Raw_Data!AF499&amp;"|"&amp;Raw_Data!AG499&amp;"|"&amp;Raw_Data!AH499&amp;"|"&amp;Raw_Data!AI499&amp;"|"&amp;Raw_Data!AJ499&amp;"|"&amp;Raw_Data!AK499&amp;"|"&amp;Raw_Data!AL499&amp;"|"&amp;Raw_Data!AM499&amp;"|"&amp;Raw_Data!AN499&amp;"|"&amp;Raw_Data!AO499</f>
        <v>0|3|1|1|2|2|3|2|1|21|2|3|5|4|3|4|2|3|4|4|4|3|5|4|4|5|5|4|1|2|4|4|4|4|4|5|2|4|3|3|3</v>
      </c>
      <c r="Q501" s="3" t="n">
        <f aca="false">COUNTIF($P$4:$P$513,P501)</f>
        <v>1</v>
      </c>
    </row>
    <row r="502" customFormat="false" ht="15" hidden="false" customHeight="false" outlineLevel="0" collapsed="false">
      <c r="O502" s="3" t="n">
        <v>500</v>
      </c>
      <c r="P502" s="3" t="str">
        <f aca="false">Raw_Data!A500&amp;"|"&amp;Raw_Data!B500&amp;"|"&amp;Raw_Data!C500&amp;"|"&amp;Raw_Data!D500&amp;"|"&amp;Raw_Data!E500&amp;"|"&amp;Raw_Data!F500&amp;"|"&amp;Raw_Data!G500&amp;"|"&amp;Raw_Data!H500&amp;"|"&amp;Raw_Data!I500&amp;"|"&amp;Raw_Data!J500&amp;"|"&amp;Raw_Data!K500&amp;"|"&amp;Raw_Data!L500&amp;"|"&amp;Raw_Data!M500&amp;"|"&amp;Raw_Data!N500&amp;"|"&amp;Raw_Data!O500&amp;"|"&amp;Raw_Data!P500&amp;"|"&amp;Raw_Data!Q500&amp;"|"&amp;Raw_Data!R500&amp;"|"&amp;Raw_Data!S500&amp;"|"&amp;Raw_Data!T500&amp;"|"&amp;Raw_Data!U500&amp;"|"&amp;Raw_Data!V500&amp;"|"&amp;Raw_Data!W500&amp;"|"&amp;Raw_Data!X500&amp;"|"&amp;Raw_Data!Y500&amp;"|"&amp;Raw_Data!Z500&amp;"|"&amp;Raw_Data!AA500&amp;"|"&amp;Raw_Data!AB500&amp;"|"&amp;Raw_Data!AC500&amp;"|"&amp;Raw_Data!AD500&amp;"|"&amp;Raw_Data!AE500&amp;"|"&amp;Raw_Data!AF500&amp;"|"&amp;Raw_Data!AG500&amp;"|"&amp;Raw_Data!AH500&amp;"|"&amp;Raw_Data!AI500&amp;"|"&amp;Raw_Data!AJ500&amp;"|"&amp;Raw_Data!AK500&amp;"|"&amp;Raw_Data!AL500&amp;"|"&amp;Raw_Data!AM500&amp;"|"&amp;Raw_Data!AN500&amp;"|"&amp;Raw_Data!AO500</f>
        <v>0|4|1|2|2|2|2|1|1|22|3|2|4|3|3|5|4|3|3|5|5|4|5|5|5|4|4|1|2|1|4|3|4|4|4|2|2|5|4|2|4</v>
      </c>
      <c r="Q502" s="3" t="n">
        <f aca="false">COUNTIF($P$4:$P$513,P502)</f>
        <v>1</v>
      </c>
    </row>
    <row r="503" customFormat="false" ht="15" hidden="false" customHeight="false" outlineLevel="0" collapsed="false">
      <c r="O503" s="3" t="n">
        <v>501</v>
      </c>
      <c r="P503" s="3" t="str">
        <f aca="false">Raw_Data!A501&amp;"|"&amp;Raw_Data!B501&amp;"|"&amp;Raw_Data!C501&amp;"|"&amp;Raw_Data!D501&amp;"|"&amp;Raw_Data!E501&amp;"|"&amp;Raw_Data!F501&amp;"|"&amp;Raw_Data!G501&amp;"|"&amp;Raw_Data!H501&amp;"|"&amp;Raw_Data!I501&amp;"|"&amp;Raw_Data!J501&amp;"|"&amp;Raw_Data!K501&amp;"|"&amp;Raw_Data!L501&amp;"|"&amp;Raw_Data!M501&amp;"|"&amp;Raw_Data!N501&amp;"|"&amp;Raw_Data!O501&amp;"|"&amp;Raw_Data!P501&amp;"|"&amp;Raw_Data!Q501&amp;"|"&amp;Raw_Data!R501&amp;"|"&amp;Raw_Data!S501&amp;"|"&amp;Raw_Data!T501&amp;"|"&amp;Raw_Data!U501&amp;"|"&amp;Raw_Data!V501&amp;"|"&amp;Raw_Data!W501&amp;"|"&amp;Raw_Data!X501&amp;"|"&amp;Raw_Data!Y501&amp;"|"&amp;Raw_Data!Z501&amp;"|"&amp;Raw_Data!AA501&amp;"|"&amp;Raw_Data!AB501&amp;"|"&amp;Raw_Data!AC501&amp;"|"&amp;Raw_Data!AD501&amp;"|"&amp;Raw_Data!AE501&amp;"|"&amp;Raw_Data!AF501&amp;"|"&amp;Raw_Data!AG501&amp;"|"&amp;Raw_Data!AH501&amp;"|"&amp;Raw_Data!AI501&amp;"|"&amp;Raw_Data!AJ501&amp;"|"&amp;Raw_Data!AK501&amp;"|"&amp;Raw_Data!AL501&amp;"|"&amp;Raw_Data!AM501&amp;"|"&amp;Raw_Data!AN501&amp;"|"&amp;Raw_Data!AO501</f>
        <v>0|4|1|1|2|2|2|3|3|26|3|3|2|3|2|4|4|3|4|4|4|4|4|4|4|4|2|3|3|3|3|1|3|3|4|4|2|4|3|4|3</v>
      </c>
      <c r="Q503" s="3" t="n">
        <f aca="false">COUNTIF($P$4:$P$513,P503)</f>
        <v>1</v>
      </c>
    </row>
    <row r="504" customFormat="false" ht="15" hidden="false" customHeight="false" outlineLevel="0" collapsed="false">
      <c r="O504" s="3" t="n">
        <v>502</v>
      </c>
      <c r="P504" s="3" t="str">
        <f aca="false">Raw_Data!A502&amp;"|"&amp;Raw_Data!B502&amp;"|"&amp;Raw_Data!C502&amp;"|"&amp;Raw_Data!D502&amp;"|"&amp;Raw_Data!E502&amp;"|"&amp;Raw_Data!F502&amp;"|"&amp;Raw_Data!G502&amp;"|"&amp;Raw_Data!H502&amp;"|"&amp;Raw_Data!I502&amp;"|"&amp;Raw_Data!J502&amp;"|"&amp;Raw_Data!K502&amp;"|"&amp;Raw_Data!L502&amp;"|"&amp;Raw_Data!M502&amp;"|"&amp;Raw_Data!N502&amp;"|"&amp;Raw_Data!O502&amp;"|"&amp;Raw_Data!P502&amp;"|"&amp;Raw_Data!Q502&amp;"|"&amp;Raw_Data!R502&amp;"|"&amp;Raw_Data!S502&amp;"|"&amp;Raw_Data!T502&amp;"|"&amp;Raw_Data!U502&amp;"|"&amp;Raw_Data!V502&amp;"|"&amp;Raw_Data!W502&amp;"|"&amp;Raw_Data!X502&amp;"|"&amp;Raw_Data!Y502&amp;"|"&amp;Raw_Data!Z502&amp;"|"&amp;Raw_Data!AA502&amp;"|"&amp;Raw_Data!AB502&amp;"|"&amp;Raw_Data!AC502&amp;"|"&amp;Raw_Data!AD502&amp;"|"&amp;Raw_Data!AE502&amp;"|"&amp;Raw_Data!AF502&amp;"|"&amp;Raw_Data!AG502&amp;"|"&amp;Raw_Data!AH502&amp;"|"&amp;Raw_Data!AI502&amp;"|"&amp;Raw_Data!AJ502&amp;"|"&amp;Raw_Data!AK502&amp;"|"&amp;Raw_Data!AL502&amp;"|"&amp;Raw_Data!AM502&amp;"|"&amp;Raw_Data!AN502&amp;"|"&amp;Raw_Data!AO502</f>
        <v>0|4|1|1|2|2|1|1|3|25|4|4|4|4|5|4|3|4|4|4|5|4|4|4|5|4|4|2|1|2|4|4|4|4|4|5|5|5|4|3|5</v>
      </c>
      <c r="Q504" s="3" t="n">
        <f aca="false">COUNTIF($P$4:$P$513,P504)</f>
        <v>1</v>
      </c>
    </row>
    <row r="505" customFormat="false" ht="15" hidden="false" customHeight="false" outlineLevel="0" collapsed="false">
      <c r="O505" s="3" t="n">
        <v>503</v>
      </c>
      <c r="P505" s="3" t="str">
        <f aca="false">Raw_Data!A503&amp;"|"&amp;Raw_Data!B503&amp;"|"&amp;Raw_Data!C503&amp;"|"&amp;Raw_Data!D503&amp;"|"&amp;Raw_Data!E503&amp;"|"&amp;Raw_Data!F503&amp;"|"&amp;Raw_Data!G503&amp;"|"&amp;Raw_Data!H503&amp;"|"&amp;Raw_Data!I503&amp;"|"&amp;Raw_Data!J503&amp;"|"&amp;Raw_Data!K503&amp;"|"&amp;Raw_Data!L503&amp;"|"&amp;Raw_Data!M503&amp;"|"&amp;Raw_Data!N503&amp;"|"&amp;Raw_Data!O503&amp;"|"&amp;Raw_Data!P503&amp;"|"&amp;Raw_Data!Q503&amp;"|"&amp;Raw_Data!R503&amp;"|"&amp;Raw_Data!S503&amp;"|"&amp;Raw_Data!T503&amp;"|"&amp;Raw_Data!U503&amp;"|"&amp;Raw_Data!V503&amp;"|"&amp;Raw_Data!W503&amp;"|"&amp;Raw_Data!X503&amp;"|"&amp;Raw_Data!Y503&amp;"|"&amp;Raw_Data!Z503&amp;"|"&amp;Raw_Data!AA503&amp;"|"&amp;Raw_Data!AB503&amp;"|"&amp;Raw_Data!AC503&amp;"|"&amp;Raw_Data!AD503&amp;"|"&amp;Raw_Data!AE503&amp;"|"&amp;Raw_Data!AF503&amp;"|"&amp;Raw_Data!AG503&amp;"|"&amp;Raw_Data!AH503&amp;"|"&amp;Raw_Data!AI503&amp;"|"&amp;Raw_Data!AJ503&amp;"|"&amp;Raw_Data!AK503&amp;"|"&amp;Raw_Data!AL503&amp;"|"&amp;Raw_Data!AM503&amp;"|"&amp;Raw_Data!AN503&amp;"|"&amp;Raw_Data!AO503</f>
        <v>1|4|1|1|2|2|1|2|3|27|2|2|1|1|4|4|2|2|5|4|5|5|4|4|4|4|4|4|1|2|3|2|4|2|3|2|4|5|2|2|4</v>
      </c>
      <c r="Q505" s="3" t="n">
        <f aca="false">COUNTIF($P$4:$P$513,P505)</f>
        <v>1</v>
      </c>
    </row>
    <row r="506" customFormat="false" ht="15" hidden="false" customHeight="false" outlineLevel="0" collapsed="false">
      <c r="O506" s="3" t="n">
        <v>504</v>
      </c>
      <c r="P506" s="3" t="str">
        <f aca="false">Raw_Data!A504&amp;"|"&amp;Raw_Data!B504&amp;"|"&amp;Raw_Data!C504&amp;"|"&amp;Raw_Data!D504&amp;"|"&amp;Raw_Data!E504&amp;"|"&amp;Raw_Data!F504&amp;"|"&amp;Raw_Data!G504&amp;"|"&amp;Raw_Data!H504&amp;"|"&amp;Raw_Data!I504&amp;"|"&amp;Raw_Data!J504&amp;"|"&amp;Raw_Data!K504&amp;"|"&amp;Raw_Data!L504&amp;"|"&amp;Raw_Data!M504&amp;"|"&amp;Raw_Data!N504&amp;"|"&amp;Raw_Data!O504&amp;"|"&amp;Raw_Data!P504&amp;"|"&amp;Raw_Data!Q504&amp;"|"&amp;Raw_Data!R504&amp;"|"&amp;Raw_Data!S504&amp;"|"&amp;Raw_Data!T504&amp;"|"&amp;Raw_Data!U504&amp;"|"&amp;Raw_Data!V504&amp;"|"&amp;Raw_Data!W504&amp;"|"&amp;Raw_Data!X504&amp;"|"&amp;Raw_Data!Y504&amp;"|"&amp;Raw_Data!Z504&amp;"|"&amp;Raw_Data!AA504&amp;"|"&amp;Raw_Data!AB504&amp;"|"&amp;Raw_Data!AC504&amp;"|"&amp;Raw_Data!AD504&amp;"|"&amp;Raw_Data!AE504&amp;"|"&amp;Raw_Data!AF504&amp;"|"&amp;Raw_Data!AG504&amp;"|"&amp;Raw_Data!AH504&amp;"|"&amp;Raw_Data!AI504&amp;"|"&amp;Raw_Data!AJ504&amp;"|"&amp;Raw_Data!AK504&amp;"|"&amp;Raw_Data!AL504&amp;"|"&amp;Raw_Data!AM504&amp;"|"&amp;Raw_Data!AN504&amp;"|"&amp;Raw_Data!AO504</f>
        <v>0|3|2|2|2|2|1|1|1|21|3|3|3|3|3|4|3|3|4|4|5|3|4|3|2|4|2|3|2|2|4|3|4|4|4|5|3|4|3|3|3</v>
      </c>
      <c r="Q506" s="3" t="n">
        <f aca="false">COUNTIF($P$4:$P$513,P506)</f>
        <v>1</v>
      </c>
    </row>
    <row r="507" customFormat="false" ht="15" hidden="false" customHeight="false" outlineLevel="0" collapsed="false">
      <c r="O507" s="3" t="n">
        <v>505</v>
      </c>
      <c r="P507" s="3" t="str">
        <f aca="false">Raw_Data!A505&amp;"|"&amp;Raw_Data!B505&amp;"|"&amp;Raw_Data!C505&amp;"|"&amp;Raw_Data!D505&amp;"|"&amp;Raw_Data!E505&amp;"|"&amp;Raw_Data!F505&amp;"|"&amp;Raw_Data!G505&amp;"|"&amp;Raw_Data!H505&amp;"|"&amp;Raw_Data!I505&amp;"|"&amp;Raw_Data!J505&amp;"|"&amp;Raw_Data!K505&amp;"|"&amp;Raw_Data!L505&amp;"|"&amp;Raw_Data!M505&amp;"|"&amp;Raw_Data!N505&amp;"|"&amp;Raw_Data!O505&amp;"|"&amp;Raw_Data!P505&amp;"|"&amp;Raw_Data!Q505&amp;"|"&amp;Raw_Data!R505&amp;"|"&amp;Raw_Data!S505&amp;"|"&amp;Raw_Data!T505&amp;"|"&amp;Raw_Data!U505&amp;"|"&amp;Raw_Data!V505&amp;"|"&amp;Raw_Data!W505&amp;"|"&amp;Raw_Data!X505&amp;"|"&amp;Raw_Data!Y505&amp;"|"&amp;Raw_Data!Z505&amp;"|"&amp;Raw_Data!AA505&amp;"|"&amp;Raw_Data!AB505&amp;"|"&amp;Raw_Data!AC505&amp;"|"&amp;Raw_Data!AD505&amp;"|"&amp;Raw_Data!AE505&amp;"|"&amp;Raw_Data!AF505&amp;"|"&amp;Raw_Data!AG505&amp;"|"&amp;Raw_Data!AH505&amp;"|"&amp;Raw_Data!AI505&amp;"|"&amp;Raw_Data!AJ505&amp;"|"&amp;Raw_Data!AK505&amp;"|"&amp;Raw_Data!AL505&amp;"|"&amp;Raw_Data!AM505&amp;"|"&amp;Raw_Data!AN505&amp;"|"&amp;Raw_Data!AO505</f>
        <v>0|6|1|2|2|2|3|1|1|24|3|3|4|3|3|3|3|3|4|4|4|3|3|3|3|4|3|2|2|2|4|3|4|3|3|4|3|4|4|4|3</v>
      </c>
      <c r="Q507" s="3" t="n">
        <f aca="false">COUNTIF($P$4:$P$513,P507)</f>
        <v>1</v>
      </c>
    </row>
    <row r="508" customFormat="false" ht="15" hidden="false" customHeight="false" outlineLevel="0" collapsed="false">
      <c r="O508" s="3" t="n">
        <v>506</v>
      </c>
      <c r="P508" s="3" t="str">
        <f aca="false">Raw_Data!A506&amp;"|"&amp;Raw_Data!B506&amp;"|"&amp;Raw_Data!C506&amp;"|"&amp;Raw_Data!D506&amp;"|"&amp;Raw_Data!E506&amp;"|"&amp;Raw_Data!F506&amp;"|"&amp;Raw_Data!G506&amp;"|"&amp;Raw_Data!H506&amp;"|"&amp;Raw_Data!I506&amp;"|"&amp;Raw_Data!J506&amp;"|"&amp;Raw_Data!K506&amp;"|"&amp;Raw_Data!L506&amp;"|"&amp;Raw_Data!M506&amp;"|"&amp;Raw_Data!N506&amp;"|"&amp;Raw_Data!O506&amp;"|"&amp;Raw_Data!P506&amp;"|"&amp;Raw_Data!Q506&amp;"|"&amp;Raw_Data!R506&amp;"|"&amp;Raw_Data!S506&amp;"|"&amp;Raw_Data!T506&amp;"|"&amp;Raw_Data!U506&amp;"|"&amp;Raw_Data!V506&amp;"|"&amp;Raw_Data!W506&amp;"|"&amp;Raw_Data!X506&amp;"|"&amp;Raw_Data!Y506&amp;"|"&amp;Raw_Data!Z506&amp;"|"&amp;Raw_Data!AA506&amp;"|"&amp;Raw_Data!AB506&amp;"|"&amp;Raw_Data!AC506&amp;"|"&amp;Raw_Data!AD506&amp;"|"&amp;Raw_Data!AE506&amp;"|"&amp;Raw_Data!AF506&amp;"|"&amp;Raw_Data!AG506&amp;"|"&amp;Raw_Data!AH506&amp;"|"&amp;Raw_Data!AI506&amp;"|"&amp;Raw_Data!AJ506&amp;"|"&amp;Raw_Data!AK506&amp;"|"&amp;Raw_Data!AL506&amp;"|"&amp;Raw_Data!AM506&amp;"|"&amp;Raw_Data!AN506&amp;"|"&amp;Raw_Data!AO506</f>
        <v>0|4|1|2|2|2|1|1|3|26|4|4|5|5|4|5|3|4|5|5|5|5|3|5|3|5|5|2|1|1|5|5|5|5|5|3|2|5|5|2|2</v>
      </c>
      <c r="Q508" s="3" t="n">
        <f aca="false">COUNTIF($P$4:$P$513,P508)</f>
        <v>1</v>
      </c>
    </row>
    <row r="509" customFormat="false" ht="15" hidden="false" customHeight="false" outlineLevel="0" collapsed="false">
      <c r="O509" s="3" t="n">
        <v>507</v>
      </c>
      <c r="P509" s="3" t="str">
        <f aca="false">Raw_Data!A507&amp;"|"&amp;Raw_Data!B507&amp;"|"&amp;Raw_Data!C507&amp;"|"&amp;Raw_Data!D507&amp;"|"&amp;Raw_Data!E507&amp;"|"&amp;Raw_Data!F507&amp;"|"&amp;Raw_Data!G507&amp;"|"&amp;Raw_Data!H507&amp;"|"&amp;Raw_Data!I507&amp;"|"&amp;Raw_Data!J507&amp;"|"&amp;Raw_Data!K507&amp;"|"&amp;Raw_Data!L507&amp;"|"&amp;Raw_Data!M507&amp;"|"&amp;Raw_Data!N507&amp;"|"&amp;Raw_Data!O507&amp;"|"&amp;Raw_Data!P507&amp;"|"&amp;Raw_Data!Q507&amp;"|"&amp;Raw_Data!R507&amp;"|"&amp;Raw_Data!S507&amp;"|"&amp;Raw_Data!T507&amp;"|"&amp;Raw_Data!U507&amp;"|"&amp;Raw_Data!V507&amp;"|"&amp;Raw_Data!W507&amp;"|"&amp;Raw_Data!X507&amp;"|"&amp;Raw_Data!Y507&amp;"|"&amp;Raw_Data!Z507&amp;"|"&amp;Raw_Data!AA507&amp;"|"&amp;Raw_Data!AB507&amp;"|"&amp;Raw_Data!AC507&amp;"|"&amp;Raw_Data!AD507&amp;"|"&amp;Raw_Data!AE507&amp;"|"&amp;Raw_Data!AF507&amp;"|"&amp;Raw_Data!AG507&amp;"|"&amp;Raw_Data!AH507&amp;"|"&amp;Raw_Data!AI507&amp;"|"&amp;Raw_Data!AJ507&amp;"|"&amp;Raw_Data!AK507&amp;"|"&amp;Raw_Data!AL507&amp;"|"&amp;Raw_Data!AM507&amp;"|"&amp;Raw_Data!AN507&amp;"|"&amp;Raw_Data!AO507</f>
        <v>1|4|2|1|2|2|2|3|2|23|3|3|3|3|4|3|3|3|3|3|4|3|5|4|4|5|3|2|3|3|3|2|3|3|4|2|3|4|3|3|3</v>
      </c>
      <c r="Q509" s="3" t="n">
        <f aca="false">COUNTIF($P$4:$P$513,P509)</f>
        <v>1</v>
      </c>
    </row>
    <row r="510" customFormat="false" ht="15" hidden="false" customHeight="false" outlineLevel="0" collapsed="false">
      <c r="O510" s="3" t="n">
        <v>508</v>
      </c>
      <c r="P510" s="3" t="str">
        <f aca="false">Raw_Data!A508&amp;"|"&amp;Raw_Data!B508&amp;"|"&amp;Raw_Data!C508&amp;"|"&amp;Raw_Data!D508&amp;"|"&amp;Raw_Data!E508&amp;"|"&amp;Raw_Data!F508&amp;"|"&amp;Raw_Data!G508&amp;"|"&amp;Raw_Data!H508&amp;"|"&amp;Raw_Data!I508&amp;"|"&amp;Raw_Data!J508&amp;"|"&amp;Raw_Data!K508&amp;"|"&amp;Raw_Data!L508&amp;"|"&amp;Raw_Data!M508&amp;"|"&amp;Raw_Data!N508&amp;"|"&amp;Raw_Data!O508&amp;"|"&amp;Raw_Data!P508&amp;"|"&amp;Raw_Data!Q508&amp;"|"&amp;Raw_Data!R508&amp;"|"&amp;Raw_Data!S508&amp;"|"&amp;Raw_Data!T508&amp;"|"&amp;Raw_Data!U508&amp;"|"&amp;Raw_Data!V508&amp;"|"&amp;Raw_Data!W508&amp;"|"&amp;Raw_Data!X508&amp;"|"&amp;Raw_Data!Y508&amp;"|"&amp;Raw_Data!Z508&amp;"|"&amp;Raw_Data!AA508&amp;"|"&amp;Raw_Data!AB508&amp;"|"&amp;Raw_Data!AC508&amp;"|"&amp;Raw_Data!AD508&amp;"|"&amp;Raw_Data!AE508&amp;"|"&amp;Raw_Data!AF508&amp;"|"&amp;Raw_Data!AG508&amp;"|"&amp;Raw_Data!AH508&amp;"|"&amp;Raw_Data!AI508&amp;"|"&amp;Raw_Data!AJ508&amp;"|"&amp;Raw_Data!AK508&amp;"|"&amp;Raw_Data!AL508&amp;"|"&amp;Raw_Data!AM508&amp;"|"&amp;Raw_Data!AN508&amp;"|"&amp;Raw_Data!AO508</f>
        <v>0|6|2|1|2|2|3|2|1|23|4|4|2|4|3|4|4|3|4|4|4|3|3|4|3|4|4|4|4|4|4|3|4|4|4|4|4|4|4|4|4</v>
      </c>
      <c r="Q510" s="3" t="n">
        <f aca="false">COUNTIF($P$4:$P$513,P510)</f>
        <v>1</v>
      </c>
    </row>
    <row r="511" customFormat="false" ht="15" hidden="false" customHeight="false" outlineLevel="0" collapsed="false">
      <c r="O511" s="3" t="n">
        <v>509</v>
      </c>
      <c r="P511" s="3" t="str">
        <f aca="false">Raw_Data!A509&amp;"|"&amp;Raw_Data!B509&amp;"|"&amp;Raw_Data!C509&amp;"|"&amp;Raw_Data!D509&amp;"|"&amp;Raw_Data!E509&amp;"|"&amp;Raw_Data!F509&amp;"|"&amp;Raw_Data!G509&amp;"|"&amp;Raw_Data!H509&amp;"|"&amp;Raw_Data!I509&amp;"|"&amp;Raw_Data!J509&amp;"|"&amp;Raw_Data!K509&amp;"|"&amp;Raw_Data!L509&amp;"|"&amp;Raw_Data!M509&amp;"|"&amp;Raw_Data!N509&amp;"|"&amp;Raw_Data!O509&amp;"|"&amp;Raw_Data!P509&amp;"|"&amp;Raw_Data!Q509&amp;"|"&amp;Raw_Data!R509&amp;"|"&amp;Raw_Data!S509&amp;"|"&amp;Raw_Data!T509&amp;"|"&amp;Raw_Data!U509&amp;"|"&amp;Raw_Data!V509&amp;"|"&amp;Raw_Data!W509&amp;"|"&amp;Raw_Data!X509&amp;"|"&amp;Raw_Data!Y509&amp;"|"&amp;Raw_Data!Z509&amp;"|"&amp;Raw_Data!AA509&amp;"|"&amp;Raw_Data!AB509&amp;"|"&amp;Raw_Data!AC509&amp;"|"&amp;Raw_Data!AD509&amp;"|"&amp;Raw_Data!AE509&amp;"|"&amp;Raw_Data!AF509&amp;"|"&amp;Raw_Data!AG509&amp;"|"&amp;Raw_Data!AH509&amp;"|"&amp;Raw_Data!AI509&amp;"|"&amp;Raw_Data!AJ509&amp;"|"&amp;Raw_Data!AK509&amp;"|"&amp;Raw_Data!AL509&amp;"|"&amp;Raw_Data!AM509&amp;"|"&amp;Raw_Data!AN509&amp;"|"&amp;Raw_Data!AO509</f>
        <v>0|3|2|2|2|2|2|1|1|20|4|4|3|3|4|3|4|3|4|4|4|4|4|4|4|4|2|4|2|2|4|4|4|4|4|4|3|4|3|2|3</v>
      </c>
      <c r="Q511" s="3" t="n">
        <f aca="false">COUNTIF($P$4:$P$513,P511)</f>
        <v>1</v>
      </c>
    </row>
    <row r="512" customFormat="false" ht="15" hidden="false" customHeight="false" outlineLevel="0" collapsed="false">
      <c r="O512" s="3" t="n">
        <v>510</v>
      </c>
      <c r="P512" s="3" t="str">
        <f aca="false">Raw_Data!A510&amp;"|"&amp;Raw_Data!B510&amp;"|"&amp;Raw_Data!C510&amp;"|"&amp;Raw_Data!D510&amp;"|"&amp;Raw_Data!E510&amp;"|"&amp;Raw_Data!F510&amp;"|"&amp;Raw_Data!G510&amp;"|"&amp;Raw_Data!H510&amp;"|"&amp;Raw_Data!I510&amp;"|"&amp;Raw_Data!J510&amp;"|"&amp;Raw_Data!K510&amp;"|"&amp;Raw_Data!L510&amp;"|"&amp;Raw_Data!M510&amp;"|"&amp;Raw_Data!N510&amp;"|"&amp;Raw_Data!O510&amp;"|"&amp;Raw_Data!P510&amp;"|"&amp;Raw_Data!Q510&amp;"|"&amp;Raw_Data!R510&amp;"|"&amp;Raw_Data!S510&amp;"|"&amp;Raw_Data!T510&amp;"|"&amp;Raw_Data!U510&amp;"|"&amp;Raw_Data!V510&amp;"|"&amp;Raw_Data!W510&amp;"|"&amp;Raw_Data!X510&amp;"|"&amp;Raw_Data!Y510&amp;"|"&amp;Raw_Data!Z510&amp;"|"&amp;Raw_Data!AA510&amp;"|"&amp;Raw_Data!AB510&amp;"|"&amp;Raw_Data!AC510&amp;"|"&amp;Raw_Data!AD510&amp;"|"&amp;Raw_Data!AE510&amp;"|"&amp;Raw_Data!AF510&amp;"|"&amp;Raw_Data!AG510&amp;"|"&amp;Raw_Data!AH510&amp;"|"&amp;Raw_Data!AI510&amp;"|"&amp;Raw_Data!AJ510&amp;"|"&amp;Raw_Data!AK510&amp;"|"&amp;Raw_Data!AL510&amp;"|"&amp;Raw_Data!AM510&amp;"|"&amp;Raw_Data!AN510&amp;"|"&amp;Raw_Data!AO510</f>
        <v>0|3|2|1|2|2|3|1|1|22|3|5|5|5|4|5|4|5|4|5|5|5|5|5|5|5|2|2|2|2|5|4|5|5|5|4|3|3|4|3|3</v>
      </c>
      <c r="Q512" s="3" t="n">
        <f aca="false">COUNTIF($P$4:$P$513,P512)</f>
        <v>1</v>
      </c>
    </row>
    <row r="513" customFormat="false" ht="15" hidden="false" customHeight="false" outlineLevel="0" collapsed="false">
      <c r="O513" s="3" t="n">
        <v>511</v>
      </c>
      <c r="P513" s="3" t="str">
        <f aca="false">Raw_Data!A511&amp;"|"&amp;Raw_Data!B511&amp;"|"&amp;Raw_Data!C511&amp;"|"&amp;Raw_Data!D511&amp;"|"&amp;Raw_Data!E511&amp;"|"&amp;Raw_Data!F511&amp;"|"&amp;Raw_Data!G511&amp;"|"&amp;Raw_Data!H511&amp;"|"&amp;Raw_Data!I511&amp;"|"&amp;Raw_Data!J511&amp;"|"&amp;Raw_Data!K511&amp;"|"&amp;Raw_Data!L511&amp;"|"&amp;Raw_Data!M511&amp;"|"&amp;Raw_Data!N511&amp;"|"&amp;Raw_Data!O511&amp;"|"&amp;Raw_Data!P511&amp;"|"&amp;Raw_Data!Q511&amp;"|"&amp;Raw_Data!R511&amp;"|"&amp;Raw_Data!S511&amp;"|"&amp;Raw_Data!T511&amp;"|"&amp;Raw_Data!U511&amp;"|"&amp;Raw_Data!V511&amp;"|"&amp;Raw_Data!W511&amp;"|"&amp;Raw_Data!X511&amp;"|"&amp;Raw_Data!Y511&amp;"|"&amp;Raw_Data!Z511&amp;"|"&amp;Raw_Data!AA511&amp;"|"&amp;Raw_Data!AB511&amp;"|"&amp;Raw_Data!AC511&amp;"|"&amp;Raw_Data!AD511&amp;"|"&amp;Raw_Data!AE511&amp;"|"&amp;Raw_Data!AF511&amp;"|"&amp;Raw_Data!AG511&amp;"|"&amp;Raw_Data!AH511&amp;"|"&amp;Raw_Data!AI511&amp;"|"&amp;Raw_Data!AJ511&amp;"|"&amp;Raw_Data!AK511&amp;"|"&amp;Raw_Data!AL511&amp;"|"&amp;Raw_Data!AM511&amp;"|"&amp;Raw_Data!AN511&amp;"|"&amp;Raw_Data!AO511</f>
        <v>0|4|1|2|2|2|1|1|3|27|4|5|5|4|4|2|2|3|5|5|4|3|4|4|4|4|2|5|3|4|5|5|5|3|5|5|2|4|4|4|3</v>
      </c>
      <c r="Q513" s="3" t="n">
        <f aca="false">COUNTIF($P$4:$P$513,P513)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1"/>
  </cols>
  <sheetData>
    <row r="1" customFormat="false" ht="35.05" hidden="false" customHeight="false" outlineLevel="0" collapsed="false">
      <c r="A1" s="6" t="s">
        <v>140</v>
      </c>
      <c r="B1" s="6" t="s">
        <v>38</v>
      </c>
      <c r="C1" s="6" t="s">
        <v>40</v>
      </c>
      <c r="D1" s="6" t="s">
        <v>42</v>
      </c>
      <c r="E1" s="6" t="s">
        <v>44</v>
      </c>
      <c r="F1" s="6" t="s">
        <v>46</v>
      </c>
      <c r="G1" s="6" t="s">
        <v>48</v>
      </c>
      <c r="H1" s="6" t="s">
        <v>154</v>
      </c>
      <c r="I1" s="6" t="s">
        <v>155</v>
      </c>
      <c r="J1" s="6" t="s">
        <v>156</v>
      </c>
      <c r="K1" s="6" t="s">
        <v>157</v>
      </c>
      <c r="L1" s="6" t="s">
        <v>158</v>
      </c>
      <c r="M1" s="6" t="s">
        <v>159</v>
      </c>
      <c r="N1" s="6" t="s">
        <v>160</v>
      </c>
      <c r="O1" s="6" t="s">
        <v>161</v>
      </c>
      <c r="P1" s="6" t="s">
        <v>162</v>
      </c>
    </row>
    <row r="2" customFormat="false" ht="15" hidden="false" customHeight="false" outlineLevel="0" collapsed="false">
      <c r="A2" s="0" t="n">
        <v>2</v>
      </c>
      <c r="B2" s="0" t="n">
        <f aca="false">Raw_Data!AJ2</f>
        <v>4</v>
      </c>
      <c r="C2" s="0" t="n">
        <f aca="false">Raw_Data!AK2</f>
        <v>5</v>
      </c>
      <c r="D2" s="0" t="n">
        <f aca="false">Raw_Data!AL2</f>
        <v>4</v>
      </c>
      <c r="E2" s="0" t="n">
        <f aca="false">Raw_Data!AM2</f>
        <v>4</v>
      </c>
      <c r="F2" s="0" t="n">
        <f aca="false">Raw_Data!AN2</f>
        <v>4</v>
      </c>
      <c r="G2" s="0" t="n">
        <f aca="false">Raw_Data!AO2</f>
        <v>4</v>
      </c>
      <c r="H2" s="0" t="n">
        <f aca="false">SUM(B2:G2)</f>
        <v>25</v>
      </c>
      <c r="I2" s="0" t="n">
        <f aca="false">H2-B2</f>
        <v>21</v>
      </c>
      <c r="J2" s="0" t="n">
        <f aca="false">H2-C2</f>
        <v>20</v>
      </c>
      <c r="K2" s="0" t="n">
        <f aca="false">H2-D2</f>
        <v>21</v>
      </c>
      <c r="L2" s="0" t="n">
        <f aca="false">H2-E2</f>
        <v>21</v>
      </c>
      <c r="M2" s="0" t="n">
        <f aca="false">H2-F2</f>
        <v>21</v>
      </c>
      <c r="N2" s="0" t="n">
        <f aca="false">H2-G2</f>
        <v>21</v>
      </c>
      <c r="O2" s="0" t="n">
        <f aca="false">B2+D2+F2</f>
        <v>12</v>
      </c>
      <c r="P2" s="0" t="n">
        <f aca="false">C2+E2+G2</f>
        <v>13</v>
      </c>
    </row>
    <row r="3" customFormat="false" ht="15" hidden="false" customHeight="false" outlineLevel="0" collapsed="false">
      <c r="A3" s="0" t="n">
        <v>3</v>
      </c>
      <c r="B3" s="0" t="n">
        <f aca="false">Raw_Data!AJ3</f>
        <v>4</v>
      </c>
      <c r="C3" s="0" t="n">
        <f aca="false">Raw_Data!AK3</f>
        <v>1</v>
      </c>
      <c r="D3" s="0" t="n">
        <f aca="false">Raw_Data!AL3</f>
        <v>5</v>
      </c>
      <c r="E3" s="0" t="n">
        <f aca="false">Raw_Data!AM3</f>
        <v>3</v>
      </c>
      <c r="F3" s="0" t="n">
        <f aca="false">Raw_Data!AN3</f>
        <v>2</v>
      </c>
      <c r="G3" s="0" t="n">
        <f aca="false">Raw_Data!AO3</f>
        <v>3</v>
      </c>
      <c r="H3" s="0" t="n">
        <f aca="false">SUM(B3:G3)</f>
        <v>18</v>
      </c>
      <c r="I3" s="0" t="n">
        <f aca="false">H3-B3</f>
        <v>14</v>
      </c>
      <c r="J3" s="0" t="n">
        <f aca="false">H3-C3</f>
        <v>17</v>
      </c>
      <c r="K3" s="0" t="n">
        <f aca="false">H3-D3</f>
        <v>13</v>
      </c>
      <c r="L3" s="0" t="n">
        <f aca="false">H3-E3</f>
        <v>15</v>
      </c>
      <c r="M3" s="0" t="n">
        <f aca="false">H3-F3</f>
        <v>16</v>
      </c>
      <c r="N3" s="0" t="n">
        <f aca="false">H3-G3</f>
        <v>15</v>
      </c>
      <c r="O3" s="0" t="n">
        <f aca="false">B3+D3+F3</f>
        <v>11</v>
      </c>
      <c r="P3" s="0" t="n">
        <f aca="false">C3+E3+G3</f>
        <v>7</v>
      </c>
    </row>
    <row r="4" customFormat="false" ht="15" hidden="false" customHeight="false" outlineLevel="0" collapsed="false">
      <c r="A4" s="0" t="n">
        <v>4</v>
      </c>
      <c r="B4" s="0" t="n">
        <f aca="false">Raw_Data!AJ4</f>
        <v>4</v>
      </c>
      <c r="C4" s="0" t="n">
        <f aca="false">Raw_Data!AK4</f>
        <v>3</v>
      </c>
      <c r="D4" s="0" t="n">
        <f aca="false">Raw_Data!AL4</f>
        <v>4</v>
      </c>
      <c r="E4" s="0" t="n">
        <f aca="false">Raw_Data!AM4</f>
        <v>4</v>
      </c>
      <c r="F4" s="0" t="n">
        <f aca="false">Raw_Data!AN4</f>
        <v>3</v>
      </c>
      <c r="G4" s="0" t="n">
        <f aca="false">Raw_Data!AO4</f>
        <v>3</v>
      </c>
      <c r="H4" s="0" t="n">
        <f aca="false">SUM(B4:G4)</f>
        <v>21</v>
      </c>
      <c r="I4" s="0" t="n">
        <f aca="false">H4-B4</f>
        <v>17</v>
      </c>
      <c r="J4" s="0" t="n">
        <f aca="false">H4-C4</f>
        <v>18</v>
      </c>
      <c r="K4" s="0" t="n">
        <f aca="false">H4-D4</f>
        <v>17</v>
      </c>
      <c r="L4" s="0" t="n">
        <f aca="false">H4-E4</f>
        <v>17</v>
      </c>
      <c r="M4" s="0" t="n">
        <f aca="false">H4-F4</f>
        <v>18</v>
      </c>
      <c r="N4" s="0" t="n">
        <f aca="false">H4-G4</f>
        <v>18</v>
      </c>
      <c r="O4" s="0" t="n">
        <f aca="false">B4+D4+F4</f>
        <v>11</v>
      </c>
      <c r="P4" s="0" t="n">
        <f aca="false">C4+E4+G4</f>
        <v>10</v>
      </c>
    </row>
    <row r="5" customFormat="false" ht="15" hidden="false" customHeight="false" outlineLevel="0" collapsed="false">
      <c r="A5" s="0" t="n">
        <v>5</v>
      </c>
      <c r="B5" s="0" t="n">
        <f aca="false">Raw_Data!AJ5</f>
        <v>4</v>
      </c>
      <c r="C5" s="0" t="n">
        <f aca="false">Raw_Data!AK5</f>
        <v>3</v>
      </c>
      <c r="D5" s="0" t="n">
        <f aca="false">Raw_Data!AL5</f>
        <v>4</v>
      </c>
      <c r="E5" s="0" t="n">
        <f aca="false">Raw_Data!AM5</f>
        <v>3</v>
      </c>
      <c r="F5" s="0" t="n">
        <f aca="false">Raw_Data!AN5</f>
        <v>2</v>
      </c>
      <c r="G5" s="0" t="n">
        <f aca="false">Raw_Data!AO5</f>
        <v>2</v>
      </c>
      <c r="H5" s="0" t="n">
        <f aca="false">SUM(B5:G5)</f>
        <v>18</v>
      </c>
      <c r="I5" s="0" t="n">
        <f aca="false">H5-B5</f>
        <v>14</v>
      </c>
      <c r="J5" s="0" t="n">
        <f aca="false">H5-C5</f>
        <v>15</v>
      </c>
      <c r="K5" s="0" t="n">
        <f aca="false">H5-D5</f>
        <v>14</v>
      </c>
      <c r="L5" s="0" t="n">
        <f aca="false">H5-E5</f>
        <v>15</v>
      </c>
      <c r="M5" s="0" t="n">
        <f aca="false">H5-F5</f>
        <v>16</v>
      </c>
      <c r="N5" s="0" t="n">
        <f aca="false">H5-G5</f>
        <v>16</v>
      </c>
      <c r="O5" s="0" t="n">
        <f aca="false">B5+D5+F5</f>
        <v>10</v>
      </c>
      <c r="P5" s="0" t="n">
        <f aca="false">C5+E5+G5</f>
        <v>8</v>
      </c>
    </row>
    <row r="6" customFormat="false" ht="15" hidden="false" customHeight="false" outlineLevel="0" collapsed="false">
      <c r="A6" s="0" t="n">
        <v>6</v>
      </c>
      <c r="B6" s="0" t="n">
        <f aca="false">Raw_Data!AJ6</f>
        <v>3</v>
      </c>
      <c r="C6" s="0" t="n">
        <f aca="false">Raw_Data!AK6</f>
        <v>5</v>
      </c>
      <c r="D6" s="0" t="n">
        <f aca="false">Raw_Data!AL6</f>
        <v>5</v>
      </c>
      <c r="E6" s="0" t="n">
        <f aca="false">Raw_Data!AM6</f>
        <v>4</v>
      </c>
      <c r="F6" s="0" t="n">
        <f aca="false">Raw_Data!AN6</f>
        <v>4</v>
      </c>
      <c r="G6" s="0" t="n">
        <f aca="false">Raw_Data!AO6</f>
        <v>4</v>
      </c>
      <c r="H6" s="0" t="n">
        <f aca="false">SUM(B6:G6)</f>
        <v>25</v>
      </c>
      <c r="I6" s="0" t="n">
        <f aca="false">H6-B6</f>
        <v>22</v>
      </c>
      <c r="J6" s="0" t="n">
        <f aca="false">H6-C6</f>
        <v>20</v>
      </c>
      <c r="K6" s="0" t="n">
        <f aca="false">H6-D6</f>
        <v>20</v>
      </c>
      <c r="L6" s="0" t="n">
        <f aca="false">H6-E6</f>
        <v>21</v>
      </c>
      <c r="M6" s="0" t="n">
        <f aca="false">H6-F6</f>
        <v>21</v>
      </c>
      <c r="N6" s="0" t="n">
        <f aca="false">H6-G6</f>
        <v>21</v>
      </c>
      <c r="O6" s="0" t="n">
        <f aca="false">B6+D6+F6</f>
        <v>12</v>
      </c>
      <c r="P6" s="0" t="n">
        <f aca="false">C6+E6+G6</f>
        <v>13</v>
      </c>
    </row>
    <row r="7" customFormat="false" ht="15" hidden="false" customHeight="false" outlineLevel="0" collapsed="false">
      <c r="A7" s="0" t="n">
        <v>7</v>
      </c>
      <c r="B7" s="0" t="n">
        <f aca="false">Raw_Data!AJ7</f>
        <v>3</v>
      </c>
      <c r="C7" s="0" t="n">
        <f aca="false">Raw_Data!AK7</f>
        <v>5</v>
      </c>
      <c r="D7" s="0" t="n">
        <f aca="false">Raw_Data!AL7</f>
        <v>3</v>
      </c>
      <c r="E7" s="0" t="n">
        <f aca="false">Raw_Data!AM7</f>
        <v>3</v>
      </c>
      <c r="F7" s="0" t="n">
        <f aca="false">Raw_Data!AN7</f>
        <v>4</v>
      </c>
      <c r="G7" s="0" t="n">
        <f aca="false">Raw_Data!AO7</f>
        <v>3</v>
      </c>
      <c r="H7" s="0" t="n">
        <f aca="false">SUM(B7:G7)</f>
        <v>21</v>
      </c>
      <c r="I7" s="0" t="n">
        <f aca="false">H7-B7</f>
        <v>18</v>
      </c>
      <c r="J7" s="0" t="n">
        <f aca="false">H7-C7</f>
        <v>16</v>
      </c>
      <c r="K7" s="0" t="n">
        <f aca="false">H7-D7</f>
        <v>18</v>
      </c>
      <c r="L7" s="0" t="n">
        <f aca="false">H7-E7</f>
        <v>18</v>
      </c>
      <c r="M7" s="0" t="n">
        <f aca="false">H7-F7</f>
        <v>17</v>
      </c>
      <c r="N7" s="0" t="n">
        <f aca="false">H7-G7</f>
        <v>18</v>
      </c>
      <c r="O7" s="0" t="n">
        <f aca="false">B7+D7+F7</f>
        <v>10</v>
      </c>
      <c r="P7" s="0" t="n">
        <f aca="false">C7+E7+G7</f>
        <v>11</v>
      </c>
    </row>
    <row r="8" customFormat="false" ht="15" hidden="false" customHeight="false" outlineLevel="0" collapsed="false">
      <c r="A8" s="0" t="n">
        <v>8</v>
      </c>
      <c r="B8" s="0" t="n">
        <f aca="false">Raw_Data!AJ8</f>
        <v>4</v>
      </c>
      <c r="C8" s="0" t="n">
        <f aca="false">Raw_Data!AK8</f>
        <v>2</v>
      </c>
      <c r="D8" s="0" t="n">
        <f aca="false">Raw_Data!AL8</f>
        <v>5</v>
      </c>
      <c r="E8" s="0" t="n">
        <f aca="false">Raw_Data!AM8</f>
        <v>3</v>
      </c>
      <c r="F8" s="0" t="n">
        <f aca="false">Raw_Data!AN8</f>
        <v>3</v>
      </c>
      <c r="G8" s="0" t="n">
        <f aca="false">Raw_Data!AO8</f>
        <v>3</v>
      </c>
      <c r="H8" s="0" t="n">
        <f aca="false">SUM(B8:G8)</f>
        <v>20</v>
      </c>
      <c r="I8" s="0" t="n">
        <f aca="false">H8-B8</f>
        <v>16</v>
      </c>
      <c r="J8" s="0" t="n">
        <f aca="false">H8-C8</f>
        <v>18</v>
      </c>
      <c r="K8" s="0" t="n">
        <f aca="false">H8-D8</f>
        <v>15</v>
      </c>
      <c r="L8" s="0" t="n">
        <f aca="false">H8-E8</f>
        <v>17</v>
      </c>
      <c r="M8" s="0" t="n">
        <f aca="false">H8-F8</f>
        <v>17</v>
      </c>
      <c r="N8" s="0" t="n">
        <f aca="false">H8-G8</f>
        <v>17</v>
      </c>
      <c r="O8" s="0" t="n">
        <f aca="false">B8+D8+F8</f>
        <v>12</v>
      </c>
      <c r="P8" s="0" t="n">
        <f aca="false">C8+E8+G8</f>
        <v>8</v>
      </c>
    </row>
    <row r="9" customFormat="false" ht="15" hidden="false" customHeight="false" outlineLevel="0" collapsed="false">
      <c r="A9" s="0" t="n">
        <v>9</v>
      </c>
      <c r="B9" s="0" t="n">
        <f aca="false">Raw_Data!AJ9</f>
        <v>3</v>
      </c>
      <c r="C9" s="0" t="n">
        <f aca="false">Raw_Data!AK9</f>
        <v>4</v>
      </c>
      <c r="D9" s="0" t="n">
        <f aca="false">Raw_Data!AL9</f>
        <v>4</v>
      </c>
      <c r="E9" s="0" t="n">
        <f aca="false">Raw_Data!AM9</f>
        <v>4</v>
      </c>
      <c r="F9" s="0" t="n">
        <f aca="false">Raw_Data!AN9</f>
        <v>2</v>
      </c>
      <c r="G9" s="0" t="n">
        <f aca="false">Raw_Data!AO9</f>
        <v>4</v>
      </c>
      <c r="H9" s="0" t="n">
        <f aca="false">SUM(B9:G9)</f>
        <v>21</v>
      </c>
      <c r="I9" s="0" t="n">
        <f aca="false">H9-B9</f>
        <v>18</v>
      </c>
      <c r="J9" s="0" t="n">
        <f aca="false">H9-C9</f>
        <v>17</v>
      </c>
      <c r="K9" s="0" t="n">
        <f aca="false">H9-D9</f>
        <v>17</v>
      </c>
      <c r="L9" s="0" t="n">
        <f aca="false">H9-E9</f>
        <v>17</v>
      </c>
      <c r="M9" s="0" t="n">
        <f aca="false">H9-F9</f>
        <v>19</v>
      </c>
      <c r="N9" s="0" t="n">
        <f aca="false">H9-G9</f>
        <v>17</v>
      </c>
      <c r="O9" s="0" t="n">
        <f aca="false">B9+D9+F9</f>
        <v>9</v>
      </c>
      <c r="P9" s="0" t="n">
        <f aca="false">C9+E9+G9</f>
        <v>12</v>
      </c>
    </row>
    <row r="10" customFormat="false" ht="15" hidden="false" customHeight="false" outlineLevel="0" collapsed="false">
      <c r="A10" s="0" t="n">
        <v>10</v>
      </c>
      <c r="B10" s="0" t="n">
        <f aca="false">Raw_Data!AJ10</f>
        <v>4</v>
      </c>
      <c r="C10" s="0" t="n">
        <f aca="false">Raw_Data!AK10</f>
        <v>5</v>
      </c>
      <c r="D10" s="0" t="n">
        <f aca="false">Raw_Data!AL10</f>
        <v>4</v>
      </c>
      <c r="E10" s="0" t="n">
        <f aca="false">Raw_Data!AM10</f>
        <v>4</v>
      </c>
      <c r="F10" s="0" t="n">
        <f aca="false">Raw_Data!AN10</f>
        <v>3</v>
      </c>
      <c r="G10" s="0" t="n">
        <f aca="false">Raw_Data!AO10</f>
        <v>3</v>
      </c>
      <c r="H10" s="0" t="n">
        <f aca="false">SUM(B10:G10)</f>
        <v>23</v>
      </c>
      <c r="I10" s="0" t="n">
        <f aca="false">H10-B10</f>
        <v>19</v>
      </c>
      <c r="J10" s="0" t="n">
        <f aca="false">H10-C10</f>
        <v>18</v>
      </c>
      <c r="K10" s="0" t="n">
        <f aca="false">H10-D10</f>
        <v>19</v>
      </c>
      <c r="L10" s="0" t="n">
        <f aca="false">H10-E10</f>
        <v>19</v>
      </c>
      <c r="M10" s="0" t="n">
        <f aca="false">H10-F10</f>
        <v>20</v>
      </c>
      <c r="N10" s="0" t="n">
        <f aca="false">H10-G10</f>
        <v>20</v>
      </c>
      <c r="O10" s="0" t="n">
        <f aca="false">B10+D10+F10</f>
        <v>11</v>
      </c>
      <c r="P10" s="0" t="n">
        <f aca="false">C10+E10+G10</f>
        <v>12</v>
      </c>
    </row>
    <row r="11" customFormat="false" ht="15" hidden="false" customHeight="false" outlineLevel="0" collapsed="false">
      <c r="A11" s="0" t="n">
        <v>11</v>
      </c>
      <c r="B11" s="0" t="n">
        <f aca="false">Raw_Data!AJ11</f>
        <v>4</v>
      </c>
      <c r="C11" s="0" t="n">
        <f aca="false">Raw_Data!AK11</f>
        <v>3</v>
      </c>
      <c r="D11" s="0" t="n">
        <f aca="false">Raw_Data!AL11</f>
        <v>3</v>
      </c>
      <c r="E11" s="0" t="n">
        <f aca="false">Raw_Data!AM11</f>
        <v>3</v>
      </c>
      <c r="F11" s="0" t="n">
        <f aca="false">Raw_Data!AN11</f>
        <v>3</v>
      </c>
      <c r="G11" s="0" t="n">
        <f aca="false">Raw_Data!AO11</f>
        <v>3</v>
      </c>
      <c r="H11" s="0" t="n">
        <f aca="false">SUM(B11:G11)</f>
        <v>19</v>
      </c>
      <c r="I11" s="0" t="n">
        <f aca="false">H11-B11</f>
        <v>15</v>
      </c>
      <c r="J11" s="0" t="n">
        <f aca="false">H11-C11</f>
        <v>16</v>
      </c>
      <c r="K11" s="0" t="n">
        <f aca="false">H11-D11</f>
        <v>16</v>
      </c>
      <c r="L11" s="0" t="n">
        <f aca="false">H11-E11</f>
        <v>16</v>
      </c>
      <c r="M11" s="0" t="n">
        <f aca="false">H11-F11</f>
        <v>16</v>
      </c>
      <c r="N11" s="0" t="n">
        <f aca="false">H11-G11</f>
        <v>16</v>
      </c>
      <c r="O11" s="0" t="n">
        <f aca="false">B11+D11+F11</f>
        <v>10</v>
      </c>
      <c r="P11" s="0" t="n">
        <f aca="false">C11+E11+G11</f>
        <v>9</v>
      </c>
    </row>
    <row r="12" customFormat="false" ht="15" hidden="false" customHeight="false" outlineLevel="0" collapsed="false">
      <c r="A12" s="0" t="n">
        <v>12</v>
      </c>
      <c r="B12" s="0" t="n">
        <f aca="false">Raw_Data!AJ12</f>
        <v>4</v>
      </c>
      <c r="C12" s="0" t="n">
        <f aca="false">Raw_Data!AK12</f>
        <v>4</v>
      </c>
      <c r="D12" s="0" t="n">
        <f aca="false">Raw_Data!AL12</f>
        <v>5</v>
      </c>
      <c r="E12" s="0" t="n">
        <f aca="false">Raw_Data!AM12</f>
        <v>4</v>
      </c>
      <c r="F12" s="0" t="n">
        <f aca="false">Raw_Data!AN12</f>
        <v>3</v>
      </c>
      <c r="G12" s="0" t="n">
        <f aca="false">Raw_Data!AO12</f>
        <v>2</v>
      </c>
      <c r="H12" s="0" t="n">
        <f aca="false">SUM(B12:G12)</f>
        <v>22</v>
      </c>
      <c r="I12" s="0" t="n">
        <f aca="false">H12-B12</f>
        <v>18</v>
      </c>
      <c r="J12" s="0" t="n">
        <f aca="false">H12-C12</f>
        <v>18</v>
      </c>
      <c r="K12" s="0" t="n">
        <f aca="false">H12-D12</f>
        <v>17</v>
      </c>
      <c r="L12" s="0" t="n">
        <f aca="false">H12-E12</f>
        <v>18</v>
      </c>
      <c r="M12" s="0" t="n">
        <f aca="false">H12-F12</f>
        <v>19</v>
      </c>
      <c r="N12" s="0" t="n">
        <f aca="false">H12-G12</f>
        <v>20</v>
      </c>
      <c r="O12" s="0" t="n">
        <f aca="false">B12+D12+F12</f>
        <v>12</v>
      </c>
      <c r="P12" s="0" t="n">
        <f aca="false">C12+E12+G12</f>
        <v>10</v>
      </c>
    </row>
    <row r="13" customFormat="false" ht="15" hidden="false" customHeight="false" outlineLevel="0" collapsed="false">
      <c r="A13" s="0" t="n">
        <v>13</v>
      </c>
      <c r="B13" s="0" t="n">
        <f aca="false">Raw_Data!AJ13</f>
        <v>2</v>
      </c>
      <c r="C13" s="0" t="n">
        <f aca="false">Raw_Data!AK13</f>
        <v>4</v>
      </c>
      <c r="D13" s="0" t="n">
        <f aca="false">Raw_Data!AL13</f>
        <v>5</v>
      </c>
      <c r="E13" s="0" t="n">
        <f aca="false">Raw_Data!AM13</f>
        <v>2</v>
      </c>
      <c r="F13" s="0" t="n">
        <f aca="false">Raw_Data!AN13</f>
        <v>1</v>
      </c>
      <c r="G13" s="0" t="n">
        <f aca="false">Raw_Data!AO13</f>
        <v>2</v>
      </c>
      <c r="H13" s="0" t="n">
        <f aca="false">SUM(B13:G13)</f>
        <v>16</v>
      </c>
      <c r="I13" s="0" t="n">
        <f aca="false">H13-B13</f>
        <v>14</v>
      </c>
      <c r="J13" s="0" t="n">
        <f aca="false">H13-C13</f>
        <v>12</v>
      </c>
      <c r="K13" s="0" t="n">
        <f aca="false">H13-D13</f>
        <v>11</v>
      </c>
      <c r="L13" s="0" t="n">
        <f aca="false">H13-E13</f>
        <v>14</v>
      </c>
      <c r="M13" s="0" t="n">
        <f aca="false">H13-F13</f>
        <v>15</v>
      </c>
      <c r="N13" s="0" t="n">
        <f aca="false">H13-G13</f>
        <v>14</v>
      </c>
      <c r="O13" s="0" t="n">
        <f aca="false">B13+D13+F13</f>
        <v>8</v>
      </c>
      <c r="P13" s="0" t="n">
        <f aca="false">C13+E13+G13</f>
        <v>8</v>
      </c>
    </row>
    <row r="14" customFormat="false" ht="15" hidden="false" customHeight="false" outlineLevel="0" collapsed="false">
      <c r="A14" s="0" t="n">
        <v>14</v>
      </c>
      <c r="B14" s="0" t="n">
        <f aca="false">Raw_Data!AJ14</f>
        <v>3</v>
      </c>
      <c r="C14" s="0" t="n">
        <f aca="false">Raw_Data!AK14</f>
        <v>4</v>
      </c>
      <c r="D14" s="0" t="n">
        <f aca="false">Raw_Data!AL14</f>
        <v>4</v>
      </c>
      <c r="E14" s="0" t="n">
        <f aca="false">Raw_Data!AM14</f>
        <v>3</v>
      </c>
      <c r="F14" s="0" t="n">
        <f aca="false">Raw_Data!AN14</f>
        <v>4</v>
      </c>
      <c r="G14" s="0" t="n">
        <f aca="false">Raw_Data!AO14</f>
        <v>3</v>
      </c>
      <c r="H14" s="0" t="n">
        <f aca="false">SUM(B14:G14)</f>
        <v>21</v>
      </c>
      <c r="I14" s="0" t="n">
        <f aca="false">H14-B14</f>
        <v>18</v>
      </c>
      <c r="J14" s="0" t="n">
        <f aca="false">H14-C14</f>
        <v>17</v>
      </c>
      <c r="K14" s="0" t="n">
        <f aca="false">H14-D14</f>
        <v>17</v>
      </c>
      <c r="L14" s="0" t="n">
        <f aca="false">H14-E14</f>
        <v>18</v>
      </c>
      <c r="M14" s="0" t="n">
        <f aca="false">H14-F14</f>
        <v>17</v>
      </c>
      <c r="N14" s="0" t="n">
        <f aca="false">H14-G14</f>
        <v>18</v>
      </c>
      <c r="O14" s="0" t="n">
        <f aca="false">B14+D14+F14</f>
        <v>11</v>
      </c>
      <c r="P14" s="0" t="n">
        <f aca="false">C14+E14+G14</f>
        <v>10</v>
      </c>
    </row>
    <row r="15" customFormat="false" ht="15" hidden="false" customHeight="false" outlineLevel="0" collapsed="false">
      <c r="A15" s="0" t="n">
        <v>15</v>
      </c>
      <c r="B15" s="0" t="n">
        <f aca="false">Raw_Data!AJ15</f>
        <v>5</v>
      </c>
      <c r="C15" s="0" t="n">
        <f aca="false">Raw_Data!AK15</f>
        <v>3</v>
      </c>
      <c r="D15" s="0" t="n">
        <f aca="false">Raw_Data!AL15</f>
        <v>5</v>
      </c>
      <c r="E15" s="0" t="n">
        <f aca="false">Raw_Data!AM15</f>
        <v>4</v>
      </c>
      <c r="F15" s="0" t="n">
        <f aca="false">Raw_Data!AN15</f>
        <v>4</v>
      </c>
      <c r="G15" s="0" t="n">
        <f aca="false">Raw_Data!AO15</f>
        <v>4</v>
      </c>
      <c r="H15" s="0" t="n">
        <f aca="false">SUM(B15:G15)</f>
        <v>25</v>
      </c>
      <c r="I15" s="0" t="n">
        <f aca="false">H15-B15</f>
        <v>20</v>
      </c>
      <c r="J15" s="0" t="n">
        <f aca="false">H15-C15</f>
        <v>22</v>
      </c>
      <c r="K15" s="0" t="n">
        <f aca="false">H15-D15</f>
        <v>20</v>
      </c>
      <c r="L15" s="0" t="n">
        <f aca="false">H15-E15</f>
        <v>21</v>
      </c>
      <c r="M15" s="0" t="n">
        <f aca="false">H15-F15</f>
        <v>21</v>
      </c>
      <c r="N15" s="0" t="n">
        <f aca="false">H15-G15</f>
        <v>21</v>
      </c>
      <c r="O15" s="0" t="n">
        <f aca="false">B15+D15+F15</f>
        <v>14</v>
      </c>
      <c r="P15" s="0" t="n">
        <f aca="false">C15+E15+G15</f>
        <v>11</v>
      </c>
    </row>
    <row r="16" customFormat="false" ht="15" hidden="false" customHeight="false" outlineLevel="0" collapsed="false">
      <c r="A16" s="0" t="n">
        <v>16</v>
      </c>
      <c r="B16" s="0" t="n">
        <f aca="false">Raw_Data!AJ16</f>
        <v>4</v>
      </c>
      <c r="C16" s="0" t="n">
        <f aca="false">Raw_Data!AK16</f>
        <v>4</v>
      </c>
      <c r="D16" s="0" t="n">
        <f aca="false">Raw_Data!AL16</f>
        <v>4</v>
      </c>
      <c r="E16" s="0" t="n">
        <f aca="false">Raw_Data!AM16</f>
        <v>3</v>
      </c>
      <c r="F16" s="0" t="n">
        <f aca="false">Raw_Data!AN16</f>
        <v>3</v>
      </c>
      <c r="G16" s="0" t="n">
        <f aca="false">Raw_Data!AO16</f>
        <v>3</v>
      </c>
      <c r="H16" s="0" t="n">
        <f aca="false">SUM(B16:G16)</f>
        <v>21</v>
      </c>
      <c r="I16" s="0" t="n">
        <f aca="false">H16-B16</f>
        <v>17</v>
      </c>
      <c r="J16" s="0" t="n">
        <f aca="false">H16-C16</f>
        <v>17</v>
      </c>
      <c r="K16" s="0" t="n">
        <f aca="false">H16-D16</f>
        <v>17</v>
      </c>
      <c r="L16" s="0" t="n">
        <f aca="false">H16-E16</f>
        <v>18</v>
      </c>
      <c r="M16" s="0" t="n">
        <f aca="false">H16-F16</f>
        <v>18</v>
      </c>
      <c r="N16" s="0" t="n">
        <f aca="false">H16-G16</f>
        <v>18</v>
      </c>
      <c r="O16" s="0" t="n">
        <f aca="false">B16+D16+F16</f>
        <v>11</v>
      </c>
      <c r="P16" s="0" t="n">
        <f aca="false">C16+E16+G16</f>
        <v>10</v>
      </c>
    </row>
    <row r="17" customFormat="false" ht="15" hidden="false" customHeight="false" outlineLevel="0" collapsed="false">
      <c r="A17" s="0" t="n">
        <v>17</v>
      </c>
      <c r="B17" s="0" t="n">
        <f aca="false">Raw_Data!AJ17</f>
        <v>5</v>
      </c>
      <c r="C17" s="0" t="n">
        <f aca="false">Raw_Data!AK17</f>
        <v>4</v>
      </c>
      <c r="D17" s="0" t="n">
        <f aca="false">Raw_Data!AL17</f>
        <v>4</v>
      </c>
      <c r="E17" s="0" t="n">
        <f aca="false">Raw_Data!AM17</f>
        <v>4</v>
      </c>
      <c r="F17" s="0" t="n">
        <f aca="false">Raw_Data!AN17</f>
        <v>4</v>
      </c>
      <c r="G17" s="0" t="n">
        <f aca="false">Raw_Data!AO17</f>
        <v>3</v>
      </c>
      <c r="H17" s="0" t="n">
        <f aca="false">SUM(B17:G17)</f>
        <v>24</v>
      </c>
      <c r="I17" s="0" t="n">
        <f aca="false">H17-B17</f>
        <v>19</v>
      </c>
      <c r="J17" s="0" t="n">
        <f aca="false">H17-C17</f>
        <v>20</v>
      </c>
      <c r="K17" s="0" t="n">
        <f aca="false">H17-D17</f>
        <v>20</v>
      </c>
      <c r="L17" s="0" t="n">
        <f aca="false">H17-E17</f>
        <v>20</v>
      </c>
      <c r="M17" s="0" t="n">
        <f aca="false">H17-F17</f>
        <v>20</v>
      </c>
      <c r="N17" s="0" t="n">
        <f aca="false">H17-G17</f>
        <v>21</v>
      </c>
      <c r="O17" s="0" t="n">
        <f aca="false">B17+D17+F17</f>
        <v>13</v>
      </c>
      <c r="P17" s="0" t="n">
        <f aca="false">C17+E17+G17</f>
        <v>11</v>
      </c>
    </row>
    <row r="18" customFormat="false" ht="15" hidden="false" customHeight="false" outlineLevel="0" collapsed="false">
      <c r="A18" s="0" t="n">
        <v>18</v>
      </c>
      <c r="B18" s="0" t="n">
        <f aca="false">Raw_Data!AJ18</f>
        <v>1</v>
      </c>
      <c r="C18" s="0" t="n">
        <f aca="false">Raw_Data!AK18</f>
        <v>2</v>
      </c>
      <c r="D18" s="0" t="n">
        <f aca="false">Raw_Data!AL18</f>
        <v>4</v>
      </c>
      <c r="E18" s="0" t="n">
        <f aca="false">Raw_Data!AM18</f>
        <v>4</v>
      </c>
      <c r="F18" s="0" t="n">
        <f aca="false">Raw_Data!AN18</f>
        <v>3</v>
      </c>
      <c r="G18" s="0" t="n">
        <f aca="false">Raw_Data!AO18</f>
        <v>3</v>
      </c>
      <c r="H18" s="0" t="n">
        <f aca="false">SUM(B18:G18)</f>
        <v>17</v>
      </c>
      <c r="I18" s="0" t="n">
        <f aca="false">H18-B18</f>
        <v>16</v>
      </c>
      <c r="J18" s="0" t="n">
        <f aca="false">H18-C18</f>
        <v>15</v>
      </c>
      <c r="K18" s="0" t="n">
        <f aca="false">H18-D18</f>
        <v>13</v>
      </c>
      <c r="L18" s="0" t="n">
        <f aca="false">H18-E18</f>
        <v>13</v>
      </c>
      <c r="M18" s="0" t="n">
        <f aca="false">H18-F18</f>
        <v>14</v>
      </c>
      <c r="N18" s="0" t="n">
        <f aca="false">H18-G18</f>
        <v>14</v>
      </c>
      <c r="O18" s="0" t="n">
        <f aca="false">B18+D18+F18</f>
        <v>8</v>
      </c>
      <c r="P18" s="0" t="n">
        <f aca="false">C18+E18+G18</f>
        <v>9</v>
      </c>
    </row>
    <row r="19" customFormat="false" ht="15" hidden="false" customHeight="false" outlineLevel="0" collapsed="false">
      <c r="A19" s="0" t="n">
        <v>19</v>
      </c>
      <c r="B19" s="0" t="n">
        <f aca="false">Raw_Data!AJ19</f>
        <v>5</v>
      </c>
      <c r="C19" s="0" t="n">
        <f aca="false">Raw_Data!AK19</f>
        <v>2</v>
      </c>
      <c r="D19" s="0" t="n">
        <f aca="false">Raw_Data!AL19</f>
        <v>5</v>
      </c>
      <c r="E19" s="0" t="n">
        <f aca="false">Raw_Data!AM19</f>
        <v>3</v>
      </c>
      <c r="F19" s="0" t="n">
        <f aca="false">Raw_Data!AN19</f>
        <v>3</v>
      </c>
      <c r="G19" s="0" t="n">
        <f aca="false">Raw_Data!AO19</f>
        <v>4</v>
      </c>
      <c r="H19" s="0" t="n">
        <f aca="false">SUM(B19:G19)</f>
        <v>22</v>
      </c>
      <c r="I19" s="0" t="n">
        <f aca="false">H19-B19</f>
        <v>17</v>
      </c>
      <c r="J19" s="0" t="n">
        <f aca="false">H19-C19</f>
        <v>20</v>
      </c>
      <c r="K19" s="0" t="n">
        <f aca="false">H19-D19</f>
        <v>17</v>
      </c>
      <c r="L19" s="0" t="n">
        <f aca="false">H19-E19</f>
        <v>19</v>
      </c>
      <c r="M19" s="0" t="n">
        <f aca="false">H19-F19</f>
        <v>19</v>
      </c>
      <c r="N19" s="0" t="n">
        <f aca="false">H19-G19</f>
        <v>18</v>
      </c>
      <c r="O19" s="0" t="n">
        <f aca="false">B19+D19+F19</f>
        <v>13</v>
      </c>
      <c r="P19" s="0" t="n">
        <f aca="false">C19+E19+G19</f>
        <v>9</v>
      </c>
    </row>
    <row r="20" customFormat="false" ht="15" hidden="false" customHeight="false" outlineLevel="0" collapsed="false">
      <c r="A20" s="0" t="n">
        <v>20</v>
      </c>
      <c r="B20" s="0" t="n">
        <f aca="false">Raw_Data!AJ20</f>
        <v>4</v>
      </c>
      <c r="C20" s="0" t="n">
        <f aca="false">Raw_Data!AK20</f>
        <v>4</v>
      </c>
      <c r="D20" s="0" t="n">
        <f aca="false">Raw_Data!AL20</f>
        <v>2</v>
      </c>
      <c r="E20" s="0" t="n">
        <f aca="false">Raw_Data!AM20</f>
        <v>3</v>
      </c>
      <c r="F20" s="0" t="n">
        <f aca="false">Raw_Data!AN20</f>
        <v>3</v>
      </c>
      <c r="G20" s="0" t="n">
        <f aca="false">Raw_Data!AO20</f>
        <v>3</v>
      </c>
      <c r="H20" s="0" t="n">
        <f aca="false">SUM(B20:G20)</f>
        <v>19</v>
      </c>
      <c r="I20" s="0" t="n">
        <f aca="false">H20-B20</f>
        <v>15</v>
      </c>
      <c r="J20" s="0" t="n">
        <f aca="false">H20-C20</f>
        <v>15</v>
      </c>
      <c r="K20" s="0" t="n">
        <f aca="false">H20-D20</f>
        <v>17</v>
      </c>
      <c r="L20" s="0" t="n">
        <f aca="false">H20-E20</f>
        <v>16</v>
      </c>
      <c r="M20" s="0" t="n">
        <f aca="false">H20-F20</f>
        <v>16</v>
      </c>
      <c r="N20" s="0" t="n">
        <f aca="false">H20-G20</f>
        <v>16</v>
      </c>
      <c r="O20" s="0" t="n">
        <f aca="false">B20+D20+F20</f>
        <v>9</v>
      </c>
      <c r="P20" s="0" t="n">
        <f aca="false">C20+E20+G20</f>
        <v>10</v>
      </c>
    </row>
    <row r="21" customFormat="false" ht="15" hidden="false" customHeight="false" outlineLevel="0" collapsed="false">
      <c r="A21" s="0" t="n">
        <v>21</v>
      </c>
      <c r="B21" s="0" t="n">
        <f aca="false">Raw_Data!AJ21</f>
        <v>5</v>
      </c>
      <c r="C21" s="0" t="n">
        <f aca="false">Raw_Data!AK21</f>
        <v>3</v>
      </c>
      <c r="D21" s="0" t="n">
        <f aca="false">Raw_Data!AL21</f>
        <v>5</v>
      </c>
      <c r="E21" s="0" t="n">
        <f aca="false">Raw_Data!AM21</f>
        <v>5</v>
      </c>
      <c r="F21" s="0" t="n">
        <f aca="false">Raw_Data!AN21</f>
        <v>1</v>
      </c>
      <c r="G21" s="0" t="n">
        <f aca="false">Raw_Data!AO21</f>
        <v>2</v>
      </c>
      <c r="H21" s="0" t="n">
        <f aca="false">SUM(B21:G21)</f>
        <v>21</v>
      </c>
      <c r="I21" s="0" t="n">
        <f aca="false">H21-B21</f>
        <v>16</v>
      </c>
      <c r="J21" s="0" t="n">
        <f aca="false">H21-C21</f>
        <v>18</v>
      </c>
      <c r="K21" s="0" t="n">
        <f aca="false">H21-D21</f>
        <v>16</v>
      </c>
      <c r="L21" s="0" t="n">
        <f aca="false">H21-E21</f>
        <v>16</v>
      </c>
      <c r="M21" s="0" t="n">
        <f aca="false">H21-F21</f>
        <v>20</v>
      </c>
      <c r="N21" s="0" t="n">
        <f aca="false">H21-G21</f>
        <v>19</v>
      </c>
      <c r="O21" s="0" t="n">
        <f aca="false">B21+D21+F21</f>
        <v>11</v>
      </c>
      <c r="P21" s="0" t="n">
        <f aca="false">C21+E21+G21</f>
        <v>10</v>
      </c>
    </row>
    <row r="22" customFormat="false" ht="15" hidden="false" customHeight="false" outlineLevel="0" collapsed="false">
      <c r="A22" s="0" t="n">
        <v>22</v>
      </c>
      <c r="B22" s="0" t="n">
        <f aca="false">Raw_Data!AJ22</f>
        <v>4</v>
      </c>
      <c r="C22" s="0" t="n">
        <f aca="false">Raw_Data!AK22</f>
        <v>4</v>
      </c>
      <c r="D22" s="0" t="n">
        <f aca="false">Raw_Data!AL22</f>
        <v>5</v>
      </c>
      <c r="E22" s="0" t="n">
        <f aca="false">Raw_Data!AM22</f>
        <v>4</v>
      </c>
      <c r="F22" s="0" t="n">
        <f aca="false">Raw_Data!AN22</f>
        <v>3</v>
      </c>
      <c r="G22" s="0" t="n">
        <f aca="false">Raw_Data!AO22</f>
        <v>5</v>
      </c>
      <c r="H22" s="0" t="n">
        <f aca="false">SUM(B22:G22)</f>
        <v>25</v>
      </c>
      <c r="I22" s="0" t="n">
        <f aca="false">H22-B22</f>
        <v>21</v>
      </c>
      <c r="J22" s="0" t="n">
        <f aca="false">H22-C22</f>
        <v>21</v>
      </c>
      <c r="K22" s="0" t="n">
        <f aca="false">H22-D22</f>
        <v>20</v>
      </c>
      <c r="L22" s="0" t="n">
        <f aca="false">H22-E22</f>
        <v>21</v>
      </c>
      <c r="M22" s="0" t="n">
        <f aca="false">H22-F22</f>
        <v>22</v>
      </c>
      <c r="N22" s="0" t="n">
        <f aca="false">H22-G22</f>
        <v>20</v>
      </c>
      <c r="O22" s="0" t="n">
        <f aca="false">B22+D22+F22</f>
        <v>12</v>
      </c>
      <c r="P22" s="0" t="n">
        <f aca="false">C22+E22+G22</f>
        <v>13</v>
      </c>
    </row>
    <row r="23" customFormat="false" ht="15" hidden="false" customHeight="false" outlineLevel="0" collapsed="false">
      <c r="A23" s="0" t="n">
        <v>23</v>
      </c>
      <c r="B23" s="0" t="n">
        <f aca="false">Raw_Data!AJ23</f>
        <v>3</v>
      </c>
      <c r="C23" s="0" t="n">
        <f aca="false">Raw_Data!AK23</f>
        <v>3</v>
      </c>
      <c r="D23" s="0" t="n">
        <f aca="false">Raw_Data!AL23</f>
        <v>4</v>
      </c>
      <c r="E23" s="0" t="n">
        <f aca="false">Raw_Data!AM23</f>
        <v>3</v>
      </c>
      <c r="F23" s="0" t="n">
        <f aca="false">Raw_Data!AN23</f>
        <v>2</v>
      </c>
      <c r="G23" s="0" t="n">
        <f aca="false">Raw_Data!AO23</f>
        <v>3</v>
      </c>
      <c r="H23" s="0" t="n">
        <f aca="false">SUM(B23:G23)</f>
        <v>18</v>
      </c>
      <c r="I23" s="0" t="n">
        <f aca="false">H23-B23</f>
        <v>15</v>
      </c>
      <c r="J23" s="0" t="n">
        <f aca="false">H23-C23</f>
        <v>15</v>
      </c>
      <c r="K23" s="0" t="n">
        <f aca="false">H23-D23</f>
        <v>14</v>
      </c>
      <c r="L23" s="0" t="n">
        <f aca="false">H23-E23</f>
        <v>15</v>
      </c>
      <c r="M23" s="0" t="n">
        <f aca="false">H23-F23</f>
        <v>16</v>
      </c>
      <c r="N23" s="0" t="n">
        <f aca="false">H23-G23</f>
        <v>15</v>
      </c>
      <c r="O23" s="0" t="n">
        <f aca="false">B23+D23+F23</f>
        <v>9</v>
      </c>
      <c r="P23" s="0" t="n">
        <f aca="false">C23+E23+G23</f>
        <v>9</v>
      </c>
    </row>
    <row r="24" customFormat="false" ht="15" hidden="false" customHeight="false" outlineLevel="0" collapsed="false">
      <c r="A24" s="0" t="n">
        <v>24</v>
      </c>
      <c r="B24" s="0" t="n">
        <f aca="false">Raw_Data!AJ24</f>
        <v>3</v>
      </c>
      <c r="C24" s="0" t="n">
        <f aca="false">Raw_Data!AK24</f>
        <v>3</v>
      </c>
      <c r="D24" s="0" t="n">
        <f aca="false">Raw_Data!AL24</f>
        <v>4</v>
      </c>
      <c r="E24" s="0" t="n">
        <f aca="false">Raw_Data!AM24</f>
        <v>3</v>
      </c>
      <c r="F24" s="0" t="n">
        <f aca="false">Raw_Data!AN24</f>
        <v>3</v>
      </c>
      <c r="G24" s="0" t="n">
        <f aca="false">Raw_Data!AO24</f>
        <v>2</v>
      </c>
      <c r="H24" s="0" t="n">
        <f aca="false">SUM(B24:G24)</f>
        <v>18</v>
      </c>
      <c r="I24" s="0" t="n">
        <f aca="false">H24-B24</f>
        <v>15</v>
      </c>
      <c r="J24" s="0" t="n">
        <f aca="false">H24-C24</f>
        <v>15</v>
      </c>
      <c r="K24" s="0" t="n">
        <f aca="false">H24-D24</f>
        <v>14</v>
      </c>
      <c r="L24" s="0" t="n">
        <f aca="false">H24-E24</f>
        <v>15</v>
      </c>
      <c r="M24" s="0" t="n">
        <f aca="false">H24-F24</f>
        <v>15</v>
      </c>
      <c r="N24" s="0" t="n">
        <f aca="false">H24-G24</f>
        <v>16</v>
      </c>
      <c r="O24" s="0" t="n">
        <f aca="false">B24+D24+F24</f>
        <v>10</v>
      </c>
      <c r="P24" s="0" t="n">
        <f aca="false">C24+E24+G24</f>
        <v>8</v>
      </c>
    </row>
    <row r="25" customFormat="false" ht="15" hidden="false" customHeight="false" outlineLevel="0" collapsed="false">
      <c r="A25" s="0" t="n">
        <v>25</v>
      </c>
      <c r="B25" s="0" t="n">
        <f aca="false">Raw_Data!AJ25</f>
        <v>4</v>
      </c>
      <c r="C25" s="0" t="n">
        <f aca="false">Raw_Data!AK25</f>
        <v>4</v>
      </c>
      <c r="D25" s="0" t="n">
        <f aca="false">Raw_Data!AL25</f>
        <v>5</v>
      </c>
      <c r="E25" s="0" t="n">
        <f aca="false">Raw_Data!AM25</f>
        <v>3</v>
      </c>
      <c r="F25" s="0" t="n">
        <f aca="false">Raw_Data!AN25</f>
        <v>3</v>
      </c>
      <c r="G25" s="0" t="n">
        <f aca="false">Raw_Data!AO25</f>
        <v>2</v>
      </c>
      <c r="H25" s="0" t="n">
        <f aca="false">SUM(B25:G25)</f>
        <v>21</v>
      </c>
      <c r="I25" s="0" t="n">
        <f aca="false">H25-B25</f>
        <v>17</v>
      </c>
      <c r="J25" s="0" t="n">
        <f aca="false">H25-C25</f>
        <v>17</v>
      </c>
      <c r="K25" s="0" t="n">
        <f aca="false">H25-D25</f>
        <v>16</v>
      </c>
      <c r="L25" s="0" t="n">
        <f aca="false">H25-E25</f>
        <v>18</v>
      </c>
      <c r="M25" s="0" t="n">
        <f aca="false">H25-F25</f>
        <v>18</v>
      </c>
      <c r="N25" s="0" t="n">
        <f aca="false">H25-G25</f>
        <v>19</v>
      </c>
      <c r="O25" s="0" t="n">
        <f aca="false">B25+D25+F25</f>
        <v>12</v>
      </c>
      <c r="P25" s="0" t="n">
        <f aca="false">C25+E25+G25</f>
        <v>9</v>
      </c>
    </row>
    <row r="26" customFormat="false" ht="15" hidden="false" customHeight="false" outlineLevel="0" collapsed="false">
      <c r="A26" s="0" t="n">
        <v>26</v>
      </c>
      <c r="B26" s="0" t="n">
        <f aca="false">Raw_Data!AJ26</f>
        <v>4</v>
      </c>
      <c r="C26" s="0" t="n">
        <f aca="false">Raw_Data!AK26</f>
        <v>4</v>
      </c>
      <c r="D26" s="0" t="n">
        <f aca="false">Raw_Data!AL26</f>
        <v>5</v>
      </c>
      <c r="E26" s="0" t="n">
        <f aca="false">Raw_Data!AM26</f>
        <v>4</v>
      </c>
      <c r="F26" s="0" t="n">
        <f aca="false">Raw_Data!AN26</f>
        <v>3</v>
      </c>
      <c r="G26" s="0" t="n">
        <f aca="false">Raw_Data!AO26</f>
        <v>4</v>
      </c>
      <c r="H26" s="0" t="n">
        <f aca="false">SUM(B26:G26)</f>
        <v>24</v>
      </c>
      <c r="I26" s="0" t="n">
        <f aca="false">H26-B26</f>
        <v>20</v>
      </c>
      <c r="J26" s="0" t="n">
        <f aca="false">H26-C26</f>
        <v>20</v>
      </c>
      <c r="K26" s="0" t="n">
        <f aca="false">H26-D26</f>
        <v>19</v>
      </c>
      <c r="L26" s="0" t="n">
        <f aca="false">H26-E26</f>
        <v>20</v>
      </c>
      <c r="M26" s="0" t="n">
        <f aca="false">H26-F26</f>
        <v>21</v>
      </c>
      <c r="N26" s="0" t="n">
        <f aca="false">H26-G26</f>
        <v>20</v>
      </c>
      <c r="O26" s="0" t="n">
        <f aca="false">B26+D26+F26</f>
        <v>12</v>
      </c>
      <c r="P26" s="0" t="n">
        <f aca="false">C26+E26+G26</f>
        <v>12</v>
      </c>
    </row>
    <row r="27" customFormat="false" ht="15" hidden="false" customHeight="false" outlineLevel="0" collapsed="false">
      <c r="A27" s="0" t="n">
        <v>27</v>
      </c>
      <c r="B27" s="0" t="n">
        <f aca="false">Raw_Data!AJ27</f>
        <v>4</v>
      </c>
      <c r="C27" s="0" t="n">
        <f aca="false">Raw_Data!AK27</f>
        <v>4</v>
      </c>
      <c r="D27" s="0" t="n">
        <f aca="false">Raw_Data!AL27</f>
        <v>5</v>
      </c>
      <c r="E27" s="0" t="n">
        <f aca="false">Raw_Data!AM27</f>
        <v>5</v>
      </c>
      <c r="F27" s="0" t="n">
        <f aca="false">Raw_Data!AN27</f>
        <v>3</v>
      </c>
      <c r="G27" s="0" t="n">
        <f aca="false">Raw_Data!AO27</f>
        <v>3</v>
      </c>
      <c r="H27" s="0" t="n">
        <f aca="false">SUM(B27:G27)</f>
        <v>24</v>
      </c>
      <c r="I27" s="0" t="n">
        <f aca="false">H27-B27</f>
        <v>20</v>
      </c>
      <c r="J27" s="0" t="n">
        <f aca="false">H27-C27</f>
        <v>20</v>
      </c>
      <c r="K27" s="0" t="n">
        <f aca="false">H27-D27</f>
        <v>19</v>
      </c>
      <c r="L27" s="0" t="n">
        <f aca="false">H27-E27</f>
        <v>19</v>
      </c>
      <c r="M27" s="0" t="n">
        <f aca="false">H27-F27</f>
        <v>21</v>
      </c>
      <c r="N27" s="0" t="n">
        <f aca="false">H27-G27</f>
        <v>21</v>
      </c>
      <c r="O27" s="0" t="n">
        <f aca="false">B27+D27+F27</f>
        <v>12</v>
      </c>
      <c r="P27" s="0" t="n">
        <f aca="false">C27+E27+G27</f>
        <v>12</v>
      </c>
    </row>
    <row r="28" customFormat="false" ht="15" hidden="false" customHeight="false" outlineLevel="0" collapsed="false">
      <c r="A28" s="0" t="n">
        <v>28</v>
      </c>
      <c r="B28" s="0" t="n">
        <f aca="false">Raw_Data!AJ28</f>
        <v>2</v>
      </c>
      <c r="C28" s="0" t="n">
        <f aca="false">Raw_Data!AK28</f>
        <v>2</v>
      </c>
      <c r="D28" s="0" t="n">
        <f aca="false">Raw_Data!AL28</f>
        <v>4</v>
      </c>
      <c r="E28" s="0" t="n">
        <f aca="false">Raw_Data!AM28</f>
        <v>4</v>
      </c>
      <c r="F28" s="0" t="n">
        <f aca="false">Raw_Data!AN28</f>
        <v>2</v>
      </c>
      <c r="G28" s="0" t="n">
        <f aca="false">Raw_Data!AO28</f>
        <v>3</v>
      </c>
      <c r="H28" s="0" t="n">
        <f aca="false">SUM(B28:G28)</f>
        <v>17</v>
      </c>
      <c r="I28" s="0" t="n">
        <f aca="false">H28-B28</f>
        <v>15</v>
      </c>
      <c r="J28" s="0" t="n">
        <f aca="false">H28-C28</f>
        <v>15</v>
      </c>
      <c r="K28" s="0" t="n">
        <f aca="false">H28-D28</f>
        <v>13</v>
      </c>
      <c r="L28" s="0" t="n">
        <f aca="false">H28-E28</f>
        <v>13</v>
      </c>
      <c r="M28" s="0" t="n">
        <f aca="false">H28-F28</f>
        <v>15</v>
      </c>
      <c r="N28" s="0" t="n">
        <f aca="false">H28-G28</f>
        <v>14</v>
      </c>
      <c r="O28" s="0" t="n">
        <f aca="false">B28+D28+F28</f>
        <v>8</v>
      </c>
      <c r="P28" s="0" t="n">
        <f aca="false">C28+E28+G28</f>
        <v>9</v>
      </c>
    </row>
    <row r="29" customFormat="false" ht="15" hidden="false" customHeight="false" outlineLevel="0" collapsed="false">
      <c r="A29" s="0" t="n">
        <v>29</v>
      </c>
      <c r="B29" s="0" t="n">
        <f aca="false">Raw_Data!AJ29</f>
        <v>4</v>
      </c>
      <c r="C29" s="0" t="n">
        <f aca="false">Raw_Data!AK29</f>
        <v>2</v>
      </c>
      <c r="D29" s="0" t="n">
        <f aca="false">Raw_Data!AL29</f>
        <v>5</v>
      </c>
      <c r="E29" s="0" t="n">
        <f aca="false">Raw_Data!AM29</f>
        <v>4</v>
      </c>
      <c r="F29" s="0" t="n">
        <f aca="false">Raw_Data!AN29</f>
        <v>3</v>
      </c>
      <c r="G29" s="0" t="n">
        <f aca="false">Raw_Data!AO29</f>
        <v>2</v>
      </c>
      <c r="H29" s="0" t="n">
        <f aca="false">SUM(B29:G29)</f>
        <v>20</v>
      </c>
      <c r="I29" s="0" t="n">
        <f aca="false">H29-B29</f>
        <v>16</v>
      </c>
      <c r="J29" s="0" t="n">
        <f aca="false">H29-C29</f>
        <v>18</v>
      </c>
      <c r="K29" s="0" t="n">
        <f aca="false">H29-D29</f>
        <v>15</v>
      </c>
      <c r="L29" s="0" t="n">
        <f aca="false">H29-E29</f>
        <v>16</v>
      </c>
      <c r="M29" s="0" t="n">
        <f aca="false">H29-F29</f>
        <v>17</v>
      </c>
      <c r="N29" s="0" t="n">
        <f aca="false">H29-G29</f>
        <v>18</v>
      </c>
      <c r="O29" s="0" t="n">
        <f aca="false">B29+D29+F29</f>
        <v>12</v>
      </c>
      <c r="P29" s="0" t="n">
        <f aca="false">C29+E29+G29</f>
        <v>8</v>
      </c>
    </row>
    <row r="30" customFormat="false" ht="15" hidden="false" customHeight="false" outlineLevel="0" collapsed="false">
      <c r="A30" s="0" t="n">
        <v>30</v>
      </c>
      <c r="B30" s="0" t="n">
        <f aca="false">Raw_Data!AJ30</f>
        <v>4</v>
      </c>
      <c r="C30" s="0" t="n">
        <f aca="false">Raw_Data!AK30</f>
        <v>2</v>
      </c>
      <c r="D30" s="0" t="n">
        <f aca="false">Raw_Data!AL30</f>
        <v>4</v>
      </c>
      <c r="E30" s="0" t="n">
        <f aca="false">Raw_Data!AM30</f>
        <v>4</v>
      </c>
      <c r="F30" s="0" t="n">
        <f aca="false">Raw_Data!AN30</f>
        <v>3</v>
      </c>
      <c r="G30" s="0" t="n">
        <f aca="false">Raw_Data!AO30</f>
        <v>3</v>
      </c>
      <c r="H30" s="0" t="n">
        <f aca="false">SUM(B30:G30)</f>
        <v>20</v>
      </c>
      <c r="I30" s="0" t="n">
        <f aca="false">H30-B30</f>
        <v>16</v>
      </c>
      <c r="J30" s="0" t="n">
        <f aca="false">H30-C30</f>
        <v>18</v>
      </c>
      <c r="K30" s="0" t="n">
        <f aca="false">H30-D30</f>
        <v>16</v>
      </c>
      <c r="L30" s="0" t="n">
        <f aca="false">H30-E30</f>
        <v>16</v>
      </c>
      <c r="M30" s="0" t="n">
        <f aca="false">H30-F30</f>
        <v>17</v>
      </c>
      <c r="N30" s="0" t="n">
        <f aca="false">H30-G30</f>
        <v>17</v>
      </c>
      <c r="O30" s="0" t="n">
        <f aca="false">B30+D30+F30</f>
        <v>11</v>
      </c>
      <c r="P30" s="0" t="n">
        <f aca="false">C30+E30+G30</f>
        <v>9</v>
      </c>
    </row>
    <row r="31" customFormat="false" ht="15" hidden="false" customHeight="false" outlineLevel="0" collapsed="false">
      <c r="A31" s="0" t="n">
        <v>31</v>
      </c>
      <c r="B31" s="0" t="n">
        <f aca="false">Raw_Data!AJ31</f>
        <v>4</v>
      </c>
      <c r="C31" s="0" t="n">
        <f aca="false">Raw_Data!AK31</f>
        <v>3</v>
      </c>
      <c r="D31" s="0" t="n">
        <f aca="false">Raw_Data!AL31</f>
        <v>4</v>
      </c>
      <c r="E31" s="0" t="n">
        <f aca="false">Raw_Data!AM31</f>
        <v>3</v>
      </c>
      <c r="F31" s="0" t="n">
        <f aca="false">Raw_Data!AN31</f>
        <v>3</v>
      </c>
      <c r="G31" s="0" t="n">
        <f aca="false">Raw_Data!AO31</f>
        <v>3</v>
      </c>
      <c r="H31" s="0" t="n">
        <f aca="false">SUM(B31:G31)</f>
        <v>20</v>
      </c>
      <c r="I31" s="0" t="n">
        <f aca="false">H31-B31</f>
        <v>16</v>
      </c>
      <c r="J31" s="0" t="n">
        <f aca="false">H31-C31</f>
        <v>17</v>
      </c>
      <c r="K31" s="0" t="n">
        <f aca="false">H31-D31</f>
        <v>16</v>
      </c>
      <c r="L31" s="0" t="n">
        <f aca="false">H31-E31</f>
        <v>17</v>
      </c>
      <c r="M31" s="0" t="n">
        <f aca="false">H31-F31</f>
        <v>17</v>
      </c>
      <c r="N31" s="0" t="n">
        <f aca="false">H31-G31</f>
        <v>17</v>
      </c>
      <c r="O31" s="0" t="n">
        <f aca="false">B31+D31+F31</f>
        <v>11</v>
      </c>
      <c r="P31" s="0" t="n">
        <f aca="false">C31+E31+G31</f>
        <v>9</v>
      </c>
    </row>
    <row r="32" customFormat="false" ht="15" hidden="false" customHeight="false" outlineLevel="0" collapsed="false">
      <c r="A32" s="0" t="n">
        <v>32</v>
      </c>
      <c r="B32" s="0" t="n">
        <f aca="false">Raw_Data!AJ32</f>
        <v>4</v>
      </c>
      <c r="C32" s="0" t="n">
        <f aca="false">Raw_Data!AK32</f>
        <v>4</v>
      </c>
      <c r="D32" s="0" t="n">
        <f aca="false">Raw_Data!AL32</f>
        <v>4</v>
      </c>
      <c r="E32" s="0" t="n">
        <f aca="false">Raw_Data!AM32</f>
        <v>4</v>
      </c>
      <c r="F32" s="0" t="n">
        <f aca="false">Raw_Data!AN32</f>
        <v>3</v>
      </c>
      <c r="G32" s="0" t="n">
        <f aca="false">Raw_Data!AO32</f>
        <v>4</v>
      </c>
      <c r="H32" s="0" t="n">
        <f aca="false">SUM(B32:G32)</f>
        <v>23</v>
      </c>
      <c r="I32" s="0" t="n">
        <f aca="false">H32-B32</f>
        <v>19</v>
      </c>
      <c r="J32" s="0" t="n">
        <f aca="false">H32-C32</f>
        <v>19</v>
      </c>
      <c r="K32" s="0" t="n">
        <f aca="false">H32-D32</f>
        <v>19</v>
      </c>
      <c r="L32" s="0" t="n">
        <f aca="false">H32-E32</f>
        <v>19</v>
      </c>
      <c r="M32" s="0" t="n">
        <f aca="false">H32-F32</f>
        <v>20</v>
      </c>
      <c r="N32" s="0" t="n">
        <f aca="false">H32-G32</f>
        <v>19</v>
      </c>
      <c r="O32" s="0" t="n">
        <f aca="false">B32+D32+F32</f>
        <v>11</v>
      </c>
      <c r="P32" s="0" t="n">
        <f aca="false">C32+E32+G32</f>
        <v>12</v>
      </c>
    </row>
    <row r="33" customFormat="false" ht="15" hidden="false" customHeight="false" outlineLevel="0" collapsed="false">
      <c r="A33" s="0" t="n">
        <v>33</v>
      </c>
      <c r="B33" s="0" t="n">
        <f aca="false">Raw_Data!AJ33</f>
        <v>3</v>
      </c>
      <c r="C33" s="0" t="n">
        <f aca="false">Raw_Data!AK33</f>
        <v>3</v>
      </c>
      <c r="D33" s="0" t="n">
        <f aca="false">Raw_Data!AL33</f>
        <v>5</v>
      </c>
      <c r="E33" s="0" t="n">
        <f aca="false">Raw_Data!AM33</f>
        <v>2</v>
      </c>
      <c r="F33" s="0" t="n">
        <f aca="false">Raw_Data!AN33</f>
        <v>1</v>
      </c>
      <c r="G33" s="0" t="n">
        <f aca="false">Raw_Data!AO33</f>
        <v>1</v>
      </c>
      <c r="H33" s="0" t="n">
        <f aca="false">SUM(B33:G33)</f>
        <v>15</v>
      </c>
      <c r="I33" s="0" t="n">
        <f aca="false">H33-B33</f>
        <v>12</v>
      </c>
      <c r="J33" s="0" t="n">
        <f aca="false">H33-C33</f>
        <v>12</v>
      </c>
      <c r="K33" s="0" t="n">
        <f aca="false">H33-D33</f>
        <v>10</v>
      </c>
      <c r="L33" s="0" t="n">
        <f aca="false">H33-E33</f>
        <v>13</v>
      </c>
      <c r="M33" s="0" t="n">
        <f aca="false">H33-F33</f>
        <v>14</v>
      </c>
      <c r="N33" s="0" t="n">
        <f aca="false">H33-G33</f>
        <v>14</v>
      </c>
      <c r="O33" s="0" t="n">
        <f aca="false">B33+D33+F33</f>
        <v>9</v>
      </c>
      <c r="P33" s="0" t="n">
        <f aca="false">C33+E33+G33</f>
        <v>6</v>
      </c>
    </row>
    <row r="34" customFormat="false" ht="15" hidden="false" customHeight="false" outlineLevel="0" collapsed="false">
      <c r="A34" s="0" t="n">
        <v>34</v>
      </c>
      <c r="B34" s="0" t="n">
        <f aca="false">Raw_Data!AJ34</f>
        <v>5</v>
      </c>
      <c r="C34" s="0" t="n">
        <f aca="false">Raw_Data!AK34</f>
        <v>5</v>
      </c>
      <c r="D34" s="0" t="n">
        <f aca="false">Raw_Data!AL34</f>
        <v>5</v>
      </c>
      <c r="E34" s="0" t="n">
        <f aca="false">Raw_Data!AM34</f>
        <v>4</v>
      </c>
      <c r="F34" s="0" t="n">
        <f aca="false">Raw_Data!AN34</f>
        <v>4</v>
      </c>
      <c r="G34" s="0" t="n">
        <f aca="false">Raw_Data!AO34</f>
        <v>4</v>
      </c>
      <c r="H34" s="0" t="n">
        <f aca="false">SUM(B34:G34)</f>
        <v>27</v>
      </c>
      <c r="I34" s="0" t="n">
        <f aca="false">H34-B34</f>
        <v>22</v>
      </c>
      <c r="J34" s="0" t="n">
        <f aca="false">H34-C34</f>
        <v>22</v>
      </c>
      <c r="K34" s="0" t="n">
        <f aca="false">H34-D34</f>
        <v>22</v>
      </c>
      <c r="L34" s="0" t="n">
        <f aca="false">H34-E34</f>
        <v>23</v>
      </c>
      <c r="M34" s="0" t="n">
        <f aca="false">H34-F34</f>
        <v>23</v>
      </c>
      <c r="N34" s="0" t="n">
        <f aca="false">H34-G34</f>
        <v>23</v>
      </c>
      <c r="O34" s="0" t="n">
        <f aca="false">B34+D34+F34</f>
        <v>14</v>
      </c>
      <c r="P34" s="0" t="n">
        <f aca="false">C34+E34+G34</f>
        <v>13</v>
      </c>
    </row>
    <row r="35" customFormat="false" ht="15" hidden="false" customHeight="false" outlineLevel="0" collapsed="false">
      <c r="A35" s="0" t="n">
        <v>35</v>
      </c>
      <c r="B35" s="0" t="n">
        <f aca="false">Raw_Data!AJ35</f>
        <v>4</v>
      </c>
      <c r="C35" s="0" t="n">
        <f aca="false">Raw_Data!AK35</f>
        <v>2</v>
      </c>
      <c r="D35" s="0" t="n">
        <f aca="false">Raw_Data!AL35</f>
        <v>2</v>
      </c>
      <c r="E35" s="0" t="n">
        <f aca="false">Raw_Data!AM35</f>
        <v>3</v>
      </c>
      <c r="F35" s="0" t="n">
        <f aca="false">Raw_Data!AN35</f>
        <v>3</v>
      </c>
      <c r="G35" s="0" t="n">
        <f aca="false">Raw_Data!AO35</f>
        <v>2</v>
      </c>
      <c r="H35" s="0" t="n">
        <f aca="false">SUM(B35:G35)</f>
        <v>16</v>
      </c>
      <c r="I35" s="0" t="n">
        <f aca="false">H35-B35</f>
        <v>12</v>
      </c>
      <c r="J35" s="0" t="n">
        <f aca="false">H35-C35</f>
        <v>14</v>
      </c>
      <c r="K35" s="0" t="n">
        <f aca="false">H35-D35</f>
        <v>14</v>
      </c>
      <c r="L35" s="0" t="n">
        <f aca="false">H35-E35</f>
        <v>13</v>
      </c>
      <c r="M35" s="0" t="n">
        <f aca="false">H35-F35</f>
        <v>13</v>
      </c>
      <c r="N35" s="0" t="n">
        <f aca="false">H35-G35</f>
        <v>14</v>
      </c>
      <c r="O35" s="0" t="n">
        <f aca="false">B35+D35+F35</f>
        <v>9</v>
      </c>
      <c r="P35" s="0" t="n">
        <f aca="false">C35+E35+G35</f>
        <v>7</v>
      </c>
    </row>
    <row r="36" customFormat="false" ht="15" hidden="false" customHeight="false" outlineLevel="0" collapsed="false">
      <c r="A36" s="0" t="n">
        <v>36</v>
      </c>
      <c r="B36" s="0" t="n">
        <f aca="false">Raw_Data!AJ36</f>
        <v>5</v>
      </c>
      <c r="C36" s="0" t="n">
        <f aca="false">Raw_Data!AK36</f>
        <v>4</v>
      </c>
      <c r="D36" s="0" t="n">
        <f aca="false">Raw_Data!AL36</f>
        <v>3</v>
      </c>
      <c r="E36" s="0" t="n">
        <f aca="false">Raw_Data!AM36</f>
        <v>4</v>
      </c>
      <c r="F36" s="0" t="n">
        <f aca="false">Raw_Data!AN36</f>
        <v>3</v>
      </c>
      <c r="G36" s="0" t="n">
        <f aca="false">Raw_Data!AO36</f>
        <v>3</v>
      </c>
      <c r="H36" s="0" t="n">
        <f aca="false">SUM(B36:G36)</f>
        <v>22</v>
      </c>
      <c r="I36" s="0" t="n">
        <f aca="false">H36-B36</f>
        <v>17</v>
      </c>
      <c r="J36" s="0" t="n">
        <f aca="false">H36-C36</f>
        <v>18</v>
      </c>
      <c r="K36" s="0" t="n">
        <f aca="false">H36-D36</f>
        <v>19</v>
      </c>
      <c r="L36" s="0" t="n">
        <f aca="false">H36-E36</f>
        <v>18</v>
      </c>
      <c r="M36" s="0" t="n">
        <f aca="false">H36-F36</f>
        <v>19</v>
      </c>
      <c r="N36" s="0" t="n">
        <f aca="false">H36-G36</f>
        <v>19</v>
      </c>
      <c r="O36" s="0" t="n">
        <f aca="false">B36+D36+F36</f>
        <v>11</v>
      </c>
      <c r="P36" s="0" t="n">
        <f aca="false">C36+E36+G36</f>
        <v>11</v>
      </c>
    </row>
    <row r="37" customFormat="false" ht="15" hidden="false" customHeight="false" outlineLevel="0" collapsed="false">
      <c r="A37" s="0" t="n">
        <v>37</v>
      </c>
      <c r="B37" s="0" t="n">
        <f aca="false">Raw_Data!AJ37</f>
        <v>4</v>
      </c>
      <c r="C37" s="0" t="n">
        <f aca="false">Raw_Data!AK37</f>
        <v>5</v>
      </c>
      <c r="D37" s="0" t="n">
        <f aca="false">Raw_Data!AL37</f>
        <v>5</v>
      </c>
      <c r="E37" s="0" t="n">
        <f aca="false">Raw_Data!AM37</f>
        <v>2</v>
      </c>
      <c r="F37" s="0" t="n">
        <f aca="false">Raw_Data!AN37</f>
        <v>3</v>
      </c>
      <c r="G37" s="0" t="n">
        <f aca="false">Raw_Data!AO37</f>
        <v>3</v>
      </c>
      <c r="H37" s="0" t="n">
        <f aca="false">SUM(B37:G37)</f>
        <v>22</v>
      </c>
      <c r="I37" s="0" t="n">
        <f aca="false">H37-B37</f>
        <v>18</v>
      </c>
      <c r="J37" s="0" t="n">
        <f aca="false">H37-C37</f>
        <v>17</v>
      </c>
      <c r="K37" s="0" t="n">
        <f aca="false">H37-D37</f>
        <v>17</v>
      </c>
      <c r="L37" s="0" t="n">
        <f aca="false">H37-E37</f>
        <v>20</v>
      </c>
      <c r="M37" s="0" t="n">
        <f aca="false">H37-F37</f>
        <v>19</v>
      </c>
      <c r="N37" s="0" t="n">
        <f aca="false">H37-G37</f>
        <v>19</v>
      </c>
      <c r="O37" s="0" t="n">
        <f aca="false">B37+D37+F37</f>
        <v>12</v>
      </c>
      <c r="P37" s="0" t="n">
        <f aca="false">C37+E37+G37</f>
        <v>10</v>
      </c>
    </row>
    <row r="38" customFormat="false" ht="15" hidden="false" customHeight="false" outlineLevel="0" collapsed="false">
      <c r="A38" s="0" t="n">
        <v>38</v>
      </c>
      <c r="B38" s="0" t="n">
        <f aca="false">Raw_Data!AJ38</f>
        <v>5</v>
      </c>
      <c r="C38" s="0" t="n">
        <f aca="false">Raw_Data!AK38</f>
        <v>5</v>
      </c>
      <c r="D38" s="0" t="n">
        <f aca="false">Raw_Data!AL38</f>
        <v>5</v>
      </c>
      <c r="E38" s="0" t="n">
        <f aca="false">Raw_Data!AM38</f>
        <v>5</v>
      </c>
      <c r="F38" s="0" t="n">
        <f aca="false">Raw_Data!AN38</f>
        <v>1</v>
      </c>
      <c r="G38" s="0" t="n">
        <f aca="false">Raw_Data!AO38</f>
        <v>5</v>
      </c>
      <c r="H38" s="0" t="n">
        <f aca="false">SUM(B38:G38)</f>
        <v>26</v>
      </c>
      <c r="I38" s="0" t="n">
        <f aca="false">H38-B38</f>
        <v>21</v>
      </c>
      <c r="J38" s="0" t="n">
        <f aca="false">H38-C38</f>
        <v>21</v>
      </c>
      <c r="K38" s="0" t="n">
        <f aca="false">H38-D38</f>
        <v>21</v>
      </c>
      <c r="L38" s="0" t="n">
        <f aca="false">H38-E38</f>
        <v>21</v>
      </c>
      <c r="M38" s="0" t="n">
        <f aca="false">H38-F38</f>
        <v>25</v>
      </c>
      <c r="N38" s="0" t="n">
        <f aca="false">H38-G38</f>
        <v>21</v>
      </c>
      <c r="O38" s="0" t="n">
        <f aca="false">B38+D38+F38</f>
        <v>11</v>
      </c>
      <c r="P38" s="0" t="n">
        <f aca="false">C38+E38+G38</f>
        <v>15</v>
      </c>
    </row>
    <row r="39" customFormat="false" ht="15" hidden="false" customHeight="false" outlineLevel="0" collapsed="false">
      <c r="A39" s="0" t="n">
        <v>39</v>
      </c>
      <c r="B39" s="0" t="n">
        <f aca="false">Raw_Data!AJ39</f>
        <v>5</v>
      </c>
      <c r="C39" s="0" t="n">
        <f aca="false">Raw_Data!AK39</f>
        <v>3</v>
      </c>
      <c r="D39" s="0" t="n">
        <f aca="false">Raw_Data!AL39</f>
        <v>4</v>
      </c>
      <c r="E39" s="0" t="n">
        <f aca="false">Raw_Data!AM39</f>
        <v>4</v>
      </c>
      <c r="F39" s="0" t="n">
        <f aca="false">Raw_Data!AN39</f>
        <v>3</v>
      </c>
      <c r="G39" s="0" t="n">
        <f aca="false">Raw_Data!AO39</f>
        <v>3</v>
      </c>
      <c r="H39" s="0" t="n">
        <f aca="false">SUM(B39:G39)</f>
        <v>22</v>
      </c>
      <c r="I39" s="0" t="n">
        <f aca="false">H39-B39</f>
        <v>17</v>
      </c>
      <c r="J39" s="0" t="n">
        <f aca="false">H39-C39</f>
        <v>19</v>
      </c>
      <c r="K39" s="0" t="n">
        <f aca="false">H39-D39</f>
        <v>18</v>
      </c>
      <c r="L39" s="0" t="n">
        <f aca="false">H39-E39</f>
        <v>18</v>
      </c>
      <c r="M39" s="0" t="n">
        <f aca="false">H39-F39</f>
        <v>19</v>
      </c>
      <c r="N39" s="0" t="n">
        <f aca="false">H39-G39</f>
        <v>19</v>
      </c>
      <c r="O39" s="0" t="n">
        <f aca="false">B39+D39+F39</f>
        <v>12</v>
      </c>
      <c r="P39" s="0" t="n">
        <f aca="false">C39+E39+G39</f>
        <v>10</v>
      </c>
    </row>
    <row r="40" customFormat="false" ht="15" hidden="false" customHeight="false" outlineLevel="0" collapsed="false">
      <c r="A40" s="0" t="n">
        <v>40</v>
      </c>
      <c r="B40" s="0" t="n">
        <f aca="false">Raw_Data!AJ40</f>
        <v>1</v>
      </c>
      <c r="C40" s="0" t="n">
        <f aca="false">Raw_Data!AK40</f>
        <v>1</v>
      </c>
      <c r="D40" s="0" t="n">
        <f aca="false">Raw_Data!AL40</f>
        <v>5</v>
      </c>
      <c r="E40" s="0" t="n">
        <f aca="false">Raw_Data!AM40</f>
        <v>1</v>
      </c>
      <c r="F40" s="0" t="n">
        <f aca="false">Raw_Data!AN40</f>
        <v>3</v>
      </c>
      <c r="G40" s="0" t="n">
        <f aca="false">Raw_Data!AO40</f>
        <v>5</v>
      </c>
      <c r="H40" s="0" t="n">
        <f aca="false">SUM(B40:G40)</f>
        <v>16</v>
      </c>
      <c r="I40" s="0" t="n">
        <f aca="false">H40-B40</f>
        <v>15</v>
      </c>
      <c r="J40" s="0" t="n">
        <f aca="false">H40-C40</f>
        <v>15</v>
      </c>
      <c r="K40" s="0" t="n">
        <f aca="false">H40-D40</f>
        <v>11</v>
      </c>
      <c r="L40" s="0" t="n">
        <f aca="false">H40-E40</f>
        <v>15</v>
      </c>
      <c r="M40" s="0" t="n">
        <f aca="false">H40-F40</f>
        <v>13</v>
      </c>
      <c r="N40" s="0" t="n">
        <f aca="false">H40-G40</f>
        <v>11</v>
      </c>
      <c r="O40" s="0" t="n">
        <f aca="false">B40+D40+F40</f>
        <v>9</v>
      </c>
      <c r="P40" s="0" t="n">
        <f aca="false">C40+E40+G40</f>
        <v>7</v>
      </c>
    </row>
    <row r="41" customFormat="false" ht="15" hidden="false" customHeight="false" outlineLevel="0" collapsed="false">
      <c r="A41" s="0" t="n">
        <v>41</v>
      </c>
      <c r="B41" s="0" t="n">
        <f aca="false">Raw_Data!AJ41</f>
        <v>4</v>
      </c>
      <c r="C41" s="0" t="n">
        <f aca="false">Raw_Data!AK41</f>
        <v>4</v>
      </c>
      <c r="D41" s="0" t="n">
        <f aca="false">Raw_Data!AL41</f>
        <v>4</v>
      </c>
      <c r="E41" s="0" t="n">
        <f aca="false">Raw_Data!AM41</f>
        <v>3</v>
      </c>
      <c r="F41" s="0" t="n">
        <f aca="false">Raw_Data!AN41</f>
        <v>3</v>
      </c>
      <c r="G41" s="0" t="n">
        <f aca="false">Raw_Data!AO41</f>
        <v>4</v>
      </c>
      <c r="H41" s="0" t="n">
        <f aca="false">SUM(B41:G41)</f>
        <v>22</v>
      </c>
      <c r="I41" s="0" t="n">
        <f aca="false">H41-B41</f>
        <v>18</v>
      </c>
      <c r="J41" s="0" t="n">
        <f aca="false">H41-C41</f>
        <v>18</v>
      </c>
      <c r="K41" s="0" t="n">
        <f aca="false">H41-D41</f>
        <v>18</v>
      </c>
      <c r="L41" s="0" t="n">
        <f aca="false">H41-E41</f>
        <v>19</v>
      </c>
      <c r="M41" s="0" t="n">
        <f aca="false">H41-F41</f>
        <v>19</v>
      </c>
      <c r="N41" s="0" t="n">
        <f aca="false">H41-G41</f>
        <v>18</v>
      </c>
      <c r="O41" s="0" t="n">
        <f aca="false">B41+D41+F41</f>
        <v>11</v>
      </c>
      <c r="P41" s="0" t="n">
        <f aca="false">C41+E41+G41</f>
        <v>11</v>
      </c>
    </row>
    <row r="42" customFormat="false" ht="15" hidden="false" customHeight="false" outlineLevel="0" collapsed="false">
      <c r="A42" s="0" t="n">
        <v>42</v>
      </c>
      <c r="B42" s="0" t="n">
        <f aca="false">Raw_Data!AJ42</f>
        <v>5</v>
      </c>
      <c r="C42" s="0" t="n">
        <f aca="false">Raw_Data!AK42</f>
        <v>4</v>
      </c>
      <c r="D42" s="0" t="n">
        <f aca="false">Raw_Data!AL42</f>
        <v>5</v>
      </c>
      <c r="E42" s="0" t="n">
        <f aca="false">Raw_Data!AM42</f>
        <v>5</v>
      </c>
      <c r="F42" s="0" t="n">
        <f aca="false">Raw_Data!AN42</f>
        <v>2</v>
      </c>
      <c r="G42" s="0" t="n">
        <f aca="false">Raw_Data!AO42</f>
        <v>2</v>
      </c>
      <c r="H42" s="0" t="n">
        <f aca="false">SUM(B42:G42)</f>
        <v>23</v>
      </c>
      <c r="I42" s="0" t="n">
        <f aca="false">H42-B42</f>
        <v>18</v>
      </c>
      <c r="J42" s="0" t="n">
        <f aca="false">H42-C42</f>
        <v>19</v>
      </c>
      <c r="K42" s="0" t="n">
        <f aca="false">H42-D42</f>
        <v>18</v>
      </c>
      <c r="L42" s="0" t="n">
        <f aca="false">H42-E42</f>
        <v>18</v>
      </c>
      <c r="M42" s="0" t="n">
        <f aca="false">H42-F42</f>
        <v>21</v>
      </c>
      <c r="N42" s="0" t="n">
        <f aca="false">H42-G42</f>
        <v>21</v>
      </c>
      <c r="O42" s="0" t="n">
        <f aca="false">B42+D42+F42</f>
        <v>12</v>
      </c>
      <c r="P42" s="0" t="n">
        <f aca="false">C42+E42+G42</f>
        <v>11</v>
      </c>
    </row>
    <row r="43" customFormat="false" ht="15" hidden="false" customHeight="false" outlineLevel="0" collapsed="false">
      <c r="A43" s="0" t="n">
        <v>43</v>
      </c>
      <c r="B43" s="0" t="n">
        <f aca="false">Raw_Data!AJ43</f>
        <v>4</v>
      </c>
      <c r="C43" s="0" t="n">
        <f aca="false">Raw_Data!AK43</f>
        <v>2</v>
      </c>
      <c r="D43" s="0" t="n">
        <f aca="false">Raw_Data!AL43</f>
        <v>5</v>
      </c>
      <c r="E43" s="0" t="n">
        <f aca="false">Raw_Data!AM43</f>
        <v>3</v>
      </c>
      <c r="F43" s="0" t="n">
        <f aca="false">Raw_Data!AN43</f>
        <v>1</v>
      </c>
      <c r="G43" s="0" t="n">
        <f aca="false">Raw_Data!AO43</f>
        <v>3</v>
      </c>
      <c r="H43" s="0" t="n">
        <f aca="false">SUM(B43:G43)</f>
        <v>18</v>
      </c>
      <c r="I43" s="0" t="n">
        <f aca="false">H43-B43</f>
        <v>14</v>
      </c>
      <c r="J43" s="0" t="n">
        <f aca="false">H43-C43</f>
        <v>16</v>
      </c>
      <c r="K43" s="0" t="n">
        <f aca="false">H43-D43</f>
        <v>13</v>
      </c>
      <c r="L43" s="0" t="n">
        <f aca="false">H43-E43</f>
        <v>15</v>
      </c>
      <c r="M43" s="0" t="n">
        <f aca="false">H43-F43</f>
        <v>17</v>
      </c>
      <c r="N43" s="0" t="n">
        <f aca="false">H43-G43</f>
        <v>15</v>
      </c>
      <c r="O43" s="0" t="n">
        <f aca="false">B43+D43+F43</f>
        <v>10</v>
      </c>
      <c r="P43" s="0" t="n">
        <f aca="false">C43+E43+G43</f>
        <v>8</v>
      </c>
    </row>
    <row r="44" customFormat="false" ht="15" hidden="false" customHeight="false" outlineLevel="0" collapsed="false">
      <c r="A44" s="0" t="n">
        <v>44</v>
      </c>
      <c r="B44" s="0" t="n">
        <f aca="false">Raw_Data!AJ44</f>
        <v>4</v>
      </c>
      <c r="C44" s="0" t="n">
        <f aca="false">Raw_Data!AK44</f>
        <v>3</v>
      </c>
      <c r="D44" s="0" t="n">
        <f aca="false">Raw_Data!AL44</f>
        <v>4</v>
      </c>
      <c r="E44" s="0" t="n">
        <f aca="false">Raw_Data!AM44</f>
        <v>3</v>
      </c>
      <c r="F44" s="0" t="n">
        <f aca="false">Raw_Data!AN44</f>
        <v>3</v>
      </c>
      <c r="G44" s="0" t="n">
        <f aca="false">Raw_Data!AO44</f>
        <v>4</v>
      </c>
      <c r="H44" s="0" t="n">
        <f aca="false">SUM(B44:G44)</f>
        <v>21</v>
      </c>
      <c r="I44" s="0" t="n">
        <f aca="false">H44-B44</f>
        <v>17</v>
      </c>
      <c r="J44" s="0" t="n">
        <f aca="false">H44-C44</f>
        <v>18</v>
      </c>
      <c r="K44" s="0" t="n">
        <f aca="false">H44-D44</f>
        <v>17</v>
      </c>
      <c r="L44" s="0" t="n">
        <f aca="false">H44-E44</f>
        <v>18</v>
      </c>
      <c r="M44" s="0" t="n">
        <f aca="false">H44-F44</f>
        <v>18</v>
      </c>
      <c r="N44" s="0" t="n">
        <f aca="false">H44-G44</f>
        <v>17</v>
      </c>
      <c r="O44" s="0" t="n">
        <f aca="false">B44+D44+F44</f>
        <v>11</v>
      </c>
      <c r="P44" s="0" t="n">
        <f aca="false">C44+E44+G44</f>
        <v>10</v>
      </c>
    </row>
    <row r="45" customFormat="false" ht="15" hidden="false" customHeight="false" outlineLevel="0" collapsed="false">
      <c r="A45" s="0" t="n">
        <v>45</v>
      </c>
      <c r="B45" s="0" t="n">
        <f aca="false">Raw_Data!AJ45</f>
        <v>4</v>
      </c>
      <c r="C45" s="0" t="n">
        <f aca="false">Raw_Data!AK45</f>
        <v>3</v>
      </c>
      <c r="D45" s="0" t="n">
        <f aca="false">Raw_Data!AL45</f>
        <v>4</v>
      </c>
      <c r="E45" s="0" t="n">
        <f aca="false">Raw_Data!AM45</f>
        <v>3</v>
      </c>
      <c r="F45" s="0" t="n">
        <f aca="false">Raw_Data!AN45</f>
        <v>5</v>
      </c>
      <c r="G45" s="0" t="n">
        <f aca="false">Raw_Data!AO45</f>
        <v>4</v>
      </c>
      <c r="H45" s="0" t="n">
        <f aca="false">SUM(B45:G45)</f>
        <v>23</v>
      </c>
      <c r="I45" s="0" t="n">
        <f aca="false">H45-B45</f>
        <v>19</v>
      </c>
      <c r="J45" s="0" t="n">
        <f aca="false">H45-C45</f>
        <v>20</v>
      </c>
      <c r="K45" s="0" t="n">
        <f aca="false">H45-D45</f>
        <v>19</v>
      </c>
      <c r="L45" s="0" t="n">
        <f aca="false">H45-E45</f>
        <v>20</v>
      </c>
      <c r="M45" s="0" t="n">
        <f aca="false">H45-F45</f>
        <v>18</v>
      </c>
      <c r="N45" s="0" t="n">
        <f aca="false">H45-G45</f>
        <v>19</v>
      </c>
      <c r="O45" s="0" t="n">
        <f aca="false">B45+D45+F45</f>
        <v>13</v>
      </c>
      <c r="P45" s="0" t="n">
        <f aca="false">C45+E45+G45</f>
        <v>10</v>
      </c>
    </row>
    <row r="46" customFormat="false" ht="15" hidden="false" customHeight="false" outlineLevel="0" collapsed="false">
      <c r="A46" s="0" t="n">
        <v>46</v>
      </c>
      <c r="B46" s="0" t="n">
        <f aca="false">Raw_Data!AJ46</f>
        <v>4</v>
      </c>
      <c r="C46" s="0" t="n">
        <f aca="false">Raw_Data!AK46</f>
        <v>4</v>
      </c>
      <c r="D46" s="0" t="n">
        <f aca="false">Raw_Data!AL46</f>
        <v>3</v>
      </c>
      <c r="E46" s="0" t="n">
        <f aca="false">Raw_Data!AM46</f>
        <v>2</v>
      </c>
      <c r="F46" s="0" t="n">
        <f aca="false">Raw_Data!AN46</f>
        <v>3</v>
      </c>
      <c r="G46" s="0" t="n">
        <f aca="false">Raw_Data!AO46</f>
        <v>3</v>
      </c>
      <c r="H46" s="0" t="n">
        <f aca="false">SUM(B46:G46)</f>
        <v>19</v>
      </c>
      <c r="I46" s="0" t="n">
        <f aca="false">H46-B46</f>
        <v>15</v>
      </c>
      <c r="J46" s="0" t="n">
        <f aca="false">H46-C46</f>
        <v>15</v>
      </c>
      <c r="K46" s="0" t="n">
        <f aca="false">H46-D46</f>
        <v>16</v>
      </c>
      <c r="L46" s="0" t="n">
        <f aca="false">H46-E46</f>
        <v>17</v>
      </c>
      <c r="M46" s="0" t="n">
        <f aca="false">H46-F46</f>
        <v>16</v>
      </c>
      <c r="N46" s="0" t="n">
        <f aca="false">H46-G46</f>
        <v>16</v>
      </c>
      <c r="O46" s="0" t="n">
        <f aca="false">B46+D46+F46</f>
        <v>10</v>
      </c>
      <c r="P46" s="0" t="n">
        <f aca="false">C46+E46+G46</f>
        <v>9</v>
      </c>
    </row>
    <row r="47" customFormat="false" ht="15" hidden="false" customHeight="false" outlineLevel="0" collapsed="false">
      <c r="A47" s="0" t="n">
        <v>47</v>
      </c>
      <c r="B47" s="0" t="n">
        <f aca="false">Raw_Data!AJ47</f>
        <v>4</v>
      </c>
      <c r="C47" s="0" t="n">
        <f aca="false">Raw_Data!AK47</f>
        <v>4</v>
      </c>
      <c r="D47" s="0" t="n">
        <f aca="false">Raw_Data!AL47</f>
        <v>4</v>
      </c>
      <c r="E47" s="0" t="n">
        <f aca="false">Raw_Data!AM47</f>
        <v>3</v>
      </c>
      <c r="F47" s="0" t="n">
        <f aca="false">Raw_Data!AN47</f>
        <v>3</v>
      </c>
      <c r="G47" s="0" t="n">
        <f aca="false">Raw_Data!AO47</f>
        <v>2</v>
      </c>
      <c r="H47" s="0" t="n">
        <f aca="false">SUM(B47:G47)</f>
        <v>20</v>
      </c>
      <c r="I47" s="0" t="n">
        <f aca="false">H47-B47</f>
        <v>16</v>
      </c>
      <c r="J47" s="0" t="n">
        <f aca="false">H47-C47</f>
        <v>16</v>
      </c>
      <c r="K47" s="0" t="n">
        <f aca="false">H47-D47</f>
        <v>16</v>
      </c>
      <c r="L47" s="0" t="n">
        <f aca="false">H47-E47</f>
        <v>17</v>
      </c>
      <c r="M47" s="0" t="n">
        <f aca="false">H47-F47</f>
        <v>17</v>
      </c>
      <c r="N47" s="0" t="n">
        <f aca="false">H47-G47</f>
        <v>18</v>
      </c>
      <c r="O47" s="0" t="n">
        <f aca="false">B47+D47+F47</f>
        <v>11</v>
      </c>
      <c r="P47" s="0" t="n">
        <f aca="false">C47+E47+G47</f>
        <v>9</v>
      </c>
    </row>
    <row r="48" customFormat="false" ht="15" hidden="false" customHeight="false" outlineLevel="0" collapsed="false">
      <c r="A48" s="0" t="n">
        <v>48</v>
      </c>
      <c r="B48" s="0" t="n">
        <f aca="false">Raw_Data!AJ48</f>
        <v>4</v>
      </c>
      <c r="C48" s="0" t="n">
        <f aca="false">Raw_Data!AK48</f>
        <v>4</v>
      </c>
      <c r="D48" s="0" t="n">
        <f aca="false">Raw_Data!AL48</f>
        <v>5</v>
      </c>
      <c r="E48" s="0" t="n">
        <f aca="false">Raw_Data!AM48</f>
        <v>2</v>
      </c>
      <c r="F48" s="0" t="n">
        <f aca="false">Raw_Data!AN48</f>
        <v>2</v>
      </c>
      <c r="G48" s="0" t="n">
        <f aca="false">Raw_Data!AO48</f>
        <v>2</v>
      </c>
      <c r="H48" s="0" t="n">
        <f aca="false">SUM(B48:G48)</f>
        <v>19</v>
      </c>
      <c r="I48" s="0" t="n">
        <f aca="false">H48-B48</f>
        <v>15</v>
      </c>
      <c r="J48" s="0" t="n">
        <f aca="false">H48-C48</f>
        <v>15</v>
      </c>
      <c r="K48" s="0" t="n">
        <f aca="false">H48-D48</f>
        <v>14</v>
      </c>
      <c r="L48" s="0" t="n">
        <f aca="false">H48-E48</f>
        <v>17</v>
      </c>
      <c r="M48" s="0" t="n">
        <f aca="false">H48-F48</f>
        <v>17</v>
      </c>
      <c r="N48" s="0" t="n">
        <f aca="false">H48-G48</f>
        <v>17</v>
      </c>
      <c r="O48" s="0" t="n">
        <f aca="false">B48+D48+F48</f>
        <v>11</v>
      </c>
      <c r="P48" s="0" t="n">
        <f aca="false">C48+E48+G48</f>
        <v>8</v>
      </c>
    </row>
    <row r="49" customFormat="false" ht="15" hidden="false" customHeight="false" outlineLevel="0" collapsed="false">
      <c r="A49" s="0" t="n">
        <v>49</v>
      </c>
      <c r="B49" s="0" t="n">
        <f aca="false">Raw_Data!AJ49</f>
        <v>4</v>
      </c>
      <c r="C49" s="0" t="n">
        <f aca="false">Raw_Data!AK49</f>
        <v>3</v>
      </c>
      <c r="D49" s="0" t="n">
        <f aca="false">Raw_Data!AL49</f>
        <v>4</v>
      </c>
      <c r="E49" s="0" t="n">
        <f aca="false">Raw_Data!AM49</f>
        <v>4</v>
      </c>
      <c r="F49" s="0" t="n">
        <f aca="false">Raw_Data!AN49</f>
        <v>4</v>
      </c>
      <c r="G49" s="0" t="n">
        <f aca="false">Raw_Data!AO49</f>
        <v>4</v>
      </c>
      <c r="H49" s="0" t="n">
        <f aca="false">SUM(B49:G49)</f>
        <v>23</v>
      </c>
      <c r="I49" s="0" t="n">
        <f aca="false">H49-B49</f>
        <v>19</v>
      </c>
      <c r="J49" s="0" t="n">
        <f aca="false">H49-C49</f>
        <v>20</v>
      </c>
      <c r="K49" s="0" t="n">
        <f aca="false">H49-D49</f>
        <v>19</v>
      </c>
      <c r="L49" s="0" t="n">
        <f aca="false">H49-E49</f>
        <v>19</v>
      </c>
      <c r="M49" s="0" t="n">
        <f aca="false">H49-F49</f>
        <v>19</v>
      </c>
      <c r="N49" s="0" t="n">
        <f aca="false">H49-G49</f>
        <v>19</v>
      </c>
      <c r="O49" s="0" t="n">
        <f aca="false">B49+D49+F49</f>
        <v>12</v>
      </c>
      <c r="P49" s="0" t="n">
        <f aca="false">C49+E49+G49</f>
        <v>11</v>
      </c>
    </row>
    <row r="50" customFormat="false" ht="15" hidden="false" customHeight="false" outlineLevel="0" collapsed="false">
      <c r="A50" s="0" t="n">
        <v>50</v>
      </c>
      <c r="B50" s="0" t="n">
        <f aca="false">Raw_Data!AJ50</f>
        <v>4</v>
      </c>
      <c r="C50" s="0" t="n">
        <f aca="false">Raw_Data!AK50</f>
        <v>2</v>
      </c>
      <c r="D50" s="0" t="n">
        <f aca="false">Raw_Data!AL50</f>
        <v>3</v>
      </c>
      <c r="E50" s="0" t="n">
        <f aca="false">Raw_Data!AM50</f>
        <v>3</v>
      </c>
      <c r="F50" s="0" t="n">
        <f aca="false">Raw_Data!AN50</f>
        <v>2</v>
      </c>
      <c r="G50" s="0" t="n">
        <f aca="false">Raw_Data!AO50</f>
        <v>3</v>
      </c>
      <c r="H50" s="0" t="n">
        <f aca="false">SUM(B50:G50)</f>
        <v>17</v>
      </c>
      <c r="I50" s="0" t="n">
        <f aca="false">H50-B50</f>
        <v>13</v>
      </c>
      <c r="J50" s="0" t="n">
        <f aca="false">H50-C50</f>
        <v>15</v>
      </c>
      <c r="K50" s="0" t="n">
        <f aca="false">H50-D50</f>
        <v>14</v>
      </c>
      <c r="L50" s="0" t="n">
        <f aca="false">H50-E50</f>
        <v>14</v>
      </c>
      <c r="M50" s="0" t="n">
        <f aca="false">H50-F50</f>
        <v>15</v>
      </c>
      <c r="N50" s="0" t="n">
        <f aca="false">H50-G50</f>
        <v>14</v>
      </c>
      <c r="O50" s="0" t="n">
        <f aca="false">B50+D50+F50</f>
        <v>9</v>
      </c>
      <c r="P50" s="0" t="n">
        <f aca="false">C50+E50+G50</f>
        <v>8</v>
      </c>
    </row>
    <row r="51" customFormat="false" ht="15" hidden="false" customHeight="false" outlineLevel="0" collapsed="false">
      <c r="A51" s="0" t="n">
        <v>51</v>
      </c>
      <c r="B51" s="0" t="n">
        <f aca="false">Raw_Data!AJ51</f>
        <v>5</v>
      </c>
      <c r="C51" s="0" t="n">
        <f aca="false">Raw_Data!AK51</f>
        <v>2</v>
      </c>
      <c r="D51" s="0" t="n">
        <f aca="false">Raw_Data!AL51</f>
        <v>5</v>
      </c>
      <c r="E51" s="0" t="n">
        <f aca="false">Raw_Data!AM51</f>
        <v>3</v>
      </c>
      <c r="F51" s="0" t="n">
        <f aca="false">Raw_Data!AN51</f>
        <v>3</v>
      </c>
      <c r="G51" s="0" t="n">
        <f aca="false">Raw_Data!AO51</f>
        <v>3</v>
      </c>
      <c r="H51" s="0" t="n">
        <f aca="false">SUM(B51:G51)</f>
        <v>21</v>
      </c>
      <c r="I51" s="0" t="n">
        <f aca="false">H51-B51</f>
        <v>16</v>
      </c>
      <c r="J51" s="0" t="n">
        <f aca="false">H51-C51</f>
        <v>19</v>
      </c>
      <c r="K51" s="0" t="n">
        <f aca="false">H51-D51</f>
        <v>16</v>
      </c>
      <c r="L51" s="0" t="n">
        <f aca="false">H51-E51</f>
        <v>18</v>
      </c>
      <c r="M51" s="0" t="n">
        <f aca="false">H51-F51</f>
        <v>18</v>
      </c>
      <c r="N51" s="0" t="n">
        <f aca="false">H51-G51</f>
        <v>18</v>
      </c>
      <c r="O51" s="0" t="n">
        <f aca="false">B51+D51+F51</f>
        <v>13</v>
      </c>
      <c r="P51" s="0" t="n">
        <f aca="false">C51+E51+G51</f>
        <v>8</v>
      </c>
    </row>
    <row r="52" customFormat="false" ht="15" hidden="false" customHeight="false" outlineLevel="0" collapsed="false">
      <c r="A52" s="0" t="n">
        <v>52</v>
      </c>
      <c r="B52" s="0" t="n">
        <f aca="false">Raw_Data!AJ52</f>
        <v>2</v>
      </c>
      <c r="C52" s="0" t="n">
        <f aca="false">Raw_Data!AK52</f>
        <v>1</v>
      </c>
      <c r="D52" s="0" t="n">
        <f aca="false">Raw_Data!AL52</f>
        <v>4</v>
      </c>
      <c r="E52" s="0" t="n">
        <f aca="false">Raw_Data!AM52</f>
        <v>2</v>
      </c>
      <c r="F52" s="0" t="n">
        <f aca="false">Raw_Data!AN52</f>
        <v>2</v>
      </c>
      <c r="G52" s="0" t="n">
        <f aca="false">Raw_Data!AO52</f>
        <v>1</v>
      </c>
      <c r="H52" s="0" t="n">
        <f aca="false">SUM(B52:G52)</f>
        <v>12</v>
      </c>
      <c r="I52" s="0" t="n">
        <f aca="false">H52-B52</f>
        <v>10</v>
      </c>
      <c r="J52" s="0" t="n">
        <f aca="false">H52-C52</f>
        <v>11</v>
      </c>
      <c r="K52" s="0" t="n">
        <f aca="false">H52-D52</f>
        <v>8</v>
      </c>
      <c r="L52" s="0" t="n">
        <f aca="false">H52-E52</f>
        <v>10</v>
      </c>
      <c r="M52" s="0" t="n">
        <f aca="false">H52-F52</f>
        <v>10</v>
      </c>
      <c r="N52" s="0" t="n">
        <f aca="false">H52-G52</f>
        <v>11</v>
      </c>
      <c r="O52" s="0" t="n">
        <f aca="false">B52+D52+F52</f>
        <v>8</v>
      </c>
      <c r="P52" s="0" t="n">
        <f aca="false">C52+E52+G52</f>
        <v>4</v>
      </c>
    </row>
    <row r="53" customFormat="false" ht="15" hidden="false" customHeight="false" outlineLevel="0" collapsed="false">
      <c r="A53" s="0" t="n">
        <v>53</v>
      </c>
      <c r="B53" s="0" t="n">
        <f aca="false">Raw_Data!AJ53</f>
        <v>5</v>
      </c>
      <c r="C53" s="0" t="n">
        <f aca="false">Raw_Data!AK53</f>
        <v>2</v>
      </c>
      <c r="D53" s="0" t="n">
        <f aca="false">Raw_Data!AL53</f>
        <v>5</v>
      </c>
      <c r="E53" s="0" t="n">
        <f aca="false">Raw_Data!AM53</f>
        <v>4</v>
      </c>
      <c r="F53" s="0" t="n">
        <f aca="false">Raw_Data!AN53</f>
        <v>2</v>
      </c>
      <c r="G53" s="0" t="n">
        <f aca="false">Raw_Data!AO53</f>
        <v>3</v>
      </c>
      <c r="H53" s="0" t="n">
        <f aca="false">SUM(B53:G53)</f>
        <v>21</v>
      </c>
      <c r="I53" s="0" t="n">
        <f aca="false">H53-B53</f>
        <v>16</v>
      </c>
      <c r="J53" s="0" t="n">
        <f aca="false">H53-C53</f>
        <v>19</v>
      </c>
      <c r="K53" s="0" t="n">
        <f aca="false">H53-D53</f>
        <v>16</v>
      </c>
      <c r="L53" s="0" t="n">
        <f aca="false">H53-E53</f>
        <v>17</v>
      </c>
      <c r="M53" s="0" t="n">
        <f aca="false">H53-F53</f>
        <v>19</v>
      </c>
      <c r="N53" s="0" t="n">
        <f aca="false">H53-G53</f>
        <v>18</v>
      </c>
      <c r="O53" s="0" t="n">
        <f aca="false">B53+D53+F53</f>
        <v>12</v>
      </c>
      <c r="P53" s="0" t="n">
        <f aca="false">C53+E53+G53</f>
        <v>9</v>
      </c>
    </row>
    <row r="54" customFormat="false" ht="15" hidden="false" customHeight="false" outlineLevel="0" collapsed="false">
      <c r="A54" s="0" t="n">
        <v>54</v>
      </c>
      <c r="B54" s="0" t="n">
        <f aca="false">Raw_Data!AJ54</f>
        <v>4</v>
      </c>
      <c r="C54" s="0" t="n">
        <f aca="false">Raw_Data!AK54</f>
        <v>2</v>
      </c>
      <c r="D54" s="0" t="n">
        <f aca="false">Raw_Data!AL54</f>
        <v>4</v>
      </c>
      <c r="E54" s="0" t="n">
        <f aca="false">Raw_Data!AM54</f>
        <v>3</v>
      </c>
      <c r="F54" s="0" t="n">
        <f aca="false">Raw_Data!AN54</f>
        <v>3</v>
      </c>
      <c r="G54" s="0" t="n">
        <f aca="false">Raw_Data!AO54</f>
        <v>3</v>
      </c>
      <c r="H54" s="0" t="n">
        <f aca="false">SUM(B54:G54)</f>
        <v>19</v>
      </c>
      <c r="I54" s="0" t="n">
        <f aca="false">H54-B54</f>
        <v>15</v>
      </c>
      <c r="J54" s="0" t="n">
        <f aca="false">H54-C54</f>
        <v>17</v>
      </c>
      <c r="K54" s="0" t="n">
        <f aca="false">H54-D54</f>
        <v>15</v>
      </c>
      <c r="L54" s="0" t="n">
        <f aca="false">H54-E54</f>
        <v>16</v>
      </c>
      <c r="M54" s="0" t="n">
        <f aca="false">H54-F54</f>
        <v>16</v>
      </c>
      <c r="N54" s="0" t="n">
        <f aca="false">H54-G54</f>
        <v>16</v>
      </c>
      <c r="O54" s="0" t="n">
        <f aca="false">B54+D54+F54</f>
        <v>11</v>
      </c>
      <c r="P54" s="0" t="n">
        <f aca="false">C54+E54+G54</f>
        <v>8</v>
      </c>
    </row>
    <row r="55" customFormat="false" ht="15" hidden="false" customHeight="false" outlineLevel="0" collapsed="false">
      <c r="A55" s="0" t="n">
        <v>55</v>
      </c>
      <c r="B55" s="0" t="n">
        <f aca="false">Raw_Data!AJ55</f>
        <v>4</v>
      </c>
      <c r="C55" s="0" t="n">
        <f aca="false">Raw_Data!AK55</f>
        <v>3</v>
      </c>
      <c r="D55" s="0" t="n">
        <f aca="false">Raw_Data!AL55</f>
        <v>4</v>
      </c>
      <c r="E55" s="0" t="n">
        <f aca="false">Raw_Data!AM55</f>
        <v>4</v>
      </c>
      <c r="F55" s="0" t="n">
        <f aca="false">Raw_Data!AN55</f>
        <v>4</v>
      </c>
      <c r="G55" s="0" t="n">
        <f aca="false">Raw_Data!AO55</f>
        <v>4</v>
      </c>
      <c r="H55" s="0" t="n">
        <f aca="false">SUM(B55:G55)</f>
        <v>23</v>
      </c>
      <c r="I55" s="0" t="n">
        <f aca="false">H55-B55</f>
        <v>19</v>
      </c>
      <c r="J55" s="0" t="n">
        <f aca="false">H55-C55</f>
        <v>20</v>
      </c>
      <c r="K55" s="0" t="n">
        <f aca="false">H55-D55</f>
        <v>19</v>
      </c>
      <c r="L55" s="0" t="n">
        <f aca="false">H55-E55</f>
        <v>19</v>
      </c>
      <c r="M55" s="0" t="n">
        <f aca="false">H55-F55</f>
        <v>19</v>
      </c>
      <c r="N55" s="0" t="n">
        <f aca="false">H55-G55</f>
        <v>19</v>
      </c>
      <c r="O55" s="0" t="n">
        <f aca="false">B55+D55+F55</f>
        <v>12</v>
      </c>
      <c r="P55" s="0" t="n">
        <f aca="false">C55+E55+G55</f>
        <v>11</v>
      </c>
    </row>
    <row r="56" customFormat="false" ht="15" hidden="false" customHeight="false" outlineLevel="0" collapsed="false">
      <c r="A56" s="0" t="n">
        <v>56</v>
      </c>
      <c r="B56" s="0" t="n">
        <f aca="false">Raw_Data!AJ56</f>
        <v>4</v>
      </c>
      <c r="C56" s="0" t="n">
        <f aca="false">Raw_Data!AK56</f>
        <v>4</v>
      </c>
      <c r="D56" s="0" t="n">
        <f aca="false">Raw_Data!AL56</f>
        <v>4</v>
      </c>
      <c r="E56" s="0" t="n">
        <f aca="false">Raw_Data!AM56</f>
        <v>3</v>
      </c>
      <c r="F56" s="0" t="n">
        <f aca="false">Raw_Data!AN56</f>
        <v>2</v>
      </c>
      <c r="G56" s="0" t="n">
        <f aca="false">Raw_Data!AO56</f>
        <v>3</v>
      </c>
      <c r="H56" s="0" t="n">
        <f aca="false">SUM(B56:G56)</f>
        <v>20</v>
      </c>
      <c r="I56" s="0" t="n">
        <f aca="false">H56-B56</f>
        <v>16</v>
      </c>
      <c r="J56" s="0" t="n">
        <f aca="false">H56-C56</f>
        <v>16</v>
      </c>
      <c r="K56" s="0" t="n">
        <f aca="false">H56-D56</f>
        <v>16</v>
      </c>
      <c r="L56" s="0" t="n">
        <f aca="false">H56-E56</f>
        <v>17</v>
      </c>
      <c r="M56" s="0" t="n">
        <f aca="false">H56-F56</f>
        <v>18</v>
      </c>
      <c r="N56" s="0" t="n">
        <f aca="false">H56-G56</f>
        <v>17</v>
      </c>
      <c r="O56" s="0" t="n">
        <f aca="false">B56+D56+F56</f>
        <v>10</v>
      </c>
      <c r="P56" s="0" t="n">
        <f aca="false">C56+E56+G56</f>
        <v>10</v>
      </c>
    </row>
    <row r="57" customFormat="false" ht="15" hidden="false" customHeight="false" outlineLevel="0" collapsed="false">
      <c r="A57" s="0" t="n">
        <v>57</v>
      </c>
      <c r="B57" s="0" t="n">
        <f aca="false">Raw_Data!AJ57</f>
        <v>4</v>
      </c>
      <c r="C57" s="0" t="n">
        <f aca="false">Raw_Data!AK57</f>
        <v>3</v>
      </c>
      <c r="D57" s="0" t="n">
        <f aca="false">Raw_Data!AL57</f>
        <v>5</v>
      </c>
      <c r="E57" s="0" t="n">
        <f aca="false">Raw_Data!AM57</f>
        <v>4</v>
      </c>
      <c r="F57" s="0" t="n">
        <f aca="false">Raw_Data!AN57</f>
        <v>2</v>
      </c>
      <c r="G57" s="0" t="n">
        <f aca="false">Raw_Data!AO57</f>
        <v>3</v>
      </c>
      <c r="H57" s="0" t="n">
        <f aca="false">SUM(B57:G57)</f>
        <v>21</v>
      </c>
      <c r="I57" s="0" t="n">
        <f aca="false">H57-B57</f>
        <v>17</v>
      </c>
      <c r="J57" s="0" t="n">
        <f aca="false">H57-C57</f>
        <v>18</v>
      </c>
      <c r="K57" s="0" t="n">
        <f aca="false">H57-D57</f>
        <v>16</v>
      </c>
      <c r="L57" s="0" t="n">
        <f aca="false">H57-E57</f>
        <v>17</v>
      </c>
      <c r="M57" s="0" t="n">
        <f aca="false">H57-F57</f>
        <v>19</v>
      </c>
      <c r="N57" s="0" t="n">
        <f aca="false">H57-G57</f>
        <v>18</v>
      </c>
      <c r="O57" s="0" t="n">
        <f aca="false">B57+D57+F57</f>
        <v>11</v>
      </c>
      <c r="P57" s="0" t="n">
        <f aca="false">C57+E57+G57</f>
        <v>10</v>
      </c>
    </row>
    <row r="58" customFormat="false" ht="15" hidden="false" customHeight="false" outlineLevel="0" collapsed="false">
      <c r="A58" s="0" t="n">
        <v>58</v>
      </c>
      <c r="B58" s="0" t="n">
        <f aca="false">Raw_Data!AJ58</f>
        <v>4</v>
      </c>
      <c r="C58" s="0" t="n">
        <f aca="false">Raw_Data!AK58</f>
        <v>1</v>
      </c>
      <c r="D58" s="0" t="n">
        <f aca="false">Raw_Data!AL58</f>
        <v>5</v>
      </c>
      <c r="E58" s="0" t="n">
        <f aca="false">Raw_Data!AM58</f>
        <v>3</v>
      </c>
      <c r="F58" s="0" t="n">
        <f aca="false">Raw_Data!AN58</f>
        <v>3</v>
      </c>
      <c r="G58" s="0" t="n">
        <f aca="false">Raw_Data!AO58</f>
        <v>5</v>
      </c>
      <c r="H58" s="0" t="n">
        <f aca="false">SUM(B58:G58)</f>
        <v>21</v>
      </c>
      <c r="I58" s="0" t="n">
        <f aca="false">H58-B58</f>
        <v>17</v>
      </c>
      <c r="J58" s="0" t="n">
        <f aca="false">H58-C58</f>
        <v>20</v>
      </c>
      <c r="K58" s="0" t="n">
        <f aca="false">H58-D58</f>
        <v>16</v>
      </c>
      <c r="L58" s="0" t="n">
        <f aca="false">H58-E58</f>
        <v>18</v>
      </c>
      <c r="M58" s="0" t="n">
        <f aca="false">H58-F58</f>
        <v>18</v>
      </c>
      <c r="N58" s="0" t="n">
        <f aca="false">H58-G58</f>
        <v>16</v>
      </c>
      <c r="O58" s="0" t="n">
        <f aca="false">B58+D58+F58</f>
        <v>12</v>
      </c>
      <c r="P58" s="0" t="n">
        <f aca="false">C58+E58+G58</f>
        <v>9</v>
      </c>
    </row>
    <row r="59" customFormat="false" ht="15" hidden="false" customHeight="false" outlineLevel="0" collapsed="false">
      <c r="A59" s="0" t="n">
        <v>59</v>
      </c>
      <c r="B59" s="0" t="n">
        <f aca="false">Raw_Data!AJ59</f>
        <v>5</v>
      </c>
      <c r="C59" s="0" t="n">
        <f aca="false">Raw_Data!AK59</f>
        <v>5</v>
      </c>
      <c r="D59" s="0" t="n">
        <f aca="false">Raw_Data!AL59</f>
        <v>4</v>
      </c>
      <c r="E59" s="0" t="n">
        <f aca="false">Raw_Data!AM59</f>
        <v>3</v>
      </c>
      <c r="F59" s="0" t="n">
        <f aca="false">Raw_Data!AN59</f>
        <v>2</v>
      </c>
      <c r="G59" s="0" t="n">
        <f aca="false">Raw_Data!AO59</f>
        <v>4</v>
      </c>
      <c r="H59" s="0" t="n">
        <f aca="false">SUM(B59:G59)</f>
        <v>23</v>
      </c>
      <c r="I59" s="0" t="n">
        <f aca="false">H59-B59</f>
        <v>18</v>
      </c>
      <c r="J59" s="0" t="n">
        <f aca="false">H59-C59</f>
        <v>18</v>
      </c>
      <c r="K59" s="0" t="n">
        <f aca="false">H59-D59</f>
        <v>19</v>
      </c>
      <c r="L59" s="0" t="n">
        <f aca="false">H59-E59</f>
        <v>20</v>
      </c>
      <c r="M59" s="0" t="n">
        <f aca="false">H59-F59</f>
        <v>21</v>
      </c>
      <c r="N59" s="0" t="n">
        <f aca="false">H59-G59</f>
        <v>19</v>
      </c>
      <c r="O59" s="0" t="n">
        <f aca="false">B59+D59+F59</f>
        <v>11</v>
      </c>
      <c r="P59" s="0" t="n">
        <f aca="false">C59+E59+G59</f>
        <v>12</v>
      </c>
    </row>
    <row r="60" customFormat="false" ht="15" hidden="false" customHeight="false" outlineLevel="0" collapsed="false">
      <c r="A60" s="0" t="n">
        <v>60</v>
      </c>
      <c r="B60" s="0" t="n">
        <f aca="false">Raw_Data!AJ60</f>
        <v>5</v>
      </c>
      <c r="C60" s="0" t="n">
        <f aca="false">Raw_Data!AK60</f>
        <v>4</v>
      </c>
      <c r="D60" s="0" t="n">
        <f aca="false">Raw_Data!AL60</f>
        <v>5</v>
      </c>
      <c r="E60" s="0" t="n">
        <f aca="false">Raw_Data!AM60</f>
        <v>5</v>
      </c>
      <c r="F60" s="0" t="n">
        <f aca="false">Raw_Data!AN60</f>
        <v>2</v>
      </c>
      <c r="G60" s="0" t="n">
        <f aca="false">Raw_Data!AO60</f>
        <v>4</v>
      </c>
      <c r="H60" s="0" t="n">
        <f aca="false">SUM(B60:G60)</f>
        <v>25</v>
      </c>
      <c r="I60" s="0" t="n">
        <f aca="false">H60-B60</f>
        <v>20</v>
      </c>
      <c r="J60" s="0" t="n">
        <f aca="false">H60-C60</f>
        <v>21</v>
      </c>
      <c r="K60" s="0" t="n">
        <f aca="false">H60-D60</f>
        <v>20</v>
      </c>
      <c r="L60" s="0" t="n">
        <f aca="false">H60-E60</f>
        <v>20</v>
      </c>
      <c r="M60" s="0" t="n">
        <f aca="false">H60-F60</f>
        <v>23</v>
      </c>
      <c r="N60" s="0" t="n">
        <f aca="false">H60-G60</f>
        <v>21</v>
      </c>
      <c r="O60" s="0" t="n">
        <f aca="false">B60+D60+F60</f>
        <v>12</v>
      </c>
      <c r="P60" s="0" t="n">
        <f aca="false">C60+E60+G60</f>
        <v>13</v>
      </c>
    </row>
    <row r="61" customFormat="false" ht="15" hidden="false" customHeight="false" outlineLevel="0" collapsed="false">
      <c r="A61" s="0" t="n">
        <v>61</v>
      </c>
      <c r="B61" s="0" t="n">
        <f aca="false">Raw_Data!AJ61</f>
        <v>5</v>
      </c>
      <c r="C61" s="0" t="n">
        <f aca="false">Raw_Data!AK61</f>
        <v>3</v>
      </c>
      <c r="D61" s="0" t="n">
        <f aca="false">Raw_Data!AL61</f>
        <v>5</v>
      </c>
      <c r="E61" s="0" t="n">
        <f aca="false">Raw_Data!AM61</f>
        <v>5</v>
      </c>
      <c r="F61" s="0" t="n">
        <f aca="false">Raw_Data!AN61</f>
        <v>3</v>
      </c>
      <c r="G61" s="0" t="n">
        <f aca="false">Raw_Data!AO61</f>
        <v>3</v>
      </c>
      <c r="H61" s="0" t="n">
        <f aca="false">SUM(B61:G61)</f>
        <v>24</v>
      </c>
      <c r="I61" s="0" t="n">
        <f aca="false">H61-B61</f>
        <v>19</v>
      </c>
      <c r="J61" s="0" t="n">
        <f aca="false">H61-C61</f>
        <v>21</v>
      </c>
      <c r="K61" s="0" t="n">
        <f aca="false">H61-D61</f>
        <v>19</v>
      </c>
      <c r="L61" s="0" t="n">
        <f aca="false">H61-E61</f>
        <v>19</v>
      </c>
      <c r="M61" s="0" t="n">
        <f aca="false">H61-F61</f>
        <v>21</v>
      </c>
      <c r="N61" s="0" t="n">
        <f aca="false">H61-G61</f>
        <v>21</v>
      </c>
      <c r="O61" s="0" t="n">
        <f aca="false">B61+D61+F61</f>
        <v>13</v>
      </c>
      <c r="P61" s="0" t="n">
        <f aca="false">C61+E61+G61</f>
        <v>11</v>
      </c>
    </row>
    <row r="62" customFormat="false" ht="15" hidden="false" customHeight="false" outlineLevel="0" collapsed="false">
      <c r="A62" s="0" t="n">
        <v>62</v>
      </c>
      <c r="B62" s="0" t="n">
        <f aca="false">Raw_Data!AJ62</f>
        <v>3</v>
      </c>
      <c r="C62" s="0" t="n">
        <f aca="false">Raw_Data!AK62</f>
        <v>3</v>
      </c>
      <c r="D62" s="0" t="n">
        <f aca="false">Raw_Data!AL62</f>
        <v>4</v>
      </c>
      <c r="E62" s="0" t="n">
        <f aca="false">Raw_Data!AM62</f>
        <v>3</v>
      </c>
      <c r="F62" s="0" t="n">
        <f aca="false">Raw_Data!AN62</f>
        <v>3</v>
      </c>
      <c r="G62" s="0" t="n">
        <f aca="false">Raw_Data!AO62</f>
        <v>4</v>
      </c>
      <c r="H62" s="0" t="n">
        <f aca="false">SUM(B62:G62)</f>
        <v>20</v>
      </c>
      <c r="I62" s="0" t="n">
        <f aca="false">H62-B62</f>
        <v>17</v>
      </c>
      <c r="J62" s="0" t="n">
        <f aca="false">H62-C62</f>
        <v>17</v>
      </c>
      <c r="K62" s="0" t="n">
        <f aca="false">H62-D62</f>
        <v>16</v>
      </c>
      <c r="L62" s="0" t="n">
        <f aca="false">H62-E62</f>
        <v>17</v>
      </c>
      <c r="M62" s="0" t="n">
        <f aca="false">H62-F62</f>
        <v>17</v>
      </c>
      <c r="N62" s="0" t="n">
        <f aca="false">H62-G62</f>
        <v>16</v>
      </c>
      <c r="O62" s="0" t="n">
        <f aca="false">B62+D62+F62</f>
        <v>10</v>
      </c>
      <c r="P62" s="0" t="n">
        <f aca="false">C62+E62+G62</f>
        <v>10</v>
      </c>
    </row>
    <row r="63" customFormat="false" ht="15" hidden="false" customHeight="false" outlineLevel="0" collapsed="false">
      <c r="A63" s="0" t="n">
        <v>63</v>
      </c>
      <c r="B63" s="0" t="n">
        <f aca="false">Raw_Data!AJ63</f>
        <v>4</v>
      </c>
      <c r="C63" s="0" t="n">
        <f aca="false">Raw_Data!AK63</f>
        <v>4</v>
      </c>
      <c r="D63" s="0" t="n">
        <f aca="false">Raw_Data!AL63</f>
        <v>3</v>
      </c>
      <c r="E63" s="0" t="n">
        <f aca="false">Raw_Data!AM63</f>
        <v>2</v>
      </c>
      <c r="F63" s="0" t="n">
        <f aca="false">Raw_Data!AN63</f>
        <v>2</v>
      </c>
      <c r="G63" s="0" t="n">
        <f aca="false">Raw_Data!AO63</f>
        <v>2</v>
      </c>
      <c r="H63" s="0" t="n">
        <f aca="false">SUM(B63:G63)</f>
        <v>17</v>
      </c>
      <c r="I63" s="0" t="n">
        <f aca="false">H63-B63</f>
        <v>13</v>
      </c>
      <c r="J63" s="0" t="n">
        <f aca="false">H63-C63</f>
        <v>13</v>
      </c>
      <c r="K63" s="0" t="n">
        <f aca="false">H63-D63</f>
        <v>14</v>
      </c>
      <c r="L63" s="0" t="n">
        <f aca="false">H63-E63</f>
        <v>15</v>
      </c>
      <c r="M63" s="0" t="n">
        <f aca="false">H63-F63</f>
        <v>15</v>
      </c>
      <c r="N63" s="0" t="n">
        <f aca="false">H63-G63</f>
        <v>15</v>
      </c>
      <c r="O63" s="0" t="n">
        <f aca="false">B63+D63+F63</f>
        <v>9</v>
      </c>
      <c r="P63" s="0" t="n">
        <f aca="false">C63+E63+G63</f>
        <v>8</v>
      </c>
    </row>
    <row r="64" customFormat="false" ht="15" hidden="false" customHeight="false" outlineLevel="0" collapsed="false">
      <c r="A64" s="0" t="n">
        <v>64</v>
      </c>
      <c r="B64" s="0" t="n">
        <f aca="false">Raw_Data!AJ64</f>
        <v>5</v>
      </c>
      <c r="C64" s="0" t="n">
        <f aca="false">Raw_Data!AK64</f>
        <v>3</v>
      </c>
      <c r="D64" s="0" t="n">
        <f aca="false">Raw_Data!AL64</f>
        <v>4</v>
      </c>
      <c r="E64" s="0" t="n">
        <f aca="false">Raw_Data!AM64</f>
        <v>4</v>
      </c>
      <c r="F64" s="0" t="n">
        <f aca="false">Raw_Data!AN64</f>
        <v>4</v>
      </c>
      <c r="G64" s="0" t="n">
        <f aca="false">Raw_Data!AO64</f>
        <v>4</v>
      </c>
      <c r="H64" s="0" t="n">
        <f aca="false">SUM(B64:G64)</f>
        <v>24</v>
      </c>
      <c r="I64" s="0" t="n">
        <f aca="false">H64-B64</f>
        <v>19</v>
      </c>
      <c r="J64" s="0" t="n">
        <f aca="false">H64-C64</f>
        <v>21</v>
      </c>
      <c r="K64" s="0" t="n">
        <f aca="false">H64-D64</f>
        <v>20</v>
      </c>
      <c r="L64" s="0" t="n">
        <f aca="false">H64-E64</f>
        <v>20</v>
      </c>
      <c r="M64" s="0" t="n">
        <f aca="false">H64-F64</f>
        <v>20</v>
      </c>
      <c r="N64" s="0" t="n">
        <f aca="false">H64-G64</f>
        <v>20</v>
      </c>
      <c r="O64" s="0" t="n">
        <f aca="false">B64+D64+F64</f>
        <v>13</v>
      </c>
      <c r="P64" s="0" t="n">
        <f aca="false">C64+E64+G64</f>
        <v>11</v>
      </c>
    </row>
    <row r="65" customFormat="false" ht="15" hidden="false" customHeight="false" outlineLevel="0" collapsed="false">
      <c r="A65" s="0" t="n">
        <v>65</v>
      </c>
      <c r="B65" s="0" t="n">
        <f aca="false">Raw_Data!AJ65</f>
        <v>4</v>
      </c>
      <c r="C65" s="0" t="n">
        <f aca="false">Raw_Data!AK65</f>
        <v>2</v>
      </c>
      <c r="D65" s="0" t="n">
        <f aca="false">Raw_Data!AL65</f>
        <v>5</v>
      </c>
      <c r="E65" s="0" t="n">
        <f aca="false">Raw_Data!AM65</f>
        <v>3</v>
      </c>
      <c r="F65" s="0" t="n">
        <f aca="false">Raw_Data!AN65</f>
        <v>2</v>
      </c>
      <c r="G65" s="0" t="n">
        <f aca="false">Raw_Data!AO65</f>
        <v>2</v>
      </c>
      <c r="H65" s="0" t="n">
        <f aca="false">SUM(B65:G65)</f>
        <v>18</v>
      </c>
      <c r="I65" s="0" t="n">
        <f aca="false">H65-B65</f>
        <v>14</v>
      </c>
      <c r="J65" s="0" t="n">
        <f aca="false">H65-C65</f>
        <v>16</v>
      </c>
      <c r="K65" s="0" t="n">
        <f aca="false">H65-D65</f>
        <v>13</v>
      </c>
      <c r="L65" s="0" t="n">
        <f aca="false">H65-E65</f>
        <v>15</v>
      </c>
      <c r="M65" s="0" t="n">
        <f aca="false">H65-F65</f>
        <v>16</v>
      </c>
      <c r="N65" s="0" t="n">
        <f aca="false">H65-G65</f>
        <v>16</v>
      </c>
      <c r="O65" s="0" t="n">
        <f aca="false">B65+D65+F65</f>
        <v>11</v>
      </c>
      <c r="P65" s="0" t="n">
        <f aca="false">C65+E65+G65</f>
        <v>7</v>
      </c>
    </row>
    <row r="66" customFormat="false" ht="15" hidden="false" customHeight="false" outlineLevel="0" collapsed="false">
      <c r="A66" s="0" t="n">
        <v>66</v>
      </c>
      <c r="B66" s="0" t="n">
        <f aca="false">Raw_Data!AJ66</f>
        <v>2</v>
      </c>
      <c r="C66" s="0" t="n">
        <f aca="false">Raw_Data!AK66</f>
        <v>3</v>
      </c>
      <c r="D66" s="0" t="n">
        <f aca="false">Raw_Data!AL66</f>
        <v>3</v>
      </c>
      <c r="E66" s="0" t="n">
        <f aca="false">Raw_Data!AM66</f>
        <v>3</v>
      </c>
      <c r="F66" s="0" t="n">
        <f aca="false">Raw_Data!AN66</f>
        <v>2</v>
      </c>
      <c r="G66" s="0" t="n">
        <f aca="false">Raw_Data!AO66</f>
        <v>2</v>
      </c>
      <c r="H66" s="0" t="n">
        <f aca="false">SUM(B66:G66)</f>
        <v>15</v>
      </c>
      <c r="I66" s="0" t="n">
        <f aca="false">H66-B66</f>
        <v>13</v>
      </c>
      <c r="J66" s="0" t="n">
        <f aca="false">H66-C66</f>
        <v>12</v>
      </c>
      <c r="K66" s="0" t="n">
        <f aca="false">H66-D66</f>
        <v>12</v>
      </c>
      <c r="L66" s="0" t="n">
        <f aca="false">H66-E66</f>
        <v>12</v>
      </c>
      <c r="M66" s="0" t="n">
        <f aca="false">H66-F66</f>
        <v>13</v>
      </c>
      <c r="N66" s="0" t="n">
        <f aca="false">H66-G66</f>
        <v>13</v>
      </c>
      <c r="O66" s="0" t="n">
        <f aca="false">B66+D66+F66</f>
        <v>7</v>
      </c>
      <c r="P66" s="0" t="n">
        <f aca="false">C66+E66+G66</f>
        <v>8</v>
      </c>
    </row>
    <row r="67" customFormat="false" ht="15" hidden="false" customHeight="false" outlineLevel="0" collapsed="false">
      <c r="A67" s="0" t="n">
        <v>67</v>
      </c>
      <c r="B67" s="0" t="n">
        <f aca="false">Raw_Data!AJ67</f>
        <v>5</v>
      </c>
      <c r="C67" s="0" t="n">
        <f aca="false">Raw_Data!AK67</f>
        <v>2</v>
      </c>
      <c r="D67" s="0" t="n">
        <f aca="false">Raw_Data!AL67</f>
        <v>4</v>
      </c>
      <c r="E67" s="0" t="n">
        <f aca="false">Raw_Data!AM67</f>
        <v>4</v>
      </c>
      <c r="F67" s="0" t="n">
        <f aca="false">Raw_Data!AN67</f>
        <v>3</v>
      </c>
      <c r="G67" s="0" t="n">
        <f aca="false">Raw_Data!AO67</f>
        <v>2</v>
      </c>
      <c r="H67" s="0" t="n">
        <f aca="false">SUM(B67:G67)</f>
        <v>20</v>
      </c>
      <c r="I67" s="0" t="n">
        <f aca="false">H67-B67</f>
        <v>15</v>
      </c>
      <c r="J67" s="0" t="n">
        <f aca="false">H67-C67</f>
        <v>18</v>
      </c>
      <c r="K67" s="0" t="n">
        <f aca="false">H67-D67</f>
        <v>16</v>
      </c>
      <c r="L67" s="0" t="n">
        <f aca="false">H67-E67</f>
        <v>16</v>
      </c>
      <c r="M67" s="0" t="n">
        <f aca="false">H67-F67</f>
        <v>17</v>
      </c>
      <c r="N67" s="0" t="n">
        <f aca="false">H67-G67</f>
        <v>18</v>
      </c>
      <c r="O67" s="0" t="n">
        <f aca="false">B67+D67+F67</f>
        <v>12</v>
      </c>
      <c r="P67" s="0" t="n">
        <f aca="false">C67+E67+G67</f>
        <v>8</v>
      </c>
    </row>
    <row r="68" customFormat="false" ht="15" hidden="false" customHeight="false" outlineLevel="0" collapsed="false">
      <c r="A68" s="0" t="n">
        <v>68</v>
      </c>
      <c r="B68" s="0" t="n">
        <f aca="false">Raw_Data!AJ68</f>
        <v>3</v>
      </c>
      <c r="C68" s="0" t="n">
        <f aca="false">Raw_Data!AK68</f>
        <v>4</v>
      </c>
      <c r="D68" s="0" t="n">
        <f aca="false">Raw_Data!AL68</f>
        <v>4</v>
      </c>
      <c r="E68" s="0" t="n">
        <f aca="false">Raw_Data!AM68</f>
        <v>4</v>
      </c>
      <c r="F68" s="0" t="n">
        <f aca="false">Raw_Data!AN68</f>
        <v>4</v>
      </c>
      <c r="G68" s="0" t="n">
        <f aca="false">Raw_Data!AO68</f>
        <v>3</v>
      </c>
      <c r="H68" s="0" t="n">
        <f aca="false">SUM(B68:G68)</f>
        <v>22</v>
      </c>
      <c r="I68" s="0" t="n">
        <f aca="false">H68-B68</f>
        <v>19</v>
      </c>
      <c r="J68" s="0" t="n">
        <f aca="false">H68-C68</f>
        <v>18</v>
      </c>
      <c r="K68" s="0" t="n">
        <f aca="false">H68-D68</f>
        <v>18</v>
      </c>
      <c r="L68" s="0" t="n">
        <f aca="false">H68-E68</f>
        <v>18</v>
      </c>
      <c r="M68" s="0" t="n">
        <f aca="false">H68-F68</f>
        <v>18</v>
      </c>
      <c r="N68" s="0" t="n">
        <f aca="false">H68-G68</f>
        <v>19</v>
      </c>
      <c r="O68" s="0" t="n">
        <f aca="false">B68+D68+F68</f>
        <v>11</v>
      </c>
      <c r="P68" s="0" t="n">
        <f aca="false">C68+E68+G68</f>
        <v>11</v>
      </c>
    </row>
    <row r="69" customFormat="false" ht="15" hidden="false" customHeight="false" outlineLevel="0" collapsed="false">
      <c r="A69" s="0" t="n">
        <v>69</v>
      </c>
      <c r="B69" s="0" t="n">
        <f aca="false">Raw_Data!AJ69</f>
        <v>4</v>
      </c>
      <c r="C69" s="0" t="n">
        <f aca="false">Raw_Data!AK69</f>
        <v>4</v>
      </c>
      <c r="D69" s="0" t="n">
        <f aca="false">Raw_Data!AL69</f>
        <v>4</v>
      </c>
      <c r="E69" s="0" t="n">
        <f aca="false">Raw_Data!AM69</f>
        <v>2</v>
      </c>
      <c r="F69" s="0" t="n">
        <f aca="false">Raw_Data!AN69</f>
        <v>2</v>
      </c>
      <c r="G69" s="0" t="n">
        <f aca="false">Raw_Data!AO69</f>
        <v>3</v>
      </c>
      <c r="H69" s="0" t="n">
        <f aca="false">SUM(B69:G69)</f>
        <v>19</v>
      </c>
      <c r="I69" s="0" t="n">
        <f aca="false">H69-B69</f>
        <v>15</v>
      </c>
      <c r="J69" s="0" t="n">
        <f aca="false">H69-C69</f>
        <v>15</v>
      </c>
      <c r="K69" s="0" t="n">
        <f aca="false">H69-D69</f>
        <v>15</v>
      </c>
      <c r="L69" s="0" t="n">
        <f aca="false">H69-E69</f>
        <v>17</v>
      </c>
      <c r="M69" s="0" t="n">
        <f aca="false">H69-F69</f>
        <v>17</v>
      </c>
      <c r="N69" s="0" t="n">
        <f aca="false">H69-G69</f>
        <v>16</v>
      </c>
      <c r="O69" s="0" t="n">
        <f aca="false">B69+D69+F69</f>
        <v>10</v>
      </c>
      <c r="P69" s="0" t="n">
        <f aca="false">C69+E69+G69</f>
        <v>9</v>
      </c>
    </row>
    <row r="70" customFormat="false" ht="15" hidden="false" customHeight="false" outlineLevel="0" collapsed="false">
      <c r="A70" s="0" t="n">
        <v>70</v>
      </c>
      <c r="B70" s="0" t="n">
        <f aca="false">Raw_Data!AJ70</f>
        <v>4</v>
      </c>
      <c r="C70" s="0" t="n">
        <f aca="false">Raw_Data!AK70</f>
        <v>4</v>
      </c>
      <c r="D70" s="0" t="n">
        <f aca="false">Raw_Data!AL70</f>
        <v>5</v>
      </c>
      <c r="E70" s="0" t="n">
        <f aca="false">Raw_Data!AM70</f>
        <v>4</v>
      </c>
      <c r="F70" s="0" t="n">
        <f aca="false">Raw_Data!AN70</f>
        <v>3</v>
      </c>
      <c r="G70" s="0" t="n">
        <f aca="false">Raw_Data!AO70</f>
        <v>4</v>
      </c>
      <c r="H70" s="0" t="n">
        <f aca="false">SUM(B70:G70)</f>
        <v>24</v>
      </c>
      <c r="I70" s="0" t="n">
        <f aca="false">H70-B70</f>
        <v>20</v>
      </c>
      <c r="J70" s="0" t="n">
        <f aca="false">H70-C70</f>
        <v>20</v>
      </c>
      <c r="K70" s="0" t="n">
        <f aca="false">H70-D70</f>
        <v>19</v>
      </c>
      <c r="L70" s="0" t="n">
        <f aca="false">H70-E70</f>
        <v>20</v>
      </c>
      <c r="M70" s="0" t="n">
        <f aca="false">H70-F70</f>
        <v>21</v>
      </c>
      <c r="N70" s="0" t="n">
        <f aca="false">H70-G70</f>
        <v>20</v>
      </c>
      <c r="O70" s="0" t="n">
        <f aca="false">B70+D70+F70</f>
        <v>12</v>
      </c>
      <c r="P70" s="0" t="n">
        <f aca="false">C70+E70+G70</f>
        <v>12</v>
      </c>
    </row>
    <row r="71" customFormat="false" ht="15" hidden="false" customHeight="false" outlineLevel="0" collapsed="false">
      <c r="A71" s="0" t="n">
        <v>71</v>
      </c>
      <c r="B71" s="0" t="n">
        <f aca="false">Raw_Data!AJ71</f>
        <v>4</v>
      </c>
      <c r="C71" s="0" t="n">
        <f aca="false">Raw_Data!AK71</f>
        <v>2</v>
      </c>
      <c r="D71" s="0" t="n">
        <f aca="false">Raw_Data!AL71</f>
        <v>3</v>
      </c>
      <c r="E71" s="0" t="n">
        <f aca="false">Raw_Data!AM71</f>
        <v>3</v>
      </c>
      <c r="F71" s="0" t="n">
        <f aca="false">Raw_Data!AN71</f>
        <v>3</v>
      </c>
      <c r="G71" s="0" t="n">
        <f aca="false">Raw_Data!AO71</f>
        <v>4</v>
      </c>
      <c r="H71" s="0" t="n">
        <f aca="false">SUM(B71:G71)</f>
        <v>19</v>
      </c>
      <c r="I71" s="0" t="n">
        <f aca="false">H71-B71</f>
        <v>15</v>
      </c>
      <c r="J71" s="0" t="n">
        <f aca="false">H71-C71</f>
        <v>17</v>
      </c>
      <c r="K71" s="0" t="n">
        <f aca="false">H71-D71</f>
        <v>16</v>
      </c>
      <c r="L71" s="0" t="n">
        <f aca="false">H71-E71</f>
        <v>16</v>
      </c>
      <c r="M71" s="0" t="n">
        <f aca="false">H71-F71</f>
        <v>16</v>
      </c>
      <c r="N71" s="0" t="n">
        <f aca="false">H71-G71</f>
        <v>15</v>
      </c>
      <c r="O71" s="0" t="n">
        <f aca="false">B71+D71+F71</f>
        <v>10</v>
      </c>
      <c r="P71" s="0" t="n">
        <f aca="false">C71+E71+G71</f>
        <v>9</v>
      </c>
    </row>
    <row r="72" customFormat="false" ht="15" hidden="false" customHeight="false" outlineLevel="0" collapsed="false">
      <c r="A72" s="0" t="n">
        <v>72</v>
      </c>
      <c r="B72" s="0" t="n">
        <f aca="false">Raw_Data!AJ72</f>
        <v>4</v>
      </c>
      <c r="C72" s="0" t="n">
        <f aca="false">Raw_Data!AK72</f>
        <v>5</v>
      </c>
      <c r="D72" s="0" t="n">
        <f aca="false">Raw_Data!AL72</f>
        <v>4</v>
      </c>
      <c r="E72" s="0" t="n">
        <f aca="false">Raw_Data!AM72</f>
        <v>4</v>
      </c>
      <c r="F72" s="0" t="n">
        <f aca="false">Raw_Data!AN72</f>
        <v>3</v>
      </c>
      <c r="G72" s="0" t="n">
        <f aca="false">Raw_Data!AO72</f>
        <v>3</v>
      </c>
      <c r="H72" s="0" t="n">
        <f aca="false">SUM(B72:G72)</f>
        <v>23</v>
      </c>
      <c r="I72" s="0" t="n">
        <f aca="false">H72-B72</f>
        <v>19</v>
      </c>
      <c r="J72" s="0" t="n">
        <f aca="false">H72-C72</f>
        <v>18</v>
      </c>
      <c r="K72" s="0" t="n">
        <f aca="false">H72-D72</f>
        <v>19</v>
      </c>
      <c r="L72" s="0" t="n">
        <f aca="false">H72-E72</f>
        <v>19</v>
      </c>
      <c r="M72" s="0" t="n">
        <f aca="false">H72-F72</f>
        <v>20</v>
      </c>
      <c r="N72" s="0" t="n">
        <f aca="false">H72-G72</f>
        <v>20</v>
      </c>
      <c r="O72" s="0" t="n">
        <f aca="false">B72+D72+F72</f>
        <v>11</v>
      </c>
      <c r="P72" s="0" t="n">
        <f aca="false">C72+E72+G72</f>
        <v>12</v>
      </c>
    </row>
    <row r="73" customFormat="false" ht="15" hidden="false" customHeight="false" outlineLevel="0" collapsed="false">
      <c r="A73" s="0" t="n">
        <v>73</v>
      </c>
      <c r="B73" s="0" t="n">
        <f aca="false">Raw_Data!AJ73</f>
        <v>5</v>
      </c>
      <c r="C73" s="0" t="n">
        <f aca="false">Raw_Data!AK73</f>
        <v>4</v>
      </c>
      <c r="D73" s="0" t="n">
        <f aca="false">Raw_Data!AL73</f>
        <v>4</v>
      </c>
      <c r="E73" s="0" t="n">
        <f aca="false">Raw_Data!AM73</f>
        <v>4</v>
      </c>
      <c r="F73" s="0" t="n">
        <f aca="false">Raw_Data!AN73</f>
        <v>2</v>
      </c>
      <c r="G73" s="0" t="n">
        <f aca="false">Raw_Data!AO73</f>
        <v>2</v>
      </c>
      <c r="H73" s="0" t="n">
        <f aca="false">SUM(B73:G73)</f>
        <v>21</v>
      </c>
      <c r="I73" s="0" t="n">
        <f aca="false">H73-B73</f>
        <v>16</v>
      </c>
      <c r="J73" s="0" t="n">
        <f aca="false">H73-C73</f>
        <v>17</v>
      </c>
      <c r="K73" s="0" t="n">
        <f aca="false">H73-D73</f>
        <v>17</v>
      </c>
      <c r="L73" s="0" t="n">
        <f aca="false">H73-E73</f>
        <v>17</v>
      </c>
      <c r="M73" s="0" t="n">
        <f aca="false">H73-F73</f>
        <v>19</v>
      </c>
      <c r="N73" s="0" t="n">
        <f aca="false">H73-G73</f>
        <v>19</v>
      </c>
      <c r="O73" s="0" t="n">
        <f aca="false">B73+D73+F73</f>
        <v>11</v>
      </c>
      <c r="P73" s="0" t="n">
        <f aca="false">C73+E73+G73</f>
        <v>10</v>
      </c>
    </row>
    <row r="74" customFormat="false" ht="15" hidden="false" customHeight="false" outlineLevel="0" collapsed="false">
      <c r="A74" s="0" t="n">
        <v>74</v>
      </c>
      <c r="B74" s="0" t="n">
        <f aca="false">Raw_Data!AJ74</f>
        <v>5</v>
      </c>
      <c r="C74" s="0" t="n">
        <f aca="false">Raw_Data!AK74</f>
        <v>4</v>
      </c>
      <c r="D74" s="0" t="n">
        <f aca="false">Raw_Data!AL74</f>
        <v>5</v>
      </c>
      <c r="E74" s="0" t="n">
        <f aca="false">Raw_Data!AM74</f>
        <v>4</v>
      </c>
      <c r="F74" s="0" t="n">
        <f aca="false">Raw_Data!AN74</f>
        <v>3</v>
      </c>
      <c r="G74" s="0" t="n">
        <f aca="false">Raw_Data!AO74</f>
        <v>3</v>
      </c>
      <c r="H74" s="0" t="n">
        <f aca="false">SUM(B74:G74)</f>
        <v>24</v>
      </c>
      <c r="I74" s="0" t="n">
        <f aca="false">H74-B74</f>
        <v>19</v>
      </c>
      <c r="J74" s="0" t="n">
        <f aca="false">H74-C74</f>
        <v>20</v>
      </c>
      <c r="K74" s="0" t="n">
        <f aca="false">H74-D74</f>
        <v>19</v>
      </c>
      <c r="L74" s="0" t="n">
        <f aca="false">H74-E74</f>
        <v>20</v>
      </c>
      <c r="M74" s="0" t="n">
        <f aca="false">H74-F74</f>
        <v>21</v>
      </c>
      <c r="N74" s="0" t="n">
        <f aca="false">H74-G74</f>
        <v>21</v>
      </c>
      <c r="O74" s="0" t="n">
        <f aca="false">B74+D74+F74</f>
        <v>13</v>
      </c>
      <c r="P74" s="0" t="n">
        <f aca="false">C74+E74+G74</f>
        <v>11</v>
      </c>
    </row>
    <row r="75" customFormat="false" ht="15" hidden="false" customHeight="false" outlineLevel="0" collapsed="false">
      <c r="A75" s="0" t="n">
        <v>75</v>
      </c>
      <c r="B75" s="0" t="n">
        <f aca="false">Raw_Data!AJ75</f>
        <v>2</v>
      </c>
      <c r="C75" s="0" t="n">
        <f aca="false">Raw_Data!AK75</f>
        <v>2</v>
      </c>
      <c r="D75" s="0" t="n">
        <f aca="false">Raw_Data!AL75</f>
        <v>4</v>
      </c>
      <c r="E75" s="0" t="n">
        <f aca="false">Raw_Data!AM75</f>
        <v>2</v>
      </c>
      <c r="F75" s="0" t="n">
        <f aca="false">Raw_Data!AN75</f>
        <v>3</v>
      </c>
      <c r="G75" s="0" t="n">
        <f aca="false">Raw_Data!AO75</f>
        <v>4</v>
      </c>
      <c r="H75" s="0" t="n">
        <f aca="false">SUM(B75:G75)</f>
        <v>17</v>
      </c>
      <c r="I75" s="0" t="n">
        <f aca="false">H75-B75</f>
        <v>15</v>
      </c>
      <c r="J75" s="0" t="n">
        <f aca="false">H75-C75</f>
        <v>15</v>
      </c>
      <c r="K75" s="0" t="n">
        <f aca="false">H75-D75</f>
        <v>13</v>
      </c>
      <c r="L75" s="0" t="n">
        <f aca="false">H75-E75</f>
        <v>15</v>
      </c>
      <c r="M75" s="0" t="n">
        <f aca="false">H75-F75</f>
        <v>14</v>
      </c>
      <c r="N75" s="0" t="n">
        <f aca="false">H75-G75</f>
        <v>13</v>
      </c>
      <c r="O75" s="0" t="n">
        <f aca="false">B75+D75+F75</f>
        <v>9</v>
      </c>
      <c r="P75" s="0" t="n">
        <f aca="false">C75+E75+G75</f>
        <v>8</v>
      </c>
    </row>
    <row r="76" customFormat="false" ht="15" hidden="false" customHeight="false" outlineLevel="0" collapsed="false">
      <c r="A76" s="0" t="n">
        <v>76</v>
      </c>
      <c r="B76" s="0" t="n">
        <f aca="false">Raw_Data!AJ76</f>
        <v>3</v>
      </c>
      <c r="C76" s="0" t="n">
        <f aca="false">Raw_Data!AK76</f>
        <v>5</v>
      </c>
      <c r="D76" s="0" t="n">
        <f aca="false">Raw_Data!AL76</f>
        <v>5</v>
      </c>
      <c r="E76" s="0" t="n">
        <f aca="false">Raw_Data!AM76</f>
        <v>4</v>
      </c>
      <c r="F76" s="0" t="n">
        <f aca="false">Raw_Data!AN76</f>
        <v>2</v>
      </c>
      <c r="G76" s="0" t="n">
        <f aca="false">Raw_Data!AO76</f>
        <v>2</v>
      </c>
      <c r="H76" s="0" t="n">
        <f aca="false">SUM(B76:G76)</f>
        <v>21</v>
      </c>
      <c r="I76" s="0" t="n">
        <f aca="false">H76-B76</f>
        <v>18</v>
      </c>
      <c r="J76" s="0" t="n">
        <f aca="false">H76-C76</f>
        <v>16</v>
      </c>
      <c r="K76" s="0" t="n">
        <f aca="false">H76-D76</f>
        <v>16</v>
      </c>
      <c r="L76" s="0" t="n">
        <f aca="false">H76-E76</f>
        <v>17</v>
      </c>
      <c r="M76" s="0" t="n">
        <f aca="false">H76-F76</f>
        <v>19</v>
      </c>
      <c r="N76" s="0" t="n">
        <f aca="false">H76-G76</f>
        <v>19</v>
      </c>
      <c r="O76" s="0" t="n">
        <f aca="false">B76+D76+F76</f>
        <v>10</v>
      </c>
      <c r="P76" s="0" t="n">
        <f aca="false">C76+E76+G76</f>
        <v>11</v>
      </c>
    </row>
    <row r="77" customFormat="false" ht="15" hidden="false" customHeight="false" outlineLevel="0" collapsed="false">
      <c r="A77" s="0" t="n">
        <v>77</v>
      </c>
      <c r="B77" s="0" t="n">
        <f aca="false">Raw_Data!AJ77</f>
        <v>5</v>
      </c>
      <c r="C77" s="0" t="n">
        <f aca="false">Raw_Data!AK77</f>
        <v>4</v>
      </c>
      <c r="D77" s="0" t="n">
        <f aca="false">Raw_Data!AL77</f>
        <v>4</v>
      </c>
      <c r="E77" s="0" t="n">
        <f aca="false">Raw_Data!AM77</f>
        <v>5</v>
      </c>
      <c r="F77" s="0" t="n">
        <f aca="false">Raw_Data!AN77</f>
        <v>3</v>
      </c>
      <c r="G77" s="0" t="n">
        <f aca="false">Raw_Data!AO77</f>
        <v>3</v>
      </c>
      <c r="H77" s="0" t="n">
        <f aca="false">SUM(B77:G77)</f>
        <v>24</v>
      </c>
      <c r="I77" s="0" t="n">
        <f aca="false">H77-B77</f>
        <v>19</v>
      </c>
      <c r="J77" s="0" t="n">
        <f aca="false">H77-C77</f>
        <v>20</v>
      </c>
      <c r="K77" s="0" t="n">
        <f aca="false">H77-D77</f>
        <v>20</v>
      </c>
      <c r="L77" s="0" t="n">
        <f aca="false">H77-E77</f>
        <v>19</v>
      </c>
      <c r="M77" s="0" t="n">
        <f aca="false">H77-F77</f>
        <v>21</v>
      </c>
      <c r="N77" s="0" t="n">
        <f aca="false">H77-G77</f>
        <v>21</v>
      </c>
      <c r="O77" s="0" t="n">
        <f aca="false">B77+D77+F77</f>
        <v>12</v>
      </c>
      <c r="P77" s="0" t="n">
        <f aca="false">C77+E77+G77</f>
        <v>12</v>
      </c>
    </row>
    <row r="78" customFormat="false" ht="15" hidden="false" customHeight="false" outlineLevel="0" collapsed="false">
      <c r="A78" s="0" t="n">
        <v>78</v>
      </c>
      <c r="B78" s="0" t="n">
        <f aca="false">Raw_Data!AJ78</f>
        <v>4</v>
      </c>
      <c r="C78" s="0" t="n">
        <f aca="false">Raw_Data!AK78</f>
        <v>3</v>
      </c>
      <c r="D78" s="0" t="n">
        <f aca="false">Raw_Data!AL78</f>
        <v>5</v>
      </c>
      <c r="E78" s="0" t="n">
        <f aca="false">Raw_Data!AM78</f>
        <v>4</v>
      </c>
      <c r="F78" s="0" t="n">
        <f aca="false">Raw_Data!AN78</f>
        <v>1</v>
      </c>
      <c r="G78" s="0" t="n">
        <f aca="false">Raw_Data!AO78</f>
        <v>2</v>
      </c>
      <c r="H78" s="0" t="n">
        <f aca="false">SUM(B78:G78)</f>
        <v>19</v>
      </c>
      <c r="I78" s="0" t="n">
        <f aca="false">H78-B78</f>
        <v>15</v>
      </c>
      <c r="J78" s="0" t="n">
        <f aca="false">H78-C78</f>
        <v>16</v>
      </c>
      <c r="K78" s="0" t="n">
        <f aca="false">H78-D78</f>
        <v>14</v>
      </c>
      <c r="L78" s="0" t="n">
        <f aca="false">H78-E78</f>
        <v>15</v>
      </c>
      <c r="M78" s="0" t="n">
        <f aca="false">H78-F78</f>
        <v>18</v>
      </c>
      <c r="N78" s="0" t="n">
        <f aca="false">H78-G78</f>
        <v>17</v>
      </c>
      <c r="O78" s="0" t="n">
        <f aca="false">B78+D78+F78</f>
        <v>10</v>
      </c>
      <c r="P78" s="0" t="n">
        <f aca="false">C78+E78+G78</f>
        <v>9</v>
      </c>
    </row>
    <row r="79" customFormat="false" ht="15" hidden="false" customHeight="false" outlineLevel="0" collapsed="false">
      <c r="A79" s="0" t="n">
        <v>79</v>
      </c>
      <c r="B79" s="0" t="n">
        <f aca="false">Raw_Data!AJ79</f>
        <v>5</v>
      </c>
      <c r="C79" s="0" t="n">
        <f aca="false">Raw_Data!AK79</f>
        <v>3</v>
      </c>
      <c r="D79" s="0" t="n">
        <f aca="false">Raw_Data!AL79</f>
        <v>5</v>
      </c>
      <c r="E79" s="0" t="n">
        <f aca="false">Raw_Data!AM79</f>
        <v>5</v>
      </c>
      <c r="F79" s="0" t="n">
        <f aca="false">Raw_Data!AN79</f>
        <v>3</v>
      </c>
      <c r="G79" s="0" t="n">
        <f aca="false">Raw_Data!AO79</f>
        <v>3</v>
      </c>
      <c r="H79" s="0" t="n">
        <f aca="false">SUM(B79:G79)</f>
        <v>24</v>
      </c>
      <c r="I79" s="0" t="n">
        <f aca="false">H79-B79</f>
        <v>19</v>
      </c>
      <c r="J79" s="0" t="n">
        <f aca="false">H79-C79</f>
        <v>21</v>
      </c>
      <c r="K79" s="0" t="n">
        <f aca="false">H79-D79</f>
        <v>19</v>
      </c>
      <c r="L79" s="0" t="n">
        <f aca="false">H79-E79</f>
        <v>19</v>
      </c>
      <c r="M79" s="0" t="n">
        <f aca="false">H79-F79</f>
        <v>21</v>
      </c>
      <c r="N79" s="0" t="n">
        <f aca="false">H79-G79</f>
        <v>21</v>
      </c>
      <c r="O79" s="0" t="n">
        <f aca="false">B79+D79+F79</f>
        <v>13</v>
      </c>
      <c r="P79" s="0" t="n">
        <f aca="false">C79+E79+G79</f>
        <v>11</v>
      </c>
    </row>
    <row r="80" customFormat="false" ht="15" hidden="false" customHeight="false" outlineLevel="0" collapsed="false">
      <c r="A80" s="0" t="n">
        <v>80</v>
      </c>
      <c r="B80" s="0" t="n">
        <f aca="false">Raw_Data!AJ80</f>
        <v>2</v>
      </c>
      <c r="C80" s="0" t="n">
        <f aca="false">Raw_Data!AK80</f>
        <v>2</v>
      </c>
      <c r="D80" s="0" t="n">
        <f aca="false">Raw_Data!AL80</f>
        <v>5</v>
      </c>
      <c r="E80" s="0" t="n">
        <f aca="false">Raw_Data!AM80</f>
        <v>4</v>
      </c>
      <c r="F80" s="0" t="n">
        <f aca="false">Raw_Data!AN80</f>
        <v>1</v>
      </c>
      <c r="G80" s="0" t="n">
        <f aca="false">Raw_Data!AO80</f>
        <v>2</v>
      </c>
      <c r="H80" s="0" t="n">
        <f aca="false">SUM(B80:G80)</f>
        <v>16</v>
      </c>
      <c r="I80" s="0" t="n">
        <f aca="false">H80-B80</f>
        <v>14</v>
      </c>
      <c r="J80" s="0" t="n">
        <f aca="false">H80-C80</f>
        <v>14</v>
      </c>
      <c r="K80" s="0" t="n">
        <f aca="false">H80-D80</f>
        <v>11</v>
      </c>
      <c r="L80" s="0" t="n">
        <f aca="false">H80-E80</f>
        <v>12</v>
      </c>
      <c r="M80" s="0" t="n">
        <f aca="false">H80-F80</f>
        <v>15</v>
      </c>
      <c r="N80" s="0" t="n">
        <f aca="false">H80-G80</f>
        <v>14</v>
      </c>
      <c r="O80" s="0" t="n">
        <f aca="false">B80+D80+F80</f>
        <v>8</v>
      </c>
      <c r="P80" s="0" t="n">
        <f aca="false">C80+E80+G80</f>
        <v>8</v>
      </c>
    </row>
    <row r="81" customFormat="false" ht="15" hidden="false" customHeight="false" outlineLevel="0" collapsed="false">
      <c r="A81" s="0" t="n">
        <v>81</v>
      </c>
      <c r="B81" s="0" t="n">
        <f aca="false">Raw_Data!AJ81</f>
        <v>5</v>
      </c>
      <c r="C81" s="0" t="n">
        <f aca="false">Raw_Data!AK81</f>
        <v>4</v>
      </c>
      <c r="D81" s="0" t="n">
        <f aca="false">Raw_Data!AL81</f>
        <v>4</v>
      </c>
      <c r="E81" s="0" t="n">
        <f aca="false">Raw_Data!AM81</f>
        <v>2</v>
      </c>
      <c r="F81" s="0" t="n">
        <f aca="false">Raw_Data!AN81</f>
        <v>2</v>
      </c>
      <c r="G81" s="0" t="n">
        <f aca="false">Raw_Data!AO81</f>
        <v>3</v>
      </c>
      <c r="H81" s="0" t="n">
        <f aca="false">SUM(B81:G81)</f>
        <v>20</v>
      </c>
      <c r="I81" s="0" t="n">
        <f aca="false">H81-B81</f>
        <v>15</v>
      </c>
      <c r="J81" s="0" t="n">
        <f aca="false">H81-C81</f>
        <v>16</v>
      </c>
      <c r="K81" s="0" t="n">
        <f aca="false">H81-D81</f>
        <v>16</v>
      </c>
      <c r="L81" s="0" t="n">
        <f aca="false">H81-E81</f>
        <v>18</v>
      </c>
      <c r="M81" s="0" t="n">
        <f aca="false">H81-F81</f>
        <v>18</v>
      </c>
      <c r="N81" s="0" t="n">
        <f aca="false">H81-G81</f>
        <v>17</v>
      </c>
      <c r="O81" s="0" t="n">
        <f aca="false">B81+D81+F81</f>
        <v>11</v>
      </c>
      <c r="P81" s="0" t="n">
        <f aca="false">C81+E81+G81</f>
        <v>9</v>
      </c>
    </row>
    <row r="82" customFormat="false" ht="15" hidden="false" customHeight="false" outlineLevel="0" collapsed="false">
      <c r="A82" s="0" t="n">
        <v>82</v>
      </c>
      <c r="B82" s="0" t="n">
        <f aca="false">Raw_Data!AJ82</f>
        <v>3</v>
      </c>
      <c r="C82" s="0" t="n">
        <f aca="false">Raw_Data!AK82</f>
        <v>4</v>
      </c>
      <c r="D82" s="0" t="n">
        <f aca="false">Raw_Data!AL82</f>
        <v>3</v>
      </c>
      <c r="E82" s="0" t="n">
        <f aca="false">Raw_Data!AM82</f>
        <v>3</v>
      </c>
      <c r="F82" s="0" t="n">
        <f aca="false">Raw_Data!AN82</f>
        <v>3</v>
      </c>
      <c r="G82" s="0" t="n">
        <f aca="false">Raw_Data!AO82</f>
        <v>3</v>
      </c>
      <c r="H82" s="0" t="n">
        <f aca="false">SUM(B82:G82)</f>
        <v>19</v>
      </c>
      <c r="I82" s="0" t="n">
        <f aca="false">H82-B82</f>
        <v>16</v>
      </c>
      <c r="J82" s="0" t="n">
        <f aca="false">H82-C82</f>
        <v>15</v>
      </c>
      <c r="K82" s="0" t="n">
        <f aca="false">H82-D82</f>
        <v>16</v>
      </c>
      <c r="L82" s="0" t="n">
        <f aca="false">H82-E82</f>
        <v>16</v>
      </c>
      <c r="M82" s="0" t="n">
        <f aca="false">H82-F82</f>
        <v>16</v>
      </c>
      <c r="N82" s="0" t="n">
        <f aca="false">H82-G82</f>
        <v>16</v>
      </c>
      <c r="O82" s="0" t="n">
        <f aca="false">B82+D82+F82</f>
        <v>9</v>
      </c>
      <c r="P82" s="0" t="n">
        <f aca="false">C82+E82+G82</f>
        <v>10</v>
      </c>
    </row>
    <row r="83" customFormat="false" ht="15" hidden="false" customHeight="false" outlineLevel="0" collapsed="false">
      <c r="A83" s="0" t="n">
        <v>83</v>
      </c>
      <c r="B83" s="0" t="n">
        <f aca="false">Raw_Data!AJ83</f>
        <v>5</v>
      </c>
      <c r="C83" s="0" t="n">
        <f aca="false">Raw_Data!AK83</f>
        <v>2</v>
      </c>
      <c r="D83" s="0" t="n">
        <f aca="false">Raw_Data!AL83</f>
        <v>5</v>
      </c>
      <c r="E83" s="0" t="n">
        <f aca="false">Raw_Data!AM83</f>
        <v>4</v>
      </c>
      <c r="F83" s="0" t="n">
        <f aca="false">Raw_Data!AN83</f>
        <v>4</v>
      </c>
      <c r="G83" s="0" t="n">
        <f aca="false">Raw_Data!AO83</f>
        <v>3</v>
      </c>
      <c r="H83" s="0" t="n">
        <f aca="false">SUM(B83:G83)</f>
        <v>23</v>
      </c>
      <c r="I83" s="0" t="n">
        <f aca="false">H83-B83</f>
        <v>18</v>
      </c>
      <c r="J83" s="0" t="n">
        <f aca="false">H83-C83</f>
        <v>21</v>
      </c>
      <c r="K83" s="0" t="n">
        <f aca="false">H83-D83</f>
        <v>18</v>
      </c>
      <c r="L83" s="0" t="n">
        <f aca="false">H83-E83</f>
        <v>19</v>
      </c>
      <c r="M83" s="0" t="n">
        <f aca="false">H83-F83</f>
        <v>19</v>
      </c>
      <c r="N83" s="0" t="n">
        <f aca="false">H83-G83</f>
        <v>20</v>
      </c>
      <c r="O83" s="0" t="n">
        <f aca="false">B83+D83+F83</f>
        <v>14</v>
      </c>
      <c r="P83" s="0" t="n">
        <f aca="false">C83+E83+G83</f>
        <v>9</v>
      </c>
    </row>
    <row r="84" customFormat="false" ht="15" hidden="false" customHeight="false" outlineLevel="0" collapsed="false">
      <c r="A84" s="0" t="n">
        <v>84</v>
      </c>
      <c r="B84" s="0" t="n">
        <f aca="false">Raw_Data!AJ84</f>
        <v>4</v>
      </c>
      <c r="C84" s="0" t="n">
        <f aca="false">Raw_Data!AK84</f>
        <v>3</v>
      </c>
      <c r="D84" s="0" t="n">
        <f aca="false">Raw_Data!AL84</f>
        <v>4</v>
      </c>
      <c r="E84" s="0" t="n">
        <f aca="false">Raw_Data!AM84</f>
        <v>3</v>
      </c>
      <c r="F84" s="0" t="n">
        <f aca="false">Raw_Data!AN84</f>
        <v>4</v>
      </c>
      <c r="G84" s="0" t="n">
        <f aca="false">Raw_Data!AO84</f>
        <v>3</v>
      </c>
      <c r="H84" s="0" t="n">
        <f aca="false">SUM(B84:G84)</f>
        <v>21</v>
      </c>
      <c r="I84" s="0" t="n">
        <f aca="false">H84-B84</f>
        <v>17</v>
      </c>
      <c r="J84" s="0" t="n">
        <f aca="false">H84-C84</f>
        <v>18</v>
      </c>
      <c r="K84" s="0" t="n">
        <f aca="false">H84-D84</f>
        <v>17</v>
      </c>
      <c r="L84" s="0" t="n">
        <f aca="false">H84-E84</f>
        <v>18</v>
      </c>
      <c r="M84" s="0" t="n">
        <f aca="false">H84-F84</f>
        <v>17</v>
      </c>
      <c r="N84" s="0" t="n">
        <f aca="false">H84-G84</f>
        <v>18</v>
      </c>
      <c r="O84" s="0" t="n">
        <f aca="false">B84+D84+F84</f>
        <v>12</v>
      </c>
      <c r="P84" s="0" t="n">
        <f aca="false">C84+E84+G84</f>
        <v>9</v>
      </c>
    </row>
    <row r="85" customFormat="false" ht="15" hidden="false" customHeight="false" outlineLevel="0" collapsed="false">
      <c r="A85" s="0" t="n">
        <v>85</v>
      </c>
      <c r="B85" s="0" t="n">
        <f aca="false">Raw_Data!AJ85</f>
        <v>4</v>
      </c>
      <c r="C85" s="0" t="n">
        <f aca="false">Raw_Data!AK85</f>
        <v>4</v>
      </c>
      <c r="D85" s="0" t="n">
        <f aca="false">Raw_Data!AL85</f>
        <v>5</v>
      </c>
      <c r="E85" s="0" t="n">
        <f aca="false">Raw_Data!AM85</f>
        <v>3</v>
      </c>
      <c r="F85" s="0" t="n">
        <f aca="false">Raw_Data!AN85</f>
        <v>3</v>
      </c>
      <c r="G85" s="0" t="n">
        <f aca="false">Raw_Data!AO85</f>
        <v>3</v>
      </c>
      <c r="H85" s="0" t="n">
        <f aca="false">SUM(B85:G85)</f>
        <v>22</v>
      </c>
      <c r="I85" s="0" t="n">
        <f aca="false">H85-B85</f>
        <v>18</v>
      </c>
      <c r="J85" s="0" t="n">
        <f aca="false">H85-C85</f>
        <v>18</v>
      </c>
      <c r="K85" s="0" t="n">
        <f aca="false">H85-D85</f>
        <v>17</v>
      </c>
      <c r="L85" s="0" t="n">
        <f aca="false">H85-E85</f>
        <v>19</v>
      </c>
      <c r="M85" s="0" t="n">
        <f aca="false">H85-F85</f>
        <v>19</v>
      </c>
      <c r="N85" s="0" t="n">
        <f aca="false">H85-G85</f>
        <v>19</v>
      </c>
      <c r="O85" s="0" t="n">
        <f aca="false">B85+D85+F85</f>
        <v>12</v>
      </c>
      <c r="P85" s="0" t="n">
        <f aca="false">C85+E85+G85</f>
        <v>10</v>
      </c>
    </row>
    <row r="86" customFormat="false" ht="15" hidden="false" customHeight="false" outlineLevel="0" collapsed="false">
      <c r="A86" s="0" t="n">
        <v>86</v>
      </c>
      <c r="B86" s="0" t="n">
        <f aca="false">Raw_Data!AJ86</f>
        <v>3</v>
      </c>
      <c r="C86" s="0" t="n">
        <f aca="false">Raw_Data!AK86</f>
        <v>3</v>
      </c>
      <c r="D86" s="0" t="n">
        <f aca="false">Raw_Data!AL86</f>
        <v>5</v>
      </c>
      <c r="E86" s="0" t="n">
        <f aca="false">Raw_Data!AM86</f>
        <v>4</v>
      </c>
      <c r="F86" s="0" t="n">
        <f aca="false">Raw_Data!AN86</f>
        <v>2</v>
      </c>
      <c r="G86" s="0" t="n">
        <f aca="false">Raw_Data!AO86</f>
        <v>2</v>
      </c>
      <c r="H86" s="0" t="n">
        <f aca="false">SUM(B86:G86)</f>
        <v>19</v>
      </c>
      <c r="I86" s="0" t="n">
        <f aca="false">H86-B86</f>
        <v>16</v>
      </c>
      <c r="J86" s="0" t="n">
        <f aca="false">H86-C86</f>
        <v>16</v>
      </c>
      <c r="K86" s="0" t="n">
        <f aca="false">H86-D86</f>
        <v>14</v>
      </c>
      <c r="L86" s="0" t="n">
        <f aca="false">H86-E86</f>
        <v>15</v>
      </c>
      <c r="M86" s="0" t="n">
        <f aca="false">H86-F86</f>
        <v>17</v>
      </c>
      <c r="N86" s="0" t="n">
        <f aca="false">H86-G86</f>
        <v>17</v>
      </c>
      <c r="O86" s="0" t="n">
        <f aca="false">B86+D86+F86</f>
        <v>10</v>
      </c>
      <c r="P86" s="0" t="n">
        <f aca="false">C86+E86+G86</f>
        <v>9</v>
      </c>
    </row>
    <row r="87" customFormat="false" ht="15" hidden="false" customHeight="false" outlineLevel="0" collapsed="false">
      <c r="A87" s="0" t="n">
        <v>87</v>
      </c>
      <c r="B87" s="0" t="n">
        <f aca="false">Raw_Data!AJ87</f>
        <v>5</v>
      </c>
      <c r="C87" s="0" t="n">
        <f aca="false">Raw_Data!AK87</f>
        <v>5</v>
      </c>
      <c r="D87" s="0" t="n">
        <f aca="false">Raw_Data!AL87</f>
        <v>5</v>
      </c>
      <c r="E87" s="0" t="n">
        <f aca="false">Raw_Data!AM87</f>
        <v>5</v>
      </c>
      <c r="F87" s="0" t="n">
        <f aca="false">Raw_Data!AN87</f>
        <v>3</v>
      </c>
      <c r="G87" s="0" t="n">
        <f aca="false">Raw_Data!AO87</f>
        <v>4</v>
      </c>
      <c r="H87" s="0" t="n">
        <f aca="false">SUM(B87:G87)</f>
        <v>27</v>
      </c>
      <c r="I87" s="0" t="n">
        <f aca="false">H87-B87</f>
        <v>22</v>
      </c>
      <c r="J87" s="0" t="n">
        <f aca="false">H87-C87</f>
        <v>22</v>
      </c>
      <c r="K87" s="0" t="n">
        <f aca="false">H87-D87</f>
        <v>22</v>
      </c>
      <c r="L87" s="0" t="n">
        <f aca="false">H87-E87</f>
        <v>22</v>
      </c>
      <c r="M87" s="0" t="n">
        <f aca="false">H87-F87</f>
        <v>24</v>
      </c>
      <c r="N87" s="0" t="n">
        <f aca="false">H87-G87</f>
        <v>23</v>
      </c>
      <c r="O87" s="0" t="n">
        <f aca="false">B87+D87+F87</f>
        <v>13</v>
      </c>
      <c r="P87" s="0" t="n">
        <f aca="false">C87+E87+G87</f>
        <v>14</v>
      </c>
    </row>
    <row r="88" customFormat="false" ht="15" hidden="false" customHeight="false" outlineLevel="0" collapsed="false">
      <c r="A88" s="0" t="n">
        <v>88</v>
      </c>
      <c r="B88" s="0" t="n">
        <f aca="false">Raw_Data!AJ88</f>
        <v>4</v>
      </c>
      <c r="C88" s="0" t="n">
        <f aca="false">Raw_Data!AK88</f>
        <v>3</v>
      </c>
      <c r="D88" s="0" t="n">
        <f aca="false">Raw_Data!AL88</f>
        <v>4</v>
      </c>
      <c r="E88" s="0" t="n">
        <f aca="false">Raw_Data!AM88</f>
        <v>4</v>
      </c>
      <c r="F88" s="0" t="n">
        <f aca="false">Raw_Data!AN88</f>
        <v>2</v>
      </c>
      <c r="G88" s="0" t="n">
        <f aca="false">Raw_Data!AO88</f>
        <v>2</v>
      </c>
      <c r="H88" s="0" t="n">
        <f aca="false">SUM(B88:G88)</f>
        <v>19</v>
      </c>
      <c r="I88" s="0" t="n">
        <f aca="false">H88-B88</f>
        <v>15</v>
      </c>
      <c r="J88" s="0" t="n">
        <f aca="false">H88-C88</f>
        <v>16</v>
      </c>
      <c r="K88" s="0" t="n">
        <f aca="false">H88-D88</f>
        <v>15</v>
      </c>
      <c r="L88" s="0" t="n">
        <f aca="false">H88-E88</f>
        <v>15</v>
      </c>
      <c r="M88" s="0" t="n">
        <f aca="false">H88-F88</f>
        <v>17</v>
      </c>
      <c r="N88" s="0" t="n">
        <f aca="false">H88-G88</f>
        <v>17</v>
      </c>
      <c r="O88" s="0" t="n">
        <f aca="false">B88+D88+F88</f>
        <v>10</v>
      </c>
      <c r="P88" s="0" t="n">
        <f aca="false">C88+E88+G88</f>
        <v>9</v>
      </c>
    </row>
    <row r="89" customFormat="false" ht="15" hidden="false" customHeight="false" outlineLevel="0" collapsed="false">
      <c r="A89" s="0" t="n">
        <v>89</v>
      </c>
      <c r="B89" s="0" t="n">
        <f aca="false">Raw_Data!AJ89</f>
        <v>2</v>
      </c>
      <c r="C89" s="0" t="n">
        <f aca="false">Raw_Data!AK89</f>
        <v>2</v>
      </c>
      <c r="D89" s="0" t="n">
        <f aca="false">Raw_Data!AL89</f>
        <v>4</v>
      </c>
      <c r="E89" s="0" t="n">
        <f aca="false">Raw_Data!AM89</f>
        <v>3</v>
      </c>
      <c r="F89" s="0" t="n">
        <f aca="false">Raw_Data!AN89</f>
        <v>4</v>
      </c>
      <c r="G89" s="0" t="n">
        <f aca="false">Raw_Data!AO89</f>
        <v>4</v>
      </c>
      <c r="H89" s="0" t="n">
        <f aca="false">SUM(B89:G89)</f>
        <v>19</v>
      </c>
      <c r="I89" s="0" t="n">
        <f aca="false">H89-B89</f>
        <v>17</v>
      </c>
      <c r="J89" s="0" t="n">
        <f aca="false">H89-C89</f>
        <v>17</v>
      </c>
      <c r="K89" s="0" t="n">
        <f aca="false">H89-D89</f>
        <v>15</v>
      </c>
      <c r="L89" s="0" t="n">
        <f aca="false">H89-E89</f>
        <v>16</v>
      </c>
      <c r="M89" s="0" t="n">
        <f aca="false">H89-F89</f>
        <v>15</v>
      </c>
      <c r="N89" s="0" t="n">
        <f aca="false">H89-G89</f>
        <v>15</v>
      </c>
      <c r="O89" s="0" t="n">
        <f aca="false">B89+D89+F89</f>
        <v>10</v>
      </c>
      <c r="P89" s="0" t="n">
        <f aca="false">C89+E89+G89</f>
        <v>9</v>
      </c>
    </row>
    <row r="90" customFormat="false" ht="15" hidden="false" customHeight="false" outlineLevel="0" collapsed="false">
      <c r="A90" s="0" t="n">
        <v>90</v>
      </c>
      <c r="B90" s="0" t="n">
        <f aca="false">Raw_Data!AJ90</f>
        <v>2</v>
      </c>
      <c r="C90" s="0" t="n">
        <f aca="false">Raw_Data!AK90</f>
        <v>4</v>
      </c>
      <c r="D90" s="0" t="n">
        <f aca="false">Raw_Data!AL90</f>
        <v>2</v>
      </c>
      <c r="E90" s="0" t="n">
        <f aca="false">Raw_Data!AM90</f>
        <v>2</v>
      </c>
      <c r="F90" s="0" t="n">
        <f aca="false">Raw_Data!AN90</f>
        <v>3</v>
      </c>
      <c r="G90" s="0" t="n">
        <f aca="false">Raw_Data!AO90</f>
        <v>4</v>
      </c>
      <c r="H90" s="0" t="n">
        <f aca="false">SUM(B90:G90)</f>
        <v>17</v>
      </c>
      <c r="I90" s="0" t="n">
        <f aca="false">H90-B90</f>
        <v>15</v>
      </c>
      <c r="J90" s="0" t="n">
        <f aca="false">H90-C90</f>
        <v>13</v>
      </c>
      <c r="K90" s="0" t="n">
        <f aca="false">H90-D90</f>
        <v>15</v>
      </c>
      <c r="L90" s="0" t="n">
        <f aca="false">H90-E90</f>
        <v>15</v>
      </c>
      <c r="M90" s="0" t="n">
        <f aca="false">H90-F90</f>
        <v>14</v>
      </c>
      <c r="N90" s="0" t="n">
        <f aca="false">H90-G90</f>
        <v>13</v>
      </c>
      <c r="O90" s="0" t="n">
        <f aca="false">B90+D90+F90</f>
        <v>7</v>
      </c>
      <c r="P90" s="0" t="n">
        <f aca="false">C90+E90+G90</f>
        <v>10</v>
      </c>
    </row>
    <row r="91" customFormat="false" ht="15" hidden="false" customHeight="false" outlineLevel="0" collapsed="false">
      <c r="A91" s="0" t="n">
        <v>91</v>
      </c>
      <c r="B91" s="0" t="n">
        <f aca="false">Raw_Data!AJ91</f>
        <v>1</v>
      </c>
      <c r="C91" s="0" t="n">
        <f aca="false">Raw_Data!AK91</f>
        <v>2</v>
      </c>
      <c r="D91" s="0" t="n">
        <f aca="false">Raw_Data!AL91</f>
        <v>4</v>
      </c>
      <c r="E91" s="0" t="n">
        <f aca="false">Raw_Data!AM91</f>
        <v>3</v>
      </c>
      <c r="F91" s="0" t="n">
        <f aca="false">Raw_Data!AN91</f>
        <v>3</v>
      </c>
      <c r="G91" s="0" t="n">
        <f aca="false">Raw_Data!AO91</f>
        <v>3</v>
      </c>
      <c r="H91" s="0" t="n">
        <f aca="false">SUM(B91:G91)</f>
        <v>16</v>
      </c>
      <c r="I91" s="0" t="n">
        <f aca="false">H91-B91</f>
        <v>15</v>
      </c>
      <c r="J91" s="0" t="n">
        <f aca="false">H91-C91</f>
        <v>14</v>
      </c>
      <c r="K91" s="0" t="n">
        <f aca="false">H91-D91</f>
        <v>12</v>
      </c>
      <c r="L91" s="0" t="n">
        <f aca="false">H91-E91</f>
        <v>13</v>
      </c>
      <c r="M91" s="0" t="n">
        <f aca="false">H91-F91</f>
        <v>13</v>
      </c>
      <c r="N91" s="0" t="n">
        <f aca="false">H91-G91</f>
        <v>13</v>
      </c>
      <c r="O91" s="0" t="n">
        <f aca="false">B91+D91+F91</f>
        <v>8</v>
      </c>
      <c r="P91" s="0" t="n">
        <f aca="false">C91+E91+G91</f>
        <v>8</v>
      </c>
    </row>
    <row r="92" customFormat="false" ht="15" hidden="false" customHeight="false" outlineLevel="0" collapsed="false">
      <c r="A92" s="0" t="n">
        <v>92</v>
      </c>
      <c r="B92" s="0" t="n">
        <f aca="false">Raw_Data!AJ92</f>
        <v>4</v>
      </c>
      <c r="C92" s="0" t="n">
        <f aca="false">Raw_Data!AK92</f>
        <v>2</v>
      </c>
      <c r="D92" s="0" t="n">
        <f aca="false">Raw_Data!AL92</f>
        <v>4</v>
      </c>
      <c r="E92" s="0" t="n">
        <f aca="false">Raw_Data!AM92</f>
        <v>3</v>
      </c>
      <c r="F92" s="0" t="n">
        <f aca="false">Raw_Data!AN92</f>
        <v>4</v>
      </c>
      <c r="G92" s="0" t="n">
        <f aca="false">Raw_Data!AO92</f>
        <v>3</v>
      </c>
      <c r="H92" s="0" t="n">
        <f aca="false">SUM(B92:G92)</f>
        <v>20</v>
      </c>
      <c r="I92" s="0" t="n">
        <f aca="false">H92-B92</f>
        <v>16</v>
      </c>
      <c r="J92" s="0" t="n">
        <f aca="false">H92-C92</f>
        <v>18</v>
      </c>
      <c r="K92" s="0" t="n">
        <f aca="false">H92-D92</f>
        <v>16</v>
      </c>
      <c r="L92" s="0" t="n">
        <f aca="false">H92-E92</f>
        <v>17</v>
      </c>
      <c r="M92" s="0" t="n">
        <f aca="false">H92-F92</f>
        <v>16</v>
      </c>
      <c r="N92" s="0" t="n">
        <f aca="false">H92-G92</f>
        <v>17</v>
      </c>
      <c r="O92" s="0" t="n">
        <f aca="false">B92+D92+F92</f>
        <v>12</v>
      </c>
      <c r="P92" s="0" t="n">
        <f aca="false">C92+E92+G92</f>
        <v>8</v>
      </c>
    </row>
    <row r="93" customFormat="false" ht="15" hidden="false" customHeight="false" outlineLevel="0" collapsed="false">
      <c r="A93" s="0" t="n">
        <v>93</v>
      </c>
      <c r="B93" s="0" t="n">
        <f aca="false">Raw_Data!AJ93</f>
        <v>2</v>
      </c>
      <c r="C93" s="0" t="n">
        <f aca="false">Raw_Data!AK93</f>
        <v>4</v>
      </c>
      <c r="D93" s="0" t="n">
        <f aca="false">Raw_Data!AL93</f>
        <v>2</v>
      </c>
      <c r="E93" s="0" t="n">
        <f aca="false">Raw_Data!AM93</f>
        <v>4</v>
      </c>
      <c r="F93" s="0" t="n">
        <f aca="false">Raw_Data!AN93</f>
        <v>4</v>
      </c>
      <c r="G93" s="0" t="n">
        <f aca="false">Raw_Data!AO93</f>
        <v>5</v>
      </c>
      <c r="H93" s="0" t="n">
        <f aca="false">SUM(B93:G93)</f>
        <v>21</v>
      </c>
      <c r="I93" s="0" t="n">
        <f aca="false">H93-B93</f>
        <v>19</v>
      </c>
      <c r="J93" s="0" t="n">
        <f aca="false">H93-C93</f>
        <v>17</v>
      </c>
      <c r="K93" s="0" t="n">
        <f aca="false">H93-D93</f>
        <v>19</v>
      </c>
      <c r="L93" s="0" t="n">
        <f aca="false">H93-E93</f>
        <v>17</v>
      </c>
      <c r="M93" s="0" t="n">
        <f aca="false">H93-F93</f>
        <v>17</v>
      </c>
      <c r="N93" s="0" t="n">
        <f aca="false">H93-G93</f>
        <v>16</v>
      </c>
      <c r="O93" s="0" t="n">
        <f aca="false">B93+D93+F93</f>
        <v>8</v>
      </c>
      <c r="P93" s="0" t="n">
        <f aca="false">C93+E93+G93</f>
        <v>13</v>
      </c>
    </row>
    <row r="94" customFormat="false" ht="15" hidden="false" customHeight="false" outlineLevel="0" collapsed="false">
      <c r="A94" s="0" t="n">
        <v>94</v>
      </c>
      <c r="B94" s="0" t="n">
        <f aca="false">Raw_Data!AJ94</f>
        <v>2</v>
      </c>
      <c r="C94" s="0" t="n">
        <f aca="false">Raw_Data!AK94</f>
        <v>3</v>
      </c>
      <c r="D94" s="0" t="n">
        <f aca="false">Raw_Data!AL94</f>
        <v>2</v>
      </c>
      <c r="E94" s="0" t="n">
        <f aca="false">Raw_Data!AM94</f>
        <v>3</v>
      </c>
      <c r="F94" s="0" t="n">
        <f aca="false">Raw_Data!AN94</f>
        <v>4</v>
      </c>
      <c r="G94" s="0" t="n">
        <f aca="false">Raw_Data!AO94</f>
        <v>3</v>
      </c>
      <c r="H94" s="0" t="n">
        <f aca="false">SUM(B94:G94)</f>
        <v>17</v>
      </c>
      <c r="I94" s="0" t="n">
        <f aca="false">H94-B94</f>
        <v>15</v>
      </c>
      <c r="J94" s="0" t="n">
        <f aca="false">H94-C94</f>
        <v>14</v>
      </c>
      <c r="K94" s="0" t="n">
        <f aca="false">H94-D94</f>
        <v>15</v>
      </c>
      <c r="L94" s="0" t="n">
        <f aca="false">H94-E94</f>
        <v>14</v>
      </c>
      <c r="M94" s="0" t="n">
        <f aca="false">H94-F94</f>
        <v>13</v>
      </c>
      <c r="N94" s="0" t="n">
        <f aca="false">H94-G94</f>
        <v>14</v>
      </c>
      <c r="O94" s="0" t="n">
        <f aca="false">B94+D94+F94</f>
        <v>8</v>
      </c>
      <c r="P94" s="0" t="n">
        <f aca="false">C94+E94+G94</f>
        <v>9</v>
      </c>
    </row>
    <row r="95" customFormat="false" ht="15" hidden="false" customHeight="false" outlineLevel="0" collapsed="false">
      <c r="A95" s="0" t="n">
        <v>95</v>
      </c>
      <c r="B95" s="0" t="n">
        <f aca="false">Raw_Data!AJ95</f>
        <v>4</v>
      </c>
      <c r="C95" s="0" t="n">
        <f aca="false">Raw_Data!AK95</f>
        <v>3</v>
      </c>
      <c r="D95" s="0" t="n">
        <f aca="false">Raw_Data!AL95</f>
        <v>3</v>
      </c>
      <c r="E95" s="0" t="n">
        <f aca="false">Raw_Data!AM95</f>
        <v>3</v>
      </c>
      <c r="F95" s="0" t="n">
        <f aca="false">Raw_Data!AN95</f>
        <v>3</v>
      </c>
      <c r="G95" s="0" t="n">
        <f aca="false">Raw_Data!AO95</f>
        <v>3</v>
      </c>
      <c r="H95" s="0" t="n">
        <f aca="false">SUM(B95:G95)</f>
        <v>19</v>
      </c>
      <c r="I95" s="0" t="n">
        <f aca="false">H95-B95</f>
        <v>15</v>
      </c>
      <c r="J95" s="0" t="n">
        <f aca="false">H95-C95</f>
        <v>16</v>
      </c>
      <c r="K95" s="0" t="n">
        <f aca="false">H95-D95</f>
        <v>16</v>
      </c>
      <c r="L95" s="0" t="n">
        <f aca="false">H95-E95</f>
        <v>16</v>
      </c>
      <c r="M95" s="0" t="n">
        <f aca="false">H95-F95</f>
        <v>16</v>
      </c>
      <c r="N95" s="0" t="n">
        <f aca="false">H95-G95</f>
        <v>16</v>
      </c>
      <c r="O95" s="0" t="n">
        <f aca="false">B95+D95+F95</f>
        <v>10</v>
      </c>
      <c r="P95" s="0" t="n">
        <f aca="false">C95+E95+G95</f>
        <v>9</v>
      </c>
    </row>
    <row r="96" customFormat="false" ht="15" hidden="false" customHeight="false" outlineLevel="0" collapsed="false">
      <c r="A96" s="0" t="n">
        <v>96</v>
      </c>
      <c r="B96" s="0" t="n">
        <f aca="false">Raw_Data!AJ96</f>
        <v>3</v>
      </c>
      <c r="C96" s="0" t="n">
        <f aca="false">Raw_Data!AK96</f>
        <v>4</v>
      </c>
      <c r="D96" s="0" t="n">
        <f aca="false">Raw_Data!AL96</f>
        <v>5</v>
      </c>
      <c r="E96" s="0" t="n">
        <f aca="false">Raw_Data!AM96</f>
        <v>3</v>
      </c>
      <c r="F96" s="0" t="n">
        <f aca="false">Raw_Data!AN96</f>
        <v>3</v>
      </c>
      <c r="G96" s="0" t="n">
        <f aca="false">Raw_Data!AO96</f>
        <v>3</v>
      </c>
      <c r="H96" s="0" t="n">
        <f aca="false">SUM(B96:G96)</f>
        <v>21</v>
      </c>
      <c r="I96" s="0" t="n">
        <f aca="false">H96-B96</f>
        <v>18</v>
      </c>
      <c r="J96" s="0" t="n">
        <f aca="false">H96-C96</f>
        <v>17</v>
      </c>
      <c r="K96" s="0" t="n">
        <f aca="false">H96-D96</f>
        <v>16</v>
      </c>
      <c r="L96" s="0" t="n">
        <f aca="false">H96-E96</f>
        <v>18</v>
      </c>
      <c r="M96" s="0" t="n">
        <f aca="false">H96-F96</f>
        <v>18</v>
      </c>
      <c r="N96" s="0" t="n">
        <f aca="false">H96-G96</f>
        <v>18</v>
      </c>
      <c r="O96" s="0" t="n">
        <f aca="false">B96+D96+F96</f>
        <v>11</v>
      </c>
      <c r="P96" s="0" t="n">
        <f aca="false">C96+E96+G96</f>
        <v>10</v>
      </c>
    </row>
    <row r="97" customFormat="false" ht="15" hidden="false" customHeight="false" outlineLevel="0" collapsed="false">
      <c r="A97" s="0" t="n">
        <v>97</v>
      </c>
      <c r="B97" s="0" t="n">
        <f aca="false">Raw_Data!AJ97</f>
        <v>5</v>
      </c>
      <c r="C97" s="0" t="n">
        <f aca="false">Raw_Data!AK97</f>
        <v>3</v>
      </c>
      <c r="D97" s="0" t="n">
        <f aca="false">Raw_Data!AL97</f>
        <v>5</v>
      </c>
      <c r="E97" s="0" t="n">
        <f aca="false">Raw_Data!AM97</f>
        <v>4</v>
      </c>
      <c r="F97" s="0" t="n">
        <f aca="false">Raw_Data!AN97</f>
        <v>4</v>
      </c>
      <c r="G97" s="0" t="n">
        <f aca="false">Raw_Data!AO97</f>
        <v>4</v>
      </c>
      <c r="H97" s="0" t="n">
        <f aca="false">SUM(B97:G97)</f>
        <v>25</v>
      </c>
      <c r="I97" s="0" t="n">
        <f aca="false">H97-B97</f>
        <v>20</v>
      </c>
      <c r="J97" s="0" t="n">
        <f aca="false">H97-C97</f>
        <v>22</v>
      </c>
      <c r="K97" s="0" t="n">
        <f aca="false">H97-D97</f>
        <v>20</v>
      </c>
      <c r="L97" s="0" t="n">
        <f aca="false">H97-E97</f>
        <v>21</v>
      </c>
      <c r="M97" s="0" t="n">
        <f aca="false">H97-F97</f>
        <v>21</v>
      </c>
      <c r="N97" s="0" t="n">
        <f aca="false">H97-G97</f>
        <v>21</v>
      </c>
      <c r="O97" s="0" t="n">
        <f aca="false">B97+D97+F97</f>
        <v>14</v>
      </c>
      <c r="P97" s="0" t="n">
        <f aca="false">C97+E97+G97</f>
        <v>11</v>
      </c>
    </row>
    <row r="98" customFormat="false" ht="15" hidden="false" customHeight="false" outlineLevel="0" collapsed="false">
      <c r="A98" s="0" t="n">
        <v>98</v>
      </c>
      <c r="B98" s="0" t="n">
        <f aca="false">Raw_Data!AJ98</f>
        <v>5</v>
      </c>
      <c r="C98" s="0" t="n">
        <f aca="false">Raw_Data!AK98</f>
        <v>3</v>
      </c>
      <c r="D98" s="0" t="n">
        <f aca="false">Raw_Data!AL98</f>
        <v>3</v>
      </c>
      <c r="E98" s="0" t="n">
        <f aca="false">Raw_Data!AM98</f>
        <v>3</v>
      </c>
      <c r="F98" s="0" t="n">
        <f aca="false">Raw_Data!AN98</f>
        <v>4</v>
      </c>
      <c r="G98" s="0" t="n">
        <f aca="false">Raw_Data!AO98</f>
        <v>3</v>
      </c>
      <c r="H98" s="0" t="n">
        <f aca="false">SUM(B98:G98)</f>
        <v>21</v>
      </c>
      <c r="I98" s="0" t="n">
        <f aca="false">H98-B98</f>
        <v>16</v>
      </c>
      <c r="J98" s="0" t="n">
        <f aca="false">H98-C98</f>
        <v>18</v>
      </c>
      <c r="K98" s="0" t="n">
        <f aca="false">H98-D98</f>
        <v>18</v>
      </c>
      <c r="L98" s="0" t="n">
        <f aca="false">H98-E98</f>
        <v>18</v>
      </c>
      <c r="M98" s="0" t="n">
        <f aca="false">H98-F98</f>
        <v>17</v>
      </c>
      <c r="N98" s="0" t="n">
        <f aca="false">H98-G98</f>
        <v>18</v>
      </c>
      <c r="O98" s="0" t="n">
        <f aca="false">B98+D98+F98</f>
        <v>12</v>
      </c>
      <c r="P98" s="0" t="n">
        <f aca="false">C98+E98+G98</f>
        <v>9</v>
      </c>
    </row>
    <row r="99" customFormat="false" ht="15" hidden="false" customHeight="false" outlineLevel="0" collapsed="false">
      <c r="A99" s="0" t="n">
        <v>99</v>
      </c>
      <c r="B99" s="0" t="n">
        <f aca="false">Raw_Data!AJ99</f>
        <v>4</v>
      </c>
      <c r="C99" s="0" t="n">
        <f aca="false">Raw_Data!AK99</f>
        <v>4</v>
      </c>
      <c r="D99" s="0" t="n">
        <f aca="false">Raw_Data!AL99</f>
        <v>4</v>
      </c>
      <c r="E99" s="0" t="n">
        <f aca="false">Raw_Data!AM99</f>
        <v>2</v>
      </c>
      <c r="F99" s="0" t="n">
        <f aca="false">Raw_Data!AN99</f>
        <v>3</v>
      </c>
      <c r="G99" s="0" t="n">
        <f aca="false">Raw_Data!AO99</f>
        <v>3</v>
      </c>
      <c r="H99" s="0" t="n">
        <f aca="false">SUM(B99:G99)</f>
        <v>20</v>
      </c>
      <c r="I99" s="0" t="n">
        <f aca="false">H99-B99</f>
        <v>16</v>
      </c>
      <c r="J99" s="0" t="n">
        <f aca="false">H99-C99</f>
        <v>16</v>
      </c>
      <c r="K99" s="0" t="n">
        <f aca="false">H99-D99</f>
        <v>16</v>
      </c>
      <c r="L99" s="0" t="n">
        <f aca="false">H99-E99</f>
        <v>18</v>
      </c>
      <c r="M99" s="0" t="n">
        <f aca="false">H99-F99</f>
        <v>17</v>
      </c>
      <c r="N99" s="0" t="n">
        <f aca="false">H99-G99</f>
        <v>17</v>
      </c>
      <c r="O99" s="0" t="n">
        <f aca="false">B99+D99+F99</f>
        <v>11</v>
      </c>
      <c r="P99" s="0" t="n">
        <f aca="false">C99+E99+G99</f>
        <v>9</v>
      </c>
    </row>
    <row r="100" customFormat="false" ht="15" hidden="false" customHeight="false" outlineLevel="0" collapsed="false">
      <c r="A100" s="0" t="n">
        <v>100</v>
      </c>
      <c r="B100" s="0" t="n">
        <f aca="false">Raw_Data!AJ100</f>
        <v>5</v>
      </c>
      <c r="C100" s="0" t="n">
        <f aca="false">Raw_Data!AK100</f>
        <v>4</v>
      </c>
      <c r="D100" s="0" t="n">
        <f aca="false">Raw_Data!AL100</f>
        <v>5</v>
      </c>
      <c r="E100" s="0" t="n">
        <f aca="false">Raw_Data!AM100</f>
        <v>5</v>
      </c>
      <c r="F100" s="0" t="n">
        <f aca="false">Raw_Data!AN100</f>
        <v>5</v>
      </c>
      <c r="G100" s="0" t="n">
        <f aca="false">Raw_Data!AO100</f>
        <v>3</v>
      </c>
      <c r="H100" s="0" t="n">
        <f aca="false">SUM(B100:G100)</f>
        <v>27</v>
      </c>
      <c r="I100" s="0" t="n">
        <f aca="false">H100-B100</f>
        <v>22</v>
      </c>
      <c r="J100" s="0" t="n">
        <f aca="false">H100-C100</f>
        <v>23</v>
      </c>
      <c r="K100" s="0" t="n">
        <f aca="false">H100-D100</f>
        <v>22</v>
      </c>
      <c r="L100" s="0" t="n">
        <f aca="false">H100-E100</f>
        <v>22</v>
      </c>
      <c r="M100" s="0" t="n">
        <f aca="false">H100-F100</f>
        <v>22</v>
      </c>
      <c r="N100" s="0" t="n">
        <f aca="false">H100-G100</f>
        <v>24</v>
      </c>
      <c r="O100" s="0" t="n">
        <f aca="false">B100+D100+F100</f>
        <v>15</v>
      </c>
      <c r="P100" s="0" t="n">
        <f aca="false">C100+E100+G100</f>
        <v>12</v>
      </c>
    </row>
    <row r="101" customFormat="false" ht="15" hidden="false" customHeight="false" outlineLevel="0" collapsed="false">
      <c r="A101" s="0" t="n">
        <v>101</v>
      </c>
      <c r="B101" s="0" t="n">
        <f aca="false">Raw_Data!AJ101</f>
        <v>4</v>
      </c>
      <c r="C101" s="0" t="n">
        <f aca="false">Raw_Data!AK101</f>
        <v>3</v>
      </c>
      <c r="D101" s="0" t="n">
        <f aca="false">Raw_Data!AL101</f>
        <v>4</v>
      </c>
      <c r="E101" s="0" t="n">
        <f aca="false">Raw_Data!AM101</f>
        <v>4</v>
      </c>
      <c r="F101" s="0" t="n">
        <f aca="false">Raw_Data!AN101</f>
        <v>2</v>
      </c>
      <c r="G101" s="0" t="n">
        <f aca="false">Raw_Data!AO101</f>
        <v>3</v>
      </c>
      <c r="H101" s="0" t="n">
        <f aca="false">SUM(B101:G101)</f>
        <v>20</v>
      </c>
      <c r="I101" s="0" t="n">
        <f aca="false">H101-B101</f>
        <v>16</v>
      </c>
      <c r="J101" s="0" t="n">
        <f aca="false">H101-C101</f>
        <v>17</v>
      </c>
      <c r="K101" s="0" t="n">
        <f aca="false">H101-D101</f>
        <v>16</v>
      </c>
      <c r="L101" s="0" t="n">
        <f aca="false">H101-E101</f>
        <v>16</v>
      </c>
      <c r="M101" s="0" t="n">
        <f aca="false">H101-F101</f>
        <v>18</v>
      </c>
      <c r="N101" s="0" t="n">
        <f aca="false">H101-G101</f>
        <v>17</v>
      </c>
      <c r="O101" s="0" t="n">
        <f aca="false">B101+D101+F101</f>
        <v>10</v>
      </c>
      <c r="P101" s="0" t="n">
        <f aca="false">C101+E101+G101</f>
        <v>10</v>
      </c>
    </row>
    <row r="102" customFormat="false" ht="15" hidden="false" customHeight="false" outlineLevel="0" collapsed="false">
      <c r="A102" s="0" t="n">
        <v>102</v>
      </c>
      <c r="B102" s="0" t="n">
        <f aca="false">Raw_Data!AJ102</f>
        <v>5</v>
      </c>
      <c r="C102" s="0" t="n">
        <f aca="false">Raw_Data!AK102</f>
        <v>3</v>
      </c>
      <c r="D102" s="0" t="n">
        <f aca="false">Raw_Data!AL102</f>
        <v>5</v>
      </c>
      <c r="E102" s="0" t="n">
        <f aca="false">Raw_Data!AM102</f>
        <v>4</v>
      </c>
      <c r="F102" s="0" t="n">
        <f aca="false">Raw_Data!AN102</f>
        <v>4</v>
      </c>
      <c r="G102" s="0" t="n">
        <f aca="false">Raw_Data!AO102</f>
        <v>4</v>
      </c>
      <c r="H102" s="0" t="n">
        <f aca="false">SUM(B102:G102)</f>
        <v>25</v>
      </c>
      <c r="I102" s="0" t="n">
        <f aca="false">H102-B102</f>
        <v>20</v>
      </c>
      <c r="J102" s="0" t="n">
        <f aca="false">H102-C102</f>
        <v>22</v>
      </c>
      <c r="K102" s="0" t="n">
        <f aca="false">H102-D102</f>
        <v>20</v>
      </c>
      <c r="L102" s="0" t="n">
        <f aca="false">H102-E102</f>
        <v>21</v>
      </c>
      <c r="M102" s="0" t="n">
        <f aca="false">H102-F102</f>
        <v>21</v>
      </c>
      <c r="N102" s="0" t="n">
        <f aca="false">H102-G102</f>
        <v>21</v>
      </c>
      <c r="O102" s="0" t="n">
        <f aca="false">B102+D102+F102</f>
        <v>14</v>
      </c>
      <c r="P102" s="0" t="n">
        <f aca="false">C102+E102+G102</f>
        <v>11</v>
      </c>
    </row>
    <row r="103" customFormat="false" ht="15" hidden="false" customHeight="false" outlineLevel="0" collapsed="false">
      <c r="A103" s="0" t="n">
        <v>103</v>
      </c>
      <c r="B103" s="0" t="n">
        <f aca="false">Raw_Data!AJ103</f>
        <v>5</v>
      </c>
      <c r="C103" s="0" t="n">
        <f aca="false">Raw_Data!AK103</f>
        <v>5</v>
      </c>
      <c r="D103" s="0" t="n">
        <f aca="false">Raw_Data!AL103</f>
        <v>5</v>
      </c>
      <c r="E103" s="0" t="n">
        <f aca="false">Raw_Data!AM103</f>
        <v>5</v>
      </c>
      <c r="F103" s="0" t="n">
        <f aca="false">Raw_Data!AN103</f>
        <v>3</v>
      </c>
      <c r="G103" s="0" t="n">
        <f aca="false">Raw_Data!AO103</f>
        <v>4</v>
      </c>
      <c r="H103" s="0" t="n">
        <f aca="false">SUM(B103:G103)</f>
        <v>27</v>
      </c>
      <c r="I103" s="0" t="n">
        <f aca="false">H103-B103</f>
        <v>22</v>
      </c>
      <c r="J103" s="0" t="n">
        <f aca="false">H103-C103</f>
        <v>22</v>
      </c>
      <c r="K103" s="0" t="n">
        <f aca="false">H103-D103</f>
        <v>22</v>
      </c>
      <c r="L103" s="0" t="n">
        <f aca="false">H103-E103</f>
        <v>22</v>
      </c>
      <c r="M103" s="0" t="n">
        <f aca="false">H103-F103</f>
        <v>24</v>
      </c>
      <c r="N103" s="0" t="n">
        <f aca="false">H103-G103</f>
        <v>23</v>
      </c>
      <c r="O103" s="0" t="n">
        <f aca="false">B103+D103+F103</f>
        <v>13</v>
      </c>
      <c r="P103" s="0" t="n">
        <f aca="false">C103+E103+G103</f>
        <v>14</v>
      </c>
    </row>
    <row r="104" customFormat="false" ht="15" hidden="false" customHeight="false" outlineLevel="0" collapsed="false">
      <c r="A104" s="0" t="n">
        <v>104</v>
      </c>
      <c r="B104" s="0" t="n">
        <f aca="false">Raw_Data!AJ104</f>
        <v>4</v>
      </c>
      <c r="C104" s="0" t="n">
        <f aca="false">Raw_Data!AK104</f>
        <v>3</v>
      </c>
      <c r="D104" s="0" t="n">
        <f aca="false">Raw_Data!AL104</f>
        <v>3</v>
      </c>
      <c r="E104" s="0" t="n">
        <f aca="false">Raw_Data!AM104</f>
        <v>3</v>
      </c>
      <c r="F104" s="0" t="n">
        <f aca="false">Raw_Data!AN104</f>
        <v>2</v>
      </c>
      <c r="G104" s="0" t="n">
        <f aca="false">Raw_Data!AO104</f>
        <v>4</v>
      </c>
      <c r="H104" s="0" t="n">
        <f aca="false">SUM(B104:G104)</f>
        <v>19</v>
      </c>
      <c r="I104" s="0" t="n">
        <f aca="false">H104-B104</f>
        <v>15</v>
      </c>
      <c r="J104" s="0" t="n">
        <f aca="false">H104-C104</f>
        <v>16</v>
      </c>
      <c r="K104" s="0" t="n">
        <f aca="false">H104-D104</f>
        <v>16</v>
      </c>
      <c r="L104" s="0" t="n">
        <f aca="false">H104-E104</f>
        <v>16</v>
      </c>
      <c r="M104" s="0" t="n">
        <f aca="false">H104-F104</f>
        <v>17</v>
      </c>
      <c r="N104" s="0" t="n">
        <f aca="false">H104-G104</f>
        <v>15</v>
      </c>
      <c r="O104" s="0" t="n">
        <f aca="false">B104+D104+F104</f>
        <v>9</v>
      </c>
      <c r="P104" s="0" t="n">
        <f aca="false">C104+E104+G104</f>
        <v>10</v>
      </c>
    </row>
    <row r="105" customFormat="false" ht="15" hidden="false" customHeight="false" outlineLevel="0" collapsed="false">
      <c r="A105" s="0" t="n">
        <v>105</v>
      </c>
      <c r="B105" s="0" t="n">
        <f aca="false">Raw_Data!AJ105</f>
        <v>4</v>
      </c>
      <c r="C105" s="0" t="n">
        <f aca="false">Raw_Data!AK105</f>
        <v>2</v>
      </c>
      <c r="D105" s="0" t="n">
        <f aca="false">Raw_Data!AL105</f>
        <v>5</v>
      </c>
      <c r="E105" s="0" t="n">
        <f aca="false">Raw_Data!AM105</f>
        <v>4</v>
      </c>
      <c r="F105" s="0" t="n">
        <f aca="false">Raw_Data!AN105</f>
        <v>2</v>
      </c>
      <c r="G105" s="0" t="n">
        <f aca="false">Raw_Data!AO105</f>
        <v>3</v>
      </c>
      <c r="H105" s="0" t="n">
        <f aca="false">SUM(B105:G105)</f>
        <v>20</v>
      </c>
      <c r="I105" s="0" t="n">
        <f aca="false">H105-B105</f>
        <v>16</v>
      </c>
      <c r="J105" s="0" t="n">
        <f aca="false">H105-C105</f>
        <v>18</v>
      </c>
      <c r="K105" s="0" t="n">
        <f aca="false">H105-D105</f>
        <v>15</v>
      </c>
      <c r="L105" s="0" t="n">
        <f aca="false">H105-E105</f>
        <v>16</v>
      </c>
      <c r="M105" s="0" t="n">
        <f aca="false">H105-F105</f>
        <v>18</v>
      </c>
      <c r="N105" s="0" t="n">
        <f aca="false">H105-G105</f>
        <v>17</v>
      </c>
      <c r="O105" s="0" t="n">
        <f aca="false">B105+D105+F105</f>
        <v>11</v>
      </c>
      <c r="P105" s="0" t="n">
        <f aca="false">C105+E105+G105</f>
        <v>9</v>
      </c>
    </row>
    <row r="106" customFormat="false" ht="15" hidden="false" customHeight="false" outlineLevel="0" collapsed="false">
      <c r="A106" s="0" t="n">
        <v>106</v>
      </c>
      <c r="B106" s="0" t="n">
        <f aca="false">Raw_Data!AJ106</f>
        <v>2</v>
      </c>
      <c r="C106" s="0" t="n">
        <f aca="false">Raw_Data!AK106</f>
        <v>2</v>
      </c>
      <c r="D106" s="0" t="n">
        <f aca="false">Raw_Data!AL106</f>
        <v>4</v>
      </c>
      <c r="E106" s="0" t="n">
        <f aca="false">Raw_Data!AM106</f>
        <v>2</v>
      </c>
      <c r="F106" s="0" t="n">
        <f aca="false">Raw_Data!AN106</f>
        <v>4</v>
      </c>
      <c r="G106" s="0" t="n">
        <f aca="false">Raw_Data!AO106</f>
        <v>1</v>
      </c>
      <c r="H106" s="0" t="n">
        <f aca="false">SUM(B106:G106)</f>
        <v>15</v>
      </c>
      <c r="I106" s="0" t="n">
        <f aca="false">H106-B106</f>
        <v>13</v>
      </c>
      <c r="J106" s="0" t="n">
        <f aca="false">H106-C106</f>
        <v>13</v>
      </c>
      <c r="K106" s="0" t="n">
        <f aca="false">H106-D106</f>
        <v>11</v>
      </c>
      <c r="L106" s="0" t="n">
        <f aca="false">H106-E106</f>
        <v>13</v>
      </c>
      <c r="M106" s="0" t="n">
        <f aca="false">H106-F106</f>
        <v>11</v>
      </c>
      <c r="N106" s="0" t="n">
        <f aca="false">H106-G106</f>
        <v>14</v>
      </c>
      <c r="O106" s="0" t="n">
        <f aca="false">B106+D106+F106</f>
        <v>10</v>
      </c>
      <c r="P106" s="0" t="n">
        <f aca="false">C106+E106+G106</f>
        <v>5</v>
      </c>
    </row>
    <row r="107" customFormat="false" ht="15" hidden="false" customHeight="false" outlineLevel="0" collapsed="false">
      <c r="A107" s="0" t="n">
        <v>107</v>
      </c>
      <c r="B107" s="0" t="n">
        <f aca="false">Raw_Data!AJ107</f>
        <v>5</v>
      </c>
      <c r="C107" s="0" t="n">
        <f aca="false">Raw_Data!AK107</f>
        <v>2</v>
      </c>
      <c r="D107" s="0" t="n">
        <f aca="false">Raw_Data!AL107</f>
        <v>5</v>
      </c>
      <c r="E107" s="0" t="n">
        <f aca="false">Raw_Data!AM107</f>
        <v>3</v>
      </c>
      <c r="F107" s="0" t="n">
        <f aca="false">Raw_Data!AN107</f>
        <v>4</v>
      </c>
      <c r="G107" s="0" t="n">
        <f aca="false">Raw_Data!AO107</f>
        <v>1</v>
      </c>
      <c r="H107" s="0" t="n">
        <f aca="false">SUM(B107:G107)</f>
        <v>20</v>
      </c>
      <c r="I107" s="0" t="n">
        <f aca="false">H107-B107</f>
        <v>15</v>
      </c>
      <c r="J107" s="0" t="n">
        <f aca="false">H107-C107</f>
        <v>18</v>
      </c>
      <c r="K107" s="0" t="n">
        <f aca="false">H107-D107</f>
        <v>15</v>
      </c>
      <c r="L107" s="0" t="n">
        <f aca="false">H107-E107</f>
        <v>17</v>
      </c>
      <c r="M107" s="0" t="n">
        <f aca="false">H107-F107</f>
        <v>16</v>
      </c>
      <c r="N107" s="0" t="n">
        <f aca="false">H107-G107</f>
        <v>19</v>
      </c>
      <c r="O107" s="0" t="n">
        <f aca="false">B107+D107+F107</f>
        <v>14</v>
      </c>
      <c r="P107" s="0" t="n">
        <f aca="false">C107+E107+G107</f>
        <v>6</v>
      </c>
    </row>
    <row r="108" customFormat="false" ht="15" hidden="false" customHeight="false" outlineLevel="0" collapsed="false">
      <c r="A108" s="0" t="n">
        <v>108</v>
      </c>
      <c r="B108" s="0" t="n">
        <f aca="false">Raw_Data!AJ108</f>
        <v>4</v>
      </c>
      <c r="C108" s="0" t="n">
        <f aca="false">Raw_Data!AK108</f>
        <v>3</v>
      </c>
      <c r="D108" s="0" t="n">
        <f aca="false">Raw_Data!AL108</f>
        <v>3</v>
      </c>
      <c r="E108" s="0" t="n">
        <f aca="false">Raw_Data!AM108</f>
        <v>3</v>
      </c>
      <c r="F108" s="0" t="n">
        <f aca="false">Raw_Data!AN108</f>
        <v>3</v>
      </c>
      <c r="G108" s="0" t="n">
        <f aca="false">Raw_Data!AO108</f>
        <v>3</v>
      </c>
      <c r="H108" s="0" t="n">
        <f aca="false">SUM(B108:G108)</f>
        <v>19</v>
      </c>
      <c r="I108" s="0" t="n">
        <f aca="false">H108-B108</f>
        <v>15</v>
      </c>
      <c r="J108" s="0" t="n">
        <f aca="false">H108-C108</f>
        <v>16</v>
      </c>
      <c r="K108" s="0" t="n">
        <f aca="false">H108-D108</f>
        <v>16</v>
      </c>
      <c r="L108" s="0" t="n">
        <f aca="false">H108-E108</f>
        <v>16</v>
      </c>
      <c r="M108" s="0" t="n">
        <f aca="false">H108-F108</f>
        <v>16</v>
      </c>
      <c r="N108" s="0" t="n">
        <f aca="false">H108-G108</f>
        <v>16</v>
      </c>
      <c r="O108" s="0" t="n">
        <f aca="false">B108+D108+F108</f>
        <v>10</v>
      </c>
      <c r="P108" s="0" t="n">
        <f aca="false">C108+E108+G108</f>
        <v>9</v>
      </c>
    </row>
    <row r="109" customFormat="false" ht="15" hidden="false" customHeight="false" outlineLevel="0" collapsed="false">
      <c r="A109" s="0" t="n">
        <v>109</v>
      </c>
      <c r="B109" s="0" t="n">
        <f aca="false">Raw_Data!AJ109</f>
        <v>3</v>
      </c>
      <c r="C109" s="0" t="n">
        <f aca="false">Raw_Data!AK109</f>
        <v>3</v>
      </c>
      <c r="D109" s="0" t="n">
        <f aca="false">Raw_Data!AL109</f>
        <v>3</v>
      </c>
      <c r="E109" s="0" t="n">
        <f aca="false">Raw_Data!AM109</f>
        <v>2</v>
      </c>
      <c r="F109" s="0" t="n">
        <f aca="false">Raw_Data!AN109</f>
        <v>2</v>
      </c>
      <c r="G109" s="0" t="n">
        <f aca="false">Raw_Data!AO109</f>
        <v>2</v>
      </c>
      <c r="H109" s="0" t="n">
        <f aca="false">SUM(B109:G109)</f>
        <v>15</v>
      </c>
      <c r="I109" s="0" t="n">
        <f aca="false">H109-B109</f>
        <v>12</v>
      </c>
      <c r="J109" s="0" t="n">
        <f aca="false">H109-C109</f>
        <v>12</v>
      </c>
      <c r="K109" s="0" t="n">
        <f aca="false">H109-D109</f>
        <v>12</v>
      </c>
      <c r="L109" s="0" t="n">
        <f aca="false">H109-E109</f>
        <v>13</v>
      </c>
      <c r="M109" s="0" t="n">
        <f aca="false">H109-F109</f>
        <v>13</v>
      </c>
      <c r="N109" s="0" t="n">
        <f aca="false">H109-G109</f>
        <v>13</v>
      </c>
      <c r="O109" s="0" t="n">
        <f aca="false">B109+D109+F109</f>
        <v>8</v>
      </c>
      <c r="P109" s="0" t="n">
        <f aca="false">C109+E109+G109</f>
        <v>7</v>
      </c>
    </row>
    <row r="110" customFormat="false" ht="15" hidden="false" customHeight="false" outlineLevel="0" collapsed="false">
      <c r="A110" s="0" t="n">
        <v>110</v>
      </c>
      <c r="B110" s="0" t="n">
        <f aca="false">Raw_Data!AJ110</f>
        <v>3</v>
      </c>
      <c r="C110" s="0" t="n">
        <f aca="false">Raw_Data!AK110</f>
        <v>2</v>
      </c>
      <c r="D110" s="0" t="n">
        <f aca="false">Raw_Data!AL110</f>
        <v>2</v>
      </c>
      <c r="E110" s="0" t="n">
        <f aca="false">Raw_Data!AM110</f>
        <v>3</v>
      </c>
      <c r="F110" s="0" t="n">
        <f aca="false">Raw_Data!AN110</f>
        <v>2</v>
      </c>
      <c r="G110" s="0" t="n">
        <f aca="false">Raw_Data!AO110</f>
        <v>2</v>
      </c>
      <c r="H110" s="0" t="n">
        <f aca="false">SUM(B110:G110)</f>
        <v>14</v>
      </c>
      <c r="I110" s="0" t="n">
        <f aca="false">H110-B110</f>
        <v>11</v>
      </c>
      <c r="J110" s="0" t="n">
        <f aca="false">H110-C110</f>
        <v>12</v>
      </c>
      <c r="K110" s="0" t="n">
        <f aca="false">H110-D110</f>
        <v>12</v>
      </c>
      <c r="L110" s="0" t="n">
        <f aca="false">H110-E110</f>
        <v>11</v>
      </c>
      <c r="M110" s="0" t="n">
        <f aca="false">H110-F110</f>
        <v>12</v>
      </c>
      <c r="N110" s="0" t="n">
        <f aca="false">H110-G110</f>
        <v>12</v>
      </c>
      <c r="O110" s="0" t="n">
        <f aca="false">B110+D110+F110</f>
        <v>7</v>
      </c>
      <c r="P110" s="0" t="n">
        <f aca="false">C110+E110+G110</f>
        <v>7</v>
      </c>
    </row>
    <row r="111" customFormat="false" ht="15" hidden="false" customHeight="false" outlineLevel="0" collapsed="false">
      <c r="A111" s="0" t="n">
        <v>111</v>
      </c>
      <c r="B111" s="0" t="n">
        <f aca="false">Raw_Data!AJ111</f>
        <v>5</v>
      </c>
      <c r="C111" s="0" t="n">
        <f aca="false">Raw_Data!AK111</f>
        <v>3</v>
      </c>
      <c r="D111" s="0" t="n">
        <f aca="false">Raw_Data!AL111</f>
        <v>5</v>
      </c>
      <c r="E111" s="0" t="n">
        <f aca="false">Raw_Data!AM111</f>
        <v>4</v>
      </c>
      <c r="F111" s="0" t="n">
        <f aca="false">Raw_Data!AN111</f>
        <v>2</v>
      </c>
      <c r="G111" s="0" t="n">
        <f aca="false">Raw_Data!AO111</f>
        <v>4</v>
      </c>
      <c r="H111" s="0" t="n">
        <f aca="false">SUM(B111:G111)</f>
        <v>23</v>
      </c>
      <c r="I111" s="0" t="n">
        <f aca="false">H111-B111</f>
        <v>18</v>
      </c>
      <c r="J111" s="0" t="n">
        <f aca="false">H111-C111</f>
        <v>20</v>
      </c>
      <c r="K111" s="0" t="n">
        <f aca="false">H111-D111</f>
        <v>18</v>
      </c>
      <c r="L111" s="0" t="n">
        <f aca="false">H111-E111</f>
        <v>19</v>
      </c>
      <c r="M111" s="0" t="n">
        <f aca="false">H111-F111</f>
        <v>21</v>
      </c>
      <c r="N111" s="0" t="n">
        <f aca="false">H111-G111</f>
        <v>19</v>
      </c>
      <c r="O111" s="0" t="n">
        <f aca="false">B111+D111+F111</f>
        <v>12</v>
      </c>
      <c r="P111" s="0" t="n">
        <f aca="false">C111+E111+G111</f>
        <v>11</v>
      </c>
    </row>
    <row r="112" customFormat="false" ht="15" hidden="false" customHeight="false" outlineLevel="0" collapsed="false">
      <c r="A112" s="0" t="n">
        <v>112</v>
      </c>
      <c r="B112" s="0" t="n">
        <f aca="false">Raw_Data!AJ112</f>
        <v>4</v>
      </c>
      <c r="C112" s="0" t="n">
        <f aca="false">Raw_Data!AK112</f>
        <v>4</v>
      </c>
      <c r="D112" s="0" t="n">
        <f aca="false">Raw_Data!AL112</f>
        <v>4</v>
      </c>
      <c r="E112" s="0" t="n">
        <f aca="false">Raw_Data!AM112</f>
        <v>4</v>
      </c>
      <c r="F112" s="0" t="n">
        <f aca="false">Raw_Data!AN112</f>
        <v>2</v>
      </c>
      <c r="G112" s="0" t="n">
        <f aca="false">Raw_Data!AO112</f>
        <v>3</v>
      </c>
      <c r="H112" s="0" t="n">
        <f aca="false">SUM(B112:G112)</f>
        <v>21</v>
      </c>
      <c r="I112" s="0" t="n">
        <f aca="false">H112-B112</f>
        <v>17</v>
      </c>
      <c r="J112" s="0" t="n">
        <f aca="false">H112-C112</f>
        <v>17</v>
      </c>
      <c r="K112" s="0" t="n">
        <f aca="false">H112-D112</f>
        <v>17</v>
      </c>
      <c r="L112" s="0" t="n">
        <f aca="false">H112-E112</f>
        <v>17</v>
      </c>
      <c r="M112" s="0" t="n">
        <f aca="false">H112-F112</f>
        <v>19</v>
      </c>
      <c r="N112" s="0" t="n">
        <f aca="false">H112-G112</f>
        <v>18</v>
      </c>
      <c r="O112" s="0" t="n">
        <f aca="false">B112+D112+F112</f>
        <v>10</v>
      </c>
      <c r="P112" s="0" t="n">
        <f aca="false">C112+E112+G112</f>
        <v>11</v>
      </c>
    </row>
    <row r="113" customFormat="false" ht="15" hidden="false" customHeight="false" outlineLevel="0" collapsed="false">
      <c r="A113" s="0" t="n">
        <v>113</v>
      </c>
      <c r="B113" s="0" t="n">
        <f aca="false">Raw_Data!AJ113</f>
        <v>2</v>
      </c>
      <c r="C113" s="0" t="n">
        <f aca="false">Raw_Data!AK113</f>
        <v>5</v>
      </c>
      <c r="D113" s="0" t="n">
        <f aca="false">Raw_Data!AL113</f>
        <v>3</v>
      </c>
      <c r="E113" s="0" t="n">
        <f aca="false">Raw_Data!AM113</f>
        <v>2</v>
      </c>
      <c r="F113" s="0" t="n">
        <f aca="false">Raw_Data!AN113</f>
        <v>2</v>
      </c>
      <c r="G113" s="0" t="n">
        <f aca="false">Raw_Data!AO113</f>
        <v>5</v>
      </c>
      <c r="H113" s="0" t="n">
        <f aca="false">SUM(B113:G113)</f>
        <v>19</v>
      </c>
      <c r="I113" s="0" t="n">
        <f aca="false">H113-B113</f>
        <v>17</v>
      </c>
      <c r="J113" s="0" t="n">
        <f aca="false">H113-C113</f>
        <v>14</v>
      </c>
      <c r="K113" s="0" t="n">
        <f aca="false">H113-D113</f>
        <v>16</v>
      </c>
      <c r="L113" s="0" t="n">
        <f aca="false">H113-E113</f>
        <v>17</v>
      </c>
      <c r="M113" s="0" t="n">
        <f aca="false">H113-F113</f>
        <v>17</v>
      </c>
      <c r="N113" s="0" t="n">
        <f aca="false">H113-G113</f>
        <v>14</v>
      </c>
      <c r="O113" s="0" t="n">
        <f aca="false">B113+D113+F113</f>
        <v>7</v>
      </c>
      <c r="P113" s="0" t="n">
        <f aca="false">C113+E113+G113</f>
        <v>12</v>
      </c>
    </row>
    <row r="114" customFormat="false" ht="15" hidden="false" customHeight="false" outlineLevel="0" collapsed="false">
      <c r="A114" s="0" t="n">
        <v>114</v>
      </c>
      <c r="B114" s="0" t="n">
        <f aca="false">Raw_Data!AJ114</f>
        <v>3</v>
      </c>
      <c r="C114" s="0" t="n">
        <f aca="false">Raw_Data!AK114</f>
        <v>4</v>
      </c>
      <c r="D114" s="0" t="n">
        <f aca="false">Raw_Data!AL114</f>
        <v>3</v>
      </c>
      <c r="E114" s="0" t="n">
        <f aca="false">Raw_Data!AM114</f>
        <v>3</v>
      </c>
      <c r="F114" s="0" t="n">
        <f aca="false">Raw_Data!AN114</f>
        <v>4</v>
      </c>
      <c r="G114" s="0" t="n">
        <f aca="false">Raw_Data!AO114</f>
        <v>2</v>
      </c>
      <c r="H114" s="0" t="n">
        <f aca="false">SUM(B114:G114)</f>
        <v>19</v>
      </c>
      <c r="I114" s="0" t="n">
        <f aca="false">H114-B114</f>
        <v>16</v>
      </c>
      <c r="J114" s="0" t="n">
        <f aca="false">H114-C114</f>
        <v>15</v>
      </c>
      <c r="K114" s="0" t="n">
        <f aca="false">H114-D114</f>
        <v>16</v>
      </c>
      <c r="L114" s="0" t="n">
        <f aca="false">H114-E114</f>
        <v>16</v>
      </c>
      <c r="M114" s="0" t="n">
        <f aca="false">H114-F114</f>
        <v>15</v>
      </c>
      <c r="N114" s="0" t="n">
        <f aca="false">H114-G114</f>
        <v>17</v>
      </c>
      <c r="O114" s="0" t="n">
        <f aca="false">B114+D114+F114</f>
        <v>10</v>
      </c>
      <c r="P114" s="0" t="n">
        <f aca="false">C114+E114+G114</f>
        <v>9</v>
      </c>
    </row>
    <row r="115" customFormat="false" ht="15" hidden="false" customHeight="false" outlineLevel="0" collapsed="false">
      <c r="A115" s="0" t="n">
        <v>115</v>
      </c>
      <c r="B115" s="0" t="n">
        <f aca="false">Raw_Data!AJ115</f>
        <v>4</v>
      </c>
      <c r="C115" s="0" t="n">
        <f aca="false">Raw_Data!AK115</f>
        <v>4</v>
      </c>
      <c r="D115" s="0" t="n">
        <f aca="false">Raw_Data!AL115</f>
        <v>4</v>
      </c>
      <c r="E115" s="0" t="n">
        <f aca="false">Raw_Data!AM115</f>
        <v>3</v>
      </c>
      <c r="F115" s="0" t="n">
        <f aca="false">Raw_Data!AN115</f>
        <v>4</v>
      </c>
      <c r="G115" s="0" t="n">
        <f aca="false">Raw_Data!AO115</f>
        <v>2</v>
      </c>
      <c r="H115" s="0" t="n">
        <f aca="false">SUM(B115:G115)</f>
        <v>21</v>
      </c>
      <c r="I115" s="0" t="n">
        <f aca="false">H115-B115</f>
        <v>17</v>
      </c>
      <c r="J115" s="0" t="n">
        <f aca="false">H115-C115</f>
        <v>17</v>
      </c>
      <c r="K115" s="0" t="n">
        <f aca="false">H115-D115</f>
        <v>17</v>
      </c>
      <c r="L115" s="0" t="n">
        <f aca="false">H115-E115</f>
        <v>18</v>
      </c>
      <c r="M115" s="0" t="n">
        <f aca="false">H115-F115</f>
        <v>17</v>
      </c>
      <c r="N115" s="0" t="n">
        <f aca="false">H115-G115</f>
        <v>19</v>
      </c>
      <c r="O115" s="0" t="n">
        <f aca="false">B115+D115+F115</f>
        <v>12</v>
      </c>
      <c r="P115" s="0" t="n">
        <f aca="false">C115+E115+G115</f>
        <v>9</v>
      </c>
    </row>
    <row r="116" customFormat="false" ht="15" hidden="false" customHeight="false" outlineLevel="0" collapsed="false">
      <c r="A116" s="0" t="n">
        <v>116</v>
      </c>
      <c r="B116" s="0" t="n">
        <f aca="false">Raw_Data!AJ116</f>
        <v>4</v>
      </c>
      <c r="C116" s="0" t="n">
        <f aca="false">Raw_Data!AK116</f>
        <v>4</v>
      </c>
      <c r="D116" s="0" t="n">
        <f aca="false">Raw_Data!AL116</f>
        <v>2</v>
      </c>
      <c r="E116" s="0" t="n">
        <f aca="false">Raw_Data!AM116</f>
        <v>3</v>
      </c>
      <c r="F116" s="0" t="n">
        <f aca="false">Raw_Data!AN116</f>
        <v>3</v>
      </c>
      <c r="G116" s="0" t="n">
        <f aca="false">Raw_Data!AO116</f>
        <v>3</v>
      </c>
      <c r="H116" s="0" t="n">
        <f aca="false">SUM(B116:G116)</f>
        <v>19</v>
      </c>
      <c r="I116" s="0" t="n">
        <f aca="false">H116-B116</f>
        <v>15</v>
      </c>
      <c r="J116" s="0" t="n">
        <f aca="false">H116-C116</f>
        <v>15</v>
      </c>
      <c r="K116" s="0" t="n">
        <f aca="false">H116-D116</f>
        <v>17</v>
      </c>
      <c r="L116" s="0" t="n">
        <f aca="false">H116-E116</f>
        <v>16</v>
      </c>
      <c r="M116" s="0" t="n">
        <f aca="false">H116-F116</f>
        <v>16</v>
      </c>
      <c r="N116" s="0" t="n">
        <f aca="false">H116-G116</f>
        <v>16</v>
      </c>
      <c r="O116" s="0" t="n">
        <f aca="false">B116+D116+F116</f>
        <v>9</v>
      </c>
      <c r="P116" s="0" t="n">
        <f aca="false">C116+E116+G116</f>
        <v>10</v>
      </c>
    </row>
    <row r="117" customFormat="false" ht="15" hidden="false" customHeight="false" outlineLevel="0" collapsed="false">
      <c r="A117" s="0" t="n">
        <v>117</v>
      </c>
      <c r="B117" s="0" t="n">
        <f aca="false">Raw_Data!AJ117</f>
        <v>4</v>
      </c>
      <c r="C117" s="0" t="n">
        <f aca="false">Raw_Data!AK117</f>
        <v>4</v>
      </c>
      <c r="D117" s="0" t="n">
        <f aca="false">Raw_Data!AL117</f>
        <v>4</v>
      </c>
      <c r="E117" s="0" t="n">
        <f aca="false">Raw_Data!AM117</f>
        <v>3</v>
      </c>
      <c r="F117" s="0" t="n">
        <f aca="false">Raw_Data!AN117</f>
        <v>4</v>
      </c>
      <c r="G117" s="0" t="n">
        <f aca="false">Raw_Data!AO117</f>
        <v>4</v>
      </c>
      <c r="H117" s="0" t="n">
        <f aca="false">SUM(B117:G117)</f>
        <v>23</v>
      </c>
      <c r="I117" s="0" t="n">
        <f aca="false">H117-B117</f>
        <v>19</v>
      </c>
      <c r="J117" s="0" t="n">
        <f aca="false">H117-C117</f>
        <v>19</v>
      </c>
      <c r="K117" s="0" t="n">
        <f aca="false">H117-D117</f>
        <v>19</v>
      </c>
      <c r="L117" s="0" t="n">
        <f aca="false">H117-E117</f>
        <v>20</v>
      </c>
      <c r="M117" s="0" t="n">
        <f aca="false">H117-F117</f>
        <v>19</v>
      </c>
      <c r="N117" s="0" t="n">
        <f aca="false">H117-G117</f>
        <v>19</v>
      </c>
      <c r="O117" s="0" t="n">
        <f aca="false">B117+D117+F117</f>
        <v>12</v>
      </c>
      <c r="P117" s="0" t="n">
        <f aca="false">C117+E117+G117</f>
        <v>11</v>
      </c>
    </row>
    <row r="118" customFormat="false" ht="15" hidden="false" customHeight="false" outlineLevel="0" collapsed="false">
      <c r="A118" s="0" t="n">
        <v>118</v>
      </c>
      <c r="B118" s="0" t="n">
        <f aca="false">Raw_Data!AJ118</f>
        <v>4</v>
      </c>
      <c r="C118" s="0" t="n">
        <f aca="false">Raw_Data!AK118</f>
        <v>3</v>
      </c>
      <c r="D118" s="0" t="n">
        <f aca="false">Raw_Data!AL118</f>
        <v>4</v>
      </c>
      <c r="E118" s="0" t="n">
        <f aca="false">Raw_Data!AM118</f>
        <v>3</v>
      </c>
      <c r="F118" s="0" t="n">
        <f aca="false">Raw_Data!AN118</f>
        <v>4</v>
      </c>
      <c r="G118" s="0" t="n">
        <f aca="false">Raw_Data!AO118</f>
        <v>3</v>
      </c>
      <c r="H118" s="0" t="n">
        <f aca="false">SUM(B118:G118)</f>
        <v>21</v>
      </c>
      <c r="I118" s="0" t="n">
        <f aca="false">H118-B118</f>
        <v>17</v>
      </c>
      <c r="J118" s="0" t="n">
        <f aca="false">H118-C118</f>
        <v>18</v>
      </c>
      <c r="K118" s="0" t="n">
        <f aca="false">H118-D118</f>
        <v>17</v>
      </c>
      <c r="L118" s="0" t="n">
        <f aca="false">H118-E118</f>
        <v>18</v>
      </c>
      <c r="M118" s="0" t="n">
        <f aca="false">H118-F118</f>
        <v>17</v>
      </c>
      <c r="N118" s="0" t="n">
        <f aca="false">H118-G118</f>
        <v>18</v>
      </c>
      <c r="O118" s="0" t="n">
        <f aca="false">B118+D118+F118</f>
        <v>12</v>
      </c>
      <c r="P118" s="0" t="n">
        <f aca="false">C118+E118+G118</f>
        <v>9</v>
      </c>
    </row>
    <row r="119" customFormat="false" ht="15" hidden="false" customHeight="false" outlineLevel="0" collapsed="false">
      <c r="A119" s="0" t="n">
        <v>119</v>
      </c>
      <c r="B119" s="0" t="n">
        <f aca="false">Raw_Data!AJ119</f>
        <v>2</v>
      </c>
      <c r="C119" s="0" t="n">
        <f aca="false">Raw_Data!AK119</f>
        <v>3</v>
      </c>
      <c r="D119" s="0" t="n">
        <f aca="false">Raw_Data!AL119</f>
        <v>4</v>
      </c>
      <c r="E119" s="0" t="n">
        <f aca="false">Raw_Data!AM119</f>
        <v>3</v>
      </c>
      <c r="F119" s="0" t="n">
        <f aca="false">Raw_Data!AN119</f>
        <v>4</v>
      </c>
      <c r="G119" s="0" t="n">
        <f aca="false">Raw_Data!AO119</f>
        <v>2</v>
      </c>
      <c r="H119" s="0" t="n">
        <f aca="false">SUM(B119:G119)</f>
        <v>18</v>
      </c>
      <c r="I119" s="0" t="n">
        <f aca="false">H119-B119</f>
        <v>16</v>
      </c>
      <c r="J119" s="0" t="n">
        <f aca="false">H119-C119</f>
        <v>15</v>
      </c>
      <c r="K119" s="0" t="n">
        <f aca="false">H119-D119</f>
        <v>14</v>
      </c>
      <c r="L119" s="0" t="n">
        <f aca="false">H119-E119</f>
        <v>15</v>
      </c>
      <c r="M119" s="0" t="n">
        <f aca="false">H119-F119</f>
        <v>14</v>
      </c>
      <c r="N119" s="0" t="n">
        <f aca="false">H119-G119</f>
        <v>16</v>
      </c>
      <c r="O119" s="0" t="n">
        <f aca="false">B119+D119+F119</f>
        <v>10</v>
      </c>
      <c r="P119" s="0" t="n">
        <f aca="false">C119+E119+G119</f>
        <v>8</v>
      </c>
    </row>
    <row r="120" customFormat="false" ht="15" hidden="false" customHeight="false" outlineLevel="0" collapsed="false">
      <c r="A120" s="0" t="n">
        <v>120</v>
      </c>
      <c r="B120" s="0" t="n">
        <f aca="false">Raw_Data!AJ120</f>
        <v>2</v>
      </c>
      <c r="C120" s="0" t="n">
        <f aca="false">Raw_Data!AK120</f>
        <v>4</v>
      </c>
      <c r="D120" s="0" t="n">
        <f aca="false">Raw_Data!AL120</f>
        <v>2</v>
      </c>
      <c r="E120" s="0" t="n">
        <f aca="false">Raw_Data!AM120</f>
        <v>4</v>
      </c>
      <c r="F120" s="0" t="n">
        <f aca="false">Raw_Data!AN120</f>
        <v>3</v>
      </c>
      <c r="G120" s="0" t="n">
        <f aca="false">Raw_Data!AO120</f>
        <v>3</v>
      </c>
      <c r="H120" s="0" t="n">
        <f aca="false">SUM(B120:G120)</f>
        <v>18</v>
      </c>
      <c r="I120" s="0" t="n">
        <f aca="false">H120-B120</f>
        <v>16</v>
      </c>
      <c r="J120" s="0" t="n">
        <f aca="false">H120-C120</f>
        <v>14</v>
      </c>
      <c r="K120" s="0" t="n">
        <f aca="false">H120-D120</f>
        <v>16</v>
      </c>
      <c r="L120" s="0" t="n">
        <f aca="false">H120-E120</f>
        <v>14</v>
      </c>
      <c r="M120" s="0" t="n">
        <f aca="false">H120-F120</f>
        <v>15</v>
      </c>
      <c r="N120" s="0" t="n">
        <f aca="false">H120-G120</f>
        <v>15</v>
      </c>
      <c r="O120" s="0" t="n">
        <f aca="false">B120+D120+F120</f>
        <v>7</v>
      </c>
      <c r="P120" s="0" t="n">
        <f aca="false">C120+E120+G120</f>
        <v>11</v>
      </c>
    </row>
    <row r="121" customFormat="false" ht="15" hidden="false" customHeight="false" outlineLevel="0" collapsed="false">
      <c r="A121" s="0" t="n">
        <v>121</v>
      </c>
      <c r="B121" s="0" t="n">
        <f aca="false">Raw_Data!AJ121</f>
        <v>3</v>
      </c>
      <c r="C121" s="0" t="n">
        <f aca="false">Raw_Data!AK121</f>
        <v>2</v>
      </c>
      <c r="D121" s="0" t="n">
        <f aca="false">Raw_Data!AL121</f>
        <v>3</v>
      </c>
      <c r="E121" s="0" t="n">
        <f aca="false">Raw_Data!AM121</f>
        <v>3</v>
      </c>
      <c r="F121" s="0" t="n">
        <f aca="false">Raw_Data!AN121</f>
        <v>1</v>
      </c>
      <c r="G121" s="0" t="n">
        <f aca="false">Raw_Data!AO121</f>
        <v>3</v>
      </c>
      <c r="H121" s="0" t="n">
        <f aca="false">SUM(B121:G121)</f>
        <v>15</v>
      </c>
      <c r="I121" s="0" t="n">
        <f aca="false">H121-B121</f>
        <v>12</v>
      </c>
      <c r="J121" s="0" t="n">
        <f aca="false">H121-C121</f>
        <v>13</v>
      </c>
      <c r="K121" s="0" t="n">
        <f aca="false">H121-D121</f>
        <v>12</v>
      </c>
      <c r="L121" s="0" t="n">
        <f aca="false">H121-E121</f>
        <v>12</v>
      </c>
      <c r="M121" s="0" t="n">
        <f aca="false">H121-F121</f>
        <v>14</v>
      </c>
      <c r="N121" s="0" t="n">
        <f aca="false">H121-G121</f>
        <v>12</v>
      </c>
      <c r="O121" s="0" t="n">
        <f aca="false">B121+D121+F121</f>
        <v>7</v>
      </c>
      <c r="P121" s="0" t="n">
        <f aca="false">C121+E121+G121</f>
        <v>8</v>
      </c>
    </row>
    <row r="122" customFormat="false" ht="15" hidden="false" customHeight="false" outlineLevel="0" collapsed="false">
      <c r="A122" s="0" t="n">
        <v>122</v>
      </c>
      <c r="B122" s="0" t="n">
        <f aca="false">Raw_Data!AJ122</f>
        <v>2</v>
      </c>
      <c r="C122" s="0" t="n">
        <f aca="false">Raw_Data!AK122</f>
        <v>2</v>
      </c>
      <c r="D122" s="0" t="n">
        <f aca="false">Raw_Data!AL122</f>
        <v>4</v>
      </c>
      <c r="E122" s="0" t="n">
        <f aca="false">Raw_Data!AM122</f>
        <v>3</v>
      </c>
      <c r="F122" s="0" t="n">
        <f aca="false">Raw_Data!AN122</f>
        <v>2</v>
      </c>
      <c r="G122" s="0" t="n">
        <f aca="false">Raw_Data!AO122</f>
        <v>3</v>
      </c>
      <c r="H122" s="0" t="n">
        <f aca="false">SUM(B122:G122)</f>
        <v>16</v>
      </c>
      <c r="I122" s="0" t="n">
        <f aca="false">H122-B122</f>
        <v>14</v>
      </c>
      <c r="J122" s="0" t="n">
        <f aca="false">H122-C122</f>
        <v>14</v>
      </c>
      <c r="K122" s="0" t="n">
        <f aca="false">H122-D122</f>
        <v>12</v>
      </c>
      <c r="L122" s="0" t="n">
        <f aca="false">H122-E122</f>
        <v>13</v>
      </c>
      <c r="M122" s="0" t="n">
        <f aca="false">H122-F122</f>
        <v>14</v>
      </c>
      <c r="N122" s="0" t="n">
        <f aca="false">H122-G122</f>
        <v>13</v>
      </c>
      <c r="O122" s="0" t="n">
        <f aca="false">B122+D122+F122</f>
        <v>8</v>
      </c>
      <c r="P122" s="0" t="n">
        <f aca="false">C122+E122+G122</f>
        <v>8</v>
      </c>
    </row>
    <row r="123" customFormat="false" ht="15" hidden="false" customHeight="false" outlineLevel="0" collapsed="false">
      <c r="A123" s="0" t="n">
        <v>123</v>
      </c>
      <c r="B123" s="0" t="n">
        <f aca="false">Raw_Data!AJ123</f>
        <v>5</v>
      </c>
      <c r="C123" s="0" t="n">
        <f aca="false">Raw_Data!AK123</f>
        <v>1</v>
      </c>
      <c r="D123" s="0" t="n">
        <f aca="false">Raw_Data!AL123</f>
        <v>4</v>
      </c>
      <c r="E123" s="0" t="n">
        <f aca="false">Raw_Data!AM123</f>
        <v>3</v>
      </c>
      <c r="F123" s="0" t="n">
        <f aca="false">Raw_Data!AN123</f>
        <v>2</v>
      </c>
      <c r="G123" s="0" t="n">
        <f aca="false">Raw_Data!AO123</f>
        <v>2</v>
      </c>
      <c r="H123" s="0" t="n">
        <f aca="false">SUM(B123:G123)</f>
        <v>17</v>
      </c>
      <c r="I123" s="0" t="n">
        <f aca="false">H123-B123</f>
        <v>12</v>
      </c>
      <c r="J123" s="0" t="n">
        <f aca="false">H123-C123</f>
        <v>16</v>
      </c>
      <c r="K123" s="0" t="n">
        <f aca="false">H123-D123</f>
        <v>13</v>
      </c>
      <c r="L123" s="0" t="n">
        <f aca="false">H123-E123</f>
        <v>14</v>
      </c>
      <c r="M123" s="0" t="n">
        <f aca="false">H123-F123</f>
        <v>15</v>
      </c>
      <c r="N123" s="0" t="n">
        <f aca="false">H123-G123</f>
        <v>15</v>
      </c>
      <c r="O123" s="0" t="n">
        <f aca="false">B123+D123+F123</f>
        <v>11</v>
      </c>
      <c r="P123" s="0" t="n">
        <f aca="false">C123+E123+G123</f>
        <v>6</v>
      </c>
    </row>
    <row r="124" customFormat="false" ht="15" hidden="false" customHeight="false" outlineLevel="0" collapsed="false">
      <c r="A124" s="0" t="n">
        <v>124</v>
      </c>
      <c r="B124" s="0" t="n">
        <f aca="false">Raw_Data!AJ124</f>
        <v>5</v>
      </c>
      <c r="C124" s="0" t="n">
        <f aca="false">Raw_Data!AK124</f>
        <v>4</v>
      </c>
      <c r="D124" s="0" t="n">
        <f aca="false">Raw_Data!AL124</f>
        <v>5</v>
      </c>
      <c r="E124" s="0" t="n">
        <f aca="false">Raw_Data!AM124</f>
        <v>5</v>
      </c>
      <c r="F124" s="0" t="n">
        <f aca="false">Raw_Data!AN124</f>
        <v>2</v>
      </c>
      <c r="G124" s="0" t="n">
        <f aca="false">Raw_Data!AO124</f>
        <v>4</v>
      </c>
      <c r="H124" s="0" t="n">
        <f aca="false">SUM(B124:G124)</f>
        <v>25</v>
      </c>
      <c r="I124" s="0" t="n">
        <f aca="false">H124-B124</f>
        <v>20</v>
      </c>
      <c r="J124" s="0" t="n">
        <f aca="false">H124-C124</f>
        <v>21</v>
      </c>
      <c r="K124" s="0" t="n">
        <f aca="false">H124-D124</f>
        <v>20</v>
      </c>
      <c r="L124" s="0" t="n">
        <f aca="false">H124-E124</f>
        <v>20</v>
      </c>
      <c r="M124" s="0" t="n">
        <f aca="false">H124-F124</f>
        <v>23</v>
      </c>
      <c r="N124" s="0" t="n">
        <f aca="false">H124-G124</f>
        <v>21</v>
      </c>
      <c r="O124" s="0" t="n">
        <f aca="false">B124+D124+F124</f>
        <v>12</v>
      </c>
      <c r="P124" s="0" t="n">
        <f aca="false">C124+E124+G124</f>
        <v>13</v>
      </c>
    </row>
    <row r="125" customFormat="false" ht="15" hidden="false" customHeight="false" outlineLevel="0" collapsed="false">
      <c r="A125" s="0" t="n">
        <v>125</v>
      </c>
      <c r="B125" s="0" t="n">
        <f aca="false">Raw_Data!AJ125</f>
        <v>4</v>
      </c>
      <c r="C125" s="0" t="n">
        <f aca="false">Raw_Data!AK125</f>
        <v>3</v>
      </c>
      <c r="D125" s="0" t="n">
        <f aca="false">Raw_Data!AL125</f>
        <v>4</v>
      </c>
      <c r="E125" s="0" t="n">
        <f aca="false">Raw_Data!AM125</f>
        <v>3</v>
      </c>
      <c r="F125" s="0" t="n">
        <f aca="false">Raw_Data!AN125</f>
        <v>3</v>
      </c>
      <c r="G125" s="0" t="n">
        <f aca="false">Raw_Data!AO125</f>
        <v>3</v>
      </c>
      <c r="H125" s="0" t="n">
        <f aca="false">SUM(B125:G125)</f>
        <v>20</v>
      </c>
      <c r="I125" s="0" t="n">
        <f aca="false">H125-B125</f>
        <v>16</v>
      </c>
      <c r="J125" s="0" t="n">
        <f aca="false">H125-C125</f>
        <v>17</v>
      </c>
      <c r="K125" s="0" t="n">
        <f aca="false">H125-D125</f>
        <v>16</v>
      </c>
      <c r="L125" s="0" t="n">
        <f aca="false">H125-E125</f>
        <v>17</v>
      </c>
      <c r="M125" s="0" t="n">
        <f aca="false">H125-F125</f>
        <v>17</v>
      </c>
      <c r="N125" s="0" t="n">
        <f aca="false">H125-G125</f>
        <v>17</v>
      </c>
      <c r="O125" s="0" t="n">
        <f aca="false">B125+D125+F125</f>
        <v>11</v>
      </c>
      <c r="P125" s="0" t="n">
        <f aca="false">C125+E125+G125</f>
        <v>9</v>
      </c>
    </row>
    <row r="126" customFormat="false" ht="15" hidden="false" customHeight="false" outlineLevel="0" collapsed="false">
      <c r="A126" s="0" t="n">
        <v>126</v>
      </c>
      <c r="B126" s="0" t="n">
        <f aca="false">Raw_Data!AJ126</f>
        <v>5</v>
      </c>
      <c r="C126" s="0" t="n">
        <f aca="false">Raw_Data!AK126</f>
        <v>3</v>
      </c>
      <c r="D126" s="0" t="n">
        <f aca="false">Raw_Data!AL126</f>
        <v>3</v>
      </c>
      <c r="E126" s="0" t="n">
        <f aca="false">Raw_Data!AM126</f>
        <v>3</v>
      </c>
      <c r="F126" s="0" t="n">
        <f aca="false">Raw_Data!AN126</f>
        <v>3</v>
      </c>
      <c r="G126" s="0" t="n">
        <f aca="false">Raw_Data!AO126</f>
        <v>2</v>
      </c>
      <c r="H126" s="0" t="n">
        <f aca="false">SUM(B126:G126)</f>
        <v>19</v>
      </c>
      <c r="I126" s="0" t="n">
        <f aca="false">H126-B126</f>
        <v>14</v>
      </c>
      <c r="J126" s="0" t="n">
        <f aca="false">H126-C126</f>
        <v>16</v>
      </c>
      <c r="K126" s="0" t="n">
        <f aca="false">H126-D126</f>
        <v>16</v>
      </c>
      <c r="L126" s="0" t="n">
        <f aca="false">H126-E126</f>
        <v>16</v>
      </c>
      <c r="M126" s="0" t="n">
        <f aca="false">H126-F126</f>
        <v>16</v>
      </c>
      <c r="N126" s="0" t="n">
        <f aca="false">H126-G126</f>
        <v>17</v>
      </c>
      <c r="O126" s="0" t="n">
        <f aca="false">B126+D126+F126</f>
        <v>11</v>
      </c>
      <c r="P126" s="0" t="n">
        <f aca="false">C126+E126+G126</f>
        <v>8</v>
      </c>
    </row>
    <row r="127" customFormat="false" ht="15" hidden="false" customHeight="false" outlineLevel="0" collapsed="false">
      <c r="A127" s="0" t="n">
        <v>127</v>
      </c>
      <c r="B127" s="0" t="n">
        <f aca="false">Raw_Data!AJ127</f>
        <v>4</v>
      </c>
      <c r="C127" s="0" t="n">
        <f aca="false">Raw_Data!AK127</f>
        <v>3</v>
      </c>
      <c r="D127" s="0" t="n">
        <f aca="false">Raw_Data!AL127</f>
        <v>5</v>
      </c>
      <c r="E127" s="0" t="n">
        <f aca="false">Raw_Data!AM127</f>
        <v>4</v>
      </c>
      <c r="F127" s="0" t="n">
        <f aca="false">Raw_Data!AN127</f>
        <v>4</v>
      </c>
      <c r="G127" s="0" t="n">
        <f aca="false">Raw_Data!AO127</f>
        <v>2</v>
      </c>
      <c r="H127" s="0" t="n">
        <f aca="false">SUM(B127:G127)</f>
        <v>22</v>
      </c>
      <c r="I127" s="0" t="n">
        <f aca="false">H127-B127</f>
        <v>18</v>
      </c>
      <c r="J127" s="0" t="n">
        <f aca="false">H127-C127</f>
        <v>19</v>
      </c>
      <c r="K127" s="0" t="n">
        <f aca="false">H127-D127</f>
        <v>17</v>
      </c>
      <c r="L127" s="0" t="n">
        <f aca="false">H127-E127</f>
        <v>18</v>
      </c>
      <c r="M127" s="0" t="n">
        <f aca="false">H127-F127</f>
        <v>18</v>
      </c>
      <c r="N127" s="0" t="n">
        <f aca="false">H127-G127</f>
        <v>20</v>
      </c>
      <c r="O127" s="0" t="n">
        <f aca="false">B127+D127+F127</f>
        <v>13</v>
      </c>
      <c r="P127" s="0" t="n">
        <f aca="false">C127+E127+G127</f>
        <v>9</v>
      </c>
    </row>
    <row r="128" customFormat="false" ht="15" hidden="false" customHeight="false" outlineLevel="0" collapsed="false">
      <c r="A128" s="0" t="n">
        <v>128</v>
      </c>
      <c r="B128" s="0" t="n">
        <f aca="false">Raw_Data!AJ128</f>
        <v>5</v>
      </c>
      <c r="C128" s="0" t="n">
        <f aca="false">Raw_Data!AK128</f>
        <v>4</v>
      </c>
      <c r="D128" s="0" t="n">
        <f aca="false">Raw_Data!AL128</f>
        <v>5</v>
      </c>
      <c r="E128" s="0" t="n">
        <f aca="false">Raw_Data!AM128</f>
        <v>4</v>
      </c>
      <c r="F128" s="0" t="n">
        <f aca="false">Raw_Data!AN128</f>
        <v>4</v>
      </c>
      <c r="G128" s="0" t="n">
        <f aca="false">Raw_Data!AO128</f>
        <v>4</v>
      </c>
      <c r="H128" s="0" t="n">
        <f aca="false">SUM(B128:G128)</f>
        <v>26</v>
      </c>
      <c r="I128" s="0" t="n">
        <f aca="false">H128-B128</f>
        <v>21</v>
      </c>
      <c r="J128" s="0" t="n">
        <f aca="false">H128-C128</f>
        <v>22</v>
      </c>
      <c r="K128" s="0" t="n">
        <f aca="false">H128-D128</f>
        <v>21</v>
      </c>
      <c r="L128" s="0" t="n">
        <f aca="false">H128-E128</f>
        <v>22</v>
      </c>
      <c r="M128" s="0" t="n">
        <f aca="false">H128-F128</f>
        <v>22</v>
      </c>
      <c r="N128" s="0" t="n">
        <f aca="false">H128-G128</f>
        <v>22</v>
      </c>
      <c r="O128" s="0" t="n">
        <f aca="false">B128+D128+F128</f>
        <v>14</v>
      </c>
      <c r="P128" s="0" t="n">
        <f aca="false">C128+E128+G128</f>
        <v>12</v>
      </c>
    </row>
    <row r="129" customFormat="false" ht="15" hidden="false" customHeight="false" outlineLevel="0" collapsed="false">
      <c r="A129" s="0" t="n">
        <v>129</v>
      </c>
      <c r="B129" s="0" t="n">
        <f aca="false">Raw_Data!AJ129</f>
        <v>4</v>
      </c>
      <c r="C129" s="0" t="n">
        <f aca="false">Raw_Data!AK129</f>
        <v>4</v>
      </c>
      <c r="D129" s="0" t="n">
        <f aca="false">Raw_Data!AL129</f>
        <v>4</v>
      </c>
      <c r="E129" s="0" t="n">
        <f aca="false">Raw_Data!AM129</f>
        <v>3</v>
      </c>
      <c r="F129" s="0" t="n">
        <f aca="false">Raw_Data!AN129</f>
        <v>3</v>
      </c>
      <c r="G129" s="0" t="n">
        <f aca="false">Raw_Data!AO129</f>
        <v>2</v>
      </c>
      <c r="H129" s="0" t="n">
        <f aca="false">SUM(B129:G129)</f>
        <v>20</v>
      </c>
      <c r="I129" s="0" t="n">
        <f aca="false">H129-B129</f>
        <v>16</v>
      </c>
      <c r="J129" s="0" t="n">
        <f aca="false">H129-C129</f>
        <v>16</v>
      </c>
      <c r="K129" s="0" t="n">
        <f aca="false">H129-D129</f>
        <v>16</v>
      </c>
      <c r="L129" s="0" t="n">
        <f aca="false">H129-E129</f>
        <v>17</v>
      </c>
      <c r="M129" s="0" t="n">
        <f aca="false">H129-F129</f>
        <v>17</v>
      </c>
      <c r="N129" s="0" t="n">
        <f aca="false">H129-G129</f>
        <v>18</v>
      </c>
      <c r="O129" s="0" t="n">
        <f aca="false">B129+D129+F129</f>
        <v>11</v>
      </c>
      <c r="P129" s="0" t="n">
        <f aca="false">C129+E129+G129</f>
        <v>9</v>
      </c>
    </row>
    <row r="130" customFormat="false" ht="15" hidden="false" customHeight="false" outlineLevel="0" collapsed="false">
      <c r="A130" s="0" t="n">
        <v>130</v>
      </c>
      <c r="B130" s="0" t="n">
        <f aca="false">Raw_Data!AJ130</f>
        <v>4</v>
      </c>
      <c r="C130" s="0" t="n">
        <f aca="false">Raw_Data!AK130</f>
        <v>4</v>
      </c>
      <c r="D130" s="0" t="n">
        <f aca="false">Raw_Data!AL130</f>
        <v>5</v>
      </c>
      <c r="E130" s="0" t="n">
        <f aca="false">Raw_Data!AM130</f>
        <v>3</v>
      </c>
      <c r="F130" s="0" t="n">
        <f aca="false">Raw_Data!AN130</f>
        <v>2</v>
      </c>
      <c r="G130" s="0" t="n">
        <f aca="false">Raw_Data!AO130</f>
        <v>3</v>
      </c>
      <c r="H130" s="0" t="n">
        <f aca="false">SUM(B130:G130)</f>
        <v>21</v>
      </c>
      <c r="I130" s="0" t="n">
        <f aca="false">H130-B130</f>
        <v>17</v>
      </c>
      <c r="J130" s="0" t="n">
        <f aca="false">H130-C130</f>
        <v>17</v>
      </c>
      <c r="K130" s="0" t="n">
        <f aca="false">H130-D130</f>
        <v>16</v>
      </c>
      <c r="L130" s="0" t="n">
        <f aca="false">H130-E130</f>
        <v>18</v>
      </c>
      <c r="M130" s="0" t="n">
        <f aca="false">H130-F130</f>
        <v>19</v>
      </c>
      <c r="N130" s="0" t="n">
        <f aca="false">H130-G130</f>
        <v>18</v>
      </c>
      <c r="O130" s="0" t="n">
        <f aca="false">B130+D130+F130</f>
        <v>11</v>
      </c>
      <c r="P130" s="0" t="n">
        <f aca="false">C130+E130+G130</f>
        <v>10</v>
      </c>
    </row>
    <row r="131" customFormat="false" ht="15" hidden="false" customHeight="false" outlineLevel="0" collapsed="false">
      <c r="A131" s="0" t="n">
        <v>131</v>
      </c>
      <c r="B131" s="0" t="n">
        <f aca="false">Raw_Data!AJ131</f>
        <v>2</v>
      </c>
      <c r="C131" s="0" t="n">
        <f aca="false">Raw_Data!AK131</f>
        <v>2</v>
      </c>
      <c r="D131" s="0" t="n">
        <f aca="false">Raw_Data!AL131</f>
        <v>3</v>
      </c>
      <c r="E131" s="0" t="n">
        <f aca="false">Raw_Data!AM131</f>
        <v>2</v>
      </c>
      <c r="F131" s="0" t="n">
        <f aca="false">Raw_Data!AN131</f>
        <v>2</v>
      </c>
      <c r="G131" s="0" t="n">
        <f aca="false">Raw_Data!AO131</f>
        <v>2</v>
      </c>
      <c r="H131" s="0" t="n">
        <f aca="false">SUM(B131:G131)</f>
        <v>13</v>
      </c>
      <c r="I131" s="0" t="n">
        <f aca="false">H131-B131</f>
        <v>11</v>
      </c>
      <c r="J131" s="0" t="n">
        <f aca="false">H131-C131</f>
        <v>11</v>
      </c>
      <c r="K131" s="0" t="n">
        <f aca="false">H131-D131</f>
        <v>10</v>
      </c>
      <c r="L131" s="0" t="n">
        <f aca="false">H131-E131</f>
        <v>11</v>
      </c>
      <c r="M131" s="0" t="n">
        <f aca="false">H131-F131</f>
        <v>11</v>
      </c>
      <c r="N131" s="0" t="n">
        <f aca="false">H131-G131</f>
        <v>11</v>
      </c>
      <c r="O131" s="0" t="n">
        <f aca="false">B131+D131+F131</f>
        <v>7</v>
      </c>
      <c r="P131" s="0" t="n">
        <f aca="false">C131+E131+G131</f>
        <v>6</v>
      </c>
    </row>
    <row r="132" customFormat="false" ht="15" hidden="false" customHeight="false" outlineLevel="0" collapsed="false">
      <c r="A132" s="0" t="n">
        <v>132</v>
      </c>
      <c r="B132" s="0" t="n">
        <f aca="false">Raw_Data!AJ132</f>
        <v>3</v>
      </c>
      <c r="C132" s="0" t="n">
        <f aca="false">Raw_Data!AK132</f>
        <v>5</v>
      </c>
      <c r="D132" s="0" t="n">
        <f aca="false">Raw_Data!AL132</f>
        <v>5</v>
      </c>
      <c r="E132" s="0" t="n">
        <f aca="false">Raw_Data!AM132</f>
        <v>2</v>
      </c>
      <c r="F132" s="0" t="n">
        <f aca="false">Raw_Data!AN132</f>
        <v>3</v>
      </c>
      <c r="G132" s="0" t="n">
        <f aca="false">Raw_Data!AO132</f>
        <v>2</v>
      </c>
      <c r="H132" s="0" t="n">
        <f aca="false">SUM(B132:G132)</f>
        <v>20</v>
      </c>
      <c r="I132" s="0" t="n">
        <f aca="false">H132-B132</f>
        <v>17</v>
      </c>
      <c r="J132" s="0" t="n">
        <f aca="false">H132-C132</f>
        <v>15</v>
      </c>
      <c r="K132" s="0" t="n">
        <f aca="false">H132-D132</f>
        <v>15</v>
      </c>
      <c r="L132" s="0" t="n">
        <f aca="false">H132-E132</f>
        <v>18</v>
      </c>
      <c r="M132" s="0" t="n">
        <f aca="false">H132-F132</f>
        <v>17</v>
      </c>
      <c r="N132" s="0" t="n">
        <f aca="false">H132-G132</f>
        <v>18</v>
      </c>
      <c r="O132" s="0" t="n">
        <f aca="false">B132+D132+F132</f>
        <v>11</v>
      </c>
      <c r="P132" s="0" t="n">
        <f aca="false">C132+E132+G132</f>
        <v>9</v>
      </c>
    </row>
    <row r="133" customFormat="false" ht="15" hidden="false" customHeight="false" outlineLevel="0" collapsed="false">
      <c r="A133" s="0" t="n">
        <v>133</v>
      </c>
      <c r="B133" s="0" t="n">
        <f aca="false">Raw_Data!AJ133</f>
        <v>2</v>
      </c>
      <c r="C133" s="0" t="n">
        <f aca="false">Raw_Data!AK133</f>
        <v>2</v>
      </c>
      <c r="D133" s="0" t="n">
        <f aca="false">Raw_Data!AL133</f>
        <v>4</v>
      </c>
      <c r="E133" s="0" t="n">
        <f aca="false">Raw_Data!AM133</f>
        <v>3</v>
      </c>
      <c r="F133" s="0" t="n">
        <f aca="false">Raw_Data!AN133</f>
        <v>2</v>
      </c>
      <c r="G133" s="0" t="n">
        <f aca="false">Raw_Data!AO133</f>
        <v>3</v>
      </c>
      <c r="H133" s="0" t="n">
        <f aca="false">SUM(B133:G133)</f>
        <v>16</v>
      </c>
      <c r="I133" s="0" t="n">
        <f aca="false">H133-B133</f>
        <v>14</v>
      </c>
      <c r="J133" s="0" t="n">
        <f aca="false">H133-C133</f>
        <v>14</v>
      </c>
      <c r="K133" s="0" t="n">
        <f aca="false">H133-D133</f>
        <v>12</v>
      </c>
      <c r="L133" s="0" t="n">
        <f aca="false">H133-E133</f>
        <v>13</v>
      </c>
      <c r="M133" s="0" t="n">
        <f aca="false">H133-F133</f>
        <v>14</v>
      </c>
      <c r="N133" s="0" t="n">
        <f aca="false">H133-G133</f>
        <v>13</v>
      </c>
      <c r="O133" s="0" t="n">
        <f aca="false">B133+D133+F133</f>
        <v>8</v>
      </c>
      <c r="P133" s="0" t="n">
        <f aca="false">C133+E133+G133</f>
        <v>8</v>
      </c>
    </row>
    <row r="134" customFormat="false" ht="15" hidden="false" customHeight="false" outlineLevel="0" collapsed="false">
      <c r="A134" s="0" t="n">
        <v>134</v>
      </c>
      <c r="B134" s="0" t="n">
        <f aca="false">Raw_Data!AJ134</f>
        <v>4</v>
      </c>
      <c r="C134" s="0" t="n">
        <f aca="false">Raw_Data!AK134</f>
        <v>3</v>
      </c>
      <c r="D134" s="0" t="n">
        <f aca="false">Raw_Data!AL134</f>
        <v>5</v>
      </c>
      <c r="E134" s="0" t="n">
        <f aca="false">Raw_Data!AM134</f>
        <v>4</v>
      </c>
      <c r="F134" s="0" t="n">
        <f aca="false">Raw_Data!AN134</f>
        <v>2</v>
      </c>
      <c r="G134" s="0" t="n">
        <f aca="false">Raw_Data!AO134</f>
        <v>3</v>
      </c>
      <c r="H134" s="0" t="n">
        <f aca="false">SUM(B134:G134)</f>
        <v>21</v>
      </c>
      <c r="I134" s="0" t="n">
        <f aca="false">H134-B134</f>
        <v>17</v>
      </c>
      <c r="J134" s="0" t="n">
        <f aca="false">H134-C134</f>
        <v>18</v>
      </c>
      <c r="K134" s="0" t="n">
        <f aca="false">H134-D134</f>
        <v>16</v>
      </c>
      <c r="L134" s="0" t="n">
        <f aca="false">H134-E134</f>
        <v>17</v>
      </c>
      <c r="M134" s="0" t="n">
        <f aca="false">H134-F134</f>
        <v>19</v>
      </c>
      <c r="N134" s="0" t="n">
        <f aca="false">H134-G134</f>
        <v>18</v>
      </c>
      <c r="O134" s="0" t="n">
        <f aca="false">B134+D134+F134</f>
        <v>11</v>
      </c>
      <c r="P134" s="0" t="n">
        <f aca="false">C134+E134+G134</f>
        <v>10</v>
      </c>
    </row>
    <row r="135" customFormat="false" ht="15" hidden="false" customHeight="false" outlineLevel="0" collapsed="false">
      <c r="A135" s="0" t="n">
        <v>135</v>
      </c>
      <c r="B135" s="0" t="n">
        <f aca="false">Raw_Data!AJ135</f>
        <v>4</v>
      </c>
      <c r="C135" s="0" t="n">
        <f aca="false">Raw_Data!AK135</f>
        <v>5</v>
      </c>
      <c r="D135" s="0" t="n">
        <f aca="false">Raw_Data!AL135</f>
        <v>5</v>
      </c>
      <c r="E135" s="0" t="n">
        <f aca="false">Raw_Data!AM135</f>
        <v>5</v>
      </c>
      <c r="F135" s="0" t="n">
        <f aca="false">Raw_Data!AN135</f>
        <v>2</v>
      </c>
      <c r="G135" s="0" t="n">
        <f aca="false">Raw_Data!AO135</f>
        <v>3</v>
      </c>
      <c r="H135" s="0" t="n">
        <f aca="false">SUM(B135:G135)</f>
        <v>24</v>
      </c>
      <c r="I135" s="0" t="n">
        <f aca="false">H135-B135</f>
        <v>20</v>
      </c>
      <c r="J135" s="0" t="n">
        <f aca="false">H135-C135</f>
        <v>19</v>
      </c>
      <c r="K135" s="0" t="n">
        <f aca="false">H135-D135</f>
        <v>19</v>
      </c>
      <c r="L135" s="0" t="n">
        <f aca="false">H135-E135</f>
        <v>19</v>
      </c>
      <c r="M135" s="0" t="n">
        <f aca="false">H135-F135</f>
        <v>22</v>
      </c>
      <c r="N135" s="0" t="n">
        <f aca="false">H135-G135</f>
        <v>21</v>
      </c>
      <c r="O135" s="0" t="n">
        <f aca="false">B135+D135+F135</f>
        <v>11</v>
      </c>
      <c r="P135" s="0" t="n">
        <f aca="false">C135+E135+G135</f>
        <v>13</v>
      </c>
    </row>
    <row r="136" customFormat="false" ht="15" hidden="false" customHeight="false" outlineLevel="0" collapsed="false">
      <c r="A136" s="0" t="n">
        <v>136</v>
      </c>
      <c r="B136" s="0" t="n">
        <f aca="false">Raw_Data!AJ136</f>
        <v>4</v>
      </c>
      <c r="C136" s="0" t="n">
        <f aca="false">Raw_Data!AK136</f>
        <v>2</v>
      </c>
      <c r="D136" s="0" t="n">
        <f aca="false">Raw_Data!AL136</f>
        <v>4</v>
      </c>
      <c r="E136" s="0" t="n">
        <f aca="false">Raw_Data!AM136</f>
        <v>3</v>
      </c>
      <c r="F136" s="0" t="n">
        <f aca="false">Raw_Data!AN136</f>
        <v>2</v>
      </c>
      <c r="G136" s="0" t="n">
        <f aca="false">Raw_Data!AO136</f>
        <v>4</v>
      </c>
      <c r="H136" s="0" t="n">
        <f aca="false">SUM(B136:G136)</f>
        <v>19</v>
      </c>
      <c r="I136" s="0" t="n">
        <f aca="false">H136-B136</f>
        <v>15</v>
      </c>
      <c r="J136" s="0" t="n">
        <f aca="false">H136-C136</f>
        <v>17</v>
      </c>
      <c r="K136" s="0" t="n">
        <f aca="false">H136-D136</f>
        <v>15</v>
      </c>
      <c r="L136" s="0" t="n">
        <f aca="false">H136-E136</f>
        <v>16</v>
      </c>
      <c r="M136" s="0" t="n">
        <f aca="false">H136-F136</f>
        <v>17</v>
      </c>
      <c r="N136" s="0" t="n">
        <f aca="false">H136-G136</f>
        <v>15</v>
      </c>
      <c r="O136" s="0" t="n">
        <f aca="false">B136+D136+F136</f>
        <v>10</v>
      </c>
      <c r="P136" s="0" t="n">
        <f aca="false">C136+E136+G136</f>
        <v>9</v>
      </c>
    </row>
    <row r="137" customFormat="false" ht="15" hidden="false" customHeight="false" outlineLevel="0" collapsed="false">
      <c r="A137" s="0" t="n">
        <v>137</v>
      </c>
      <c r="B137" s="0" t="n">
        <f aca="false">Raw_Data!AJ137</f>
        <v>4</v>
      </c>
      <c r="C137" s="0" t="n">
        <f aca="false">Raw_Data!AK137</f>
        <v>2</v>
      </c>
      <c r="D137" s="0" t="n">
        <f aca="false">Raw_Data!AL137</f>
        <v>4</v>
      </c>
      <c r="E137" s="0" t="n">
        <f aca="false">Raw_Data!AM137</f>
        <v>2</v>
      </c>
      <c r="F137" s="0" t="n">
        <f aca="false">Raw_Data!AN137</f>
        <v>2</v>
      </c>
      <c r="G137" s="0" t="n">
        <f aca="false">Raw_Data!AO137</f>
        <v>3</v>
      </c>
      <c r="H137" s="0" t="n">
        <f aca="false">SUM(B137:G137)</f>
        <v>17</v>
      </c>
      <c r="I137" s="0" t="n">
        <f aca="false">H137-B137</f>
        <v>13</v>
      </c>
      <c r="J137" s="0" t="n">
        <f aca="false">H137-C137</f>
        <v>15</v>
      </c>
      <c r="K137" s="0" t="n">
        <f aca="false">H137-D137</f>
        <v>13</v>
      </c>
      <c r="L137" s="0" t="n">
        <f aca="false">H137-E137</f>
        <v>15</v>
      </c>
      <c r="M137" s="0" t="n">
        <f aca="false">H137-F137</f>
        <v>15</v>
      </c>
      <c r="N137" s="0" t="n">
        <f aca="false">H137-G137</f>
        <v>14</v>
      </c>
      <c r="O137" s="0" t="n">
        <f aca="false">B137+D137+F137</f>
        <v>10</v>
      </c>
      <c r="P137" s="0" t="n">
        <f aca="false">C137+E137+G137</f>
        <v>7</v>
      </c>
    </row>
    <row r="138" customFormat="false" ht="15" hidden="false" customHeight="false" outlineLevel="0" collapsed="false">
      <c r="A138" s="0" t="n">
        <v>138</v>
      </c>
      <c r="B138" s="0" t="n">
        <f aca="false">Raw_Data!AJ138</f>
        <v>4</v>
      </c>
      <c r="C138" s="0" t="n">
        <f aca="false">Raw_Data!AK138</f>
        <v>4</v>
      </c>
      <c r="D138" s="0" t="n">
        <f aca="false">Raw_Data!AL138</f>
        <v>3</v>
      </c>
      <c r="E138" s="0" t="n">
        <f aca="false">Raw_Data!AM138</f>
        <v>4</v>
      </c>
      <c r="F138" s="0" t="n">
        <f aca="false">Raw_Data!AN138</f>
        <v>3</v>
      </c>
      <c r="G138" s="0" t="n">
        <f aca="false">Raw_Data!AO138</f>
        <v>2</v>
      </c>
      <c r="H138" s="0" t="n">
        <f aca="false">SUM(B138:G138)</f>
        <v>20</v>
      </c>
      <c r="I138" s="0" t="n">
        <f aca="false">H138-B138</f>
        <v>16</v>
      </c>
      <c r="J138" s="0" t="n">
        <f aca="false">H138-C138</f>
        <v>16</v>
      </c>
      <c r="K138" s="0" t="n">
        <f aca="false">H138-D138</f>
        <v>17</v>
      </c>
      <c r="L138" s="0" t="n">
        <f aca="false">H138-E138</f>
        <v>16</v>
      </c>
      <c r="M138" s="0" t="n">
        <f aca="false">H138-F138</f>
        <v>17</v>
      </c>
      <c r="N138" s="0" t="n">
        <f aca="false">H138-G138</f>
        <v>18</v>
      </c>
      <c r="O138" s="0" t="n">
        <f aca="false">B138+D138+F138</f>
        <v>10</v>
      </c>
      <c r="P138" s="0" t="n">
        <f aca="false">C138+E138+G138</f>
        <v>10</v>
      </c>
    </row>
    <row r="139" customFormat="false" ht="15" hidden="false" customHeight="false" outlineLevel="0" collapsed="false">
      <c r="A139" s="0" t="n">
        <v>139</v>
      </c>
      <c r="B139" s="0" t="n">
        <f aca="false">Raw_Data!AJ139</f>
        <v>4</v>
      </c>
      <c r="C139" s="0" t="n">
        <f aca="false">Raw_Data!AK139</f>
        <v>5</v>
      </c>
      <c r="D139" s="0" t="n">
        <f aca="false">Raw_Data!AL139</f>
        <v>5</v>
      </c>
      <c r="E139" s="0" t="n">
        <f aca="false">Raw_Data!AM139</f>
        <v>4</v>
      </c>
      <c r="F139" s="0" t="n">
        <f aca="false">Raw_Data!AN139</f>
        <v>2</v>
      </c>
      <c r="G139" s="0" t="n">
        <f aca="false">Raw_Data!AO139</f>
        <v>3</v>
      </c>
      <c r="H139" s="0" t="n">
        <f aca="false">SUM(B139:G139)</f>
        <v>23</v>
      </c>
      <c r="I139" s="0" t="n">
        <f aca="false">H139-B139</f>
        <v>19</v>
      </c>
      <c r="J139" s="0" t="n">
        <f aca="false">H139-C139</f>
        <v>18</v>
      </c>
      <c r="K139" s="0" t="n">
        <f aca="false">H139-D139</f>
        <v>18</v>
      </c>
      <c r="L139" s="0" t="n">
        <f aca="false">H139-E139</f>
        <v>19</v>
      </c>
      <c r="M139" s="0" t="n">
        <f aca="false">H139-F139</f>
        <v>21</v>
      </c>
      <c r="N139" s="0" t="n">
        <f aca="false">H139-G139</f>
        <v>20</v>
      </c>
      <c r="O139" s="0" t="n">
        <f aca="false">B139+D139+F139</f>
        <v>11</v>
      </c>
      <c r="P139" s="0" t="n">
        <f aca="false">C139+E139+G139</f>
        <v>12</v>
      </c>
    </row>
    <row r="140" customFormat="false" ht="15" hidden="false" customHeight="false" outlineLevel="0" collapsed="false">
      <c r="A140" s="0" t="n">
        <v>140</v>
      </c>
      <c r="B140" s="0" t="n">
        <f aca="false">Raw_Data!AJ140</f>
        <v>2</v>
      </c>
      <c r="C140" s="0" t="n">
        <f aca="false">Raw_Data!AK140</f>
        <v>2</v>
      </c>
      <c r="D140" s="0" t="n">
        <f aca="false">Raw_Data!AL140</f>
        <v>1</v>
      </c>
      <c r="E140" s="0" t="n">
        <f aca="false">Raw_Data!AM140</f>
        <v>2</v>
      </c>
      <c r="F140" s="0" t="n">
        <f aca="false">Raw_Data!AN140</f>
        <v>2</v>
      </c>
      <c r="G140" s="0" t="n">
        <f aca="false">Raw_Data!AO140</f>
        <v>1</v>
      </c>
      <c r="H140" s="0" t="n">
        <f aca="false">SUM(B140:G140)</f>
        <v>10</v>
      </c>
      <c r="I140" s="0" t="n">
        <f aca="false">H140-B140</f>
        <v>8</v>
      </c>
      <c r="J140" s="0" t="n">
        <f aca="false">H140-C140</f>
        <v>8</v>
      </c>
      <c r="K140" s="0" t="n">
        <f aca="false">H140-D140</f>
        <v>9</v>
      </c>
      <c r="L140" s="0" t="n">
        <f aca="false">H140-E140</f>
        <v>8</v>
      </c>
      <c r="M140" s="0" t="n">
        <f aca="false">H140-F140</f>
        <v>8</v>
      </c>
      <c r="N140" s="0" t="n">
        <f aca="false">H140-G140</f>
        <v>9</v>
      </c>
      <c r="O140" s="0" t="n">
        <f aca="false">B140+D140+F140</f>
        <v>5</v>
      </c>
      <c r="P140" s="0" t="n">
        <f aca="false">C140+E140+G140</f>
        <v>5</v>
      </c>
    </row>
    <row r="141" customFormat="false" ht="15" hidden="false" customHeight="false" outlineLevel="0" collapsed="false">
      <c r="A141" s="0" t="n">
        <v>141</v>
      </c>
      <c r="B141" s="0" t="n">
        <f aca="false">Raw_Data!AJ141</f>
        <v>4</v>
      </c>
      <c r="C141" s="0" t="n">
        <f aca="false">Raw_Data!AK141</f>
        <v>3</v>
      </c>
      <c r="D141" s="0" t="n">
        <f aca="false">Raw_Data!AL141</f>
        <v>4</v>
      </c>
      <c r="E141" s="0" t="n">
        <f aca="false">Raw_Data!AM141</f>
        <v>3</v>
      </c>
      <c r="F141" s="0" t="n">
        <f aca="false">Raw_Data!AN141</f>
        <v>3</v>
      </c>
      <c r="G141" s="0" t="n">
        <f aca="false">Raw_Data!AO141</f>
        <v>3</v>
      </c>
      <c r="H141" s="0" t="n">
        <f aca="false">SUM(B141:G141)</f>
        <v>20</v>
      </c>
      <c r="I141" s="0" t="n">
        <f aca="false">H141-B141</f>
        <v>16</v>
      </c>
      <c r="J141" s="0" t="n">
        <f aca="false">H141-C141</f>
        <v>17</v>
      </c>
      <c r="K141" s="0" t="n">
        <f aca="false">H141-D141</f>
        <v>16</v>
      </c>
      <c r="L141" s="0" t="n">
        <f aca="false">H141-E141</f>
        <v>17</v>
      </c>
      <c r="M141" s="0" t="n">
        <f aca="false">H141-F141</f>
        <v>17</v>
      </c>
      <c r="N141" s="0" t="n">
        <f aca="false">H141-G141</f>
        <v>17</v>
      </c>
      <c r="O141" s="0" t="n">
        <f aca="false">B141+D141+F141</f>
        <v>11</v>
      </c>
      <c r="P141" s="0" t="n">
        <f aca="false">C141+E141+G141</f>
        <v>9</v>
      </c>
    </row>
    <row r="142" customFormat="false" ht="15" hidden="false" customHeight="false" outlineLevel="0" collapsed="false">
      <c r="A142" s="0" t="n">
        <v>142</v>
      </c>
      <c r="B142" s="0" t="n">
        <f aca="false">Raw_Data!AJ142</f>
        <v>4</v>
      </c>
      <c r="C142" s="0" t="n">
        <f aca="false">Raw_Data!AK142</f>
        <v>5</v>
      </c>
      <c r="D142" s="0" t="n">
        <f aca="false">Raw_Data!AL142</f>
        <v>5</v>
      </c>
      <c r="E142" s="0" t="n">
        <f aca="false">Raw_Data!AM142</f>
        <v>4</v>
      </c>
      <c r="F142" s="0" t="n">
        <f aca="false">Raw_Data!AN142</f>
        <v>2</v>
      </c>
      <c r="G142" s="0" t="n">
        <f aca="false">Raw_Data!AO142</f>
        <v>3</v>
      </c>
      <c r="H142" s="0" t="n">
        <f aca="false">SUM(B142:G142)</f>
        <v>23</v>
      </c>
      <c r="I142" s="0" t="n">
        <f aca="false">H142-B142</f>
        <v>19</v>
      </c>
      <c r="J142" s="0" t="n">
        <f aca="false">H142-C142</f>
        <v>18</v>
      </c>
      <c r="K142" s="0" t="n">
        <f aca="false">H142-D142</f>
        <v>18</v>
      </c>
      <c r="L142" s="0" t="n">
        <f aca="false">H142-E142</f>
        <v>19</v>
      </c>
      <c r="M142" s="0" t="n">
        <f aca="false">H142-F142</f>
        <v>21</v>
      </c>
      <c r="N142" s="0" t="n">
        <f aca="false">H142-G142</f>
        <v>20</v>
      </c>
      <c r="O142" s="0" t="n">
        <f aca="false">B142+D142+F142</f>
        <v>11</v>
      </c>
      <c r="P142" s="0" t="n">
        <f aca="false">C142+E142+G142</f>
        <v>12</v>
      </c>
    </row>
    <row r="143" customFormat="false" ht="15" hidden="false" customHeight="false" outlineLevel="0" collapsed="false">
      <c r="A143" s="0" t="n">
        <v>143</v>
      </c>
      <c r="B143" s="0" t="n">
        <f aca="false">Raw_Data!AJ143</f>
        <v>4</v>
      </c>
      <c r="C143" s="0" t="n">
        <f aca="false">Raw_Data!AK143</f>
        <v>4</v>
      </c>
      <c r="D143" s="0" t="n">
        <f aca="false">Raw_Data!AL143</f>
        <v>4</v>
      </c>
      <c r="E143" s="0" t="n">
        <f aca="false">Raw_Data!AM143</f>
        <v>2</v>
      </c>
      <c r="F143" s="0" t="n">
        <f aca="false">Raw_Data!AN143</f>
        <v>3</v>
      </c>
      <c r="G143" s="0" t="n">
        <f aca="false">Raw_Data!AO143</f>
        <v>4</v>
      </c>
      <c r="H143" s="0" t="n">
        <f aca="false">SUM(B143:G143)</f>
        <v>21</v>
      </c>
      <c r="I143" s="0" t="n">
        <f aca="false">H143-B143</f>
        <v>17</v>
      </c>
      <c r="J143" s="0" t="n">
        <f aca="false">H143-C143</f>
        <v>17</v>
      </c>
      <c r="K143" s="0" t="n">
        <f aca="false">H143-D143</f>
        <v>17</v>
      </c>
      <c r="L143" s="0" t="n">
        <f aca="false">H143-E143</f>
        <v>19</v>
      </c>
      <c r="M143" s="0" t="n">
        <f aca="false">H143-F143</f>
        <v>18</v>
      </c>
      <c r="N143" s="0" t="n">
        <f aca="false">H143-G143</f>
        <v>17</v>
      </c>
      <c r="O143" s="0" t="n">
        <f aca="false">B143+D143+F143</f>
        <v>11</v>
      </c>
      <c r="P143" s="0" t="n">
        <f aca="false">C143+E143+G143</f>
        <v>10</v>
      </c>
    </row>
    <row r="144" customFormat="false" ht="15" hidden="false" customHeight="false" outlineLevel="0" collapsed="false">
      <c r="A144" s="0" t="n">
        <v>144</v>
      </c>
      <c r="B144" s="0" t="n">
        <f aca="false">Raw_Data!AJ144</f>
        <v>4</v>
      </c>
      <c r="C144" s="0" t="n">
        <f aca="false">Raw_Data!AK144</f>
        <v>3</v>
      </c>
      <c r="D144" s="0" t="n">
        <f aca="false">Raw_Data!AL144</f>
        <v>5</v>
      </c>
      <c r="E144" s="0" t="n">
        <f aca="false">Raw_Data!AM144</f>
        <v>3</v>
      </c>
      <c r="F144" s="0" t="n">
        <f aca="false">Raw_Data!AN144</f>
        <v>3</v>
      </c>
      <c r="G144" s="0" t="n">
        <f aca="false">Raw_Data!AO144</f>
        <v>3</v>
      </c>
      <c r="H144" s="0" t="n">
        <f aca="false">SUM(B144:G144)</f>
        <v>21</v>
      </c>
      <c r="I144" s="0" t="n">
        <f aca="false">H144-B144</f>
        <v>17</v>
      </c>
      <c r="J144" s="0" t="n">
        <f aca="false">H144-C144</f>
        <v>18</v>
      </c>
      <c r="K144" s="0" t="n">
        <f aca="false">H144-D144</f>
        <v>16</v>
      </c>
      <c r="L144" s="0" t="n">
        <f aca="false">H144-E144</f>
        <v>18</v>
      </c>
      <c r="M144" s="0" t="n">
        <f aca="false">H144-F144</f>
        <v>18</v>
      </c>
      <c r="N144" s="0" t="n">
        <f aca="false">H144-G144</f>
        <v>18</v>
      </c>
      <c r="O144" s="0" t="n">
        <f aca="false">B144+D144+F144</f>
        <v>12</v>
      </c>
      <c r="P144" s="0" t="n">
        <f aca="false">C144+E144+G144</f>
        <v>9</v>
      </c>
    </row>
    <row r="145" customFormat="false" ht="15" hidden="false" customHeight="false" outlineLevel="0" collapsed="false">
      <c r="A145" s="0" t="n">
        <v>145</v>
      </c>
      <c r="B145" s="0" t="n">
        <f aca="false">Raw_Data!AJ145</f>
        <v>4</v>
      </c>
      <c r="C145" s="0" t="n">
        <f aca="false">Raw_Data!AK145</f>
        <v>3</v>
      </c>
      <c r="D145" s="0" t="n">
        <f aca="false">Raw_Data!AL145</f>
        <v>4</v>
      </c>
      <c r="E145" s="0" t="n">
        <f aca="false">Raw_Data!AM145</f>
        <v>3</v>
      </c>
      <c r="F145" s="0" t="n">
        <f aca="false">Raw_Data!AN145</f>
        <v>3</v>
      </c>
      <c r="G145" s="0" t="n">
        <f aca="false">Raw_Data!AO145</f>
        <v>3</v>
      </c>
      <c r="H145" s="0" t="n">
        <f aca="false">SUM(B145:G145)</f>
        <v>20</v>
      </c>
      <c r="I145" s="0" t="n">
        <f aca="false">H145-B145</f>
        <v>16</v>
      </c>
      <c r="J145" s="0" t="n">
        <f aca="false">H145-C145</f>
        <v>17</v>
      </c>
      <c r="K145" s="0" t="n">
        <f aca="false">H145-D145</f>
        <v>16</v>
      </c>
      <c r="L145" s="0" t="n">
        <f aca="false">H145-E145</f>
        <v>17</v>
      </c>
      <c r="M145" s="0" t="n">
        <f aca="false">H145-F145</f>
        <v>17</v>
      </c>
      <c r="N145" s="0" t="n">
        <f aca="false">H145-G145</f>
        <v>17</v>
      </c>
      <c r="O145" s="0" t="n">
        <f aca="false">B145+D145+F145</f>
        <v>11</v>
      </c>
      <c r="P145" s="0" t="n">
        <f aca="false">C145+E145+G145</f>
        <v>9</v>
      </c>
    </row>
    <row r="146" customFormat="false" ht="15" hidden="false" customHeight="false" outlineLevel="0" collapsed="false">
      <c r="A146" s="0" t="n">
        <v>146</v>
      </c>
      <c r="B146" s="0" t="n">
        <f aca="false">Raw_Data!AJ146</f>
        <v>2</v>
      </c>
      <c r="C146" s="0" t="n">
        <f aca="false">Raw_Data!AK146</f>
        <v>3</v>
      </c>
      <c r="D146" s="0" t="n">
        <f aca="false">Raw_Data!AL146</f>
        <v>3</v>
      </c>
      <c r="E146" s="0" t="n">
        <f aca="false">Raw_Data!AM146</f>
        <v>3</v>
      </c>
      <c r="F146" s="0" t="n">
        <f aca="false">Raw_Data!AN146</f>
        <v>4</v>
      </c>
      <c r="G146" s="0" t="n">
        <f aca="false">Raw_Data!AO146</f>
        <v>2</v>
      </c>
      <c r="H146" s="0" t="n">
        <f aca="false">SUM(B146:G146)</f>
        <v>17</v>
      </c>
      <c r="I146" s="0" t="n">
        <f aca="false">H146-B146</f>
        <v>15</v>
      </c>
      <c r="J146" s="0" t="n">
        <f aca="false">H146-C146</f>
        <v>14</v>
      </c>
      <c r="K146" s="0" t="n">
        <f aca="false">H146-D146</f>
        <v>14</v>
      </c>
      <c r="L146" s="0" t="n">
        <f aca="false">H146-E146</f>
        <v>14</v>
      </c>
      <c r="M146" s="0" t="n">
        <f aca="false">H146-F146</f>
        <v>13</v>
      </c>
      <c r="N146" s="0" t="n">
        <f aca="false">H146-G146</f>
        <v>15</v>
      </c>
      <c r="O146" s="0" t="n">
        <f aca="false">B146+D146+F146</f>
        <v>9</v>
      </c>
      <c r="P146" s="0" t="n">
        <f aca="false">C146+E146+G146</f>
        <v>8</v>
      </c>
    </row>
    <row r="147" customFormat="false" ht="15" hidden="false" customHeight="false" outlineLevel="0" collapsed="false">
      <c r="A147" s="0" t="n">
        <v>147</v>
      </c>
      <c r="B147" s="0" t="n">
        <f aca="false">Raw_Data!AJ147</f>
        <v>4</v>
      </c>
      <c r="C147" s="0" t="n">
        <f aca="false">Raw_Data!AK147</f>
        <v>3</v>
      </c>
      <c r="D147" s="0" t="n">
        <f aca="false">Raw_Data!AL147</f>
        <v>3</v>
      </c>
      <c r="E147" s="0" t="n">
        <f aca="false">Raw_Data!AM147</f>
        <v>3</v>
      </c>
      <c r="F147" s="0" t="n">
        <f aca="false">Raw_Data!AN147</f>
        <v>3</v>
      </c>
      <c r="G147" s="0" t="n">
        <f aca="false">Raw_Data!AO147</f>
        <v>3</v>
      </c>
      <c r="H147" s="0" t="n">
        <f aca="false">SUM(B147:G147)</f>
        <v>19</v>
      </c>
      <c r="I147" s="0" t="n">
        <f aca="false">H147-B147</f>
        <v>15</v>
      </c>
      <c r="J147" s="0" t="n">
        <f aca="false">H147-C147</f>
        <v>16</v>
      </c>
      <c r="K147" s="0" t="n">
        <f aca="false">H147-D147</f>
        <v>16</v>
      </c>
      <c r="L147" s="0" t="n">
        <f aca="false">H147-E147</f>
        <v>16</v>
      </c>
      <c r="M147" s="0" t="n">
        <f aca="false">H147-F147</f>
        <v>16</v>
      </c>
      <c r="N147" s="0" t="n">
        <f aca="false">H147-G147</f>
        <v>16</v>
      </c>
      <c r="O147" s="0" t="n">
        <f aca="false">B147+D147+F147</f>
        <v>10</v>
      </c>
      <c r="P147" s="0" t="n">
        <f aca="false">C147+E147+G147</f>
        <v>9</v>
      </c>
    </row>
    <row r="148" customFormat="false" ht="15" hidden="false" customHeight="false" outlineLevel="0" collapsed="false">
      <c r="A148" s="0" t="n">
        <v>148</v>
      </c>
      <c r="B148" s="0" t="n">
        <f aca="false">Raw_Data!AJ148</f>
        <v>3</v>
      </c>
      <c r="C148" s="0" t="n">
        <f aca="false">Raw_Data!AK148</f>
        <v>2</v>
      </c>
      <c r="D148" s="0" t="n">
        <f aca="false">Raw_Data!AL148</f>
        <v>3</v>
      </c>
      <c r="E148" s="0" t="n">
        <f aca="false">Raw_Data!AM148</f>
        <v>3</v>
      </c>
      <c r="F148" s="0" t="n">
        <f aca="false">Raw_Data!AN148</f>
        <v>4</v>
      </c>
      <c r="G148" s="0" t="n">
        <f aca="false">Raw_Data!AO148</f>
        <v>3</v>
      </c>
      <c r="H148" s="0" t="n">
        <f aca="false">SUM(B148:G148)</f>
        <v>18</v>
      </c>
      <c r="I148" s="0" t="n">
        <f aca="false">H148-B148</f>
        <v>15</v>
      </c>
      <c r="J148" s="0" t="n">
        <f aca="false">H148-C148</f>
        <v>16</v>
      </c>
      <c r="K148" s="0" t="n">
        <f aca="false">H148-D148</f>
        <v>15</v>
      </c>
      <c r="L148" s="0" t="n">
        <f aca="false">H148-E148</f>
        <v>15</v>
      </c>
      <c r="M148" s="0" t="n">
        <f aca="false">H148-F148</f>
        <v>14</v>
      </c>
      <c r="N148" s="0" t="n">
        <f aca="false">H148-G148</f>
        <v>15</v>
      </c>
      <c r="O148" s="0" t="n">
        <f aca="false">B148+D148+F148</f>
        <v>10</v>
      </c>
      <c r="P148" s="0" t="n">
        <f aca="false">C148+E148+G148</f>
        <v>8</v>
      </c>
    </row>
    <row r="149" customFormat="false" ht="15" hidden="false" customHeight="false" outlineLevel="0" collapsed="false">
      <c r="A149" s="0" t="n">
        <v>149</v>
      </c>
      <c r="B149" s="0" t="n">
        <f aca="false">Raw_Data!AJ149</f>
        <v>2</v>
      </c>
      <c r="C149" s="0" t="n">
        <f aca="false">Raw_Data!AK149</f>
        <v>2</v>
      </c>
      <c r="D149" s="0" t="n">
        <f aca="false">Raw_Data!AL149</f>
        <v>4</v>
      </c>
      <c r="E149" s="0" t="n">
        <f aca="false">Raw_Data!AM149</f>
        <v>4</v>
      </c>
      <c r="F149" s="0" t="n">
        <f aca="false">Raw_Data!AN149</f>
        <v>2</v>
      </c>
      <c r="G149" s="0" t="n">
        <f aca="false">Raw_Data!AO149</f>
        <v>2</v>
      </c>
      <c r="H149" s="0" t="n">
        <f aca="false">SUM(B149:G149)</f>
        <v>16</v>
      </c>
      <c r="I149" s="0" t="n">
        <f aca="false">H149-B149</f>
        <v>14</v>
      </c>
      <c r="J149" s="0" t="n">
        <f aca="false">H149-C149</f>
        <v>14</v>
      </c>
      <c r="K149" s="0" t="n">
        <f aca="false">H149-D149</f>
        <v>12</v>
      </c>
      <c r="L149" s="0" t="n">
        <f aca="false">H149-E149</f>
        <v>12</v>
      </c>
      <c r="M149" s="0" t="n">
        <f aca="false">H149-F149</f>
        <v>14</v>
      </c>
      <c r="N149" s="0" t="n">
        <f aca="false">H149-G149</f>
        <v>14</v>
      </c>
      <c r="O149" s="0" t="n">
        <f aca="false">B149+D149+F149</f>
        <v>8</v>
      </c>
      <c r="P149" s="0" t="n">
        <f aca="false">C149+E149+G149</f>
        <v>8</v>
      </c>
    </row>
    <row r="150" customFormat="false" ht="15" hidden="false" customHeight="false" outlineLevel="0" collapsed="false">
      <c r="A150" s="0" t="n">
        <v>150</v>
      </c>
      <c r="B150" s="0" t="n">
        <f aca="false">Raw_Data!AJ150</f>
        <v>4</v>
      </c>
      <c r="C150" s="0" t="n">
        <f aca="false">Raw_Data!AK150</f>
        <v>3</v>
      </c>
      <c r="D150" s="0" t="n">
        <f aca="false">Raw_Data!AL150</f>
        <v>4</v>
      </c>
      <c r="E150" s="0" t="n">
        <f aca="false">Raw_Data!AM150</f>
        <v>4</v>
      </c>
      <c r="F150" s="0" t="n">
        <f aca="false">Raw_Data!AN150</f>
        <v>3</v>
      </c>
      <c r="G150" s="0" t="n">
        <f aca="false">Raw_Data!AO150</f>
        <v>3</v>
      </c>
      <c r="H150" s="0" t="n">
        <f aca="false">SUM(B150:G150)</f>
        <v>21</v>
      </c>
      <c r="I150" s="0" t="n">
        <f aca="false">H150-B150</f>
        <v>17</v>
      </c>
      <c r="J150" s="0" t="n">
        <f aca="false">H150-C150</f>
        <v>18</v>
      </c>
      <c r="K150" s="0" t="n">
        <f aca="false">H150-D150</f>
        <v>17</v>
      </c>
      <c r="L150" s="0" t="n">
        <f aca="false">H150-E150</f>
        <v>17</v>
      </c>
      <c r="M150" s="0" t="n">
        <f aca="false">H150-F150</f>
        <v>18</v>
      </c>
      <c r="N150" s="0" t="n">
        <f aca="false">H150-G150</f>
        <v>18</v>
      </c>
      <c r="O150" s="0" t="n">
        <f aca="false">B150+D150+F150</f>
        <v>11</v>
      </c>
      <c r="P150" s="0" t="n">
        <f aca="false">C150+E150+G150</f>
        <v>10</v>
      </c>
    </row>
    <row r="151" customFormat="false" ht="15" hidden="false" customHeight="false" outlineLevel="0" collapsed="false">
      <c r="A151" s="0" t="n">
        <v>151</v>
      </c>
      <c r="B151" s="0" t="n">
        <f aca="false">Raw_Data!AJ151</f>
        <v>4</v>
      </c>
      <c r="C151" s="0" t="n">
        <f aca="false">Raw_Data!AK151</f>
        <v>1</v>
      </c>
      <c r="D151" s="0" t="n">
        <f aca="false">Raw_Data!AL151</f>
        <v>4</v>
      </c>
      <c r="E151" s="0" t="n">
        <f aca="false">Raw_Data!AM151</f>
        <v>4</v>
      </c>
      <c r="F151" s="0" t="n">
        <f aca="false">Raw_Data!AN151</f>
        <v>4</v>
      </c>
      <c r="G151" s="0" t="n">
        <f aca="false">Raw_Data!AO151</f>
        <v>2</v>
      </c>
      <c r="H151" s="0" t="n">
        <f aca="false">SUM(B151:G151)</f>
        <v>19</v>
      </c>
      <c r="I151" s="0" t="n">
        <f aca="false">H151-B151</f>
        <v>15</v>
      </c>
      <c r="J151" s="0" t="n">
        <f aca="false">H151-C151</f>
        <v>18</v>
      </c>
      <c r="K151" s="0" t="n">
        <f aca="false">H151-D151</f>
        <v>15</v>
      </c>
      <c r="L151" s="0" t="n">
        <f aca="false">H151-E151</f>
        <v>15</v>
      </c>
      <c r="M151" s="0" t="n">
        <f aca="false">H151-F151</f>
        <v>15</v>
      </c>
      <c r="N151" s="0" t="n">
        <f aca="false">H151-G151</f>
        <v>17</v>
      </c>
      <c r="O151" s="0" t="n">
        <f aca="false">B151+D151+F151</f>
        <v>12</v>
      </c>
      <c r="P151" s="0" t="n">
        <f aca="false">C151+E151+G151</f>
        <v>7</v>
      </c>
    </row>
    <row r="152" customFormat="false" ht="15" hidden="false" customHeight="false" outlineLevel="0" collapsed="false">
      <c r="A152" s="0" t="n">
        <v>152</v>
      </c>
      <c r="B152" s="0" t="n">
        <f aca="false">Raw_Data!AJ152</f>
        <v>3</v>
      </c>
      <c r="C152" s="0" t="n">
        <f aca="false">Raw_Data!AK152</f>
        <v>3</v>
      </c>
      <c r="D152" s="0" t="n">
        <f aca="false">Raw_Data!AL152</f>
        <v>2</v>
      </c>
      <c r="E152" s="0" t="n">
        <f aca="false">Raw_Data!AM152</f>
        <v>4</v>
      </c>
      <c r="F152" s="0" t="n">
        <f aca="false">Raw_Data!AN152</f>
        <v>4</v>
      </c>
      <c r="G152" s="0" t="n">
        <f aca="false">Raw_Data!AO152</f>
        <v>4</v>
      </c>
      <c r="H152" s="0" t="n">
        <f aca="false">SUM(B152:G152)</f>
        <v>20</v>
      </c>
      <c r="I152" s="0" t="n">
        <f aca="false">H152-B152</f>
        <v>17</v>
      </c>
      <c r="J152" s="0" t="n">
        <f aca="false">H152-C152</f>
        <v>17</v>
      </c>
      <c r="K152" s="0" t="n">
        <f aca="false">H152-D152</f>
        <v>18</v>
      </c>
      <c r="L152" s="0" t="n">
        <f aca="false">H152-E152</f>
        <v>16</v>
      </c>
      <c r="M152" s="0" t="n">
        <f aca="false">H152-F152</f>
        <v>16</v>
      </c>
      <c r="N152" s="0" t="n">
        <f aca="false">H152-G152</f>
        <v>16</v>
      </c>
      <c r="O152" s="0" t="n">
        <f aca="false">B152+D152+F152</f>
        <v>9</v>
      </c>
      <c r="P152" s="0" t="n">
        <f aca="false">C152+E152+G152</f>
        <v>11</v>
      </c>
    </row>
    <row r="153" customFormat="false" ht="15" hidden="false" customHeight="false" outlineLevel="0" collapsed="false">
      <c r="A153" s="0" t="n">
        <v>153</v>
      </c>
      <c r="B153" s="0" t="n">
        <f aca="false">Raw_Data!AJ153</f>
        <v>4</v>
      </c>
      <c r="C153" s="0" t="n">
        <f aca="false">Raw_Data!AK153</f>
        <v>3</v>
      </c>
      <c r="D153" s="0" t="n">
        <f aca="false">Raw_Data!AL153</f>
        <v>4</v>
      </c>
      <c r="E153" s="0" t="n">
        <f aca="false">Raw_Data!AM153</f>
        <v>3</v>
      </c>
      <c r="F153" s="0" t="n">
        <f aca="false">Raw_Data!AN153</f>
        <v>3</v>
      </c>
      <c r="G153" s="0" t="n">
        <f aca="false">Raw_Data!AO153</f>
        <v>2</v>
      </c>
      <c r="H153" s="0" t="n">
        <f aca="false">SUM(B153:G153)</f>
        <v>19</v>
      </c>
      <c r="I153" s="0" t="n">
        <f aca="false">H153-B153</f>
        <v>15</v>
      </c>
      <c r="J153" s="0" t="n">
        <f aca="false">H153-C153</f>
        <v>16</v>
      </c>
      <c r="K153" s="0" t="n">
        <f aca="false">H153-D153</f>
        <v>15</v>
      </c>
      <c r="L153" s="0" t="n">
        <f aca="false">H153-E153</f>
        <v>16</v>
      </c>
      <c r="M153" s="0" t="n">
        <f aca="false">H153-F153</f>
        <v>16</v>
      </c>
      <c r="N153" s="0" t="n">
        <f aca="false">H153-G153</f>
        <v>17</v>
      </c>
      <c r="O153" s="0" t="n">
        <f aca="false">B153+D153+F153</f>
        <v>11</v>
      </c>
      <c r="P153" s="0" t="n">
        <f aca="false">C153+E153+G153</f>
        <v>8</v>
      </c>
    </row>
    <row r="154" customFormat="false" ht="15" hidden="false" customHeight="false" outlineLevel="0" collapsed="false">
      <c r="A154" s="0" t="n">
        <v>154</v>
      </c>
      <c r="B154" s="0" t="n">
        <f aca="false">Raw_Data!AJ154</f>
        <v>5</v>
      </c>
      <c r="C154" s="0" t="n">
        <f aca="false">Raw_Data!AK154</f>
        <v>2</v>
      </c>
      <c r="D154" s="0" t="n">
        <f aca="false">Raw_Data!AL154</f>
        <v>3</v>
      </c>
      <c r="E154" s="0" t="n">
        <f aca="false">Raw_Data!AM154</f>
        <v>3</v>
      </c>
      <c r="F154" s="0" t="n">
        <f aca="false">Raw_Data!AN154</f>
        <v>4</v>
      </c>
      <c r="G154" s="0" t="n">
        <f aca="false">Raw_Data!AO154</f>
        <v>3</v>
      </c>
      <c r="H154" s="0" t="n">
        <f aca="false">SUM(B154:G154)</f>
        <v>20</v>
      </c>
      <c r="I154" s="0" t="n">
        <f aca="false">H154-B154</f>
        <v>15</v>
      </c>
      <c r="J154" s="0" t="n">
        <f aca="false">H154-C154</f>
        <v>18</v>
      </c>
      <c r="K154" s="0" t="n">
        <f aca="false">H154-D154</f>
        <v>17</v>
      </c>
      <c r="L154" s="0" t="n">
        <f aca="false">H154-E154</f>
        <v>17</v>
      </c>
      <c r="M154" s="0" t="n">
        <f aca="false">H154-F154</f>
        <v>16</v>
      </c>
      <c r="N154" s="0" t="n">
        <f aca="false">H154-G154</f>
        <v>17</v>
      </c>
      <c r="O154" s="0" t="n">
        <f aca="false">B154+D154+F154</f>
        <v>12</v>
      </c>
      <c r="P154" s="0" t="n">
        <f aca="false">C154+E154+G154</f>
        <v>8</v>
      </c>
    </row>
    <row r="155" customFormat="false" ht="15" hidden="false" customHeight="false" outlineLevel="0" collapsed="false">
      <c r="A155" s="0" t="n">
        <v>155</v>
      </c>
      <c r="B155" s="0" t="n">
        <f aca="false">Raw_Data!AJ155</f>
        <v>4</v>
      </c>
      <c r="C155" s="0" t="n">
        <f aca="false">Raw_Data!AK155</f>
        <v>2</v>
      </c>
      <c r="D155" s="0" t="n">
        <f aca="false">Raw_Data!AL155</f>
        <v>5</v>
      </c>
      <c r="E155" s="0" t="n">
        <f aca="false">Raw_Data!AM155</f>
        <v>3</v>
      </c>
      <c r="F155" s="0" t="n">
        <f aca="false">Raw_Data!AN155</f>
        <v>1</v>
      </c>
      <c r="G155" s="0" t="n">
        <f aca="false">Raw_Data!AO155</f>
        <v>2</v>
      </c>
      <c r="H155" s="0" t="n">
        <f aca="false">SUM(B155:G155)</f>
        <v>17</v>
      </c>
      <c r="I155" s="0" t="n">
        <f aca="false">H155-B155</f>
        <v>13</v>
      </c>
      <c r="J155" s="0" t="n">
        <f aca="false">H155-C155</f>
        <v>15</v>
      </c>
      <c r="K155" s="0" t="n">
        <f aca="false">H155-D155</f>
        <v>12</v>
      </c>
      <c r="L155" s="0" t="n">
        <f aca="false">H155-E155</f>
        <v>14</v>
      </c>
      <c r="M155" s="0" t="n">
        <f aca="false">H155-F155</f>
        <v>16</v>
      </c>
      <c r="N155" s="0" t="n">
        <f aca="false">H155-G155</f>
        <v>15</v>
      </c>
      <c r="O155" s="0" t="n">
        <f aca="false">B155+D155+F155</f>
        <v>10</v>
      </c>
      <c r="P155" s="0" t="n">
        <f aca="false">C155+E155+G155</f>
        <v>7</v>
      </c>
    </row>
    <row r="156" customFormat="false" ht="15" hidden="false" customHeight="false" outlineLevel="0" collapsed="false">
      <c r="A156" s="0" t="n">
        <v>156</v>
      </c>
      <c r="B156" s="0" t="n">
        <f aca="false">Raw_Data!AJ156</f>
        <v>3</v>
      </c>
      <c r="C156" s="0" t="n">
        <f aca="false">Raw_Data!AK156</f>
        <v>3</v>
      </c>
      <c r="D156" s="0" t="n">
        <f aca="false">Raw_Data!AL156</f>
        <v>3</v>
      </c>
      <c r="E156" s="0" t="n">
        <f aca="false">Raw_Data!AM156</f>
        <v>2</v>
      </c>
      <c r="F156" s="0" t="n">
        <f aca="false">Raw_Data!AN156</f>
        <v>3</v>
      </c>
      <c r="G156" s="0" t="n">
        <f aca="false">Raw_Data!AO156</f>
        <v>4</v>
      </c>
      <c r="H156" s="0" t="n">
        <f aca="false">SUM(B156:G156)</f>
        <v>18</v>
      </c>
      <c r="I156" s="0" t="n">
        <f aca="false">H156-B156</f>
        <v>15</v>
      </c>
      <c r="J156" s="0" t="n">
        <f aca="false">H156-C156</f>
        <v>15</v>
      </c>
      <c r="K156" s="0" t="n">
        <f aca="false">H156-D156</f>
        <v>15</v>
      </c>
      <c r="L156" s="0" t="n">
        <f aca="false">H156-E156</f>
        <v>16</v>
      </c>
      <c r="M156" s="0" t="n">
        <f aca="false">H156-F156</f>
        <v>15</v>
      </c>
      <c r="N156" s="0" t="n">
        <f aca="false">H156-G156</f>
        <v>14</v>
      </c>
      <c r="O156" s="0" t="n">
        <f aca="false">B156+D156+F156</f>
        <v>9</v>
      </c>
      <c r="P156" s="0" t="n">
        <f aca="false">C156+E156+G156</f>
        <v>9</v>
      </c>
    </row>
    <row r="157" customFormat="false" ht="15" hidden="false" customHeight="false" outlineLevel="0" collapsed="false">
      <c r="A157" s="0" t="n">
        <v>157</v>
      </c>
      <c r="B157" s="0" t="n">
        <f aca="false">Raw_Data!AJ157</f>
        <v>5</v>
      </c>
      <c r="C157" s="0" t="n">
        <f aca="false">Raw_Data!AK157</f>
        <v>2</v>
      </c>
      <c r="D157" s="0" t="n">
        <f aca="false">Raw_Data!AL157</f>
        <v>4</v>
      </c>
      <c r="E157" s="0" t="n">
        <f aca="false">Raw_Data!AM157</f>
        <v>4</v>
      </c>
      <c r="F157" s="0" t="n">
        <f aca="false">Raw_Data!AN157</f>
        <v>5</v>
      </c>
      <c r="G157" s="0" t="n">
        <f aca="false">Raw_Data!AO157</f>
        <v>4</v>
      </c>
      <c r="H157" s="0" t="n">
        <f aca="false">SUM(B157:G157)</f>
        <v>24</v>
      </c>
      <c r="I157" s="0" t="n">
        <f aca="false">H157-B157</f>
        <v>19</v>
      </c>
      <c r="J157" s="0" t="n">
        <f aca="false">H157-C157</f>
        <v>22</v>
      </c>
      <c r="K157" s="0" t="n">
        <f aca="false">H157-D157</f>
        <v>20</v>
      </c>
      <c r="L157" s="0" t="n">
        <f aca="false">H157-E157</f>
        <v>20</v>
      </c>
      <c r="M157" s="0" t="n">
        <f aca="false">H157-F157</f>
        <v>19</v>
      </c>
      <c r="N157" s="0" t="n">
        <f aca="false">H157-G157</f>
        <v>20</v>
      </c>
      <c r="O157" s="0" t="n">
        <f aca="false">B157+D157+F157</f>
        <v>14</v>
      </c>
      <c r="P157" s="0" t="n">
        <f aca="false">C157+E157+G157</f>
        <v>10</v>
      </c>
    </row>
    <row r="158" customFormat="false" ht="15" hidden="false" customHeight="false" outlineLevel="0" collapsed="false">
      <c r="A158" s="0" t="n">
        <v>158</v>
      </c>
      <c r="B158" s="0" t="n">
        <f aca="false">Raw_Data!AJ158</f>
        <v>3</v>
      </c>
      <c r="C158" s="0" t="n">
        <f aca="false">Raw_Data!AK158</f>
        <v>3</v>
      </c>
      <c r="D158" s="0" t="n">
        <f aca="false">Raw_Data!AL158</f>
        <v>4</v>
      </c>
      <c r="E158" s="0" t="n">
        <f aca="false">Raw_Data!AM158</f>
        <v>3</v>
      </c>
      <c r="F158" s="0" t="n">
        <f aca="false">Raw_Data!AN158</f>
        <v>3</v>
      </c>
      <c r="G158" s="0" t="n">
        <f aca="false">Raw_Data!AO158</f>
        <v>3</v>
      </c>
      <c r="H158" s="0" t="n">
        <f aca="false">SUM(B158:G158)</f>
        <v>19</v>
      </c>
      <c r="I158" s="0" t="n">
        <f aca="false">H158-B158</f>
        <v>16</v>
      </c>
      <c r="J158" s="0" t="n">
        <f aca="false">H158-C158</f>
        <v>16</v>
      </c>
      <c r="K158" s="0" t="n">
        <f aca="false">H158-D158</f>
        <v>15</v>
      </c>
      <c r="L158" s="0" t="n">
        <f aca="false">H158-E158</f>
        <v>16</v>
      </c>
      <c r="M158" s="0" t="n">
        <f aca="false">H158-F158</f>
        <v>16</v>
      </c>
      <c r="N158" s="0" t="n">
        <f aca="false">H158-G158</f>
        <v>16</v>
      </c>
      <c r="O158" s="0" t="n">
        <f aca="false">B158+D158+F158</f>
        <v>10</v>
      </c>
      <c r="P158" s="0" t="n">
        <f aca="false">C158+E158+G158</f>
        <v>9</v>
      </c>
    </row>
    <row r="159" customFormat="false" ht="15" hidden="false" customHeight="false" outlineLevel="0" collapsed="false">
      <c r="A159" s="0" t="n">
        <v>159</v>
      </c>
      <c r="B159" s="0" t="n">
        <f aca="false">Raw_Data!AJ159</f>
        <v>4</v>
      </c>
      <c r="C159" s="0" t="n">
        <f aca="false">Raw_Data!AK159</f>
        <v>4</v>
      </c>
      <c r="D159" s="0" t="n">
        <f aca="false">Raw_Data!AL159</f>
        <v>4</v>
      </c>
      <c r="E159" s="0" t="n">
        <f aca="false">Raw_Data!AM159</f>
        <v>2</v>
      </c>
      <c r="F159" s="0" t="n">
        <f aca="false">Raw_Data!AN159</f>
        <v>2</v>
      </c>
      <c r="G159" s="0" t="n">
        <f aca="false">Raw_Data!AO159</f>
        <v>4</v>
      </c>
      <c r="H159" s="0" t="n">
        <f aca="false">SUM(B159:G159)</f>
        <v>20</v>
      </c>
      <c r="I159" s="0" t="n">
        <f aca="false">H159-B159</f>
        <v>16</v>
      </c>
      <c r="J159" s="0" t="n">
        <f aca="false">H159-C159</f>
        <v>16</v>
      </c>
      <c r="K159" s="0" t="n">
        <f aca="false">H159-D159</f>
        <v>16</v>
      </c>
      <c r="L159" s="0" t="n">
        <f aca="false">H159-E159</f>
        <v>18</v>
      </c>
      <c r="M159" s="0" t="n">
        <f aca="false">H159-F159</f>
        <v>18</v>
      </c>
      <c r="N159" s="0" t="n">
        <f aca="false">H159-G159</f>
        <v>16</v>
      </c>
      <c r="O159" s="0" t="n">
        <f aca="false">B159+D159+F159</f>
        <v>10</v>
      </c>
      <c r="P159" s="0" t="n">
        <f aca="false">C159+E159+G159</f>
        <v>10</v>
      </c>
    </row>
    <row r="160" customFormat="false" ht="15" hidden="false" customHeight="false" outlineLevel="0" collapsed="false">
      <c r="A160" s="0" t="n">
        <v>160</v>
      </c>
      <c r="B160" s="0" t="n">
        <f aca="false">Raw_Data!AJ160</f>
        <v>2</v>
      </c>
      <c r="C160" s="0" t="n">
        <f aca="false">Raw_Data!AK160</f>
        <v>2</v>
      </c>
      <c r="D160" s="0" t="n">
        <f aca="false">Raw_Data!AL160</f>
        <v>4</v>
      </c>
      <c r="E160" s="0" t="n">
        <f aca="false">Raw_Data!AM160</f>
        <v>2</v>
      </c>
      <c r="F160" s="0" t="n">
        <f aca="false">Raw_Data!AN160</f>
        <v>2</v>
      </c>
      <c r="G160" s="0" t="n">
        <f aca="false">Raw_Data!AO160</f>
        <v>2</v>
      </c>
      <c r="H160" s="0" t="n">
        <f aca="false">SUM(B160:G160)</f>
        <v>14</v>
      </c>
      <c r="I160" s="0" t="n">
        <f aca="false">H160-B160</f>
        <v>12</v>
      </c>
      <c r="J160" s="0" t="n">
        <f aca="false">H160-C160</f>
        <v>12</v>
      </c>
      <c r="K160" s="0" t="n">
        <f aca="false">H160-D160</f>
        <v>10</v>
      </c>
      <c r="L160" s="0" t="n">
        <f aca="false">H160-E160</f>
        <v>12</v>
      </c>
      <c r="M160" s="0" t="n">
        <f aca="false">H160-F160</f>
        <v>12</v>
      </c>
      <c r="N160" s="0" t="n">
        <f aca="false">H160-G160</f>
        <v>12</v>
      </c>
      <c r="O160" s="0" t="n">
        <f aca="false">B160+D160+F160</f>
        <v>8</v>
      </c>
      <c r="P160" s="0" t="n">
        <f aca="false">C160+E160+G160</f>
        <v>6</v>
      </c>
    </row>
    <row r="161" customFormat="false" ht="15" hidden="false" customHeight="false" outlineLevel="0" collapsed="false">
      <c r="A161" s="0" t="n">
        <v>161</v>
      </c>
      <c r="B161" s="0" t="n">
        <f aca="false">Raw_Data!AJ161</f>
        <v>4</v>
      </c>
      <c r="C161" s="0" t="n">
        <f aca="false">Raw_Data!AK161</f>
        <v>3</v>
      </c>
      <c r="D161" s="0" t="n">
        <f aca="false">Raw_Data!AL161</f>
        <v>4</v>
      </c>
      <c r="E161" s="0" t="n">
        <f aca="false">Raw_Data!AM161</f>
        <v>3</v>
      </c>
      <c r="F161" s="0" t="n">
        <f aca="false">Raw_Data!AN161</f>
        <v>4</v>
      </c>
      <c r="G161" s="0" t="n">
        <f aca="false">Raw_Data!AO161</f>
        <v>3</v>
      </c>
      <c r="H161" s="0" t="n">
        <f aca="false">SUM(B161:G161)</f>
        <v>21</v>
      </c>
      <c r="I161" s="0" t="n">
        <f aca="false">H161-B161</f>
        <v>17</v>
      </c>
      <c r="J161" s="0" t="n">
        <f aca="false">H161-C161</f>
        <v>18</v>
      </c>
      <c r="K161" s="0" t="n">
        <f aca="false">H161-D161</f>
        <v>17</v>
      </c>
      <c r="L161" s="0" t="n">
        <f aca="false">H161-E161</f>
        <v>18</v>
      </c>
      <c r="M161" s="0" t="n">
        <f aca="false">H161-F161</f>
        <v>17</v>
      </c>
      <c r="N161" s="0" t="n">
        <f aca="false">H161-G161</f>
        <v>18</v>
      </c>
      <c r="O161" s="0" t="n">
        <f aca="false">B161+D161+F161</f>
        <v>12</v>
      </c>
      <c r="P161" s="0" t="n">
        <f aca="false">C161+E161+G161</f>
        <v>9</v>
      </c>
    </row>
    <row r="162" customFormat="false" ht="15" hidden="false" customHeight="false" outlineLevel="0" collapsed="false">
      <c r="A162" s="0" t="n">
        <v>162</v>
      </c>
      <c r="B162" s="0" t="n">
        <f aca="false">Raw_Data!AJ162</f>
        <v>2</v>
      </c>
      <c r="C162" s="0" t="n">
        <f aca="false">Raw_Data!AK162</f>
        <v>2</v>
      </c>
      <c r="D162" s="0" t="n">
        <f aca="false">Raw_Data!AL162</f>
        <v>4</v>
      </c>
      <c r="E162" s="0" t="n">
        <f aca="false">Raw_Data!AM162</f>
        <v>4</v>
      </c>
      <c r="F162" s="0" t="n">
        <f aca="false">Raw_Data!AN162</f>
        <v>2</v>
      </c>
      <c r="G162" s="0" t="n">
        <f aca="false">Raw_Data!AO162</f>
        <v>4</v>
      </c>
      <c r="H162" s="0" t="n">
        <f aca="false">SUM(B162:G162)</f>
        <v>18</v>
      </c>
      <c r="I162" s="0" t="n">
        <f aca="false">H162-B162</f>
        <v>16</v>
      </c>
      <c r="J162" s="0" t="n">
        <f aca="false">H162-C162</f>
        <v>16</v>
      </c>
      <c r="K162" s="0" t="n">
        <f aca="false">H162-D162</f>
        <v>14</v>
      </c>
      <c r="L162" s="0" t="n">
        <f aca="false">H162-E162</f>
        <v>14</v>
      </c>
      <c r="M162" s="0" t="n">
        <f aca="false">H162-F162</f>
        <v>16</v>
      </c>
      <c r="N162" s="0" t="n">
        <f aca="false">H162-G162</f>
        <v>14</v>
      </c>
      <c r="O162" s="0" t="n">
        <f aca="false">B162+D162+F162</f>
        <v>8</v>
      </c>
      <c r="P162" s="0" t="n">
        <f aca="false">C162+E162+G162</f>
        <v>10</v>
      </c>
    </row>
    <row r="163" customFormat="false" ht="15" hidden="false" customHeight="false" outlineLevel="0" collapsed="false">
      <c r="A163" s="0" t="n">
        <v>163</v>
      </c>
      <c r="B163" s="0" t="n">
        <f aca="false">Raw_Data!AJ163</f>
        <v>3</v>
      </c>
      <c r="C163" s="0" t="n">
        <f aca="false">Raw_Data!AK163</f>
        <v>2</v>
      </c>
      <c r="D163" s="0" t="n">
        <f aca="false">Raw_Data!AL163</f>
        <v>3</v>
      </c>
      <c r="E163" s="0" t="n">
        <f aca="false">Raw_Data!AM163</f>
        <v>3</v>
      </c>
      <c r="F163" s="0" t="n">
        <f aca="false">Raw_Data!AN163</f>
        <v>3</v>
      </c>
      <c r="G163" s="0" t="n">
        <f aca="false">Raw_Data!AO163</f>
        <v>3</v>
      </c>
      <c r="H163" s="0" t="n">
        <f aca="false">SUM(B163:G163)</f>
        <v>17</v>
      </c>
      <c r="I163" s="0" t="n">
        <f aca="false">H163-B163</f>
        <v>14</v>
      </c>
      <c r="J163" s="0" t="n">
        <f aca="false">H163-C163</f>
        <v>15</v>
      </c>
      <c r="K163" s="0" t="n">
        <f aca="false">H163-D163</f>
        <v>14</v>
      </c>
      <c r="L163" s="0" t="n">
        <f aca="false">H163-E163</f>
        <v>14</v>
      </c>
      <c r="M163" s="0" t="n">
        <f aca="false">H163-F163</f>
        <v>14</v>
      </c>
      <c r="N163" s="0" t="n">
        <f aca="false">H163-G163</f>
        <v>14</v>
      </c>
      <c r="O163" s="0" t="n">
        <f aca="false">B163+D163+F163</f>
        <v>9</v>
      </c>
      <c r="P163" s="0" t="n">
        <f aca="false">C163+E163+G163</f>
        <v>8</v>
      </c>
    </row>
    <row r="164" customFormat="false" ht="15" hidden="false" customHeight="false" outlineLevel="0" collapsed="false">
      <c r="A164" s="0" t="n">
        <v>164</v>
      </c>
      <c r="B164" s="0" t="n">
        <f aca="false">Raw_Data!AJ164</f>
        <v>3</v>
      </c>
      <c r="C164" s="0" t="n">
        <f aca="false">Raw_Data!AK164</f>
        <v>3</v>
      </c>
      <c r="D164" s="0" t="n">
        <f aca="false">Raw_Data!AL164</f>
        <v>4</v>
      </c>
      <c r="E164" s="0" t="n">
        <f aca="false">Raw_Data!AM164</f>
        <v>2</v>
      </c>
      <c r="F164" s="0" t="n">
        <f aca="false">Raw_Data!AN164</f>
        <v>3</v>
      </c>
      <c r="G164" s="0" t="n">
        <f aca="false">Raw_Data!AO164</f>
        <v>4</v>
      </c>
      <c r="H164" s="0" t="n">
        <f aca="false">SUM(B164:G164)</f>
        <v>19</v>
      </c>
      <c r="I164" s="0" t="n">
        <f aca="false">H164-B164</f>
        <v>16</v>
      </c>
      <c r="J164" s="0" t="n">
        <f aca="false">H164-C164</f>
        <v>16</v>
      </c>
      <c r="K164" s="0" t="n">
        <f aca="false">H164-D164</f>
        <v>15</v>
      </c>
      <c r="L164" s="0" t="n">
        <f aca="false">H164-E164</f>
        <v>17</v>
      </c>
      <c r="M164" s="0" t="n">
        <f aca="false">H164-F164</f>
        <v>16</v>
      </c>
      <c r="N164" s="0" t="n">
        <f aca="false">H164-G164</f>
        <v>15</v>
      </c>
      <c r="O164" s="0" t="n">
        <f aca="false">B164+D164+F164</f>
        <v>10</v>
      </c>
      <c r="P164" s="0" t="n">
        <f aca="false">C164+E164+G164</f>
        <v>9</v>
      </c>
    </row>
    <row r="165" customFormat="false" ht="15" hidden="false" customHeight="false" outlineLevel="0" collapsed="false">
      <c r="A165" s="0" t="n">
        <v>165</v>
      </c>
      <c r="B165" s="0" t="n">
        <f aca="false">Raw_Data!AJ165</f>
        <v>4</v>
      </c>
      <c r="C165" s="0" t="n">
        <f aca="false">Raw_Data!AK165</f>
        <v>4</v>
      </c>
      <c r="D165" s="0" t="n">
        <f aca="false">Raw_Data!AL165</f>
        <v>4</v>
      </c>
      <c r="E165" s="0" t="n">
        <f aca="false">Raw_Data!AM165</f>
        <v>3</v>
      </c>
      <c r="F165" s="0" t="n">
        <f aca="false">Raw_Data!AN165</f>
        <v>5</v>
      </c>
      <c r="G165" s="0" t="n">
        <f aca="false">Raw_Data!AO165</f>
        <v>5</v>
      </c>
      <c r="H165" s="0" t="n">
        <f aca="false">SUM(B165:G165)</f>
        <v>25</v>
      </c>
      <c r="I165" s="0" t="n">
        <f aca="false">H165-B165</f>
        <v>21</v>
      </c>
      <c r="J165" s="0" t="n">
        <f aca="false">H165-C165</f>
        <v>21</v>
      </c>
      <c r="K165" s="0" t="n">
        <f aca="false">H165-D165</f>
        <v>21</v>
      </c>
      <c r="L165" s="0" t="n">
        <f aca="false">H165-E165</f>
        <v>22</v>
      </c>
      <c r="M165" s="0" t="n">
        <f aca="false">H165-F165</f>
        <v>20</v>
      </c>
      <c r="N165" s="0" t="n">
        <f aca="false">H165-G165</f>
        <v>20</v>
      </c>
      <c r="O165" s="0" t="n">
        <f aca="false">B165+D165+F165</f>
        <v>13</v>
      </c>
      <c r="P165" s="0" t="n">
        <f aca="false">C165+E165+G165</f>
        <v>12</v>
      </c>
    </row>
    <row r="166" customFormat="false" ht="15" hidden="false" customHeight="false" outlineLevel="0" collapsed="false">
      <c r="A166" s="0" t="n">
        <v>166</v>
      </c>
      <c r="B166" s="0" t="n">
        <f aca="false">Raw_Data!AJ166</f>
        <v>4</v>
      </c>
      <c r="C166" s="0" t="n">
        <f aca="false">Raw_Data!AK166</f>
        <v>2</v>
      </c>
      <c r="D166" s="0" t="n">
        <f aca="false">Raw_Data!AL166</f>
        <v>5</v>
      </c>
      <c r="E166" s="0" t="n">
        <f aca="false">Raw_Data!AM166</f>
        <v>3</v>
      </c>
      <c r="F166" s="0" t="n">
        <f aca="false">Raw_Data!AN166</f>
        <v>4</v>
      </c>
      <c r="G166" s="0" t="n">
        <f aca="false">Raw_Data!AO166</f>
        <v>3</v>
      </c>
      <c r="H166" s="0" t="n">
        <f aca="false">SUM(B166:G166)</f>
        <v>21</v>
      </c>
      <c r="I166" s="0" t="n">
        <f aca="false">H166-B166</f>
        <v>17</v>
      </c>
      <c r="J166" s="0" t="n">
        <f aca="false">H166-C166</f>
        <v>19</v>
      </c>
      <c r="K166" s="0" t="n">
        <f aca="false">H166-D166</f>
        <v>16</v>
      </c>
      <c r="L166" s="0" t="n">
        <f aca="false">H166-E166</f>
        <v>18</v>
      </c>
      <c r="M166" s="0" t="n">
        <f aca="false">H166-F166</f>
        <v>17</v>
      </c>
      <c r="N166" s="0" t="n">
        <f aca="false">H166-G166</f>
        <v>18</v>
      </c>
      <c r="O166" s="0" t="n">
        <f aca="false">B166+D166+F166</f>
        <v>13</v>
      </c>
      <c r="P166" s="0" t="n">
        <f aca="false">C166+E166+G166</f>
        <v>8</v>
      </c>
    </row>
    <row r="167" customFormat="false" ht="15" hidden="false" customHeight="false" outlineLevel="0" collapsed="false">
      <c r="A167" s="0" t="n">
        <v>167</v>
      </c>
      <c r="B167" s="0" t="n">
        <f aca="false">Raw_Data!AJ167</f>
        <v>4</v>
      </c>
      <c r="C167" s="0" t="n">
        <f aca="false">Raw_Data!AK167</f>
        <v>4</v>
      </c>
      <c r="D167" s="0" t="n">
        <f aca="false">Raw_Data!AL167</f>
        <v>2</v>
      </c>
      <c r="E167" s="0" t="n">
        <f aca="false">Raw_Data!AM167</f>
        <v>3</v>
      </c>
      <c r="F167" s="0" t="n">
        <f aca="false">Raw_Data!AN167</f>
        <v>2</v>
      </c>
      <c r="G167" s="0" t="n">
        <f aca="false">Raw_Data!AO167</f>
        <v>2</v>
      </c>
      <c r="H167" s="0" t="n">
        <f aca="false">SUM(B167:G167)</f>
        <v>17</v>
      </c>
      <c r="I167" s="0" t="n">
        <f aca="false">H167-B167</f>
        <v>13</v>
      </c>
      <c r="J167" s="0" t="n">
        <f aca="false">H167-C167</f>
        <v>13</v>
      </c>
      <c r="K167" s="0" t="n">
        <f aca="false">H167-D167</f>
        <v>15</v>
      </c>
      <c r="L167" s="0" t="n">
        <f aca="false">H167-E167</f>
        <v>14</v>
      </c>
      <c r="M167" s="0" t="n">
        <f aca="false">H167-F167</f>
        <v>15</v>
      </c>
      <c r="N167" s="0" t="n">
        <f aca="false">H167-G167</f>
        <v>15</v>
      </c>
      <c r="O167" s="0" t="n">
        <f aca="false">B167+D167+F167</f>
        <v>8</v>
      </c>
      <c r="P167" s="0" t="n">
        <f aca="false">C167+E167+G167</f>
        <v>9</v>
      </c>
    </row>
    <row r="168" customFormat="false" ht="15" hidden="false" customHeight="false" outlineLevel="0" collapsed="false">
      <c r="A168" s="0" t="n">
        <v>168</v>
      </c>
      <c r="B168" s="0" t="n">
        <f aca="false">Raw_Data!AJ168</f>
        <v>4</v>
      </c>
      <c r="C168" s="0" t="n">
        <f aca="false">Raw_Data!AK168</f>
        <v>4</v>
      </c>
      <c r="D168" s="0" t="n">
        <f aca="false">Raw_Data!AL168</f>
        <v>4</v>
      </c>
      <c r="E168" s="0" t="n">
        <f aca="false">Raw_Data!AM168</f>
        <v>3</v>
      </c>
      <c r="F168" s="0" t="n">
        <f aca="false">Raw_Data!AN168</f>
        <v>4</v>
      </c>
      <c r="G168" s="0" t="n">
        <f aca="false">Raw_Data!AO168</f>
        <v>4</v>
      </c>
      <c r="H168" s="0" t="n">
        <f aca="false">SUM(B168:G168)</f>
        <v>23</v>
      </c>
      <c r="I168" s="0" t="n">
        <f aca="false">H168-B168</f>
        <v>19</v>
      </c>
      <c r="J168" s="0" t="n">
        <f aca="false">H168-C168</f>
        <v>19</v>
      </c>
      <c r="K168" s="0" t="n">
        <f aca="false">H168-D168</f>
        <v>19</v>
      </c>
      <c r="L168" s="0" t="n">
        <f aca="false">H168-E168</f>
        <v>20</v>
      </c>
      <c r="M168" s="0" t="n">
        <f aca="false">H168-F168</f>
        <v>19</v>
      </c>
      <c r="N168" s="0" t="n">
        <f aca="false">H168-G168</f>
        <v>19</v>
      </c>
      <c r="O168" s="0" t="n">
        <f aca="false">B168+D168+F168</f>
        <v>12</v>
      </c>
      <c r="P168" s="0" t="n">
        <f aca="false">C168+E168+G168</f>
        <v>11</v>
      </c>
    </row>
    <row r="169" customFormat="false" ht="15" hidden="false" customHeight="false" outlineLevel="0" collapsed="false">
      <c r="A169" s="0" t="n">
        <v>169</v>
      </c>
      <c r="B169" s="0" t="n">
        <f aca="false">Raw_Data!AJ169</f>
        <v>5</v>
      </c>
      <c r="C169" s="0" t="n">
        <f aca="false">Raw_Data!AK169</f>
        <v>4</v>
      </c>
      <c r="D169" s="0" t="n">
        <f aca="false">Raw_Data!AL169</f>
        <v>5</v>
      </c>
      <c r="E169" s="0" t="n">
        <f aca="false">Raw_Data!AM169</f>
        <v>5</v>
      </c>
      <c r="F169" s="0" t="n">
        <f aca="false">Raw_Data!AN169</f>
        <v>2</v>
      </c>
      <c r="G169" s="0" t="n">
        <f aca="false">Raw_Data!AO169</f>
        <v>4</v>
      </c>
      <c r="H169" s="0" t="n">
        <f aca="false">SUM(B169:G169)</f>
        <v>25</v>
      </c>
      <c r="I169" s="0" t="n">
        <f aca="false">H169-B169</f>
        <v>20</v>
      </c>
      <c r="J169" s="0" t="n">
        <f aca="false">H169-C169</f>
        <v>21</v>
      </c>
      <c r="K169" s="0" t="n">
        <f aca="false">H169-D169</f>
        <v>20</v>
      </c>
      <c r="L169" s="0" t="n">
        <f aca="false">H169-E169</f>
        <v>20</v>
      </c>
      <c r="M169" s="0" t="n">
        <f aca="false">H169-F169</f>
        <v>23</v>
      </c>
      <c r="N169" s="0" t="n">
        <f aca="false">H169-G169</f>
        <v>21</v>
      </c>
      <c r="O169" s="0" t="n">
        <f aca="false">B169+D169+F169</f>
        <v>12</v>
      </c>
      <c r="P169" s="0" t="n">
        <f aca="false">C169+E169+G169</f>
        <v>13</v>
      </c>
    </row>
    <row r="170" customFormat="false" ht="15" hidden="false" customHeight="false" outlineLevel="0" collapsed="false">
      <c r="A170" s="0" t="n">
        <v>170</v>
      </c>
      <c r="B170" s="0" t="n">
        <f aca="false">Raw_Data!AJ170</f>
        <v>4</v>
      </c>
      <c r="C170" s="0" t="n">
        <f aca="false">Raw_Data!AK170</f>
        <v>4</v>
      </c>
      <c r="D170" s="0" t="n">
        <f aca="false">Raw_Data!AL170</f>
        <v>4</v>
      </c>
      <c r="E170" s="0" t="n">
        <f aca="false">Raw_Data!AM170</f>
        <v>2</v>
      </c>
      <c r="F170" s="0" t="n">
        <f aca="false">Raw_Data!AN170</f>
        <v>3</v>
      </c>
      <c r="G170" s="0" t="n">
        <f aca="false">Raw_Data!AO170</f>
        <v>2</v>
      </c>
      <c r="H170" s="0" t="n">
        <f aca="false">SUM(B170:G170)</f>
        <v>19</v>
      </c>
      <c r="I170" s="0" t="n">
        <f aca="false">H170-B170</f>
        <v>15</v>
      </c>
      <c r="J170" s="0" t="n">
        <f aca="false">H170-C170</f>
        <v>15</v>
      </c>
      <c r="K170" s="0" t="n">
        <f aca="false">H170-D170</f>
        <v>15</v>
      </c>
      <c r="L170" s="0" t="n">
        <f aca="false">H170-E170</f>
        <v>17</v>
      </c>
      <c r="M170" s="0" t="n">
        <f aca="false">H170-F170</f>
        <v>16</v>
      </c>
      <c r="N170" s="0" t="n">
        <f aca="false">H170-G170</f>
        <v>17</v>
      </c>
      <c r="O170" s="0" t="n">
        <f aca="false">B170+D170+F170</f>
        <v>11</v>
      </c>
      <c r="P170" s="0" t="n">
        <f aca="false">C170+E170+G170</f>
        <v>8</v>
      </c>
    </row>
    <row r="171" customFormat="false" ht="15" hidden="false" customHeight="false" outlineLevel="0" collapsed="false">
      <c r="A171" s="0" t="n">
        <v>171</v>
      </c>
      <c r="B171" s="0" t="n">
        <f aca="false">Raw_Data!AJ171</f>
        <v>4</v>
      </c>
      <c r="C171" s="0" t="n">
        <f aca="false">Raw_Data!AK171</f>
        <v>4</v>
      </c>
      <c r="D171" s="0" t="n">
        <f aca="false">Raw_Data!AL171</f>
        <v>5</v>
      </c>
      <c r="E171" s="0" t="n">
        <f aca="false">Raw_Data!AM171</f>
        <v>3</v>
      </c>
      <c r="F171" s="0" t="n">
        <f aca="false">Raw_Data!AN171</f>
        <v>2</v>
      </c>
      <c r="G171" s="0" t="n">
        <f aca="false">Raw_Data!AO171</f>
        <v>3</v>
      </c>
      <c r="H171" s="0" t="n">
        <f aca="false">SUM(B171:G171)</f>
        <v>21</v>
      </c>
      <c r="I171" s="0" t="n">
        <f aca="false">H171-B171</f>
        <v>17</v>
      </c>
      <c r="J171" s="0" t="n">
        <f aca="false">H171-C171</f>
        <v>17</v>
      </c>
      <c r="K171" s="0" t="n">
        <f aca="false">H171-D171</f>
        <v>16</v>
      </c>
      <c r="L171" s="0" t="n">
        <f aca="false">H171-E171</f>
        <v>18</v>
      </c>
      <c r="M171" s="0" t="n">
        <f aca="false">H171-F171</f>
        <v>19</v>
      </c>
      <c r="N171" s="0" t="n">
        <f aca="false">H171-G171</f>
        <v>18</v>
      </c>
      <c r="O171" s="0" t="n">
        <f aca="false">B171+D171+F171</f>
        <v>11</v>
      </c>
      <c r="P171" s="0" t="n">
        <f aca="false">C171+E171+G171</f>
        <v>10</v>
      </c>
    </row>
    <row r="172" customFormat="false" ht="15" hidden="false" customHeight="false" outlineLevel="0" collapsed="false">
      <c r="A172" s="0" t="n">
        <v>172</v>
      </c>
      <c r="B172" s="0" t="n">
        <f aca="false">Raw_Data!AJ172</f>
        <v>5</v>
      </c>
      <c r="C172" s="0" t="n">
        <f aca="false">Raw_Data!AK172</f>
        <v>2</v>
      </c>
      <c r="D172" s="0" t="n">
        <f aca="false">Raw_Data!AL172</f>
        <v>4</v>
      </c>
      <c r="E172" s="0" t="n">
        <f aca="false">Raw_Data!AM172</f>
        <v>3</v>
      </c>
      <c r="F172" s="0" t="n">
        <f aca="false">Raw_Data!AN172</f>
        <v>3</v>
      </c>
      <c r="G172" s="0" t="n">
        <f aca="false">Raw_Data!AO172</f>
        <v>3</v>
      </c>
      <c r="H172" s="0" t="n">
        <f aca="false">SUM(B172:G172)</f>
        <v>20</v>
      </c>
      <c r="I172" s="0" t="n">
        <f aca="false">H172-B172</f>
        <v>15</v>
      </c>
      <c r="J172" s="0" t="n">
        <f aca="false">H172-C172</f>
        <v>18</v>
      </c>
      <c r="K172" s="0" t="n">
        <f aca="false">H172-D172</f>
        <v>16</v>
      </c>
      <c r="L172" s="0" t="n">
        <f aca="false">H172-E172</f>
        <v>17</v>
      </c>
      <c r="M172" s="0" t="n">
        <f aca="false">H172-F172</f>
        <v>17</v>
      </c>
      <c r="N172" s="0" t="n">
        <f aca="false">H172-G172</f>
        <v>17</v>
      </c>
      <c r="O172" s="0" t="n">
        <f aca="false">B172+D172+F172</f>
        <v>12</v>
      </c>
      <c r="P172" s="0" t="n">
        <f aca="false">C172+E172+G172</f>
        <v>8</v>
      </c>
    </row>
    <row r="173" customFormat="false" ht="15" hidden="false" customHeight="false" outlineLevel="0" collapsed="false">
      <c r="A173" s="0" t="n">
        <v>173</v>
      </c>
      <c r="B173" s="0" t="n">
        <f aca="false">Raw_Data!AJ173</f>
        <v>3</v>
      </c>
      <c r="C173" s="0" t="n">
        <f aca="false">Raw_Data!AK173</f>
        <v>2</v>
      </c>
      <c r="D173" s="0" t="n">
        <f aca="false">Raw_Data!AL173</f>
        <v>4</v>
      </c>
      <c r="E173" s="0" t="n">
        <f aca="false">Raw_Data!AM173</f>
        <v>3</v>
      </c>
      <c r="F173" s="0" t="n">
        <f aca="false">Raw_Data!AN173</f>
        <v>3</v>
      </c>
      <c r="G173" s="0" t="n">
        <f aca="false">Raw_Data!AO173</f>
        <v>4</v>
      </c>
      <c r="H173" s="0" t="n">
        <f aca="false">SUM(B173:G173)</f>
        <v>19</v>
      </c>
      <c r="I173" s="0" t="n">
        <f aca="false">H173-B173</f>
        <v>16</v>
      </c>
      <c r="J173" s="0" t="n">
        <f aca="false">H173-C173</f>
        <v>17</v>
      </c>
      <c r="K173" s="0" t="n">
        <f aca="false">H173-D173</f>
        <v>15</v>
      </c>
      <c r="L173" s="0" t="n">
        <f aca="false">H173-E173</f>
        <v>16</v>
      </c>
      <c r="M173" s="0" t="n">
        <f aca="false">H173-F173</f>
        <v>16</v>
      </c>
      <c r="N173" s="0" t="n">
        <f aca="false">H173-G173</f>
        <v>15</v>
      </c>
      <c r="O173" s="0" t="n">
        <f aca="false">B173+D173+F173</f>
        <v>10</v>
      </c>
      <c r="P173" s="0" t="n">
        <f aca="false">C173+E173+G173</f>
        <v>9</v>
      </c>
    </row>
    <row r="174" customFormat="false" ht="15" hidden="false" customHeight="false" outlineLevel="0" collapsed="false">
      <c r="A174" s="0" t="n">
        <v>174</v>
      </c>
      <c r="B174" s="0" t="n">
        <f aca="false">Raw_Data!AJ174</f>
        <v>5</v>
      </c>
      <c r="C174" s="0" t="n">
        <f aca="false">Raw_Data!AK174</f>
        <v>3</v>
      </c>
      <c r="D174" s="0" t="n">
        <f aca="false">Raw_Data!AL174</f>
        <v>5</v>
      </c>
      <c r="E174" s="0" t="n">
        <f aca="false">Raw_Data!AM174</f>
        <v>4</v>
      </c>
      <c r="F174" s="0" t="n">
        <f aca="false">Raw_Data!AN174</f>
        <v>2</v>
      </c>
      <c r="G174" s="0" t="n">
        <f aca="false">Raw_Data!AO174</f>
        <v>4</v>
      </c>
      <c r="H174" s="0" t="n">
        <f aca="false">SUM(B174:G174)</f>
        <v>23</v>
      </c>
      <c r="I174" s="0" t="n">
        <f aca="false">H174-B174</f>
        <v>18</v>
      </c>
      <c r="J174" s="0" t="n">
        <f aca="false">H174-C174</f>
        <v>20</v>
      </c>
      <c r="K174" s="0" t="n">
        <f aca="false">H174-D174</f>
        <v>18</v>
      </c>
      <c r="L174" s="0" t="n">
        <f aca="false">H174-E174</f>
        <v>19</v>
      </c>
      <c r="M174" s="0" t="n">
        <f aca="false">H174-F174</f>
        <v>21</v>
      </c>
      <c r="N174" s="0" t="n">
        <f aca="false">H174-G174</f>
        <v>19</v>
      </c>
      <c r="O174" s="0" t="n">
        <f aca="false">B174+D174+F174</f>
        <v>12</v>
      </c>
      <c r="P174" s="0" t="n">
        <f aca="false">C174+E174+G174</f>
        <v>11</v>
      </c>
    </row>
    <row r="175" customFormat="false" ht="15" hidden="false" customHeight="false" outlineLevel="0" collapsed="false">
      <c r="A175" s="0" t="n">
        <v>175</v>
      </c>
      <c r="B175" s="0" t="n">
        <f aca="false">Raw_Data!AJ175</f>
        <v>3</v>
      </c>
      <c r="C175" s="0" t="n">
        <f aca="false">Raw_Data!AK175</f>
        <v>3</v>
      </c>
      <c r="D175" s="0" t="n">
        <f aca="false">Raw_Data!AL175</f>
        <v>4</v>
      </c>
      <c r="E175" s="0" t="n">
        <f aca="false">Raw_Data!AM175</f>
        <v>3</v>
      </c>
      <c r="F175" s="0" t="n">
        <f aca="false">Raw_Data!AN175</f>
        <v>4</v>
      </c>
      <c r="G175" s="0" t="n">
        <f aca="false">Raw_Data!AO175</f>
        <v>2</v>
      </c>
      <c r="H175" s="0" t="n">
        <f aca="false">SUM(B175:G175)</f>
        <v>19</v>
      </c>
      <c r="I175" s="0" t="n">
        <f aca="false">H175-B175</f>
        <v>16</v>
      </c>
      <c r="J175" s="0" t="n">
        <f aca="false">H175-C175</f>
        <v>16</v>
      </c>
      <c r="K175" s="0" t="n">
        <f aca="false">H175-D175</f>
        <v>15</v>
      </c>
      <c r="L175" s="0" t="n">
        <f aca="false">H175-E175</f>
        <v>16</v>
      </c>
      <c r="M175" s="0" t="n">
        <f aca="false">H175-F175</f>
        <v>15</v>
      </c>
      <c r="N175" s="0" t="n">
        <f aca="false">H175-G175</f>
        <v>17</v>
      </c>
      <c r="O175" s="0" t="n">
        <f aca="false">B175+D175+F175</f>
        <v>11</v>
      </c>
      <c r="P175" s="0" t="n">
        <f aca="false">C175+E175+G175</f>
        <v>8</v>
      </c>
    </row>
    <row r="176" customFormat="false" ht="15" hidden="false" customHeight="false" outlineLevel="0" collapsed="false">
      <c r="A176" s="0" t="n">
        <v>176</v>
      </c>
      <c r="B176" s="0" t="n">
        <f aca="false">Raw_Data!AJ176</f>
        <v>4</v>
      </c>
      <c r="C176" s="0" t="n">
        <f aca="false">Raw_Data!AK176</f>
        <v>3</v>
      </c>
      <c r="D176" s="0" t="n">
        <f aca="false">Raw_Data!AL176</f>
        <v>5</v>
      </c>
      <c r="E176" s="0" t="n">
        <f aca="false">Raw_Data!AM176</f>
        <v>3</v>
      </c>
      <c r="F176" s="0" t="n">
        <f aca="false">Raw_Data!AN176</f>
        <v>2</v>
      </c>
      <c r="G176" s="0" t="n">
        <f aca="false">Raw_Data!AO176</f>
        <v>3</v>
      </c>
      <c r="H176" s="0" t="n">
        <f aca="false">SUM(B176:G176)</f>
        <v>20</v>
      </c>
      <c r="I176" s="0" t="n">
        <f aca="false">H176-B176</f>
        <v>16</v>
      </c>
      <c r="J176" s="0" t="n">
        <f aca="false">H176-C176</f>
        <v>17</v>
      </c>
      <c r="K176" s="0" t="n">
        <f aca="false">H176-D176</f>
        <v>15</v>
      </c>
      <c r="L176" s="0" t="n">
        <f aca="false">H176-E176</f>
        <v>17</v>
      </c>
      <c r="M176" s="0" t="n">
        <f aca="false">H176-F176</f>
        <v>18</v>
      </c>
      <c r="N176" s="0" t="n">
        <f aca="false">H176-G176</f>
        <v>17</v>
      </c>
      <c r="O176" s="0" t="n">
        <f aca="false">B176+D176+F176</f>
        <v>11</v>
      </c>
      <c r="P176" s="0" t="n">
        <f aca="false">C176+E176+G176</f>
        <v>9</v>
      </c>
    </row>
    <row r="177" customFormat="false" ht="15" hidden="false" customHeight="false" outlineLevel="0" collapsed="false">
      <c r="A177" s="0" t="n">
        <v>177</v>
      </c>
      <c r="B177" s="0" t="n">
        <f aca="false">Raw_Data!AJ177</f>
        <v>5</v>
      </c>
      <c r="C177" s="0" t="n">
        <f aca="false">Raw_Data!AK177</f>
        <v>2</v>
      </c>
      <c r="D177" s="0" t="n">
        <f aca="false">Raw_Data!AL177</f>
        <v>3</v>
      </c>
      <c r="E177" s="0" t="n">
        <f aca="false">Raw_Data!AM177</f>
        <v>3</v>
      </c>
      <c r="F177" s="0" t="n">
        <f aca="false">Raw_Data!AN177</f>
        <v>3</v>
      </c>
      <c r="G177" s="0" t="n">
        <f aca="false">Raw_Data!AO177</f>
        <v>2</v>
      </c>
      <c r="H177" s="0" t="n">
        <f aca="false">SUM(B177:G177)</f>
        <v>18</v>
      </c>
      <c r="I177" s="0" t="n">
        <f aca="false">H177-B177</f>
        <v>13</v>
      </c>
      <c r="J177" s="0" t="n">
        <f aca="false">H177-C177</f>
        <v>16</v>
      </c>
      <c r="K177" s="0" t="n">
        <f aca="false">H177-D177</f>
        <v>15</v>
      </c>
      <c r="L177" s="0" t="n">
        <f aca="false">H177-E177</f>
        <v>15</v>
      </c>
      <c r="M177" s="0" t="n">
        <f aca="false">H177-F177</f>
        <v>15</v>
      </c>
      <c r="N177" s="0" t="n">
        <f aca="false">H177-G177</f>
        <v>16</v>
      </c>
      <c r="O177" s="0" t="n">
        <f aca="false">B177+D177+F177</f>
        <v>11</v>
      </c>
      <c r="P177" s="0" t="n">
        <f aca="false">C177+E177+G177</f>
        <v>7</v>
      </c>
    </row>
    <row r="178" customFormat="false" ht="15" hidden="false" customHeight="false" outlineLevel="0" collapsed="false">
      <c r="A178" s="0" t="n">
        <v>178</v>
      </c>
      <c r="B178" s="0" t="n">
        <f aca="false">Raw_Data!AJ178</f>
        <v>4</v>
      </c>
      <c r="C178" s="0" t="n">
        <f aca="false">Raw_Data!AK178</f>
        <v>2</v>
      </c>
      <c r="D178" s="0" t="n">
        <f aca="false">Raw_Data!AL178</f>
        <v>4</v>
      </c>
      <c r="E178" s="0" t="n">
        <f aca="false">Raw_Data!AM178</f>
        <v>5</v>
      </c>
      <c r="F178" s="0" t="n">
        <f aca="false">Raw_Data!AN178</f>
        <v>4</v>
      </c>
      <c r="G178" s="0" t="n">
        <f aca="false">Raw_Data!AO178</f>
        <v>3</v>
      </c>
      <c r="H178" s="0" t="n">
        <f aca="false">SUM(B178:G178)</f>
        <v>22</v>
      </c>
      <c r="I178" s="0" t="n">
        <f aca="false">H178-B178</f>
        <v>18</v>
      </c>
      <c r="J178" s="0" t="n">
        <f aca="false">H178-C178</f>
        <v>20</v>
      </c>
      <c r="K178" s="0" t="n">
        <f aca="false">H178-D178</f>
        <v>18</v>
      </c>
      <c r="L178" s="0" t="n">
        <f aca="false">H178-E178</f>
        <v>17</v>
      </c>
      <c r="M178" s="0" t="n">
        <f aca="false">H178-F178</f>
        <v>18</v>
      </c>
      <c r="N178" s="0" t="n">
        <f aca="false">H178-G178</f>
        <v>19</v>
      </c>
      <c r="O178" s="0" t="n">
        <f aca="false">B178+D178+F178</f>
        <v>12</v>
      </c>
      <c r="P178" s="0" t="n">
        <f aca="false">C178+E178+G178</f>
        <v>10</v>
      </c>
    </row>
    <row r="179" customFormat="false" ht="15" hidden="false" customHeight="false" outlineLevel="0" collapsed="false">
      <c r="A179" s="0" t="n">
        <v>179</v>
      </c>
      <c r="B179" s="0" t="n">
        <f aca="false">Raw_Data!AJ179</f>
        <v>5</v>
      </c>
      <c r="C179" s="0" t="n">
        <f aca="false">Raw_Data!AK179</f>
        <v>3</v>
      </c>
      <c r="D179" s="0" t="n">
        <f aca="false">Raw_Data!AL179</f>
        <v>5</v>
      </c>
      <c r="E179" s="0" t="n">
        <f aca="false">Raw_Data!AM179</f>
        <v>5</v>
      </c>
      <c r="F179" s="0" t="n">
        <f aca="false">Raw_Data!AN179</f>
        <v>2</v>
      </c>
      <c r="G179" s="0" t="n">
        <f aca="false">Raw_Data!AO179</f>
        <v>1</v>
      </c>
      <c r="H179" s="0" t="n">
        <f aca="false">SUM(B179:G179)</f>
        <v>21</v>
      </c>
      <c r="I179" s="0" t="n">
        <f aca="false">H179-B179</f>
        <v>16</v>
      </c>
      <c r="J179" s="0" t="n">
        <f aca="false">H179-C179</f>
        <v>18</v>
      </c>
      <c r="K179" s="0" t="n">
        <f aca="false">H179-D179</f>
        <v>16</v>
      </c>
      <c r="L179" s="0" t="n">
        <f aca="false">H179-E179</f>
        <v>16</v>
      </c>
      <c r="M179" s="0" t="n">
        <f aca="false">H179-F179</f>
        <v>19</v>
      </c>
      <c r="N179" s="0" t="n">
        <f aca="false">H179-G179</f>
        <v>20</v>
      </c>
      <c r="O179" s="0" t="n">
        <f aca="false">B179+D179+F179</f>
        <v>12</v>
      </c>
      <c r="P179" s="0" t="n">
        <f aca="false">C179+E179+G179</f>
        <v>9</v>
      </c>
    </row>
    <row r="180" customFormat="false" ht="15" hidden="false" customHeight="false" outlineLevel="0" collapsed="false">
      <c r="A180" s="0" t="n">
        <v>180</v>
      </c>
      <c r="B180" s="0" t="n">
        <f aca="false">Raw_Data!AJ180</f>
        <v>3</v>
      </c>
      <c r="C180" s="0" t="n">
        <f aca="false">Raw_Data!AK180</f>
        <v>4</v>
      </c>
      <c r="D180" s="0" t="n">
        <f aca="false">Raw_Data!AL180</f>
        <v>5</v>
      </c>
      <c r="E180" s="0" t="n">
        <f aca="false">Raw_Data!AM180</f>
        <v>2</v>
      </c>
      <c r="F180" s="0" t="n">
        <f aca="false">Raw_Data!AN180</f>
        <v>4</v>
      </c>
      <c r="G180" s="0" t="n">
        <f aca="false">Raw_Data!AO180</f>
        <v>3</v>
      </c>
      <c r="H180" s="0" t="n">
        <f aca="false">SUM(B180:G180)</f>
        <v>21</v>
      </c>
      <c r="I180" s="0" t="n">
        <f aca="false">H180-B180</f>
        <v>18</v>
      </c>
      <c r="J180" s="0" t="n">
        <f aca="false">H180-C180</f>
        <v>17</v>
      </c>
      <c r="K180" s="0" t="n">
        <f aca="false">H180-D180</f>
        <v>16</v>
      </c>
      <c r="L180" s="0" t="n">
        <f aca="false">H180-E180</f>
        <v>19</v>
      </c>
      <c r="M180" s="0" t="n">
        <f aca="false">H180-F180</f>
        <v>17</v>
      </c>
      <c r="N180" s="0" t="n">
        <f aca="false">H180-G180</f>
        <v>18</v>
      </c>
      <c r="O180" s="0" t="n">
        <f aca="false">B180+D180+F180</f>
        <v>12</v>
      </c>
      <c r="P180" s="0" t="n">
        <f aca="false">C180+E180+G180</f>
        <v>9</v>
      </c>
    </row>
    <row r="181" customFormat="false" ht="15" hidden="false" customHeight="false" outlineLevel="0" collapsed="false">
      <c r="A181" s="0" t="n">
        <v>181</v>
      </c>
      <c r="B181" s="0" t="n">
        <f aca="false">Raw_Data!AJ181</f>
        <v>5</v>
      </c>
      <c r="C181" s="0" t="n">
        <f aca="false">Raw_Data!AK181</f>
        <v>2</v>
      </c>
      <c r="D181" s="0" t="n">
        <f aca="false">Raw_Data!AL181</f>
        <v>5</v>
      </c>
      <c r="E181" s="0" t="n">
        <f aca="false">Raw_Data!AM181</f>
        <v>5</v>
      </c>
      <c r="F181" s="0" t="n">
        <f aca="false">Raw_Data!AN181</f>
        <v>3</v>
      </c>
      <c r="G181" s="0" t="n">
        <f aca="false">Raw_Data!AO181</f>
        <v>4</v>
      </c>
      <c r="H181" s="0" t="n">
        <f aca="false">SUM(B181:G181)</f>
        <v>24</v>
      </c>
      <c r="I181" s="0" t="n">
        <f aca="false">H181-B181</f>
        <v>19</v>
      </c>
      <c r="J181" s="0" t="n">
        <f aca="false">H181-C181</f>
        <v>22</v>
      </c>
      <c r="K181" s="0" t="n">
        <f aca="false">H181-D181</f>
        <v>19</v>
      </c>
      <c r="L181" s="0" t="n">
        <f aca="false">H181-E181</f>
        <v>19</v>
      </c>
      <c r="M181" s="0" t="n">
        <f aca="false">H181-F181</f>
        <v>21</v>
      </c>
      <c r="N181" s="0" t="n">
        <f aca="false">H181-G181</f>
        <v>20</v>
      </c>
      <c r="O181" s="0" t="n">
        <f aca="false">B181+D181+F181</f>
        <v>13</v>
      </c>
      <c r="P181" s="0" t="n">
        <f aca="false">C181+E181+G181</f>
        <v>11</v>
      </c>
    </row>
    <row r="182" customFormat="false" ht="15" hidden="false" customHeight="false" outlineLevel="0" collapsed="false">
      <c r="A182" s="0" t="n">
        <v>182</v>
      </c>
      <c r="B182" s="0" t="n">
        <f aca="false">Raw_Data!AJ182</f>
        <v>4</v>
      </c>
      <c r="C182" s="0" t="n">
        <f aca="false">Raw_Data!AK182</f>
        <v>3</v>
      </c>
      <c r="D182" s="0" t="n">
        <f aca="false">Raw_Data!AL182</f>
        <v>5</v>
      </c>
      <c r="E182" s="0" t="n">
        <f aca="false">Raw_Data!AM182</f>
        <v>3</v>
      </c>
      <c r="F182" s="0" t="n">
        <f aca="false">Raw_Data!AN182</f>
        <v>4</v>
      </c>
      <c r="G182" s="0" t="n">
        <f aca="false">Raw_Data!AO182</f>
        <v>5</v>
      </c>
      <c r="H182" s="0" t="n">
        <f aca="false">SUM(B182:G182)</f>
        <v>24</v>
      </c>
      <c r="I182" s="0" t="n">
        <f aca="false">H182-B182</f>
        <v>20</v>
      </c>
      <c r="J182" s="0" t="n">
        <f aca="false">H182-C182</f>
        <v>21</v>
      </c>
      <c r="K182" s="0" t="n">
        <f aca="false">H182-D182</f>
        <v>19</v>
      </c>
      <c r="L182" s="0" t="n">
        <f aca="false">H182-E182</f>
        <v>21</v>
      </c>
      <c r="M182" s="0" t="n">
        <f aca="false">H182-F182</f>
        <v>20</v>
      </c>
      <c r="N182" s="0" t="n">
        <f aca="false">H182-G182</f>
        <v>19</v>
      </c>
      <c r="O182" s="0" t="n">
        <f aca="false">B182+D182+F182</f>
        <v>13</v>
      </c>
      <c r="P182" s="0" t="n">
        <f aca="false">C182+E182+G182</f>
        <v>11</v>
      </c>
    </row>
    <row r="183" customFormat="false" ht="15" hidden="false" customHeight="false" outlineLevel="0" collapsed="false">
      <c r="A183" s="0" t="n">
        <v>183</v>
      </c>
      <c r="B183" s="0" t="n">
        <f aca="false">Raw_Data!AJ183</f>
        <v>4</v>
      </c>
      <c r="C183" s="0" t="n">
        <f aca="false">Raw_Data!AK183</f>
        <v>2</v>
      </c>
      <c r="D183" s="0" t="n">
        <f aca="false">Raw_Data!AL183</f>
        <v>4</v>
      </c>
      <c r="E183" s="0" t="n">
        <f aca="false">Raw_Data!AM183</f>
        <v>3</v>
      </c>
      <c r="F183" s="0" t="n">
        <f aca="false">Raw_Data!AN183</f>
        <v>4</v>
      </c>
      <c r="G183" s="0" t="n">
        <f aca="false">Raw_Data!AO183</f>
        <v>2</v>
      </c>
      <c r="H183" s="0" t="n">
        <f aca="false">SUM(B183:G183)</f>
        <v>19</v>
      </c>
      <c r="I183" s="0" t="n">
        <f aca="false">H183-B183</f>
        <v>15</v>
      </c>
      <c r="J183" s="0" t="n">
        <f aca="false">H183-C183</f>
        <v>17</v>
      </c>
      <c r="K183" s="0" t="n">
        <f aca="false">H183-D183</f>
        <v>15</v>
      </c>
      <c r="L183" s="0" t="n">
        <f aca="false">H183-E183</f>
        <v>16</v>
      </c>
      <c r="M183" s="0" t="n">
        <f aca="false">H183-F183</f>
        <v>15</v>
      </c>
      <c r="N183" s="0" t="n">
        <f aca="false">H183-G183</f>
        <v>17</v>
      </c>
      <c r="O183" s="0" t="n">
        <f aca="false">B183+D183+F183</f>
        <v>12</v>
      </c>
      <c r="P183" s="0" t="n">
        <f aca="false">C183+E183+G183</f>
        <v>7</v>
      </c>
    </row>
    <row r="184" customFormat="false" ht="15" hidden="false" customHeight="false" outlineLevel="0" collapsed="false">
      <c r="A184" s="0" t="n">
        <v>184</v>
      </c>
      <c r="B184" s="0" t="n">
        <f aca="false">Raw_Data!AJ184</f>
        <v>3</v>
      </c>
      <c r="C184" s="0" t="n">
        <f aca="false">Raw_Data!AK184</f>
        <v>4</v>
      </c>
      <c r="D184" s="0" t="n">
        <f aca="false">Raw_Data!AL184</f>
        <v>5</v>
      </c>
      <c r="E184" s="0" t="n">
        <f aca="false">Raw_Data!AM184</f>
        <v>3</v>
      </c>
      <c r="F184" s="0" t="n">
        <f aca="false">Raw_Data!AN184</f>
        <v>4</v>
      </c>
      <c r="G184" s="0" t="n">
        <f aca="false">Raw_Data!AO184</f>
        <v>2</v>
      </c>
      <c r="H184" s="0" t="n">
        <f aca="false">SUM(B184:G184)</f>
        <v>21</v>
      </c>
      <c r="I184" s="0" t="n">
        <f aca="false">H184-B184</f>
        <v>18</v>
      </c>
      <c r="J184" s="0" t="n">
        <f aca="false">H184-C184</f>
        <v>17</v>
      </c>
      <c r="K184" s="0" t="n">
        <f aca="false">H184-D184</f>
        <v>16</v>
      </c>
      <c r="L184" s="0" t="n">
        <f aca="false">H184-E184</f>
        <v>18</v>
      </c>
      <c r="M184" s="0" t="n">
        <f aca="false">H184-F184</f>
        <v>17</v>
      </c>
      <c r="N184" s="0" t="n">
        <f aca="false">H184-G184</f>
        <v>19</v>
      </c>
      <c r="O184" s="0" t="n">
        <f aca="false">B184+D184+F184</f>
        <v>12</v>
      </c>
      <c r="P184" s="0" t="n">
        <f aca="false">C184+E184+G184</f>
        <v>9</v>
      </c>
    </row>
    <row r="185" customFormat="false" ht="15" hidden="false" customHeight="false" outlineLevel="0" collapsed="false">
      <c r="A185" s="0" t="n">
        <v>185</v>
      </c>
      <c r="B185" s="0" t="n">
        <f aca="false">Raw_Data!AJ185</f>
        <v>4</v>
      </c>
      <c r="C185" s="0" t="n">
        <f aca="false">Raw_Data!AK185</f>
        <v>5</v>
      </c>
      <c r="D185" s="0" t="n">
        <f aca="false">Raw_Data!AL185</f>
        <v>5</v>
      </c>
      <c r="E185" s="0" t="n">
        <f aca="false">Raw_Data!AM185</f>
        <v>4</v>
      </c>
      <c r="F185" s="0" t="n">
        <f aca="false">Raw_Data!AN185</f>
        <v>5</v>
      </c>
      <c r="G185" s="0" t="n">
        <f aca="false">Raw_Data!AO185</f>
        <v>1</v>
      </c>
      <c r="H185" s="0" t="n">
        <f aca="false">SUM(B185:G185)</f>
        <v>24</v>
      </c>
      <c r="I185" s="0" t="n">
        <f aca="false">H185-B185</f>
        <v>20</v>
      </c>
      <c r="J185" s="0" t="n">
        <f aca="false">H185-C185</f>
        <v>19</v>
      </c>
      <c r="K185" s="0" t="n">
        <f aca="false">H185-D185</f>
        <v>19</v>
      </c>
      <c r="L185" s="0" t="n">
        <f aca="false">H185-E185</f>
        <v>20</v>
      </c>
      <c r="M185" s="0" t="n">
        <f aca="false">H185-F185</f>
        <v>19</v>
      </c>
      <c r="N185" s="0" t="n">
        <f aca="false">H185-G185</f>
        <v>23</v>
      </c>
      <c r="O185" s="0" t="n">
        <f aca="false">B185+D185+F185</f>
        <v>14</v>
      </c>
      <c r="P185" s="0" t="n">
        <f aca="false">C185+E185+G185</f>
        <v>10</v>
      </c>
    </row>
    <row r="186" customFormat="false" ht="15" hidden="false" customHeight="false" outlineLevel="0" collapsed="false">
      <c r="A186" s="0" t="n">
        <v>186</v>
      </c>
      <c r="B186" s="0" t="n">
        <f aca="false">Raw_Data!AJ186</f>
        <v>4</v>
      </c>
      <c r="C186" s="0" t="n">
        <f aca="false">Raw_Data!AK186</f>
        <v>4</v>
      </c>
      <c r="D186" s="0" t="n">
        <f aca="false">Raw_Data!AL186</f>
        <v>5</v>
      </c>
      <c r="E186" s="0" t="n">
        <f aca="false">Raw_Data!AM186</f>
        <v>4</v>
      </c>
      <c r="F186" s="0" t="n">
        <f aca="false">Raw_Data!AN186</f>
        <v>2</v>
      </c>
      <c r="G186" s="0" t="n">
        <f aca="false">Raw_Data!AO186</f>
        <v>4</v>
      </c>
      <c r="H186" s="0" t="n">
        <f aca="false">SUM(B186:G186)</f>
        <v>23</v>
      </c>
      <c r="I186" s="0" t="n">
        <f aca="false">H186-B186</f>
        <v>19</v>
      </c>
      <c r="J186" s="0" t="n">
        <f aca="false">H186-C186</f>
        <v>19</v>
      </c>
      <c r="K186" s="0" t="n">
        <f aca="false">H186-D186</f>
        <v>18</v>
      </c>
      <c r="L186" s="0" t="n">
        <f aca="false">H186-E186</f>
        <v>19</v>
      </c>
      <c r="M186" s="0" t="n">
        <f aca="false">H186-F186</f>
        <v>21</v>
      </c>
      <c r="N186" s="0" t="n">
        <f aca="false">H186-G186</f>
        <v>19</v>
      </c>
      <c r="O186" s="0" t="n">
        <f aca="false">B186+D186+F186</f>
        <v>11</v>
      </c>
      <c r="P186" s="0" t="n">
        <f aca="false">C186+E186+G186</f>
        <v>12</v>
      </c>
    </row>
    <row r="187" customFormat="false" ht="15" hidden="false" customHeight="false" outlineLevel="0" collapsed="false">
      <c r="A187" s="0" t="n">
        <v>187</v>
      </c>
      <c r="B187" s="0" t="n">
        <f aca="false">Raw_Data!AJ187</f>
        <v>4</v>
      </c>
      <c r="C187" s="0" t="n">
        <f aca="false">Raw_Data!AK187</f>
        <v>3</v>
      </c>
      <c r="D187" s="0" t="n">
        <f aca="false">Raw_Data!AL187</f>
        <v>3</v>
      </c>
      <c r="E187" s="0" t="n">
        <f aca="false">Raw_Data!AM187</f>
        <v>4</v>
      </c>
      <c r="F187" s="0" t="n">
        <f aca="false">Raw_Data!AN187</f>
        <v>4</v>
      </c>
      <c r="G187" s="0" t="n">
        <f aca="false">Raw_Data!AO187</f>
        <v>3</v>
      </c>
      <c r="H187" s="0" t="n">
        <f aca="false">SUM(B187:G187)</f>
        <v>21</v>
      </c>
      <c r="I187" s="0" t="n">
        <f aca="false">H187-B187</f>
        <v>17</v>
      </c>
      <c r="J187" s="0" t="n">
        <f aca="false">H187-C187</f>
        <v>18</v>
      </c>
      <c r="K187" s="0" t="n">
        <f aca="false">H187-D187</f>
        <v>18</v>
      </c>
      <c r="L187" s="0" t="n">
        <f aca="false">H187-E187</f>
        <v>17</v>
      </c>
      <c r="M187" s="0" t="n">
        <f aca="false">H187-F187</f>
        <v>17</v>
      </c>
      <c r="N187" s="0" t="n">
        <f aca="false">H187-G187</f>
        <v>18</v>
      </c>
      <c r="O187" s="0" t="n">
        <f aca="false">B187+D187+F187</f>
        <v>11</v>
      </c>
      <c r="P187" s="0" t="n">
        <f aca="false">C187+E187+G187</f>
        <v>10</v>
      </c>
    </row>
    <row r="188" customFormat="false" ht="15" hidden="false" customHeight="false" outlineLevel="0" collapsed="false">
      <c r="A188" s="0" t="n">
        <v>188</v>
      </c>
      <c r="B188" s="0" t="n">
        <f aca="false">Raw_Data!AJ188</f>
        <v>4</v>
      </c>
      <c r="C188" s="0" t="n">
        <f aca="false">Raw_Data!AK188</f>
        <v>3</v>
      </c>
      <c r="D188" s="0" t="n">
        <f aca="false">Raw_Data!AL188</f>
        <v>5</v>
      </c>
      <c r="E188" s="0" t="n">
        <f aca="false">Raw_Data!AM188</f>
        <v>3</v>
      </c>
      <c r="F188" s="0" t="n">
        <f aca="false">Raw_Data!AN188</f>
        <v>2</v>
      </c>
      <c r="G188" s="0" t="n">
        <f aca="false">Raw_Data!AO188</f>
        <v>3</v>
      </c>
      <c r="H188" s="0" t="n">
        <f aca="false">SUM(B188:G188)</f>
        <v>20</v>
      </c>
      <c r="I188" s="0" t="n">
        <f aca="false">H188-B188</f>
        <v>16</v>
      </c>
      <c r="J188" s="0" t="n">
        <f aca="false">H188-C188</f>
        <v>17</v>
      </c>
      <c r="K188" s="0" t="n">
        <f aca="false">H188-D188</f>
        <v>15</v>
      </c>
      <c r="L188" s="0" t="n">
        <f aca="false">H188-E188</f>
        <v>17</v>
      </c>
      <c r="M188" s="0" t="n">
        <f aca="false">H188-F188</f>
        <v>18</v>
      </c>
      <c r="N188" s="0" t="n">
        <f aca="false">H188-G188</f>
        <v>17</v>
      </c>
      <c r="O188" s="0" t="n">
        <f aca="false">B188+D188+F188</f>
        <v>11</v>
      </c>
      <c r="P188" s="0" t="n">
        <f aca="false">C188+E188+G188</f>
        <v>9</v>
      </c>
    </row>
    <row r="189" customFormat="false" ht="15" hidden="false" customHeight="false" outlineLevel="0" collapsed="false">
      <c r="A189" s="0" t="n">
        <v>189</v>
      </c>
      <c r="B189" s="0" t="n">
        <f aca="false">Raw_Data!AJ189</f>
        <v>5</v>
      </c>
      <c r="C189" s="0" t="n">
        <f aca="false">Raw_Data!AK189</f>
        <v>1</v>
      </c>
      <c r="D189" s="0" t="n">
        <f aca="false">Raw_Data!AL189</f>
        <v>5</v>
      </c>
      <c r="E189" s="0" t="n">
        <f aca="false">Raw_Data!AM189</f>
        <v>5</v>
      </c>
      <c r="F189" s="0" t="n">
        <f aca="false">Raw_Data!AN189</f>
        <v>3</v>
      </c>
      <c r="G189" s="0" t="n">
        <f aca="false">Raw_Data!AO189</f>
        <v>5</v>
      </c>
      <c r="H189" s="0" t="n">
        <f aca="false">SUM(B189:G189)</f>
        <v>24</v>
      </c>
      <c r="I189" s="0" t="n">
        <f aca="false">H189-B189</f>
        <v>19</v>
      </c>
      <c r="J189" s="0" t="n">
        <f aca="false">H189-C189</f>
        <v>23</v>
      </c>
      <c r="K189" s="0" t="n">
        <f aca="false">H189-D189</f>
        <v>19</v>
      </c>
      <c r="L189" s="0" t="n">
        <f aca="false">H189-E189</f>
        <v>19</v>
      </c>
      <c r="M189" s="0" t="n">
        <f aca="false">H189-F189</f>
        <v>21</v>
      </c>
      <c r="N189" s="0" t="n">
        <f aca="false">H189-G189</f>
        <v>19</v>
      </c>
      <c r="O189" s="0" t="n">
        <f aca="false">B189+D189+F189</f>
        <v>13</v>
      </c>
      <c r="P189" s="0" t="n">
        <f aca="false">C189+E189+G189</f>
        <v>11</v>
      </c>
    </row>
    <row r="190" customFormat="false" ht="15" hidden="false" customHeight="false" outlineLevel="0" collapsed="false">
      <c r="A190" s="0" t="n">
        <v>190</v>
      </c>
      <c r="B190" s="0" t="n">
        <f aca="false">Raw_Data!AJ190</f>
        <v>4</v>
      </c>
      <c r="C190" s="0" t="n">
        <f aca="false">Raw_Data!AK190</f>
        <v>4</v>
      </c>
      <c r="D190" s="0" t="n">
        <f aca="false">Raw_Data!AL190</f>
        <v>5</v>
      </c>
      <c r="E190" s="0" t="n">
        <f aca="false">Raw_Data!AM190</f>
        <v>3</v>
      </c>
      <c r="F190" s="0" t="n">
        <f aca="false">Raw_Data!AN190</f>
        <v>4</v>
      </c>
      <c r="G190" s="0" t="n">
        <f aca="false">Raw_Data!AO190</f>
        <v>2</v>
      </c>
      <c r="H190" s="0" t="n">
        <f aca="false">SUM(B190:G190)</f>
        <v>22</v>
      </c>
      <c r="I190" s="0" t="n">
        <f aca="false">H190-B190</f>
        <v>18</v>
      </c>
      <c r="J190" s="0" t="n">
        <f aca="false">H190-C190</f>
        <v>18</v>
      </c>
      <c r="K190" s="0" t="n">
        <f aca="false">H190-D190</f>
        <v>17</v>
      </c>
      <c r="L190" s="0" t="n">
        <f aca="false">H190-E190</f>
        <v>19</v>
      </c>
      <c r="M190" s="0" t="n">
        <f aca="false">H190-F190</f>
        <v>18</v>
      </c>
      <c r="N190" s="0" t="n">
        <f aca="false">H190-G190</f>
        <v>20</v>
      </c>
      <c r="O190" s="0" t="n">
        <f aca="false">B190+D190+F190</f>
        <v>13</v>
      </c>
      <c r="P190" s="0" t="n">
        <f aca="false">C190+E190+G190</f>
        <v>9</v>
      </c>
    </row>
    <row r="191" customFormat="false" ht="15" hidden="false" customHeight="false" outlineLevel="0" collapsed="false">
      <c r="A191" s="0" t="n">
        <v>191</v>
      </c>
      <c r="B191" s="0" t="n">
        <f aca="false">Raw_Data!AJ191</f>
        <v>2</v>
      </c>
      <c r="C191" s="0" t="n">
        <f aca="false">Raw_Data!AK191</f>
        <v>1</v>
      </c>
      <c r="D191" s="0" t="n">
        <f aca="false">Raw_Data!AL191</f>
        <v>1</v>
      </c>
      <c r="E191" s="0" t="n">
        <f aca="false">Raw_Data!AM191</f>
        <v>2</v>
      </c>
      <c r="F191" s="0" t="n">
        <f aca="false">Raw_Data!AN191</f>
        <v>2</v>
      </c>
      <c r="G191" s="0" t="n">
        <f aca="false">Raw_Data!AO191</f>
        <v>1</v>
      </c>
      <c r="H191" s="0" t="n">
        <f aca="false">SUM(B191:G191)</f>
        <v>9</v>
      </c>
      <c r="I191" s="0" t="n">
        <f aca="false">H191-B191</f>
        <v>7</v>
      </c>
      <c r="J191" s="0" t="n">
        <f aca="false">H191-C191</f>
        <v>8</v>
      </c>
      <c r="K191" s="0" t="n">
        <f aca="false">H191-D191</f>
        <v>8</v>
      </c>
      <c r="L191" s="0" t="n">
        <f aca="false">H191-E191</f>
        <v>7</v>
      </c>
      <c r="M191" s="0" t="n">
        <f aca="false">H191-F191</f>
        <v>7</v>
      </c>
      <c r="N191" s="0" t="n">
        <f aca="false">H191-G191</f>
        <v>8</v>
      </c>
      <c r="O191" s="0" t="n">
        <f aca="false">B191+D191+F191</f>
        <v>5</v>
      </c>
      <c r="P191" s="0" t="n">
        <f aca="false">C191+E191+G191</f>
        <v>4</v>
      </c>
    </row>
    <row r="192" customFormat="false" ht="15" hidden="false" customHeight="false" outlineLevel="0" collapsed="false">
      <c r="A192" s="0" t="n">
        <v>192</v>
      </c>
      <c r="B192" s="0" t="n">
        <f aca="false">Raw_Data!AJ192</f>
        <v>5</v>
      </c>
      <c r="C192" s="0" t="n">
        <f aca="false">Raw_Data!AK192</f>
        <v>4</v>
      </c>
      <c r="D192" s="0" t="n">
        <f aca="false">Raw_Data!AL192</f>
        <v>5</v>
      </c>
      <c r="E192" s="0" t="n">
        <f aca="false">Raw_Data!AM192</f>
        <v>4</v>
      </c>
      <c r="F192" s="0" t="n">
        <f aca="false">Raw_Data!AN192</f>
        <v>3</v>
      </c>
      <c r="G192" s="0" t="n">
        <f aca="false">Raw_Data!AO192</f>
        <v>3</v>
      </c>
      <c r="H192" s="0" t="n">
        <f aca="false">SUM(B192:G192)</f>
        <v>24</v>
      </c>
      <c r="I192" s="0" t="n">
        <f aca="false">H192-B192</f>
        <v>19</v>
      </c>
      <c r="J192" s="0" t="n">
        <f aca="false">H192-C192</f>
        <v>20</v>
      </c>
      <c r="K192" s="0" t="n">
        <f aca="false">H192-D192</f>
        <v>19</v>
      </c>
      <c r="L192" s="0" t="n">
        <f aca="false">H192-E192</f>
        <v>20</v>
      </c>
      <c r="M192" s="0" t="n">
        <f aca="false">H192-F192</f>
        <v>21</v>
      </c>
      <c r="N192" s="0" t="n">
        <f aca="false">H192-G192</f>
        <v>21</v>
      </c>
      <c r="O192" s="0" t="n">
        <f aca="false">B192+D192+F192</f>
        <v>13</v>
      </c>
      <c r="P192" s="0" t="n">
        <f aca="false">C192+E192+G192</f>
        <v>11</v>
      </c>
    </row>
    <row r="193" customFormat="false" ht="15" hidden="false" customHeight="false" outlineLevel="0" collapsed="false">
      <c r="A193" s="0" t="n">
        <v>193</v>
      </c>
      <c r="B193" s="0" t="n">
        <f aca="false">Raw_Data!AJ193</f>
        <v>5</v>
      </c>
      <c r="C193" s="0" t="n">
        <f aca="false">Raw_Data!AK193</f>
        <v>2</v>
      </c>
      <c r="D193" s="0" t="n">
        <f aca="false">Raw_Data!AL193</f>
        <v>5</v>
      </c>
      <c r="E193" s="0" t="n">
        <f aca="false">Raw_Data!AM193</f>
        <v>5</v>
      </c>
      <c r="F193" s="0" t="n">
        <f aca="false">Raw_Data!AN193</f>
        <v>2</v>
      </c>
      <c r="G193" s="0" t="n">
        <f aca="false">Raw_Data!AO193</f>
        <v>4</v>
      </c>
      <c r="H193" s="0" t="n">
        <f aca="false">SUM(B193:G193)</f>
        <v>23</v>
      </c>
      <c r="I193" s="0" t="n">
        <f aca="false">H193-B193</f>
        <v>18</v>
      </c>
      <c r="J193" s="0" t="n">
        <f aca="false">H193-C193</f>
        <v>21</v>
      </c>
      <c r="K193" s="0" t="n">
        <f aca="false">H193-D193</f>
        <v>18</v>
      </c>
      <c r="L193" s="0" t="n">
        <f aca="false">H193-E193</f>
        <v>18</v>
      </c>
      <c r="M193" s="0" t="n">
        <f aca="false">H193-F193</f>
        <v>21</v>
      </c>
      <c r="N193" s="0" t="n">
        <f aca="false">H193-G193</f>
        <v>19</v>
      </c>
      <c r="O193" s="0" t="n">
        <f aca="false">B193+D193+F193</f>
        <v>12</v>
      </c>
      <c r="P193" s="0" t="n">
        <f aca="false">C193+E193+G193</f>
        <v>11</v>
      </c>
    </row>
    <row r="194" customFormat="false" ht="15" hidden="false" customHeight="false" outlineLevel="0" collapsed="false">
      <c r="A194" s="0" t="n">
        <v>194</v>
      </c>
      <c r="B194" s="0" t="n">
        <f aca="false">Raw_Data!AJ194</f>
        <v>1</v>
      </c>
      <c r="C194" s="0" t="n">
        <f aca="false">Raw_Data!AK194</f>
        <v>3</v>
      </c>
      <c r="D194" s="0" t="n">
        <f aca="false">Raw_Data!AL194</f>
        <v>5</v>
      </c>
      <c r="E194" s="0" t="n">
        <f aca="false">Raw_Data!AM194</f>
        <v>1</v>
      </c>
      <c r="F194" s="0" t="n">
        <f aca="false">Raw_Data!AN194</f>
        <v>1</v>
      </c>
      <c r="G194" s="0" t="n">
        <f aca="false">Raw_Data!AO194</f>
        <v>2</v>
      </c>
      <c r="H194" s="0" t="n">
        <f aca="false">SUM(B194:G194)</f>
        <v>13</v>
      </c>
      <c r="I194" s="0" t="n">
        <f aca="false">H194-B194</f>
        <v>12</v>
      </c>
      <c r="J194" s="0" t="n">
        <f aca="false">H194-C194</f>
        <v>10</v>
      </c>
      <c r="K194" s="0" t="n">
        <f aca="false">H194-D194</f>
        <v>8</v>
      </c>
      <c r="L194" s="0" t="n">
        <f aca="false">H194-E194</f>
        <v>12</v>
      </c>
      <c r="M194" s="0" t="n">
        <f aca="false">H194-F194</f>
        <v>12</v>
      </c>
      <c r="N194" s="0" t="n">
        <f aca="false">H194-G194</f>
        <v>11</v>
      </c>
      <c r="O194" s="0" t="n">
        <f aca="false">B194+D194+F194</f>
        <v>7</v>
      </c>
      <c r="P194" s="0" t="n">
        <f aca="false">C194+E194+G194</f>
        <v>6</v>
      </c>
    </row>
    <row r="195" customFormat="false" ht="15" hidden="false" customHeight="false" outlineLevel="0" collapsed="false">
      <c r="A195" s="0" t="n">
        <v>195</v>
      </c>
      <c r="B195" s="0" t="n">
        <f aca="false">Raw_Data!AJ195</f>
        <v>2</v>
      </c>
      <c r="C195" s="0" t="n">
        <f aca="false">Raw_Data!AK195</f>
        <v>4</v>
      </c>
      <c r="D195" s="0" t="n">
        <f aca="false">Raw_Data!AL195</f>
        <v>4</v>
      </c>
      <c r="E195" s="0" t="n">
        <f aca="false">Raw_Data!AM195</f>
        <v>3</v>
      </c>
      <c r="F195" s="0" t="n">
        <f aca="false">Raw_Data!AN195</f>
        <v>3</v>
      </c>
      <c r="G195" s="0" t="n">
        <f aca="false">Raw_Data!AO195</f>
        <v>4</v>
      </c>
      <c r="H195" s="0" t="n">
        <f aca="false">SUM(B195:G195)</f>
        <v>20</v>
      </c>
      <c r="I195" s="0" t="n">
        <f aca="false">H195-B195</f>
        <v>18</v>
      </c>
      <c r="J195" s="0" t="n">
        <f aca="false">H195-C195</f>
        <v>16</v>
      </c>
      <c r="K195" s="0" t="n">
        <f aca="false">H195-D195</f>
        <v>16</v>
      </c>
      <c r="L195" s="0" t="n">
        <f aca="false">H195-E195</f>
        <v>17</v>
      </c>
      <c r="M195" s="0" t="n">
        <f aca="false">H195-F195</f>
        <v>17</v>
      </c>
      <c r="N195" s="0" t="n">
        <f aca="false">H195-G195</f>
        <v>16</v>
      </c>
      <c r="O195" s="0" t="n">
        <f aca="false">B195+D195+F195</f>
        <v>9</v>
      </c>
      <c r="P195" s="0" t="n">
        <f aca="false">C195+E195+G195</f>
        <v>11</v>
      </c>
    </row>
    <row r="196" customFormat="false" ht="15" hidden="false" customHeight="false" outlineLevel="0" collapsed="false">
      <c r="A196" s="0" t="n">
        <v>196</v>
      </c>
      <c r="B196" s="0" t="n">
        <f aca="false">Raw_Data!AJ196</f>
        <v>5</v>
      </c>
      <c r="C196" s="0" t="n">
        <f aca="false">Raw_Data!AK196</f>
        <v>2</v>
      </c>
      <c r="D196" s="0" t="n">
        <f aca="false">Raw_Data!AL196</f>
        <v>4</v>
      </c>
      <c r="E196" s="0" t="n">
        <f aca="false">Raw_Data!AM196</f>
        <v>5</v>
      </c>
      <c r="F196" s="0" t="n">
        <f aca="false">Raw_Data!AN196</f>
        <v>2</v>
      </c>
      <c r="G196" s="0" t="n">
        <f aca="false">Raw_Data!AO196</f>
        <v>2</v>
      </c>
      <c r="H196" s="0" t="n">
        <f aca="false">SUM(B196:G196)</f>
        <v>20</v>
      </c>
      <c r="I196" s="0" t="n">
        <f aca="false">H196-B196</f>
        <v>15</v>
      </c>
      <c r="J196" s="0" t="n">
        <f aca="false">H196-C196</f>
        <v>18</v>
      </c>
      <c r="K196" s="0" t="n">
        <f aca="false">H196-D196</f>
        <v>16</v>
      </c>
      <c r="L196" s="0" t="n">
        <f aca="false">H196-E196</f>
        <v>15</v>
      </c>
      <c r="M196" s="0" t="n">
        <f aca="false">H196-F196</f>
        <v>18</v>
      </c>
      <c r="N196" s="0" t="n">
        <f aca="false">H196-G196</f>
        <v>18</v>
      </c>
      <c r="O196" s="0" t="n">
        <f aca="false">B196+D196+F196</f>
        <v>11</v>
      </c>
      <c r="P196" s="0" t="n">
        <f aca="false">C196+E196+G196</f>
        <v>9</v>
      </c>
    </row>
    <row r="197" customFormat="false" ht="15" hidden="false" customHeight="false" outlineLevel="0" collapsed="false">
      <c r="A197" s="0" t="n">
        <v>197</v>
      </c>
      <c r="B197" s="0" t="n">
        <f aca="false">Raw_Data!AJ197</f>
        <v>5</v>
      </c>
      <c r="C197" s="0" t="n">
        <f aca="false">Raw_Data!AK197</f>
        <v>2</v>
      </c>
      <c r="D197" s="0" t="n">
        <f aca="false">Raw_Data!AL197</f>
        <v>4</v>
      </c>
      <c r="E197" s="0" t="n">
        <f aca="false">Raw_Data!AM197</f>
        <v>3</v>
      </c>
      <c r="F197" s="0" t="n">
        <f aca="false">Raw_Data!AN197</f>
        <v>3</v>
      </c>
      <c r="G197" s="0" t="n">
        <f aca="false">Raw_Data!AO197</f>
        <v>4</v>
      </c>
      <c r="H197" s="0" t="n">
        <f aca="false">SUM(B197:G197)</f>
        <v>21</v>
      </c>
      <c r="I197" s="0" t="n">
        <f aca="false">H197-B197</f>
        <v>16</v>
      </c>
      <c r="J197" s="0" t="n">
        <f aca="false">H197-C197</f>
        <v>19</v>
      </c>
      <c r="K197" s="0" t="n">
        <f aca="false">H197-D197</f>
        <v>17</v>
      </c>
      <c r="L197" s="0" t="n">
        <f aca="false">H197-E197</f>
        <v>18</v>
      </c>
      <c r="M197" s="0" t="n">
        <f aca="false">H197-F197</f>
        <v>18</v>
      </c>
      <c r="N197" s="0" t="n">
        <f aca="false">H197-G197</f>
        <v>17</v>
      </c>
      <c r="O197" s="0" t="n">
        <f aca="false">B197+D197+F197</f>
        <v>12</v>
      </c>
      <c r="P197" s="0" t="n">
        <f aca="false">C197+E197+G197</f>
        <v>9</v>
      </c>
    </row>
    <row r="198" customFormat="false" ht="15" hidden="false" customHeight="false" outlineLevel="0" collapsed="false">
      <c r="A198" s="0" t="n">
        <v>198</v>
      </c>
      <c r="B198" s="0" t="n">
        <f aca="false">Raw_Data!AJ198</f>
        <v>2</v>
      </c>
      <c r="C198" s="0" t="n">
        <f aca="false">Raw_Data!AK198</f>
        <v>3</v>
      </c>
      <c r="D198" s="0" t="n">
        <f aca="false">Raw_Data!AL198</f>
        <v>3</v>
      </c>
      <c r="E198" s="0" t="n">
        <f aca="false">Raw_Data!AM198</f>
        <v>3</v>
      </c>
      <c r="F198" s="0" t="n">
        <f aca="false">Raw_Data!AN198</f>
        <v>3</v>
      </c>
      <c r="G198" s="0" t="n">
        <f aca="false">Raw_Data!AO198</f>
        <v>2</v>
      </c>
      <c r="H198" s="0" t="n">
        <f aca="false">SUM(B198:G198)</f>
        <v>16</v>
      </c>
      <c r="I198" s="0" t="n">
        <f aca="false">H198-B198</f>
        <v>14</v>
      </c>
      <c r="J198" s="0" t="n">
        <f aca="false">H198-C198</f>
        <v>13</v>
      </c>
      <c r="K198" s="0" t="n">
        <f aca="false">H198-D198</f>
        <v>13</v>
      </c>
      <c r="L198" s="0" t="n">
        <f aca="false">H198-E198</f>
        <v>13</v>
      </c>
      <c r="M198" s="0" t="n">
        <f aca="false">H198-F198</f>
        <v>13</v>
      </c>
      <c r="N198" s="0" t="n">
        <f aca="false">H198-G198</f>
        <v>14</v>
      </c>
      <c r="O198" s="0" t="n">
        <f aca="false">B198+D198+F198</f>
        <v>8</v>
      </c>
      <c r="P198" s="0" t="n">
        <f aca="false">C198+E198+G198</f>
        <v>8</v>
      </c>
    </row>
    <row r="199" customFormat="false" ht="15" hidden="false" customHeight="false" outlineLevel="0" collapsed="false">
      <c r="A199" s="0" t="n">
        <v>199</v>
      </c>
      <c r="B199" s="0" t="n">
        <f aca="false">Raw_Data!AJ199</f>
        <v>3</v>
      </c>
      <c r="C199" s="0" t="n">
        <f aca="false">Raw_Data!AK199</f>
        <v>4</v>
      </c>
      <c r="D199" s="0" t="n">
        <f aca="false">Raw_Data!AL199</f>
        <v>5</v>
      </c>
      <c r="E199" s="0" t="n">
        <f aca="false">Raw_Data!AM199</f>
        <v>3</v>
      </c>
      <c r="F199" s="0" t="n">
        <f aca="false">Raw_Data!AN199</f>
        <v>2</v>
      </c>
      <c r="G199" s="0" t="n">
        <f aca="false">Raw_Data!AO199</f>
        <v>4</v>
      </c>
      <c r="H199" s="0" t="n">
        <f aca="false">SUM(B199:G199)</f>
        <v>21</v>
      </c>
      <c r="I199" s="0" t="n">
        <f aca="false">H199-B199</f>
        <v>18</v>
      </c>
      <c r="J199" s="0" t="n">
        <f aca="false">H199-C199</f>
        <v>17</v>
      </c>
      <c r="K199" s="0" t="n">
        <f aca="false">H199-D199</f>
        <v>16</v>
      </c>
      <c r="L199" s="0" t="n">
        <f aca="false">H199-E199</f>
        <v>18</v>
      </c>
      <c r="M199" s="0" t="n">
        <f aca="false">H199-F199</f>
        <v>19</v>
      </c>
      <c r="N199" s="0" t="n">
        <f aca="false">H199-G199</f>
        <v>17</v>
      </c>
      <c r="O199" s="0" t="n">
        <f aca="false">B199+D199+F199</f>
        <v>10</v>
      </c>
      <c r="P199" s="0" t="n">
        <f aca="false">C199+E199+G199</f>
        <v>11</v>
      </c>
    </row>
    <row r="200" customFormat="false" ht="15" hidden="false" customHeight="false" outlineLevel="0" collapsed="false">
      <c r="A200" s="0" t="n">
        <v>200</v>
      </c>
      <c r="B200" s="0" t="n">
        <f aca="false">Raw_Data!AJ200</f>
        <v>4</v>
      </c>
      <c r="C200" s="0" t="n">
        <f aca="false">Raw_Data!AK200</f>
        <v>4</v>
      </c>
      <c r="D200" s="0" t="n">
        <f aca="false">Raw_Data!AL200</f>
        <v>4</v>
      </c>
      <c r="E200" s="0" t="n">
        <f aca="false">Raw_Data!AM200</f>
        <v>4</v>
      </c>
      <c r="F200" s="0" t="n">
        <f aca="false">Raw_Data!AN200</f>
        <v>4</v>
      </c>
      <c r="G200" s="0" t="n">
        <f aca="false">Raw_Data!AO200</f>
        <v>4</v>
      </c>
      <c r="H200" s="0" t="n">
        <f aca="false">SUM(B200:G200)</f>
        <v>24</v>
      </c>
      <c r="I200" s="0" t="n">
        <f aca="false">H200-B200</f>
        <v>20</v>
      </c>
      <c r="J200" s="0" t="n">
        <f aca="false">H200-C200</f>
        <v>20</v>
      </c>
      <c r="K200" s="0" t="n">
        <f aca="false">H200-D200</f>
        <v>20</v>
      </c>
      <c r="L200" s="0" t="n">
        <f aca="false">H200-E200</f>
        <v>20</v>
      </c>
      <c r="M200" s="0" t="n">
        <f aca="false">H200-F200</f>
        <v>20</v>
      </c>
      <c r="N200" s="0" t="n">
        <f aca="false">H200-G200</f>
        <v>20</v>
      </c>
      <c r="O200" s="0" t="n">
        <f aca="false">B200+D200+F200</f>
        <v>12</v>
      </c>
      <c r="P200" s="0" t="n">
        <f aca="false">C200+E200+G200</f>
        <v>12</v>
      </c>
    </row>
    <row r="201" customFormat="false" ht="15" hidden="false" customHeight="false" outlineLevel="0" collapsed="false">
      <c r="A201" s="0" t="n">
        <v>201</v>
      </c>
      <c r="B201" s="0" t="n">
        <f aca="false">Raw_Data!AJ201</f>
        <v>4</v>
      </c>
      <c r="C201" s="0" t="n">
        <f aca="false">Raw_Data!AK201</f>
        <v>2</v>
      </c>
      <c r="D201" s="0" t="n">
        <f aca="false">Raw_Data!AL201</f>
        <v>4</v>
      </c>
      <c r="E201" s="0" t="n">
        <f aca="false">Raw_Data!AM201</f>
        <v>4</v>
      </c>
      <c r="F201" s="0" t="n">
        <f aca="false">Raw_Data!AN201</f>
        <v>2</v>
      </c>
      <c r="G201" s="0" t="n">
        <f aca="false">Raw_Data!AO201</f>
        <v>1</v>
      </c>
      <c r="H201" s="0" t="n">
        <f aca="false">SUM(B201:G201)</f>
        <v>17</v>
      </c>
      <c r="I201" s="0" t="n">
        <f aca="false">H201-B201</f>
        <v>13</v>
      </c>
      <c r="J201" s="0" t="n">
        <f aca="false">H201-C201</f>
        <v>15</v>
      </c>
      <c r="K201" s="0" t="n">
        <f aca="false">H201-D201</f>
        <v>13</v>
      </c>
      <c r="L201" s="0" t="n">
        <f aca="false">H201-E201</f>
        <v>13</v>
      </c>
      <c r="M201" s="0" t="n">
        <f aca="false">H201-F201</f>
        <v>15</v>
      </c>
      <c r="N201" s="0" t="n">
        <f aca="false">H201-G201</f>
        <v>16</v>
      </c>
      <c r="O201" s="0" t="n">
        <f aca="false">B201+D201+F201</f>
        <v>10</v>
      </c>
      <c r="P201" s="0" t="n">
        <f aca="false">C201+E201+G201</f>
        <v>7</v>
      </c>
    </row>
    <row r="202" customFormat="false" ht="15" hidden="false" customHeight="false" outlineLevel="0" collapsed="false">
      <c r="A202" s="0" t="n">
        <v>202</v>
      </c>
      <c r="B202" s="0" t="n">
        <f aca="false">Raw_Data!AJ202</f>
        <v>5</v>
      </c>
      <c r="C202" s="0" t="n">
        <f aca="false">Raw_Data!AK202</f>
        <v>4</v>
      </c>
      <c r="D202" s="0" t="n">
        <f aca="false">Raw_Data!AL202</f>
        <v>4</v>
      </c>
      <c r="E202" s="0" t="n">
        <f aca="false">Raw_Data!AM202</f>
        <v>3</v>
      </c>
      <c r="F202" s="0" t="n">
        <f aca="false">Raw_Data!AN202</f>
        <v>5</v>
      </c>
      <c r="G202" s="0" t="n">
        <f aca="false">Raw_Data!AO202</f>
        <v>2</v>
      </c>
      <c r="H202" s="0" t="n">
        <f aca="false">SUM(B202:G202)</f>
        <v>23</v>
      </c>
      <c r="I202" s="0" t="n">
        <f aca="false">H202-B202</f>
        <v>18</v>
      </c>
      <c r="J202" s="0" t="n">
        <f aca="false">H202-C202</f>
        <v>19</v>
      </c>
      <c r="K202" s="0" t="n">
        <f aca="false">H202-D202</f>
        <v>19</v>
      </c>
      <c r="L202" s="0" t="n">
        <f aca="false">H202-E202</f>
        <v>20</v>
      </c>
      <c r="M202" s="0" t="n">
        <f aca="false">H202-F202</f>
        <v>18</v>
      </c>
      <c r="N202" s="0" t="n">
        <f aca="false">H202-G202</f>
        <v>21</v>
      </c>
      <c r="O202" s="0" t="n">
        <f aca="false">B202+D202+F202</f>
        <v>14</v>
      </c>
      <c r="P202" s="0" t="n">
        <f aca="false">C202+E202+G202</f>
        <v>9</v>
      </c>
    </row>
    <row r="203" customFormat="false" ht="15" hidden="false" customHeight="false" outlineLevel="0" collapsed="false">
      <c r="A203" s="0" t="n">
        <v>203</v>
      </c>
      <c r="B203" s="0" t="n">
        <f aca="false">Raw_Data!AJ203</f>
        <v>5</v>
      </c>
      <c r="C203" s="0" t="n">
        <f aca="false">Raw_Data!AK203</f>
        <v>3</v>
      </c>
      <c r="D203" s="0" t="n">
        <f aca="false">Raw_Data!AL203</f>
        <v>4</v>
      </c>
      <c r="E203" s="0" t="n">
        <f aca="false">Raw_Data!AM203</f>
        <v>4</v>
      </c>
      <c r="F203" s="0" t="n">
        <f aca="false">Raw_Data!AN203</f>
        <v>3</v>
      </c>
      <c r="G203" s="0" t="n">
        <f aca="false">Raw_Data!AO203</f>
        <v>3</v>
      </c>
      <c r="H203" s="0" t="n">
        <f aca="false">SUM(B203:G203)</f>
        <v>22</v>
      </c>
      <c r="I203" s="0" t="n">
        <f aca="false">H203-B203</f>
        <v>17</v>
      </c>
      <c r="J203" s="0" t="n">
        <f aca="false">H203-C203</f>
        <v>19</v>
      </c>
      <c r="K203" s="0" t="n">
        <f aca="false">H203-D203</f>
        <v>18</v>
      </c>
      <c r="L203" s="0" t="n">
        <f aca="false">H203-E203</f>
        <v>18</v>
      </c>
      <c r="M203" s="0" t="n">
        <f aca="false">H203-F203</f>
        <v>19</v>
      </c>
      <c r="N203" s="0" t="n">
        <f aca="false">H203-G203</f>
        <v>19</v>
      </c>
      <c r="O203" s="0" t="n">
        <f aca="false">B203+D203+F203</f>
        <v>12</v>
      </c>
      <c r="P203" s="0" t="n">
        <f aca="false">C203+E203+G203</f>
        <v>10</v>
      </c>
    </row>
    <row r="204" customFormat="false" ht="15" hidden="false" customHeight="false" outlineLevel="0" collapsed="false">
      <c r="A204" s="0" t="n">
        <v>204</v>
      </c>
      <c r="B204" s="0" t="n">
        <f aca="false">Raw_Data!AJ204</f>
        <v>5</v>
      </c>
      <c r="C204" s="0" t="n">
        <f aca="false">Raw_Data!AK204</f>
        <v>5</v>
      </c>
      <c r="D204" s="0" t="n">
        <f aca="false">Raw_Data!AL204</f>
        <v>5</v>
      </c>
      <c r="E204" s="0" t="n">
        <f aca="false">Raw_Data!AM204</f>
        <v>3</v>
      </c>
      <c r="F204" s="0" t="n">
        <f aca="false">Raw_Data!AN204</f>
        <v>4</v>
      </c>
      <c r="G204" s="0" t="n">
        <f aca="false">Raw_Data!AO204</f>
        <v>2</v>
      </c>
      <c r="H204" s="0" t="n">
        <f aca="false">SUM(B204:G204)</f>
        <v>24</v>
      </c>
      <c r="I204" s="0" t="n">
        <f aca="false">H204-B204</f>
        <v>19</v>
      </c>
      <c r="J204" s="0" t="n">
        <f aca="false">H204-C204</f>
        <v>19</v>
      </c>
      <c r="K204" s="0" t="n">
        <f aca="false">H204-D204</f>
        <v>19</v>
      </c>
      <c r="L204" s="0" t="n">
        <f aca="false">H204-E204</f>
        <v>21</v>
      </c>
      <c r="M204" s="0" t="n">
        <f aca="false">H204-F204</f>
        <v>20</v>
      </c>
      <c r="N204" s="0" t="n">
        <f aca="false">H204-G204</f>
        <v>22</v>
      </c>
      <c r="O204" s="0" t="n">
        <f aca="false">B204+D204+F204</f>
        <v>14</v>
      </c>
      <c r="P204" s="0" t="n">
        <f aca="false">C204+E204+G204</f>
        <v>10</v>
      </c>
    </row>
    <row r="205" customFormat="false" ht="15" hidden="false" customHeight="false" outlineLevel="0" collapsed="false">
      <c r="A205" s="0" t="n">
        <v>205</v>
      </c>
      <c r="B205" s="0" t="n">
        <f aca="false">Raw_Data!AJ205</f>
        <v>4</v>
      </c>
      <c r="C205" s="0" t="n">
        <f aca="false">Raw_Data!AK205</f>
        <v>4</v>
      </c>
      <c r="D205" s="0" t="n">
        <f aca="false">Raw_Data!AL205</f>
        <v>2</v>
      </c>
      <c r="E205" s="0" t="n">
        <f aca="false">Raw_Data!AM205</f>
        <v>4</v>
      </c>
      <c r="F205" s="0" t="n">
        <f aca="false">Raw_Data!AN205</f>
        <v>4</v>
      </c>
      <c r="G205" s="0" t="n">
        <f aca="false">Raw_Data!AO205</f>
        <v>4</v>
      </c>
      <c r="H205" s="0" t="n">
        <f aca="false">SUM(B205:G205)</f>
        <v>22</v>
      </c>
      <c r="I205" s="0" t="n">
        <f aca="false">H205-B205</f>
        <v>18</v>
      </c>
      <c r="J205" s="0" t="n">
        <f aca="false">H205-C205</f>
        <v>18</v>
      </c>
      <c r="K205" s="0" t="n">
        <f aca="false">H205-D205</f>
        <v>20</v>
      </c>
      <c r="L205" s="0" t="n">
        <f aca="false">H205-E205</f>
        <v>18</v>
      </c>
      <c r="M205" s="0" t="n">
        <f aca="false">H205-F205</f>
        <v>18</v>
      </c>
      <c r="N205" s="0" t="n">
        <f aca="false">H205-G205</f>
        <v>18</v>
      </c>
      <c r="O205" s="0" t="n">
        <f aca="false">B205+D205+F205</f>
        <v>10</v>
      </c>
      <c r="P205" s="0" t="n">
        <f aca="false">C205+E205+G205</f>
        <v>12</v>
      </c>
    </row>
    <row r="206" customFormat="false" ht="15" hidden="false" customHeight="false" outlineLevel="0" collapsed="false">
      <c r="A206" s="0" t="n">
        <v>206</v>
      </c>
      <c r="B206" s="0" t="n">
        <f aca="false">Raw_Data!AJ206</f>
        <v>5</v>
      </c>
      <c r="C206" s="0" t="n">
        <f aca="false">Raw_Data!AK206</f>
        <v>3</v>
      </c>
      <c r="D206" s="0" t="n">
        <f aca="false">Raw_Data!AL206</f>
        <v>4</v>
      </c>
      <c r="E206" s="0" t="n">
        <f aca="false">Raw_Data!AM206</f>
        <v>4</v>
      </c>
      <c r="F206" s="0" t="n">
        <f aca="false">Raw_Data!AN206</f>
        <v>3</v>
      </c>
      <c r="G206" s="0" t="n">
        <f aca="false">Raw_Data!AO206</f>
        <v>2</v>
      </c>
      <c r="H206" s="0" t="n">
        <f aca="false">SUM(B206:G206)</f>
        <v>21</v>
      </c>
      <c r="I206" s="0" t="n">
        <f aca="false">H206-B206</f>
        <v>16</v>
      </c>
      <c r="J206" s="0" t="n">
        <f aca="false">H206-C206</f>
        <v>18</v>
      </c>
      <c r="K206" s="0" t="n">
        <f aca="false">H206-D206</f>
        <v>17</v>
      </c>
      <c r="L206" s="0" t="n">
        <f aca="false">H206-E206</f>
        <v>17</v>
      </c>
      <c r="M206" s="0" t="n">
        <f aca="false">H206-F206</f>
        <v>18</v>
      </c>
      <c r="N206" s="0" t="n">
        <f aca="false">H206-G206</f>
        <v>19</v>
      </c>
      <c r="O206" s="0" t="n">
        <f aca="false">B206+D206+F206</f>
        <v>12</v>
      </c>
      <c r="P206" s="0" t="n">
        <f aca="false">C206+E206+G206</f>
        <v>9</v>
      </c>
    </row>
    <row r="207" customFormat="false" ht="15" hidden="false" customHeight="false" outlineLevel="0" collapsed="false">
      <c r="A207" s="0" t="n">
        <v>207</v>
      </c>
      <c r="B207" s="0" t="n">
        <f aca="false">Raw_Data!AJ207</f>
        <v>4</v>
      </c>
      <c r="C207" s="0" t="n">
        <f aca="false">Raw_Data!AK207</f>
        <v>2</v>
      </c>
      <c r="D207" s="0" t="n">
        <f aca="false">Raw_Data!AL207</f>
        <v>3</v>
      </c>
      <c r="E207" s="0" t="n">
        <f aca="false">Raw_Data!AM207</f>
        <v>3</v>
      </c>
      <c r="F207" s="0" t="n">
        <f aca="false">Raw_Data!AN207</f>
        <v>4</v>
      </c>
      <c r="G207" s="0" t="n">
        <f aca="false">Raw_Data!AO207</f>
        <v>4</v>
      </c>
      <c r="H207" s="0" t="n">
        <f aca="false">SUM(B207:G207)</f>
        <v>20</v>
      </c>
      <c r="I207" s="0" t="n">
        <f aca="false">H207-B207</f>
        <v>16</v>
      </c>
      <c r="J207" s="0" t="n">
        <f aca="false">H207-C207</f>
        <v>18</v>
      </c>
      <c r="K207" s="0" t="n">
        <f aca="false">H207-D207</f>
        <v>17</v>
      </c>
      <c r="L207" s="0" t="n">
        <f aca="false">H207-E207</f>
        <v>17</v>
      </c>
      <c r="M207" s="0" t="n">
        <f aca="false">H207-F207</f>
        <v>16</v>
      </c>
      <c r="N207" s="0" t="n">
        <f aca="false">H207-G207</f>
        <v>16</v>
      </c>
      <c r="O207" s="0" t="n">
        <f aca="false">B207+D207+F207</f>
        <v>11</v>
      </c>
      <c r="P207" s="0" t="n">
        <f aca="false">C207+E207+G207</f>
        <v>9</v>
      </c>
    </row>
    <row r="208" customFormat="false" ht="15" hidden="false" customHeight="false" outlineLevel="0" collapsed="false">
      <c r="A208" s="0" t="n">
        <v>208</v>
      </c>
      <c r="B208" s="0" t="n">
        <f aca="false">Raw_Data!AJ208</f>
        <v>2</v>
      </c>
      <c r="C208" s="0" t="n">
        <f aca="false">Raw_Data!AK208</f>
        <v>2</v>
      </c>
      <c r="D208" s="0" t="n">
        <f aca="false">Raw_Data!AL208</f>
        <v>4</v>
      </c>
      <c r="E208" s="0" t="n">
        <f aca="false">Raw_Data!AM208</f>
        <v>3</v>
      </c>
      <c r="F208" s="0" t="n">
        <f aca="false">Raw_Data!AN208</f>
        <v>4</v>
      </c>
      <c r="G208" s="0" t="n">
        <f aca="false">Raw_Data!AO208</f>
        <v>3</v>
      </c>
      <c r="H208" s="0" t="n">
        <f aca="false">SUM(B208:G208)</f>
        <v>18</v>
      </c>
      <c r="I208" s="0" t="n">
        <f aca="false">H208-B208</f>
        <v>16</v>
      </c>
      <c r="J208" s="0" t="n">
        <f aca="false">H208-C208</f>
        <v>16</v>
      </c>
      <c r="K208" s="0" t="n">
        <f aca="false">H208-D208</f>
        <v>14</v>
      </c>
      <c r="L208" s="0" t="n">
        <f aca="false">H208-E208</f>
        <v>15</v>
      </c>
      <c r="M208" s="0" t="n">
        <f aca="false">H208-F208</f>
        <v>14</v>
      </c>
      <c r="N208" s="0" t="n">
        <f aca="false">H208-G208</f>
        <v>15</v>
      </c>
      <c r="O208" s="0" t="n">
        <f aca="false">B208+D208+F208</f>
        <v>10</v>
      </c>
      <c r="P208" s="0" t="n">
        <f aca="false">C208+E208+G208</f>
        <v>8</v>
      </c>
    </row>
    <row r="209" customFormat="false" ht="15" hidden="false" customHeight="false" outlineLevel="0" collapsed="false">
      <c r="A209" s="0" t="n">
        <v>209</v>
      </c>
      <c r="B209" s="0" t="n">
        <f aca="false">Raw_Data!AJ209</f>
        <v>4</v>
      </c>
      <c r="C209" s="0" t="n">
        <f aca="false">Raw_Data!AK209</f>
        <v>3</v>
      </c>
      <c r="D209" s="0" t="n">
        <f aca="false">Raw_Data!AL209</f>
        <v>4</v>
      </c>
      <c r="E209" s="0" t="n">
        <f aca="false">Raw_Data!AM209</f>
        <v>3</v>
      </c>
      <c r="F209" s="0" t="n">
        <f aca="false">Raw_Data!AN209</f>
        <v>4</v>
      </c>
      <c r="G209" s="0" t="n">
        <f aca="false">Raw_Data!AO209</f>
        <v>2</v>
      </c>
      <c r="H209" s="0" t="n">
        <f aca="false">SUM(B209:G209)</f>
        <v>20</v>
      </c>
      <c r="I209" s="0" t="n">
        <f aca="false">H209-B209</f>
        <v>16</v>
      </c>
      <c r="J209" s="0" t="n">
        <f aca="false">H209-C209</f>
        <v>17</v>
      </c>
      <c r="K209" s="0" t="n">
        <f aca="false">H209-D209</f>
        <v>16</v>
      </c>
      <c r="L209" s="0" t="n">
        <f aca="false">H209-E209</f>
        <v>17</v>
      </c>
      <c r="M209" s="0" t="n">
        <f aca="false">H209-F209</f>
        <v>16</v>
      </c>
      <c r="N209" s="0" t="n">
        <f aca="false">H209-G209</f>
        <v>18</v>
      </c>
      <c r="O209" s="0" t="n">
        <f aca="false">B209+D209+F209</f>
        <v>12</v>
      </c>
      <c r="P209" s="0" t="n">
        <f aca="false">C209+E209+G209</f>
        <v>8</v>
      </c>
    </row>
    <row r="210" customFormat="false" ht="15" hidden="false" customHeight="false" outlineLevel="0" collapsed="false">
      <c r="A210" s="0" t="n">
        <v>210</v>
      </c>
      <c r="B210" s="0" t="n">
        <f aca="false">Raw_Data!AJ210</f>
        <v>4</v>
      </c>
      <c r="C210" s="0" t="n">
        <f aca="false">Raw_Data!AK210</f>
        <v>4</v>
      </c>
      <c r="D210" s="0" t="n">
        <f aca="false">Raw_Data!AL210</f>
        <v>4</v>
      </c>
      <c r="E210" s="0" t="n">
        <f aca="false">Raw_Data!AM210</f>
        <v>3</v>
      </c>
      <c r="F210" s="0" t="n">
        <f aca="false">Raw_Data!AN210</f>
        <v>4</v>
      </c>
      <c r="G210" s="0" t="n">
        <f aca="false">Raw_Data!AO210</f>
        <v>5</v>
      </c>
      <c r="H210" s="0" t="n">
        <f aca="false">SUM(B210:G210)</f>
        <v>24</v>
      </c>
      <c r="I210" s="0" t="n">
        <f aca="false">H210-B210</f>
        <v>20</v>
      </c>
      <c r="J210" s="0" t="n">
        <f aca="false">H210-C210</f>
        <v>20</v>
      </c>
      <c r="K210" s="0" t="n">
        <f aca="false">H210-D210</f>
        <v>20</v>
      </c>
      <c r="L210" s="0" t="n">
        <f aca="false">H210-E210</f>
        <v>21</v>
      </c>
      <c r="M210" s="0" t="n">
        <f aca="false">H210-F210</f>
        <v>20</v>
      </c>
      <c r="N210" s="0" t="n">
        <f aca="false">H210-G210</f>
        <v>19</v>
      </c>
      <c r="O210" s="0" t="n">
        <f aca="false">B210+D210+F210</f>
        <v>12</v>
      </c>
      <c r="P210" s="0" t="n">
        <f aca="false">C210+E210+G210</f>
        <v>12</v>
      </c>
    </row>
    <row r="211" customFormat="false" ht="15" hidden="false" customHeight="false" outlineLevel="0" collapsed="false">
      <c r="A211" s="0" t="n">
        <v>211</v>
      </c>
      <c r="B211" s="0" t="n">
        <f aca="false">Raw_Data!AJ211</f>
        <v>4</v>
      </c>
      <c r="C211" s="0" t="n">
        <f aca="false">Raw_Data!AK211</f>
        <v>4</v>
      </c>
      <c r="D211" s="0" t="n">
        <f aca="false">Raw_Data!AL211</f>
        <v>4</v>
      </c>
      <c r="E211" s="0" t="n">
        <f aca="false">Raw_Data!AM211</f>
        <v>2</v>
      </c>
      <c r="F211" s="0" t="n">
        <f aca="false">Raw_Data!AN211</f>
        <v>3</v>
      </c>
      <c r="G211" s="0" t="n">
        <f aca="false">Raw_Data!AO211</f>
        <v>3</v>
      </c>
      <c r="H211" s="0" t="n">
        <f aca="false">SUM(B211:G211)</f>
        <v>20</v>
      </c>
      <c r="I211" s="0" t="n">
        <f aca="false">H211-B211</f>
        <v>16</v>
      </c>
      <c r="J211" s="0" t="n">
        <f aca="false">H211-C211</f>
        <v>16</v>
      </c>
      <c r="K211" s="0" t="n">
        <f aca="false">H211-D211</f>
        <v>16</v>
      </c>
      <c r="L211" s="0" t="n">
        <f aca="false">H211-E211</f>
        <v>18</v>
      </c>
      <c r="M211" s="0" t="n">
        <f aca="false">H211-F211</f>
        <v>17</v>
      </c>
      <c r="N211" s="0" t="n">
        <f aca="false">H211-G211</f>
        <v>17</v>
      </c>
      <c r="O211" s="0" t="n">
        <f aca="false">B211+D211+F211</f>
        <v>11</v>
      </c>
      <c r="P211" s="0" t="n">
        <f aca="false">C211+E211+G211</f>
        <v>9</v>
      </c>
    </row>
    <row r="212" customFormat="false" ht="15" hidden="false" customHeight="false" outlineLevel="0" collapsed="false">
      <c r="A212" s="0" t="n">
        <v>212</v>
      </c>
      <c r="B212" s="0" t="n">
        <f aca="false">Raw_Data!AJ212</f>
        <v>4</v>
      </c>
      <c r="C212" s="0" t="n">
        <f aca="false">Raw_Data!AK212</f>
        <v>4</v>
      </c>
      <c r="D212" s="0" t="n">
        <f aca="false">Raw_Data!AL212</f>
        <v>2</v>
      </c>
      <c r="E212" s="0" t="n">
        <f aca="false">Raw_Data!AM212</f>
        <v>3</v>
      </c>
      <c r="F212" s="0" t="n">
        <f aca="false">Raw_Data!AN212</f>
        <v>2</v>
      </c>
      <c r="G212" s="0" t="n">
        <f aca="false">Raw_Data!AO212</f>
        <v>4</v>
      </c>
      <c r="H212" s="0" t="n">
        <f aca="false">SUM(B212:G212)</f>
        <v>19</v>
      </c>
      <c r="I212" s="0" t="n">
        <f aca="false">H212-B212</f>
        <v>15</v>
      </c>
      <c r="J212" s="0" t="n">
        <f aca="false">H212-C212</f>
        <v>15</v>
      </c>
      <c r="K212" s="0" t="n">
        <f aca="false">H212-D212</f>
        <v>17</v>
      </c>
      <c r="L212" s="0" t="n">
        <f aca="false">H212-E212</f>
        <v>16</v>
      </c>
      <c r="M212" s="0" t="n">
        <f aca="false">H212-F212</f>
        <v>17</v>
      </c>
      <c r="N212" s="0" t="n">
        <f aca="false">H212-G212</f>
        <v>15</v>
      </c>
      <c r="O212" s="0" t="n">
        <f aca="false">B212+D212+F212</f>
        <v>8</v>
      </c>
      <c r="P212" s="0" t="n">
        <f aca="false">C212+E212+G212</f>
        <v>11</v>
      </c>
    </row>
    <row r="213" customFormat="false" ht="15" hidden="false" customHeight="false" outlineLevel="0" collapsed="false">
      <c r="A213" s="0" t="n">
        <v>213</v>
      </c>
      <c r="B213" s="0" t="n">
        <f aca="false">Raw_Data!AJ213</f>
        <v>4</v>
      </c>
      <c r="C213" s="0" t="n">
        <f aca="false">Raw_Data!AK213</f>
        <v>3</v>
      </c>
      <c r="D213" s="0" t="n">
        <f aca="false">Raw_Data!AL213</f>
        <v>3</v>
      </c>
      <c r="E213" s="0" t="n">
        <f aca="false">Raw_Data!AM213</f>
        <v>1</v>
      </c>
      <c r="F213" s="0" t="n">
        <f aca="false">Raw_Data!AN213</f>
        <v>2</v>
      </c>
      <c r="G213" s="0" t="n">
        <f aca="false">Raw_Data!AO213</f>
        <v>4</v>
      </c>
      <c r="H213" s="0" t="n">
        <f aca="false">SUM(B213:G213)</f>
        <v>17</v>
      </c>
      <c r="I213" s="0" t="n">
        <f aca="false">H213-B213</f>
        <v>13</v>
      </c>
      <c r="J213" s="0" t="n">
        <f aca="false">H213-C213</f>
        <v>14</v>
      </c>
      <c r="K213" s="0" t="n">
        <f aca="false">H213-D213</f>
        <v>14</v>
      </c>
      <c r="L213" s="0" t="n">
        <f aca="false">H213-E213</f>
        <v>16</v>
      </c>
      <c r="M213" s="0" t="n">
        <f aca="false">H213-F213</f>
        <v>15</v>
      </c>
      <c r="N213" s="0" t="n">
        <f aca="false">H213-G213</f>
        <v>13</v>
      </c>
      <c r="O213" s="0" t="n">
        <f aca="false">B213+D213+F213</f>
        <v>9</v>
      </c>
      <c r="P213" s="0" t="n">
        <f aca="false">C213+E213+G213</f>
        <v>8</v>
      </c>
    </row>
    <row r="214" customFormat="false" ht="15" hidden="false" customHeight="false" outlineLevel="0" collapsed="false">
      <c r="A214" s="0" t="n">
        <v>214</v>
      </c>
      <c r="B214" s="0" t="n">
        <f aca="false">Raw_Data!AJ214</f>
        <v>2</v>
      </c>
      <c r="C214" s="0" t="n">
        <f aca="false">Raw_Data!AK214</f>
        <v>2</v>
      </c>
      <c r="D214" s="0" t="n">
        <f aca="false">Raw_Data!AL214</f>
        <v>5</v>
      </c>
      <c r="E214" s="0" t="n">
        <f aca="false">Raw_Data!AM214</f>
        <v>5</v>
      </c>
      <c r="F214" s="0" t="n">
        <f aca="false">Raw_Data!AN214</f>
        <v>2</v>
      </c>
      <c r="G214" s="0" t="n">
        <f aca="false">Raw_Data!AO214</f>
        <v>1</v>
      </c>
      <c r="H214" s="0" t="n">
        <f aca="false">SUM(B214:G214)</f>
        <v>17</v>
      </c>
      <c r="I214" s="0" t="n">
        <f aca="false">H214-B214</f>
        <v>15</v>
      </c>
      <c r="J214" s="0" t="n">
        <f aca="false">H214-C214</f>
        <v>15</v>
      </c>
      <c r="K214" s="0" t="n">
        <f aca="false">H214-D214</f>
        <v>12</v>
      </c>
      <c r="L214" s="0" t="n">
        <f aca="false">H214-E214</f>
        <v>12</v>
      </c>
      <c r="M214" s="0" t="n">
        <f aca="false">H214-F214</f>
        <v>15</v>
      </c>
      <c r="N214" s="0" t="n">
        <f aca="false">H214-G214</f>
        <v>16</v>
      </c>
      <c r="O214" s="0" t="n">
        <f aca="false">B214+D214+F214</f>
        <v>9</v>
      </c>
      <c r="P214" s="0" t="n">
        <f aca="false">C214+E214+G214</f>
        <v>8</v>
      </c>
    </row>
    <row r="215" customFormat="false" ht="15" hidden="false" customHeight="false" outlineLevel="0" collapsed="false">
      <c r="A215" s="0" t="n">
        <v>215</v>
      </c>
      <c r="B215" s="0" t="n">
        <f aca="false">Raw_Data!AJ215</f>
        <v>3</v>
      </c>
      <c r="C215" s="0" t="n">
        <f aca="false">Raw_Data!AK215</f>
        <v>4</v>
      </c>
      <c r="D215" s="0" t="n">
        <f aca="false">Raw_Data!AL215</f>
        <v>5</v>
      </c>
      <c r="E215" s="0" t="n">
        <f aca="false">Raw_Data!AM215</f>
        <v>3</v>
      </c>
      <c r="F215" s="0" t="n">
        <f aca="false">Raw_Data!AN215</f>
        <v>3</v>
      </c>
      <c r="G215" s="0" t="n">
        <f aca="false">Raw_Data!AO215</f>
        <v>3</v>
      </c>
      <c r="H215" s="0" t="n">
        <f aca="false">SUM(B215:G215)</f>
        <v>21</v>
      </c>
      <c r="I215" s="0" t="n">
        <f aca="false">H215-B215</f>
        <v>18</v>
      </c>
      <c r="J215" s="0" t="n">
        <f aca="false">H215-C215</f>
        <v>17</v>
      </c>
      <c r="K215" s="0" t="n">
        <f aca="false">H215-D215</f>
        <v>16</v>
      </c>
      <c r="L215" s="0" t="n">
        <f aca="false">H215-E215</f>
        <v>18</v>
      </c>
      <c r="M215" s="0" t="n">
        <f aca="false">H215-F215</f>
        <v>18</v>
      </c>
      <c r="N215" s="0" t="n">
        <f aca="false">H215-G215</f>
        <v>18</v>
      </c>
      <c r="O215" s="0" t="n">
        <f aca="false">B215+D215+F215</f>
        <v>11</v>
      </c>
      <c r="P215" s="0" t="n">
        <f aca="false">C215+E215+G215</f>
        <v>10</v>
      </c>
    </row>
    <row r="216" customFormat="false" ht="15" hidden="false" customHeight="false" outlineLevel="0" collapsed="false">
      <c r="A216" s="0" t="n">
        <v>216</v>
      </c>
      <c r="B216" s="0" t="n">
        <f aca="false">Raw_Data!AJ216</f>
        <v>2</v>
      </c>
      <c r="C216" s="0" t="n">
        <f aca="false">Raw_Data!AK216</f>
        <v>4</v>
      </c>
      <c r="D216" s="0" t="n">
        <f aca="false">Raw_Data!AL216</f>
        <v>5</v>
      </c>
      <c r="E216" s="0" t="n">
        <f aca="false">Raw_Data!AM216</f>
        <v>4</v>
      </c>
      <c r="F216" s="0" t="n">
        <f aca="false">Raw_Data!AN216</f>
        <v>4</v>
      </c>
      <c r="G216" s="0" t="n">
        <f aca="false">Raw_Data!AO216</f>
        <v>3</v>
      </c>
      <c r="H216" s="0" t="n">
        <f aca="false">SUM(B216:G216)</f>
        <v>22</v>
      </c>
      <c r="I216" s="0" t="n">
        <f aca="false">H216-B216</f>
        <v>20</v>
      </c>
      <c r="J216" s="0" t="n">
        <f aca="false">H216-C216</f>
        <v>18</v>
      </c>
      <c r="K216" s="0" t="n">
        <f aca="false">H216-D216</f>
        <v>17</v>
      </c>
      <c r="L216" s="0" t="n">
        <f aca="false">H216-E216</f>
        <v>18</v>
      </c>
      <c r="M216" s="0" t="n">
        <f aca="false">H216-F216</f>
        <v>18</v>
      </c>
      <c r="N216" s="0" t="n">
        <f aca="false">H216-G216</f>
        <v>19</v>
      </c>
      <c r="O216" s="0" t="n">
        <f aca="false">B216+D216+F216</f>
        <v>11</v>
      </c>
      <c r="P216" s="0" t="n">
        <f aca="false">C216+E216+G216</f>
        <v>11</v>
      </c>
    </row>
    <row r="217" customFormat="false" ht="15" hidden="false" customHeight="false" outlineLevel="0" collapsed="false">
      <c r="A217" s="0" t="n">
        <v>217</v>
      </c>
      <c r="B217" s="0" t="n">
        <f aca="false">Raw_Data!AJ217</f>
        <v>3</v>
      </c>
      <c r="C217" s="0" t="n">
        <f aca="false">Raw_Data!AK217</f>
        <v>3</v>
      </c>
      <c r="D217" s="0" t="n">
        <f aca="false">Raw_Data!AL217</f>
        <v>4</v>
      </c>
      <c r="E217" s="0" t="n">
        <f aca="false">Raw_Data!AM217</f>
        <v>2</v>
      </c>
      <c r="F217" s="0" t="n">
        <f aca="false">Raw_Data!AN217</f>
        <v>3</v>
      </c>
      <c r="G217" s="0" t="n">
        <f aca="false">Raw_Data!AO217</f>
        <v>2</v>
      </c>
      <c r="H217" s="0" t="n">
        <f aca="false">SUM(B217:G217)</f>
        <v>17</v>
      </c>
      <c r="I217" s="0" t="n">
        <f aca="false">H217-B217</f>
        <v>14</v>
      </c>
      <c r="J217" s="0" t="n">
        <f aca="false">H217-C217</f>
        <v>14</v>
      </c>
      <c r="K217" s="0" t="n">
        <f aca="false">H217-D217</f>
        <v>13</v>
      </c>
      <c r="L217" s="0" t="n">
        <f aca="false">H217-E217</f>
        <v>15</v>
      </c>
      <c r="M217" s="0" t="n">
        <f aca="false">H217-F217</f>
        <v>14</v>
      </c>
      <c r="N217" s="0" t="n">
        <f aca="false">H217-G217</f>
        <v>15</v>
      </c>
      <c r="O217" s="0" t="n">
        <f aca="false">B217+D217+F217</f>
        <v>10</v>
      </c>
      <c r="P217" s="0" t="n">
        <f aca="false">C217+E217+G217</f>
        <v>7</v>
      </c>
    </row>
    <row r="218" customFormat="false" ht="15" hidden="false" customHeight="false" outlineLevel="0" collapsed="false">
      <c r="A218" s="0" t="n">
        <v>218</v>
      </c>
      <c r="B218" s="0" t="n">
        <f aca="false">Raw_Data!AJ218</f>
        <v>4</v>
      </c>
      <c r="C218" s="0" t="n">
        <f aca="false">Raw_Data!AK218</f>
        <v>4</v>
      </c>
      <c r="D218" s="0" t="n">
        <f aca="false">Raw_Data!AL218</f>
        <v>4</v>
      </c>
      <c r="E218" s="0" t="n">
        <f aca="false">Raw_Data!AM218</f>
        <v>3</v>
      </c>
      <c r="F218" s="0" t="n">
        <f aca="false">Raw_Data!AN218</f>
        <v>4</v>
      </c>
      <c r="G218" s="0" t="n">
        <f aca="false">Raw_Data!AO218</f>
        <v>3</v>
      </c>
      <c r="H218" s="0" t="n">
        <f aca="false">SUM(B218:G218)</f>
        <v>22</v>
      </c>
      <c r="I218" s="0" t="n">
        <f aca="false">H218-B218</f>
        <v>18</v>
      </c>
      <c r="J218" s="0" t="n">
        <f aca="false">H218-C218</f>
        <v>18</v>
      </c>
      <c r="K218" s="0" t="n">
        <f aca="false">H218-D218</f>
        <v>18</v>
      </c>
      <c r="L218" s="0" t="n">
        <f aca="false">H218-E218</f>
        <v>19</v>
      </c>
      <c r="M218" s="0" t="n">
        <f aca="false">H218-F218</f>
        <v>18</v>
      </c>
      <c r="N218" s="0" t="n">
        <f aca="false">H218-G218</f>
        <v>19</v>
      </c>
      <c r="O218" s="0" t="n">
        <f aca="false">B218+D218+F218</f>
        <v>12</v>
      </c>
      <c r="P218" s="0" t="n">
        <f aca="false">C218+E218+G218</f>
        <v>10</v>
      </c>
    </row>
    <row r="219" customFormat="false" ht="15" hidden="false" customHeight="false" outlineLevel="0" collapsed="false">
      <c r="A219" s="0" t="n">
        <v>219</v>
      </c>
      <c r="B219" s="0" t="n">
        <f aca="false">Raw_Data!AJ219</f>
        <v>4</v>
      </c>
      <c r="C219" s="0" t="n">
        <f aca="false">Raw_Data!AK219</f>
        <v>2</v>
      </c>
      <c r="D219" s="0" t="n">
        <f aca="false">Raw_Data!AL219</f>
        <v>4</v>
      </c>
      <c r="E219" s="0" t="n">
        <f aca="false">Raw_Data!AM219</f>
        <v>3</v>
      </c>
      <c r="F219" s="0" t="n">
        <f aca="false">Raw_Data!AN219</f>
        <v>3</v>
      </c>
      <c r="G219" s="0" t="n">
        <f aca="false">Raw_Data!AO219</f>
        <v>3</v>
      </c>
      <c r="H219" s="0" t="n">
        <f aca="false">SUM(B219:G219)</f>
        <v>19</v>
      </c>
      <c r="I219" s="0" t="n">
        <f aca="false">H219-B219</f>
        <v>15</v>
      </c>
      <c r="J219" s="0" t="n">
        <f aca="false">H219-C219</f>
        <v>17</v>
      </c>
      <c r="K219" s="0" t="n">
        <f aca="false">H219-D219</f>
        <v>15</v>
      </c>
      <c r="L219" s="0" t="n">
        <f aca="false">H219-E219</f>
        <v>16</v>
      </c>
      <c r="M219" s="0" t="n">
        <f aca="false">H219-F219</f>
        <v>16</v>
      </c>
      <c r="N219" s="0" t="n">
        <f aca="false">H219-G219</f>
        <v>16</v>
      </c>
      <c r="O219" s="0" t="n">
        <f aca="false">B219+D219+F219</f>
        <v>11</v>
      </c>
      <c r="P219" s="0" t="n">
        <f aca="false">C219+E219+G219</f>
        <v>8</v>
      </c>
    </row>
    <row r="220" customFormat="false" ht="15" hidden="false" customHeight="false" outlineLevel="0" collapsed="false">
      <c r="A220" s="0" t="n">
        <v>220</v>
      </c>
      <c r="B220" s="0" t="n">
        <f aca="false">Raw_Data!AJ220</f>
        <v>2</v>
      </c>
      <c r="C220" s="0" t="n">
        <f aca="false">Raw_Data!AK220</f>
        <v>5</v>
      </c>
      <c r="D220" s="0" t="n">
        <f aca="false">Raw_Data!AL220</f>
        <v>5</v>
      </c>
      <c r="E220" s="0" t="n">
        <f aca="false">Raw_Data!AM220</f>
        <v>4</v>
      </c>
      <c r="F220" s="0" t="n">
        <f aca="false">Raw_Data!AN220</f>
        <v>4</v>
      </c>
      <c r="G220" s="0" t="n">
        <f aca="false">Raw_Data!AO220</f>
        <v>4</v>
      </c>
      <c r="H220" s="0" t="n">
        <f aca="false">SUM(B220:G220)</f>
        <v>24</v>
      </c>
      <c r="I220" s="0" t="n">
        <f aca="false">H220-B220</f>
        <v>22</v>
      </c>
      <c r="J220" s="0" t="n">
        <f aca="false">H220-C220</f>
        <v>19</v>
      </c>
      <c r="K220" s="0" t="n">
        <f aca="false">H220-D220</f>
        <v>19</v>
      </c>
      <c r="L220" s="0" t="n">
        <f aca="false">H220-E220</f>
        <v>20</v>
      </c>
      <c r="M220" s="0" t="n">
        <f aca="false">H220-F220</f>
        <v>20</v>
      </c>
      <c r="N220" s="0" t="n">
        <f aca="false">H220-G220</f>
        <v>20</v>
      </c>
      <c r="O220" s="0" t="n">
        <f aca="false">B220+D220+F220</f>
        <v>11</v>
      </c>
      <c r="P220" s="0" t="n">
        <f aca="false">C220+E220+G220</f>
        <v>13</v>
      </c>
    </row>
    <row r="221" customFormat="false" ht="15" hidden="false" customHeight="false" outlineLevel="0" collapsed="false">
      <c r="A221" s="0" t="n">
        <v>221</v>
      </c>
      <c r="B221" s="0" t="n">
        <f aca="false">Raw_Data!AJ221</f>
        <v>3</v>
      </c>
      <c r="C221" s="0" t="n">
        <f aca="false">Raw_Data!AK221</f>
        <v>2</v>
      </c>
      <c r="D221" s="0" t="n">
        <f aca="false">Raw_Data!AL221</f>
        <v>2</v>
      </c>
      <c r="E221" s="0" t="n">
        <f aca="false">Raw_Data!AM221</f>
        <v>4</v>
      </c>
      <c r="F221" s="0" t="n">
        <f aca="false">Raw_Data!AN221</f>
        <v>4</v>
      </c>
      <c r="G221" s="0" t="n">
        <f aca="false">Raw_Data!AO221</f>
        <v>2</v>
      </c>
      <c r="H221" s="0" t="n">
        <f aca="false">SUM(B221:G221)</f>
        <v>17</v>
      </c>
      <c r="I221" s="0" t="n">
        <f aca="false">H221-B221</f>
        <v>14</v>
      </c>
      <c r="J221" s="0" t="n">
        <f aca="false">H221-C221</f>
        <v>15</v>
      </c>
      <c r="K221" s="0" t="n">
        <f aca="false">H221-D221</f>
        <v>15</v>
      </c>
      <c r="L221" s="0" t="n">
        <f aca="false">H221-E221</f>
        <v>13</v>
      </c>
      <c r="M221" s="0" t="n">
        <f aca="false">H221-F221</f>
        <v>13</v>
      </c>
      <c r="N221" s="0" t="n">
        <f aca="false">H221-G221</f>
        <v>15</v>
      </c>
      <c r="O221" s="0" t="n">
        <f aca="false">B221+D221+F221</f>
        <v>9</v>
      </c>
      <c r="P221" s="0" t="n">
        <f aca="false">C221+E221+G221</f>
        <v>8</v>
      </c>
    </row>
    <row r="222" customFormat="false" ht="15" hidden="false" customHeight="false" outlineLevel="0" collapsed="false">
      <c r="A222" s="0" t="n">
        <v>222</v>
      </c>
      <c r="B222" s="0" t="n">
        <f aca="false">Raw_Data!AJ222</f>
        <v>5</v>
      </c>
      <c r="C222" s="0" t="n">
        <f aca="false">Raw_Data!AK222</f>
        <v>5</v>
      </c>
      <c r="D222" s="0" t="n">
        <f aca="false">Raw_Data!AL222</f>
        <v>5</v>
      </c>
      <c r="E222" s="0" t="n">
        <f aca="false">Raw_Data!AM222</f>
        <v>5</v>
      </c>
      <c r="F222" s="0" t="n">
        <f aca="false">Raw_Data!AN222</f>
        <v>5</v>
      </c>
      <c r="G222" s="0" t="n">
        <f aca="false">Raw_Data!AO222</f>
        <v>3</v>
      </c>
      <c r="H222" s="0" t="n">
        <f aca="false">SUM(B222:G222)</f>
        <v>28</v>
      </c>
      <c r="I222" s="0" t="n">
        <f aca="false">H222-B222</f>
        <v>23</v>
      </c>
      <c r="J222" s="0" t="n">
        <f aca="false">H222-C222</f>
        <v>23</v>
      </c>
      <c r="K222" s="0" t="n">
        <f aca="false">H222-D222</f>
        <v>23</v>
      </c>
      <c r="L222" s="0" t="n">
        <f aca="false">H222-E222</f>
        <v>23</v>
      </c>
      <c r="M222" s="0" t="n">
        <f aca="false">H222-F222</f>
        <v>23</v>
      </c>
      <c r="N222" s="0" t="n">
        <f aca="false">H222-G222</f>
        <v>25</v>
      </c>
      <c r="O222" s="0" t="n">
        <f aca="false">B222+D222+F222</f>
        <v>15</v>
      </c>
      <c r="P222" s="0" t="n">
        <f aca="false">C222+E222+G222</f>
        <v>13</v>
      </c>
    </row>
    <row r="223" customFormat="false" ht="15" hidden="false" customHeight="false" outlineLevel="0" collapsed="false">
      <c r="A223" s="0" t="n">
        <v>223</v>
      </c>
      <c r="B223" s="0" t="n">
        <f aca="false">Raw_Data!AJ223</f>
        <v>3</v>
      </c>
      <c r="C223" s="0" t="n">
        <f aca="false">Raw_Data!AK223</f>
        <v>3</v>
      </c>
      <c r="D223" s="0" t="n">
        <f aca="false">Raw_Data!AL223</f>
        <v>3</v>
      </c>
      <c r="E223" s="0" t="n">
        <f aca="false">Raw_Data!AM223</f>
        <v>2</v>
      </c>
      <c r="F223" s="0" t="n">
        <f aca="false">Raw_Data!AN223</f>
        <v>4</v>
      </c>
      <c r="G223" s="0" t="n">
        <f aca="false">Raw_Data!AO223</f>
        <v>4</v>
      </c>
      <c r="H223" s="0" t="n">
        <f aca="false">SUM(B223:G223)</f>
        <v>19</v>
      </c>
      <c r="I223" s="0" t="n">
        <f aca="false">H223-B223</f>
        <v>16</v>
      </c>
      <c r="J223" s="0" t="n">
        <f aca="false">H223-C223</f>
        <v>16</v>
      </c>
      <c r="K223" s="0" t="n">
        <f aca="false">H223-D223</f>
        <v>16</v>
      </c>
      <c r="L223" s="0" t="n">
        <f aca="false">H223-E223</f>
        <v>17</v>
      </c>
      <c r="M223" s="0" t="n">
        <f aca="false">H223-F223</f>
        <v>15</v>
      </c>
      <c r="N223" s="0" t="n">
        <f aca="false">H223-G223</f>
        <v>15</v>
      </c>
      <c r="O223" s="0" t="n">
        <f aca="false">B223+D223+F223</f>
        <v>10</v>
      </c>
      <c r="P223" s="0" t="n">
        <f aca="false">C223+E223+G223</f>
        <v>9</v>
      </c>
    </row>
    <row r="224" customFormat="false" ht="15" hidden="false" customHeight="false" outlineLevel="0" collapsed="false">
      <c r="A224" s="0" t="n">
        <v>224</v>
      </c>
      <c r="B224" s="0" t="n">
        <f aca="false">Raw_Data!AJ224</f>
        <v>4</v>
      </c>
      <c r="C224" s="0" t="n">
        <f aca="false">Raw_Data!AK224</f>
        <v>3</v>
      </c>
      <c r="D224" s="0" t="n">
        <f aca="false">Raw_Data!AL224</f>
        <v>5</v>
      </c>
      <c r="E224" s="0" t="n">
        <f aca="false">Raw_Data!AM224</f>
        <v>3</v>
      </c>
      <c r="F224" s="0" t="n">
        <f aca="false">Raw_Data!AN224</f>
        <v>3</v>
      </c>
      <c r="G224" s="0" t="n">
        <f aca="false">Raw_Data!AO224</f>
        <v>4</v>
      </c>
      <c r="H224" s="0" t="n">
        <f aca="false">SUM(B224:G224)</f>
        <v>22</v>
      </c>
      <c r="I224" s="0" t="n">
        <f aca="false">H224-B224</f>
        <v>18</v>
      </c>
      <c r="J224" s="0" t="n">
        <f aca="false">H224-C224</f>
        <v>19</v>
      </c>
      <c r="K224" s="0" t="n">
        <f aca="false">H224-D224</f>
        <v>17</v>
      </c>
      <c r="L224" s="0" t="n">
        <f aca="false">H224-E224</f>
        <v>19</v>
      </c>
      <c r="M224" s="0" t="n">
        <f aca="false">H224-F224</f>
        <v>19</v>
      </c>
      <c r="N224" s="0" t="n">
        <f aca="false">H224-G224</f>
        <v>18</v>
      </c>
      <c r="O224" s="0" t="n">
        <f aca="false">B224+D224+F224</f>
        <v>12</v>
      </c>
      <c r="P224" s="0" t="n">
        <f aca="false">C224+E224+G224</f>
        <v>10</v>
      </c>
    </row>
    <row r="225" customFormat="false" ht="15" hidden="false" customHeight="false" outlineLevel="0" collapsed="false">
      <c r="A225" s="0" t="n">
        <v>225</v>
      </c>
      <c r="B225" s="0" t="n">
        <f aca="false">Raw_Data!AJ225</f>
        <v>5</v>
      </c>
      <c r="C225" s="0" t="n">
        <f aca="false">Raw_Data!AK225</f>
        <v>2</v>
      </c>
      <c r="D225" s="0" t="n">
        <f aca="false">Raw_Data!AL225</f>
        <v>3</v>
      </c>
      <c r="E225" s="0" t="n">
        <f aca="false">Raw_Data!AM225</f>
        <v>3</v>
      </c>
      <c r="F225" s="0" t="n">
        <f aca="false">Raw_Data!AN225</f>
        <v>3</v>
      </c>
      <c r="G225" s="0" t="n">
        <f aca="false">Raw_Data!AO225</f>
        <v>3</v>
      </c>
      <c r="H225" s="0" t="n">
        <f aca="false">SUM(B225:G225)</f>
        <v>19</v>
      </c>
      <c r="I225" s="0" t="n">
        <f aca="false">H225-B225</f>
        <v>14</v>
      </c>
      <c r="J225" s="0" t="n">
        <f aca="false">H225-C225</f>
        <v>17</v>
      </c>
      <c r="K225" s="0" t="n">
        <f aca="false">H225-D225</f>
        <v>16</v>
      </c>
      <c r="L225" s="0" t="n">
        <f aca="false">H225-E225</f>
        <v>16</v>
      </c>
      <c r="M225" s="0" t="n">
        <f aca="false">H225-F225</f>
        <v>16</v>
      </c>
      <c r="N225" s="0" t="n">
        <f aca="false">H225-G225</f>
        <v>16</v>
      </c>
      <c r="O225" s="0" t="n">
        <f aca="false">B225+D225+F225</f>
        <v>11</v>
      </c>
      <c r="P225" s="0" t="n">
        <f aca="false">C225+E225+G225</f>
        <v>8</v>
      </c>
    </row>
    <row r="226" customFormat="false" ht="15" hidden="false" customHeight="false" outlineLevel="0" collapsed="false">
      <c r="A226" s="0" t="n">
        <v>226</v>
      </c>
      <c r="B226" s="0" t="n">
        <f aca="false">Raw_Data!AJ226</f>
        <v>3</v>
      </c>
      <c r="C226" s="0" t="n">
        <f aca="false">Raw_Data!AK226</f>
        <v>3</v>
      </c>
      <c r="D226" s="0" t="n">
        <f aca="false">Raw_Data!AL226</f>
        <v>4</v>
      </c>
      <c r="E226" s="0" t="n">
        <f aca="false">Raw_Data!AM226</f>
        <v>3</v>
      </c>
      <c r="F226" s="0" t="n">
        <f aca="false">Raw_Data!AN226</f>
        <v>2</v>
      </c>
      <c r="G226" s="0" t="n">
        <f aca="false">Raw_Data!AO226</f>
        <v>2</v>
      </c>
      <c r="H226" s="0" t="n">
        <f aca="false">SUM(B226:G226)</f>
        <v>17</v>
      </c>
      <c r="I226" s="0" t="n">
        <f aca="false">H226-B226</f>
        <v>14</v>
      </c>
      <c r="J226" s="0" t="n">
        <f aca="false">H226-C226</f>
        <v>14</v>
      </c>
      <c r="K226" s="0" t="n">
        <f aca="false">H226-D226</f>
        <v>13</v>
      </c>
      <c r="L226" s="0" t="n">
        <f aca="false">H226-E226</f>
        <v>14</v>
      </c>
      <c r="M226" s="0" t="n">
        <f aca="false">H226-F226</f>
        <v>15</v>
      </c>
      <c r="N226" s="0" t="n">
        <f aca="false">H226-G226</f>
        <v>15</v>
      </c>
      <c r="O226" s="0" t="n">
        <f aca="false">B226+D226+F226</f>
        <v>9</v>
      </c>
      <c r="P226" s="0" t="n">
        <f aca="false">C226+E226+G226</f>
        <v>8</v>
      </c>
    </row>
    <row r="227" customFormat="false" ht="15" hidden="false" customHeight="false" outlineLevel="0" collapsed="false">
      <c r="A227" s="0" t="n">
        <v>227</v>
      </c>
      <c r="B227" s="0" t="n">
        <f aca="false">Raw_Data!AJ227</f>
        <v>3</v>
      </c>
      <c r="C227" s="0" t="n">
        <f aca="false">Raw_Data!AK227</f>
        <v>4</v>
      </c>
      <c r="D227" s="0" t="n">
        <f aca="false">Raw_Data!AL227</f>
        <v>4</v>
      </c>
      <c r="E227" s="0" t="n">
        <f aca="false">Raw_Data!AM227</f>
        <v>3</v>
      </c>
      <c r="F227" s="0" t="n">
        <f aca="false">Raw_Data!AN227</f>
        <v>4</v>
      </c>
      <c r="G227" s="0" t="n">
        <f aca="false">Raw_Data!AO227</f>
        <v>2</v>
      </c>
      <c r="H227" s="0" t="n">
        <f aca="false">SUM(B227:G227)</f>
        <v>20</v>
      </c>
      <c r="I227" s="0" t="n">
        <f aca="false">H227-B227</f>
        <v>17</v>
      </c>
      <c r="J227" s="0" t="n">
        <f aca="false">H227-C227</f>
        <v>16</v>
      </c>
      <c r="K227" s="0" t="n">
        <f aca="false">H227-D227</f>
        <v>16</v>
      </c>
      <c r="L227" s="0" t="n">
        <f aca="false">H227-E227</f>
        <v>17</v>
      </c>
      <c r="M227" s="0" t="n">
        <f aca="false">H227-F227</f>
        <v>16</v>
      </c>
      <c r="N227" s="0" t="n">
        <f aca="false">H227-G227</f>
        <v>18</v>
      </c>
      <c r="O227" s="0" t="n">
        <f aca="false">B227+D227+F227</f>
        <v>11</v>
      </c>
      <c r="P227" s="0" t="n">
        <f aca="false">C227+E227+G227</f>
        <v>9</v>
      </c>
    </row>
    <row r="228" customFormat="false" ht="15" hidden="false" customHeight="false" outlineLevel="0" collapsed="false">
      <c r="A228" s="0" t="n">
        <v>228</v>
      </c>
      <c r="B228" s="0" t="n">
        <f aca="false">Raw_Data!AJ228</f>
        <v>3</v>
      </c>
      <c r="C228" s="0" t="n">
        <f aca="false">Raw_Data!AK228</f>
        <v>3</v>
      </c>
      <c r="D228" s="0" t="n">
        <f aca="false">Raw_Data!AL228</f>
        <v>4</v>
      </c>
      <c r="E228" s="0" t="n">
        <f aca="false">Raw_Data!AM228</f>
        <v>4</v>
      </c>
      <c r="F228" s="0" t="n">
        <f aca="false">Raw_Data!AN228</f>
        <v>4</v>
      </c>
      <c r="G228" s="0" t="n">
        <f aca="false">Raw_Data!AO228</f>
        <v>4</v>
      </c>
      <c r="H228" s="0" t="n">
        <f aca="false">SUM(B228:G228)</f>
        <v>22</v>
      </c>
      <c r="I228" s="0" t="n">
        <f aca="false">H228-B228</f>
        <v>19</v>
      </c>
      <c r="J228" s="0" t="n">
        <f aca="false">H228-C228</f>
        <v>19</v>
      </c>
      <c r="K228" s="0" t="n">
        <f aca="false">H228-D228</f>
        <v>18</v>
      </c>
      <c r="L228" s="0" t="n">
        <f aca="false">H228-E228</f>
        <v>18</v>
      </c>
      <c r="M228" s="0" t="n">
        <f aca="false">H228-F228</f>
        <v>18</v>
      </c>
      <c r="N228" s="0" t="n">
        <f aca="false">H228-G228</f>
        <v>18</v>
      </c>
      <c r="O228" s="0" t="n">
        <f aca="false">B228+D228+F228</f>
        <v>11</v>
      </c>
      <c r="P228" s="0" t="n">
        <f aca="false">C228+E228+G228</f>
        <v>11</v>
      </c>
    </row>
    <row r="229" customFormat="false" ht="15" hidden="false" customHeight="false" outlineLevel="0" collapsed="false">
      <c r="A229" s="0" t="n">
        <v>229</v>
      </c>
      <c r="B229" s="0" t="n">
        <f aca="false">Raw_Data!AJ229</f>
        <v>4</v>
      </c>
      <c r="C229" s="0" t="n">
        <f aca="false">Raw_Data!AK229</f>
        <v>3</v>
      </c>
      <c r="D229" s="0" t="n">
        <f aca="false">Raw_Data!AL229</f>
        <v>4</v>
      </c>
      <c r="E229" s="0" t="n">
        <f aca="false">Raw_Data!AM229</f>
        <v>3</v>
      </c>
      <c r="F229" s="0" t="n">
        <f aca="false">Raw_Data!AN229</f>
        <v>3</v>
      </c>
      <c r="G229" s="0" t="n">
        <f aca="false">Raw_Data!AO229</f>
        <v>3</v>
      </c>
      <c r="H229" s="0" t="n">
        <f aca="false">SUM(B229:G229)</f>
        <v>20</v>
      </c>
      <c r="I229" s="0" t="n">
        <f aca="false">H229-B229</f>
        <v>16</v>
      </c>
      <c r="J229" s="0" t="n">
        <f aca="false">H229-C229</f>
        <v>17</v>
      </c>
      <c r="K229" s="0" t="n">
        <f aca="false">H229-D229</f>
        <v>16</v>
      </c>
      <c r="L229" s="0" t="n">
        <f aca="false">H229-E229</f>
        <v>17</v>
      </c>
      <c r="M229" s="0" t="n">
        <f aca="false">H229-F229</f>
        <v>17</v>
      </c>
      <c r="N229" s="0" t="n">
        <f aca="false">H229-G229</f>
        <v>17</v>
      </c>
      <c r="O229" s="0" t="n">
        <f aca="false">B229+D229+F229</f>
        <v>11</v>
      </c>
      <c r="P229" s="0" t="n">
        <f aca="false">C229+E229+G229</f>
        <v>9</v>
      </c>
    </row>
    <row r="230" customFormat="false" ht="15" hidden="false" customHeight="false" outlineLevel="0" collapsed="false">
      <c r="A230" s="0" t="n">
        <v>230</v>
      </c>
      <c r="B230" s="0" t="n">
        <f aca="false">Raw_Data!AJ230</f>
        <v>3</v>
      </c>
      <c r="C230" s="0" t="n">
        <f aca="false">Raw_Data!AK230</f>
        <v>2</v>
      </c>
      <c r="D230" s="0" t="n">
        <f aca="false">Raw_Data!AL230</f>
        <v>3</v>
      </c>
      <c r="E230" s="0" t="n">
        <f aca="false">Raw_Data!AM230</f>
        <v>4</v>
      </c>
      <c r="F230" s="0" t="n">
        <f aca="false">Raw_Data!AN230</f>
        <v>4</v>
      </c>
      <c r="G230" s="0" t="n">
        <f aca="false">Raw_Data!AO230</f>
        <v>4</v>
      </c>
      <c r="H230" s="0" t="n">
        <f aca="false">SUM(B230:G230)</f>
        <v>20</v>
      </c>
      <c r="I230" s="0" t="n">
        <f aca="false">H230-B230</f>
        <v>17</v>
      </c>
      <c r="J230" s="0" t="n">
        <f aca="false">H230-C230</f>
        <v>18</v>
      </c>
      <c r="K230" s="0" t="n">
        <f aca="false">H230-D230</f>
        <v>17</v>
      </c>
      <c r="L230" s="0" t="n">
        <f aca="false">H230-E230</f>
        <v>16</v>
      </c>
      <c r="M230" s="0" t="n">
        <f aca="false">H230-F230</f>
        <v>16</v>
      </c>
      <c r="N230" s="0" t="n">
        <f aca="false">H230-G230</f>
        <v>16</v>
      </c>
      <c r="O230" s="0" t="n">
        <f aca="false">B230+D230+F230</f>
        <v>10</v>
      </c>
      <c r="P230" s="0" t="n">
        <f aca="false">C230+E230+G230</f>
        <v>10</v>
      </c>
    </row>
    <row r="231" customFormat="false" ht="15" hidden="false" customHeight="false" outlineLevel="0" collapsed="false">
      <c r="A231" s="0" t="n">
        <v>231</v>
      </c>
      <c r="B231" s="0" t="n">
        <f aca="false">Raw_Data!AJ231</f>
        <v>4</v>
      </c>
      <c r="C231" s="0" t="n">
        <f aca="false">Raw_Data!AK231</f>
        <v>4</v>
      </c>
      <c r="D231" s="0" t="n">
        <f aca="false">Raw_Data!AL231</f>
        <v>4</v>
      </c>
      <c r="E231" s="0" t="n">
        <f aca="false">Raw_Data!AM231</f>
        <v>3</v>
      </c>
      <c r="F231" s="0" t="n">
        <f aca="false">Raw_Data!AN231</f>
        <v>2</v>
      </c>
      <c r="G231" s="0" t="n">
        <f aca="false">Raw_Data!AO231</f>
        <v>4</v>
      </c>
      <c r="H231" s="0" t="n">
        <f aca="false">SUM(B231:G231)</f>
        <v>21</v>
      </c>
      <c r="I231" s="0" t="n">
        <f aca="false">H231-B231</f>
        <v>17</v>
      </c>
      <c r="J231" s="0" t="n">
        <f aca="false">H231-C231</f>
        <v>17</v>
      </c>
      <c r="K231" s="0" t="n">
        <f aca="false">H231-D231</f>
        <v>17</v>
      </c>
      <c r="L231" s="0" t="n">
        <f aca="false">H231-E231</f>
        <v>18</v>
      </c>
      <c r="M231" s="0" t="n">
        <f aca="false">H231-F231</f>
        <v>19</v>
      </c>
      <c r="N231" s="0" t="n">
        <f aca="false">H231-G231</f>
        <v>17</v>
      </c>
      <c r="O231" s="0" t="n">
        <f aca="false">B231+D231+F231</f>
        <v>10</v>
      </c>
      <c r="P231" s="0" t="n">
        <f aca="false">C231+E231+G231</f>
        <v>11</v>
      </c>
    </row>
    <row r="232" customFormat="false" ht="15" hidden="false" customHeight="false" outlineLevel="0" collapsed="false">
      <c r="A232" s="0" t="n">
        <v>232</v>
      </c>
      <c r="B232" s="0" t="n">
        <f aca="false">Raw_Data!AJ232</f>
        <v>5</v>
      </c>
      <c r="C232" s="0" t="n">
        <f aca="false">Raw_Data!AK232</f>
        <v>3</v>
      </c>
      <c r="D232" s="0" t="n">
        <f aca="false">Raw_Data!AL232</f>
        <v>5</v>
      </c>
      <c r="E232" s="0" t="n">
        <f aca="false">Raw_Data!AM232</f>
        <v>2</v>
      </c>
      <c r="F232" s="0" t="n">
        <f aca="false">Raw_Data!AN232</f>
        <v>1</v>
      </c>
      <c r="G232" s="0" t="n">
        <f aca="false">Raw_Data!AO232</f>
        <v>2</v>
      </c>
      <c r="H232" s="0" t="n">
        <f aca="false">SUM(B232:G232)</f>
        <v>18</v>
      </c>
      <c r="I232" s="0" t="n">
        <f aca="false">H232-B232</f>
        <v>13</v>
      </c>
      <c r="J232" s="0" t="n">
        <f aca="false">H232-C232</f>
        <v>15</v>
      </c>
      <c r="K232" s="0" t="n">
        <f aca="false">H232-D232</f>
        <v>13</v>
      </c>
      <c r="L232" s="0" t="n">
        <f aca="false">H232-E232</f>
        <v>16</v>
      </c>
      <c r="M232" s="0" t="n">
        <f aca="false">H232-F232</f>
        <v>17</v>
      </c>
      <c r="N232" s="0" t="n">
        <f aca="false">H232-G232</f>
        <v>16</v>
      </c>
      <c r="O232" s="0" t="n">
        <f aca="false">B232+D232+F232</f>
        <v>11</v>
      </c>
      <c r="P232" s="0" t="n">
        <f aca="false">C232+E232+G232</f>
        <v>7</v>
      </c>
    </row>
    <row r="233" customFormat="false" ht="15" hidden="false" customHeight="false" outlineLevel="0" collapsed="false">
      <c r="A233" s="0" t="n">
        <v>233</v>
      </c>
      <c r="B233" s="0" t="n">
        <f aca="false">Raw_Data!AJ233</f>
        <v>4</v>
      </c>
      <c r="C233" s="0" t="n">
        <f aca="false">Raw_Data!AK233</f>
        <v>3</v>
      </c>
      <c r="D233" s="0" t="n">
        <f aca="false">Raw_Data!AL233</f>
        <v>4</v>
      </c>
      <c r="E233" s="0" t="n">
        <f aca="false">Raw_Data!AM233</f>
        <v>3</v>
      </c>
      <c r="F233" s="0" t="n">
        <f aca="false">Raw_Data!AN233</f>
        <v>3</v>
      </c>
      <c r="G233" s="0" t="n">
        <f aca="false">Raw_Data!AO233</f>
        <v>3</v>
      </c>
      <c r="H233" s="0" t="n">
        <f aca="false">SUM(B233:G233)</f>
        <v>20</v>
      </c>
      <c r="I233" s="0" t="n">
        <f aca="false">H233-B233</f>
        <v>16</v>
      </c>
      <c r="J233" s="0" t="n">
        <f aca="false">H233-C233</f>
        <v>17</v>
      </c>
      <c r="K233" s="0" t="n">
        <f aca="false">H233-D233</f>
        <v>16</v>
      </c>
      <c r="L233" s="0" t="n">
        <f aca="false">H233-E233</f>
        <v>17</v>
      </c>
      <c r="M233" s="0" t="n">
        <f aca="false">H233-F233</f>
        <v>17</v>
      </c>
      <c r="N233" s="0" t="n">
        <f aca="false">H233-G233</f>
        <v>17</v>
      </c>
      <c r="O233" s="0" t="n">
        <f aca="false">B233+D233+F233</f>
        <v>11</v>
      </c>
      <c r="P233" s="0" t="n">
        <f aca="false">C233+E233+G233</f>
        <v>9</v>
      </c>
    </row>
    <row r="234" customFormat="false" ht="15" hidden="false" customHeight="false" outlineLevel="0" collapsed="false">
      <c r="A234" s="0" t="n">
        <v>234</v>
      </c>
      <c r="B234" s="0" t="n">
        <f aca="false">Raw_Data!AJ234</f>
        <v>4</v>
      </c>
      <c r="C234" s="0" t="n">
        <f aca="false">Raw_Data!AK234</f>
        <v>2</v>
      </c>
      <c r="D234" s="0" t="n">
        <f aca="false">Raw_Data!AL234</f>
        <v>5</v>
      </c>
      <c r="E234" s="0" t="n">
        <f aca="false">Raw_Data!AM234</f>
        <v>3</v>
      </c>
      <c r="F234" s="0" t="n">
        <f aca="false">Raw_Data!AN234</f>
        <v>2</v>
      </c>
      <c r="G234" s="0" t="n">
        <f aca="false">Raw_Data!AO234</f>
        <v>4</v>
      </c>
      <c r="H234" s="0" t="n">
        <f aca="false">SUM(B234:G234)</f>
        <v>20</v>
      </c>
      <c r="I234" s="0" t="n">
        <f aca="false">H234-B234</f>
        <v>16</v>
      </c>
      <c r="J234" s="0" t="n">
        <f aca="false">H234-C234</f>
        <v>18</v>
      </c>
      <c r="K234" s="0" t="n">
        <f aca="false">H234-D234</f>
        <v>15</v>
      </c>
      <c r="L234" s="0" t="n">
        <f aca="false">H234-E234</f>
        <v>17</v>
      </c>
      <c r="M234" s="0" t="n">
        <f aca="false">H234-F234</f>
        <v>18</v>
      </c>
      <c r="N234" s="0" t="n">
        <f aca="false">H234-G234</f>
        <v>16</v>
      </c>
      <c r="O234" s="0" t="n">
        <f aca="false">B234+D234+F234</f>
        <v>11</v>
      </c>
      <c r="P234" s="0" t="n">
        <f aca="false">C234+E234+G234</f>
        <v>9</v>
      </c>
    </row>
    <row r="235" customFormat="false" ht="15" hidden="false" customHeight="false" outlineLevel="0" collapsed="false">
      <c r="A235" s="0" t="n">
        <v>235</v>
      </c>
      <c r="B235" s="0" t="n">
        <f aca="false">Raw_Data!AJ235</f>
        <v>3</v>
      </c>
      <c r="C235" s="0" t="n">
        <f aca="false">Raw_Data!AK235</f>
        <v>5</v>
      </c>
      <c r="D235" s="0" t="n">
        <f aca="false">Raw_Data!AL235</f>
        <v>3</v>
      </c>
      <c r="E235" s="0" t="n">
        <f aca="false">Raw_Data!AM235</f>
        <v>3</v>
      </c>
      <c r="F235" s="0" t="n">
        <f aca="false">Raw_Data!AN235</f>
        <v>3</v>
      </c>
      <c r="G235" s="0" t="n">
        <f aca="false">Raw_Data!AO235</f>
        <v>5</v>
      </c>
      <c r="H235" s="0" t="n">
        <f aca="false">SUM(B235:G235)</f>
        <v>22</v>
      </c>
      <c r="I235" s="0" t="n">
        <f aca="false">H235-B235</f>
        <v>19</v>
      </c>
      <c r="J235" s="0" t="n">
        <f aca="false">H235-C235</f>
        <v>17</v>
      </c>
      <c r="K235" s="0" t="n">
        <f aca="false">H235-D235</f>
        <v>19</v>
      </c>
      <c r="L235" s="0" t="n">
        <f aca="false">H235-E235</f>
        <v>19</v>
      </c>
      <c r="M235" s="0" t="n">
        <f aca="false">H235-F235</f>
        <v>19</v>
      </c>
      <c r="N235" s="0" t="n">
        <f aca="false">H235-G235</f>
        <v>17</v>
      </c>
      <c r="O235" s="0" t="n">
        <f aca="false">B235+D235+F235</f>
        <v>9</v>
      </c>
      <c r="P235" s="0" t="n">
        <f aca="false">C235+E235+G235</f>
        <v>13</v>
      </c>
    </row>
    <row r="236" customFormat="false" ht="15" hidden="false" customHeight="false" outlineLevel="0" collapsed="false">
      <c r="A236" s="0" t="n">
        <v>236</v>
      </c>
      <c r="B236" s="0" t="n">
        <f aca="false">Raw_Data!AJ236</f>
        <v>3</v>
      </c>
      <c r="C236" s="0" t="n">
        <f aca="false">Raw_Data!AK236</f>
        <v>1</v>
      </c>
      <c r="D236" s="0" t="n">
        <f aca="false">Raw_Data!AL236</f>
        <v>5</v>
      </c>
      <c r="E236" s="0" t="n">
        <f aca="false">Raw_Data!AM236</f>
        <v>4</v>
      </c>
      <c r="F236" s="0" t="n">
        <f aca="false">Raw_Data!AN236</f>
        <v>1</v>
      </c>
      <c r="G236" s="0" t="n">
        <f aca="false">Raw_Data!AO236</f>
        <v>1</v>
      </c>
      <c r="H236" s="0" t="n">
        <f aca="false">SUM(B236:G236)</f>
        <v>15</v>
      </c>
      <c r="I236" s="0" t="n">
        <f aca="false">H236-B236</f>
        <v>12</v>
      </c>
      <c r="J236" s="0" t="n">
        <f aca="false">H236-C236</f>
        <v>14</v>
      </c>
      <c r="K236" s="0" t="n">
        <f aca="false">H236-D236</f>
        <v>10</v>
      </c>
      <c r="L236" s="0" t="n">
        <f aca="false">H236-E236</f>
        <v>11</v>
      </c>
      <c r="M236" s="0" t="n">
        <f aca="false">H236-F236</f>
        <v>14</v>
      </c>
      <c r="N236" s="0" t="n">
        <f aca="false">H236-G236</f>
        <v>14</v>
      </c>
      <c r="O236" s="0" t="n">
        <f aca="false">B236+D236+F236</f>
        <v>9</v>
      </c>
      <c r="P236" s="0" t="n">
        <f aca="false">C236+E236+G236</f>
        <v>6</v>
      </c>
    </row>
    <row r="237" customFormat="false" ht="15" hidden="false" customHeight="false" outlineLevel="0" collapsed="false">
      <c r="A237" s="0" t="n">
        <v>237</v>
      </c>
      <c r="B237" s="0" t="n">
        <f aca="false">Raw_Data!AJ237</f>
        <v>4</v>
      </c>
      <c r="C237" s="0" t="n">
        <f aca="false">Raw_Data!AK237</f>
        <v>2</v>
      </c>
      <c r="D237" s="0" t="n">
        <f aca="false">Raw_Data!AL237</f>
        <v>4</v>
      </c>
      <c r="E237" s="0" t="n">
        <f aca="false">Raw_Data!AM237</f>
        <v>3</v>
      </c>
      <c r="F237" s="0" t="n">
        <f aca="false">Raw_Data!AN237</f>
        <v>2</v>
      </c>
      <c r="G237" s="0" t="n">
        <f aca="false">Raw_Data!AO237</f>
        <v>4</v>
      </c>
      <c r="H237" s="0" t="n">
        <f aca="false">SUM(B237:G237)</f>
        <v>19</v>
      </c>
      <c r="I237" s="0" t="n">
        <f aca="false">H237-B237</f>
        <v>15</v>
      </c>
      <c r="J237" s="0" t="n">
        <f aca="false">H237-C237</f>
        <v>17</v>
      </c>
      <c r="K237" s="0" t="n">
        <f aca="false">H237-D237</f>
        <v>15</v>
      </c>
      <c r="L237" s="0" t="n">
        <f aca="false">H237-E237</f>
        <v>16</v>
      </c>
      <c r="M237" s="0" t="n">
        <f aca="false">H237-F237</f>
        <v>17</v>
      </c>
      <c r="N237" s="0" t="n">
        <f aca="false">H237-G237</f>
        <v>15</v>
      </c>
      <c r="O237" s="0" t="n">
        <f aca="false">B237+D237+F237</f>
        <v>10</v>
      </c>
      <c r="P237" s="0" t="n">
        <f aca="false">C237+E237+G237</f>
        <v>9</v>
      </c>
    </row>
    <row r="238" customFormat="false" ht="15" hidden="false" customHeight="false" outlineLevel="0" collapsed="false">
      <c r="A238" s="0" t="n">
        <v>238</v>
      </c>
      <c r="B238" s="0" t="n">
        <f aca="false">Raw_Data!AJ238</f>
        <v>5</v>
      </c>
      <c r="C238" s="0" t="n">
        <f aca="false">Raw_Data!AK238</f>
        <v>1</v>
      </c>
      <c r="D238" s="0" t="n">
        <f aca="false">Raw_Data!AL238</f>
        <v>5</v>
      </c>
      <c r="E238" s="0" t="n">
        <f aca="false">Raw_Data!AM238</f>
        <v>5</v>
      </c>
      <c r="F238" s="0" t="n">
        <f aca="false">Raw_Data!AN238</f>
        <v>1</v>
      </c>
      <c r="G238" s="0" t="n">
        <f aca="false">Raw_Data!AO238</f>
        <v>1</v>
      </c>
      <c r="H238" s="0" t="n">
        <f aca="false">SUM(B238:G238)</f>
        <v>18</v>
      </c>
      <c r="I238" s="0" t="n">
        <f aca="false">H238-B238</f>
        <v>13</v>
      </c>
      <c r="J238" s="0" t="n">
        <f aca="false">H238-C238</f>
        <v>17</v>
      </c>
      <c r="K238" s="0" t="n">
        <f aca="false">H238-D238</f>
        <v>13</v>
      </c>
      <c r="L238" s="0" t="n">
        <f aca="false">H238-E238</f>
        <v>13</v>
      </c>
      <c r="M238" s="0" t="n">
        <f aca="false">H238-F238</f>
        <v>17</v>
      </c>
      <c r="N238" s="0" t="n">
        <f aca="false">H238-G238</f>
        <v>17</v>
      </c>
      <c r="O238" s="0" t="n">
        <f aca="false">B238+D238+F238</f>
        <v>11</v>
      </c>
      <c r="P238" s="0" t="n">
        <f aca="false">C238+E238+G238</f>
        <v>7</v>
      </c>
    </row>
    <row r="239" customFormat="false" ht="15" hidden="false" customHeight="false" outlineLevel="0" collapsed="false">
      <c r="A239" s="0" t="n">
        <v>239</v>
      </c>
      <c r="B239" s="0" t="n">
        <f aca="false">Raw_Data!AJ239</f>
        <v>5</v>
      </c>
      <c r="C239" s="0" t="n">
        <f aca="false">Raw_Data!AK239</f>
        <v>3</v>
      </c>
      <c r="D239" s="0" t="n">
        <f aca="false">Raw_Data!AL239</f>
        <v>3</v>
      </c>
      <c r="E239" s="0" t="n">
        <f aca="false">Raw_Data!AM239</f>
        <v>3</v>
      </c>
      <c r="F239" s="0" t="n">
        <f aca="false">Raw_Data!AN239</f>
        <v>1</v>
      </c>
      <c r="G239" s="0" t="n">
        <f aca="false">Raw_Data!AO239</f>
        <v>4</v>
      </c>
      <c r="H239" s="0" t="n">
        <f aca="false">SUM(B239:G239)</f>
        <v>19</v>
      </c>
      <c r="I239" s="0" t="n">
        <f aca="false">H239-B239</f>
        <v>14</v>
      </c>
      <c r="J239" s="0" t="n">
        <f aca="false">H239-C239</f>
        <v>16</v>
      </c>
      <c r="K239" s="0" t="n">
        <f aca="false">H239-D239</f>
        <v>16</v>
      </c>
      <c r="L239" s="0" t="n">
        <f aca="false">H239-E239</f>
        <v>16</v>
      </c>
      <c r="M239" s="0" t="n">
        <f aca="false">H239-F239</f>
        <v>18</v>
      </c>
      <c r="N239" s="0" t="n">
        <f aca="false">H239-G239</f>
        <v>15</v>
      </c>
      <c r="O239" s="0" t="n">
        <f aca="false">B239+D239+F239</f>
        <v>9</v>
      </c>
      <c r="P239" s="0" t="n">
        <f aca="false">C239+E239+G239</f>
        <v>10</v>
      </c>
    </row>
    <row r="240" customFormat="false" ht="15" hidden="false" customHeight="false" outlineLevel="0" collapsed="false">
      <c r="A240" s="0" t="n">
        <v>240</v>
      </c>
      <c r="B240" s="0" t="n">
        <f aca="false">Raw_Data!AJ240</f>
        <v>5</v>
      </c>
      <c r="C240" s="0" t="n">
        <f aca="false">Raw_Data!AK240</f>
        <v>2</v>
      </c>
      <c r="D240" s="0" t="n">
        <f aca="false">Raw_Data!AL240</f>
        <v>5</v>
      </c>
      <c r="E240" s="0" t="n">
        <f aca="false">Raw_Data!AM240</f>
        <v>2</v>
      </c>
      <c r="F240" s="0" t="n">
        <f aca="false">Raw_Data!AN240</f>
        <v>4</v>
      </c>
      <c r="G240" s="0" t="n">
        <f aca="false">Raw_Data!AO240</f>
        <v>2</v>
      </c>
      <c r="H240" s="0" t="n">
        <f aca="false">SUM(B240:G240)</f>
        <v>20</v>
      </c>
      <c r="I240" s="0" t="n">
        <f aca="false">H240-B240</f>
        <v>15</v>
      </c>
      <c r="J240" s="0" t="n">
        <f aca="false">H240-C240</f>
        <v>18</v>
      </c>
      <c r="K240" s="0" t="n">
        <f aca="false">H240-D240</f>
        <v>15</v>
      </c>
      <c r="L240" s="0" t="n">
        <f aca="false">H240-E240</f>
        <v>18</v>
      </c>
      <c r="M240" s="0" t="n">
        <f aca="false">H240-F240</f>
        <v>16</v>
      </c>
      <c r="N240" s="0" t="n">
        <f aca="false">H240-G240</f>
        <v>18</v>
      </c>
      <c r="O240" s="0" t="n">
        <f aca="false">B240+D240+F240</f>
        <v>14</v>
      </c>
      <c r="P240" s="0" t="n">
        <f aca="false">C240+E240+G240</f>
        <v>6</v>
      </c>
    </row>
    <row r="241" customFormat="false" ht="15" hidden="false" customHeight="false" outlineLevel="0" collapsed="false">
      <c r="A241" s="0" t="n">
        <v>241</v>
      </c>
      <c r="B241" s="0" t="n">
        <f aca="false">Raw_Data!AJ241</f>
        <v>4</v>
      </c>
      <c r="C241" s="0" t="n">
        <f aca="false">Raw_Data!AK241</f>
        <v>2</v>
      </c>
      <c r="D241" s="0" t="n">
        <f aca="false">Raw_Data!AL241</f>
        <v>4</v>
      </c>
      <c r="E241" s="0" t="n">
        <f aca="false">Raw_Data!AM241</f>
        <v>3</v>
      </c>
      <c r="F241" s="0" t="n">
        <f aca="false">Raw_Data!AN241</f>
        <v>4</v>
      </c>
      <c r="G241" s="0" t="n">
        <f aca="false">Raw_Data!AO241</f>
        <v>3</v>
      </c>
      <c r="H241" s="0" t="n">
        <f aca="false">SUM(B241:G241)</f>
        <v>20</v>
      </c>
      <c r="I241" s="0" t="n">
        <f aca="false">H241-B241</f>
        <v>16</v>
      </c>
      <c r="J241" s="0" t="n">
        <f aca="false">H241-C241</f>
        <v>18</v>
      </c>
      <c r="K241" s="0" t="n">
        <f aca="false">H241-D241</f>
        <v>16</v>
      </c>
      <c r="L241" s="0" t="n">
        <f aca="false">H241-E241</f>
        <v>17</v>
      </c>
      <c r="M241" s="0" t="n">
        <f aca="false">H241-F241</f>
        <v>16</v>
      </c>
      <c r="N241" s="0" t="n">
        <f aca="false">H241-G241</f>
        <v>17</v>
      </c>
      <c r="O241" s="0" t="n">
        <f aca="false">B241+D241+F241</f>
        <v>12</v>
      </c>
      <c r="P241" s="0" t="n">
        <f aca="false">C241+E241+G241</f>
        <v>8</v>
      </c>
    </row>
    <row r="242" customFormat="false" ht="15" hidden="false" customHeight="false" outlineLevel="0" collapsed="false">
      <c r="A242" s="0" t="n">
        <v>242</v>
      </c>
      <c r="B242" s="0" t="n">
        <f aca="false">Raw_Data!AJ242</f>
        <v>2</v>
      </c>
      <c r="C242" s="0" t="n">
        <f aca="false">Raw_Data!AK242</f>
        <v>4</v>
      </c>
      <c r="D242" s="0" t="n">
        <f aca="false">Raw_Data!AL242</f>
        <v>4</v>
      </c>
      <c r="E242" s="0" t="n">
        <f aca="false">Raw_Data!AM242</f>
        <v>3</v>
      </c>
      <c r="F242" s="0" t="n">
        <f aca="false">Raw_Data!AN242</f>
        <v>4</v>
      </c>
      <c r="G242" s="0" t="n">
        <f aca="false">Raw_Data!AO242</f>
        <v>5</v>
      </c>
      <c r="H242" s="0" t="n">
        <f aca="false">SUM(B242:G242)</f>
        <v>22</v>
      </c>
      <c r="I242" s="0" t="n">
        <f aca="false">H242-B242</f>
        <v>20</v>
      </c>
      <c r="J242" s="0" t="n">
        <f aca="false">H242-C242</f>
        <v>18</v>
      </c>
      <c r="K242" s="0" t="n">
        <f aca="false">H242-D242</f>
        <v>18</v>
      </c>
      <c r="L242" s="0" t="n">
        <f aca="false">H242-E242</f>
        <v>19</v>
      </c>
      <c r="M242" s="0" t="n">
        <f aca="false">H242-F242</f>
        <v>18</v>
      </c>
      <c r="N242" s="0" t="n">
        <f aca="false">H242-G242</f>
        <v>17</v>
      </c>
      <c r="O242" s="0" t="n">
        <f aca="false">B242+D242+F242</f>
        <v>10</v>
      </c>
      <c r="P242" s="0" t="n">
        <f aca="false">C242+E242+G242</f>
        <v>12</v>
      </c>
    </row>
    <row r="243" customFormat="false" ht="15" hidden="false" customHeight="false" outlineLevel="0" collapsed="false">
      <c r="A243" s="0" t="n">
        <v>243</v>
      </c>
      <c r="B243" s="0" t="n">
        <f aca="false">Raw_Data!AJ243</f>
        <v>5</v>
      </c>
      <c r="C243" s="0" t="n">
        <f aca="false">Raw_Data!AK243</f>
        <v>5</v>
      </c>
      <c r="D243" s="0" t="n">
        <f aca="false">Raw_Data!AL243</f>
        <v>5</v>
      </c>
      <c r="E243" s="0" t="n">
        <f aca="false">Raw_Data!AM243</f>
        <v>3</v>
      </c>
      <c r="F243" s="0" t="n">
        <f aca="false">Raw_Data!AN243</f>
        <v>3</v>
      </c>
      <c r="G243" s="0" t="n">
        <f aca="false">Raw_Data!AO243</f>
        <v>3</v>
      </c>
      <c r="H243" s="0" t="n">
        <f aca="false">SUM(B243:G243)</f>
        <v>24</v>
      </c>
      <c r="I243" s="0" t="n">
        <f aca="false">H243-B243</f>
        <v>19</v>
      </c>
      <c r="J243" s="0" t="n">
        <f aca="false">H243-C243</f>
        <v>19</v>
      </c>
      <c r="K243" s="0" t="n">
        <f aca="false">H243-D243</f>
        <v>19</v>
      </c>
      <c r="L243" s="0" t="n">
        <f aca="false">H243-E243</f>
        <v>21</v>
      </c>
      <c r="M243" s="0" t="n">
        <f aca="false">H243-F243</f>
        <v>21</v>
      </c>
      <c r="N243" s="0" t="n">
        <f aca="false">H243-G243</f>
        <v>21</v>
      </c>
      <c r="O243" s="0" t="n">
        <f aca="false">B243+D243+F243</f>
        <v>13</v>
      </c>
      <c r="P243" s="0" t="n">
        <f aca="false">C243+E243+G243</f>
        <v>11</v>
      </c>
    </row>
    <row r="244" customFormat="false" ht="15" hidden="false" customHeight="false" outlineLevel="0" collapsed="false">
      <c r="A244" s="0" t="n">
        <v>244</v>
      </c>
      <c r="B244" s="0" t="n">
        <f aca="false">Raw_Data!AJ244</f>
        <v>4</v>
      </c>
      <c r="C244" s="0" t="n">
        <f aca="false">Raw_Data!AK244</f>
        <v>2</v>
      </c>
      <c r="D244" s="0" t="n">
        <f aca="false">Raw_Data!AL244</f>
        <v>4</v>
      </c>
      <c r="E244" s="0" t="n">
        <f aca="false">Raw_Data!AM244</f>
        <v>3</v>
      </c>
      <c r="F244" s="0" t="n">
        <f aca="false">Raw_Data!AN244</f>
        <v>2</v>
      </c>
      <c r="G244" s="0" t="n">
        <f aca="false">Raw_Data!AO244</f>
        <v>2</v>
      </c>
      <c r="H244" s="0" t="n">
        <f aca="false">SUM(B244:G244)</f>
        <v>17</v>
      </c>
      <c r="I244" s="0" t="n">
        <f aca="false">H244-B244</f>
        <v>13</v>
      </c>
      <c r="J244" s="0" t="n">
        <f aca="false">H244-C244</f>
        <v>15</v>
      </c>
      <c r="K244" s="0" t="n">
        <f aca="false">H244-D244</f>
        <v>13</v>
      </c>
      <c r="L244" s="0" t="n">
        <f aca="false">H244-E244</f>
        <v>14</v>
      </c>
      <c r="M244" s="0" t="n">
        <f aca="false">H244-F244</f>
        <v>15</v>
      </c>
      <c r="N244" s="0" t="n">
        <f aca="false">H244-G244</f>
        <v>15</v>
      </c>
      <c r="O244" s="0" t="n">
        <f aca="false">B244+D244+F244</f>
        <v>10</v>
      </c>
      <c r="P244" s="0" t="n">
        <f aca="false">C244+E244+G244</f>
        <v>7</v>
      </c>
    </row>
    <row r="245" customFormat="false" ht="15" hidden="false" customHeight="false" outlineLevel="0" collapsed="false">
      <c r="A245" s="0" t="n">
        <v>245</v>
      </c>
      <c r="B245" s="0" t="n">
        <f aca="false">Raw_Data!AJ245</f>
        <v>5</v>
      </c>
      <c r="C245" s="0" t="n">
        <f aca="false">Raw_Data!AK245</f>
        <v>2</v>
      </c>
      <c r="D245" s="0" t="n">
        <f aca="false">Raw_Data!AL245</f>
        <v>4</v>
      </c>
      <c r="E245" s="0" t="n">
        <f aca="false">Raw_Data!AM245</f>
        <v>3</v>
      </c>
      <c r="F245" s="0" t="n">
        <f aca="false">Raw_Data!AN245</f>
        <v>2</v>
      </c>
      <c r="G245" s="0" t="n">
        <f aca="false">Raw_Data!AO245</f>
        <v>3</v>
      </c>
      <c r="H245" s="0" t="n">
        <f aca="false">SUM(B245:G245)</f>
        <v>19</v>
      </c>
      <c r="I245" s="0" t="n">
        <f aca="false">H245-B245</f>
        <v>14</v>
      </c>
      <c r="J245" s="0" t="n">
        <f aca="false">H245-C245</f>
        <v>17</v>
      </c>
      <c r="K245" s="0" t="n">
        <f aca="false">H245-D245</f>
        <v>15</v>
      </c>
      <c r="L245" s="0" t="n">
        <f aca="false">H245-E245</f>
        <v>16</v>
      </c>
      <c r="M245" s="0" t="n">
        <f aca="false">H245-F245</f>
        <v>17</v>
      </c>
      <c r="N245" s="0" t="n">
        <f aca="false">H245-G245</f>
        <v>16</v>
      </c>
      <c r="O245" s="0" t="n">
        <f aca="false">B245+D245+F245</f>
        <v>11</v>
      </c>
      <c r="P245" s="0" t="n">
        <f aca="false">C245+E245+G245</f>
        <v>8</v>
      </c>
    </row>
    <row r="246" customFormat="false" ht="15" hidden="false" customHeight="false" outlineLevel="0" collapsed="false">
      <c r="A246" s="0" t="n">
        <v>246</v>
      </c>
      <c r="B246" s="0" t="n">
        <f aca="false">Raw_Data!AJ246</f>
        <v>4</v>
      </c>
      <c r="C246" s="0" t="n">
        <f aca="false">Raw_Data!AK246</f>
        <v>2</v>
      </c>
      <c r="D246" s="0" t="n">
        <f aca="false">Raw_Data!AL246</f>
        <v>2</v>
      </c>
      <c r="E246" s="0" t="n">
        <f aca="false">Raw_Data!AM246</f>
        <v>3</v>
      </c>
      <c r="F246" s="0" t="n">
        <f aca="false">Raw_Data!AN246</f>
        <v>2</v>
      </c>
      <c r="G246" s="0" t="n">
        <f aca="false">Raw_Data!AO246</f>
        <v>2</v>
      </c>
      <c r="H246" s="0" t="n">
        <f aca="false">SUM(B246:G246)</f>
        <v>15</v>
      </c>
      <c r="I246" s="0" t="n">
        <f aca="false">H246-B246</f>
        <v>11</v>
      </c>
      <c r="J246" s="0" t="n">
        <f aca="false">H246-C246</f>
        <v>13</v>
      </c>
      <c r="K246" s="0" t="n">
        <f aca="false">H246-D246</f>
        <v>13</v>
      </c>
      <c r="L246" s="0" t="n">
        <f aca="false">H246-E246</f>
        <v>12</v>
      </c>
      <c r="M246" s="0" t="n">
        <f aca="false">H246-F246</f>
        <v>13</v>
      </c>
      <c r="N246" s="0" t="n">
        <f aca="false">H246-G246</f>
        <v>13</v>
      </c>
      <c r="O246" s="0" t="n">
        <f aca="false">B246+D246+F246</f>
        <v>8</v>
      </c>
      <c r="P246" s="0" t="n">
        <f aca="false">C246+E246+G246</f>
        <v>7</v>
      </c>
    </row>
    <row r="247" customFormat="false" ht="15" hidden="false" customHeight="false" outlineLevel="0" collapsed="false">
      <c r="A247" s="0" t="n">
        <v>247</v>
      </c>
      <c r="B247" s="0" t="n">
        <f aca="false">Raw_Data!AJ247</f>
        <v>2</v>
      </c>
      <c r="C247" s="0" t="n">
        <f aca="false">Raw_Data!AK247</f>
        <v>3</v>
      </c>
      <c r="D247" s="0" t="n">
        <f aca="false">Raw_Data!AL247</f>
        <v>4</v>
      </c>
      <c r="E247" s="0" t="n">
        <f aca="false">Raw_Data!AM247</f>
        <v>3</v>
      </c>
      <c r="F247" s="0" t="n">
        <f aca="false">Raw_Data!AN247</f>
        <v>2</v>
      </c>
      <c r="G247" s="0" t="n">
        <f aca="false">Raw_Data!AO247</f>
        <v>3</v>
      </c>
      <c r="H247" s="0" t="n">
        <f aca="false">SUM(B247:G247)</f>
        <v>17</v>
      </c>
      <c r="I247" s="0" t="n">
        <f aca="false">H247-B247</f>
        <v>15</v>
      </c>
      <c r="J247" s="0" t="n">
        <f aca="false">H247-C247</f>
        <v>14</v>
      </c>
      <c r="K247" s="0" t="n">
        <f aca="false">H247-D247</f>
        <v>13</v>
      </c>
      <c r="L247" s="0" t="n">
        <f aca="false">H247-E247</f>
        <v>14</v>
      </c>
      <c r="M247" s="0" t="n">
        <f aca="false">H247-F247</f>
        <v>15</v>
      </c>
      <c r="N247" s="0" t="n">
        <f aca="false">H247-G247</f>
        <v>14</v>
      </c>
      <c r="O247" s="0" t="n">
        <f aca="false">B247+D247+F247</f>
        <v>8</v>
      </c>
      <c r="P247" s="0" t="n">
        <f aca="false">C247+E247+G247</f>
        <v>9</v>
      </c>
    </row>
    <row r="248" customFormat="false" ht="15" hidden="false" customHeight="false" outlineLevel="0" collapsed="false">
      <c r="A248" s="0" t="n">
        <v>248</v>
      </c>
      <c r="B248" s="0" t="n">
        <f aca="false">Raw_Data!AJ248</f>
        <v>3</v>
      </c>
      <c r="C248" s="0" t="n">
        <f aca="false">Raw_Data!AK248</f>
        <v>1</v>
      </c>
      <c r="D248" s="0" t="n">
        <f aca="false">Raw_Data!AL248</f>
        <v>1</v>
      </c>
      <c r="E248" s="0" t="n">
        <f aca="false">Raw_Data!AM248</f>
        <v>1</v>
      </c>
      <c r="F248" s="0" t="n">
        <f aca="false">Raw_Data!AN248</f>
        <v>3</v>
      </c>
      <c r="G248" s="0" t="n">
        <f aca="false">Raw_Data!AO248</f>
        <v>3</v>
      </c>
      <c r="H248" s="0" t="n">
        <f aca="false">SUM(B248:G248)</f>
        <v>12</v>
      </c>
      <c r="I248" s="0" t="n">
        <f aca="false">H248-B248</f>
        <v>9</v>
      </c>
      <c r="J248" s="0" t="n">
        <f aca="false">H248-C248</f>
        <v>11</v>
      </c>
      <c r="K248" s="0" t="n">
        <f aca="false">H248-D248</f>
        <v>11</v>
      </c>
      <c r="L248" s="0" t="n">
        <f aca="false">H248-E248</f>
        <v>11</v>
      </c>
      <c r="M248" s="0" t="n">
        <f aca="false">H248-F248</f>
        <v>9</v>
      </c>
      <c r="N248" s="0" t="n">
        <f aca="false">H248-G248</f>
        <v>9</v>
      </c>
      <c r="O248" s="0" t="n">
        <f aca="false">B248+D248+F248</f>
        <v>7</v>
      </c>
      <c r="P248" s="0" t="n">
        <f aca="false">C248+E248+G248</f>
        <v>5</v>
      </c>
    </row>
    <row r="249" customFormat="false" ht="15" hidden="false" customHeight="false" outlineLevel="0" collapsed="false">
      <c r="A249" s="0" t="n">
        <v>249</v>
      </c>
      <c r="B249" s="0" t="n">
        <f aca="false">Raw_Data!AJ249</f>
        <v>2</v>
      </c>
      <c r="C249" s="0" t="n">
        <f aca="false">Raw_Data!AK249</f>
        <v>5</v>
      </c>
      <c r="D249" s="0" t="n">
        <f aca="false">Raw_Data!AL249</f>
        <v>5</v>
      </c>
      <c r="E249" s="0" t="n">
        <f aca="false">Raw_Data!AM249</f>
        <v>2</v>
      </c>
      <c r="F249" s="0" t="n">
        <f aca="false">Raw_Data!AN249</f>
        <v>2</v>
      </c>
      <c r="G249" s="0" t="n">
        <f aca="false">Raw_Data!AO249</f>
        <v>1</v>
      </c>
      <c r="H249" s="0" t="n">
        <f aca="false">SUM(B249:G249)</f>
        <v>17</v>
      </c>
      <c r="I249" s="0" t="n">
        <f aca="false">H249-B249</f>
        <v>15</v>
      </c>
      <c r="J249" s="0" t="n">
        <f aca="false">H249-C249</f>
        <v>12</v>
      </c>
      <c r="K249" s="0" t="n">
        <f aca="false">H249-D249</f>
        <v>12</v>
      </c>
      <c r="L249" s="0" t="n">
        <f aca="false">H249-E249</f>
        <v>15</v>
      </c>
      <c r="M249" s="0" t="n">
        <f aca="false">H249-F249</f>
        <v>15</v>
      </c>
      <c r="N249" s="0" t="n">
        <f aca="false">H249-G249</f>
        <v>16</v>
      </c>
      <c r="O249" s="0" t="n">
        <f aca="false">B249+D249+F249</f>
        <v>9</v>
      </c>
      <c r="P249" s="0" t="n">
        <f aca="false">C249+E249+G249</f>
        <v>8</v>
      </c>
    </row>
    <row r="250" customFormat="false" ht="15" hidden="false" customHeight="false" outlineLevel="0" collapsed="false">
      <c r="A250" s="0" t="n">
        <v>250</v>
      </c>
      <c r="B250" s="0" t="n">
        <f aca="false">Raw_Data!AJ250</f>
        <v>5</v>
      </c>
      <c r="C250" s="0" t="n">
        <f aca="false">Raw_Data!AK250</f>
        <v>2</v>
      </c>
      <c r="D250" s="0" t="n">
        <f aca="false">Raw_Data!AL250</f>
        <v>5</v>
      </c>
      <c r="E250" s="0" t="n">
        <f aca="false">Raw_Data!AM250</f>
        <v>3</v>
      </c>
      <c r="F250" s="0" t="n">
        <f aca="false">Raw_Data!AN250</f>
        <v>2</v>
      </c>
      <c r="G250" s="0" t="n">
        <f aca="false">Raw_Data!AO250</f>
        <v>5</v>
      </c>
      <c r="H250" s="0" t="n">
        <f aca="false">SUM(B250:G250)</f>
        <v>22</v>
      </c>
      <c r="I250" s="0" t="n">
        <f aca="false">H250-B250</f>
        <v>17</v>
      </c>
      <c r="J250" s="0" t="n">
        <f aca="false">H250-C250</f>
        <v>20</v>
      </c>
      <c r="K250" s="0" t="n">
        <f aca="false">H250-D250</f>
        <v>17</v>
      </c>
      <c r="L250" s="0" t="n">
        <f aca="false">H250-E250</f>
        <v>19</v>
      </c>
      <c r="M250" s="0" t="n">
        <f aca="false">H250-F250</f>
        <v>20</v>
      </c>
      <c r="N250" s="0" t="n">
        <f aca="false">H250-G250</f>
        <v>17</v>
      </c>
      <c r="O250" s="0" t="n">
        <f aca="false">B250+D250+F250</f>
        <v>12</v>
      </c>
      <c r="P250" s="0" t="n">
        <f aca="false">C250+E250+G250</f>
        <v>10</v>
      </c>
    </row>
    <row r="251" customFormat="false" ht="15" hidden="false" customHeight="false" outlineLevel="0" collapsed="false">
      <c r="A251" s="0" t="n">
        <v>251</v>
      </c>
      <c r="B251" s="0" t="n">
        <f aca="false">Raw_Data!AJ251</f>
        <v>2</v>
      </c>
      <c r="C251" s="0" t="n">
        <f aca="false">Raw_Data!AK251</f>
        <v>2</v>
      </c>
      <c r="D251" s="0" t="n">
        <f aca="false">Raw_Data!AL251</f>
        <v>3</v>
      </c>
      <c r="E251" s="0" t="n">
        <f aca="false">Raw_Data!AM251</f>
        <v>3</v>
      </c>
      <c r="F251" s="0" t="n">
        <f aca="false">Raw_Data!AN251</f>
        <v>4</v>
      </c>
      <c r="G251" s="0" t="n">
        <f aca="false">Raw_Data!AO251</f>
        <v>2</v>
      </c>
      <c r="H251" s="0" t="n">
        <f aca="false">SUM(B251:G251)</f>
        <v>16</v>
      </c>
      <c r="I251" s="0" t="n">
        <f aca="false">H251-B251</f>
        <v>14</v>
      </c>
      <c r="J251" s="0" t="n">
        <f aca="false">H251-C251</f>
        <v>14</v>
      </c>
      <c r="K251" s="0" t="n">
        <f aca="false">H251-D251</f>
        <v>13</v>
      </c>
      <c r="L251" s="0" t="n">
        <f aca="false">H251-E251</f>
        <v>13</v>
      </c>
      <c r="M251" s="0" t="n">
        <f aca="false">H251-F251</f>
        <v>12</v>
      </c>
      <c r="N251" s="0" t="n">
        <f aca="false">H251-G251</f>
        <v>14</v>
      </c>
      <c r="O251" s="0" t="n">
        <f aca="false">B251+D251+F251</f>
        <v>9</v>
      </c>
      <c r="P251" s="0" t="n">
        <f aca="false">C251+E251+G251</f>
        <v>7</v>
      </c>
    </row>
    <row r="252" customFormat="false" ht="15" hidden="false" customHeight="false" outlineLevel="0" collapsed="false">
      <c r="A252" s="0" t="n">
        <v>252</v>
      </c>
      <c r="B252" s="0" t="n">
        <f aca="false">Raw_Data!AJ252</f>
        <v>4</v>
      </c>
      <c r="C252" s="0" t="n">
        <f aca="false">Raw_Data!AK252</f>
        <v>3</v>
      </c>
      <c r="D252" s="0" t="n">
        <f aca="false">Raw_Data!AL252</f>
        <v>3</v>
      </c>
      <c r="E252" s="0" t="n">
        <f aca="false">Raw_Data!AM252</f>
        <v>4</v>
      </c>
      <c r="F252" s="0" t="n">
        <f aca="false">Raw_Data!AN252</f>
        <v>4</v>
      </c>
      <c r="G252" s="0" t="n">
        <f aca="false">Raw_Data!AO252</f>
        <v>4</v>
      </c>
      <c r="H252" s="0" t="n">
        <f aca="false">SUM(B252:G252)</f>
        <v>22</v>
      </c>
      <c r="I252" s="0" t="n">
        <f aca="false">H252-B252</f>
        <v>18</v>
      </c>
      <c r="J252" s="0" t="n">
        <f aca="false">H252-C252</f>
        <v>19</v>
      </c>
      <c r="K252" s="0" t="n">
        <f aca="false">H252-D252</f>
        <v>19</v>
      </c>
      <c r="L252" s="0" t="n">
        <f aca="false">H252-E252</f>
        <v>18</v>
      </c>
      <c r="M252" s="0" t="n">
        <f aca="false">H252-F252</f>
        <v>18</v>
      </c>
      <c r="N252" s="0" t="n">
        <f aca="false">H252-G252</f>
        <v>18</v>
      </c>
      <c r="O252" s="0" t="n">
        <f aca="false">B252+D252+F252</f>
        <v>11</v>
      </c>
      <c r="P252" s="0" t="n">
        <f aca="false">C252+E252+G252</f>
        <v>11</v>
      </c>
    </row>
    <row r="253" customFormat="false" ht="15" hidden="false" customHeight="false" outlineLevel="0" collapsed="false">
      <c r="A253" s="0" t="n">
        <v>253</v>
      </c>
      <c r="B253" s="0" t="n">
        <f aca="false">Raw_Data!AJ253</f>
        <v>3</v>
      </c>
      <c r="C253" s="0" t="n">
        <f aca="false">Raw_Data!AK253</f>
        <v>5</v>
      </c>
      <c r="D253" s="0" t="n">
        <f aca="false">Raw_Data!AL253</f>
        <v>5</v>
      </c>
      <c r="E253" s="0" t="n">
        <f aca="false">Raw_Data!AM253</f>
        <v>4</v>
      </c>
      <c r="F253" s="0" t="n">
        <f aca="false">Raw_Data!AN253</f>
        <v>3</v>
      </c>
      <c r="G253" s="0" t="n">
        <f aca="false">Raw_Data!AO253</f>
        <v>3</v>
      </c>
      <c r="H253" s="0" t="n">
        <f aca="false">SUM(B253:G253)</f>
        <v>23</v>
      </c>
      <c r="I253" s="0" t="n">
        <f aca="false">H253-B253</f>
        <v>20</v>
      </c>
      <c r="J253" s="0" t="n">
        <f aca="false">H253-C253</f>
        <v>18</v>
      </c>
      <c r="K253" s="0" t="n">
        <f aca="false">H253-D253</f>
        <v>18</v>
      </c>
      <c r="L253" s="0" t="n">
        <f aca="false">H253-E253</f>
        <v>19</v>
      </c>
      <c r="M253" s="0" t="n">
        <f aca="false">H253-F253</f>
        <v>20</v>
      </c>
      <c r="N253" s="0" t="n">
        <f aca="false">H253-G253</f>
        <v>20</v>
      </c>
      <c r="O253" s="0" t="n">
        <f aca="false">B253+D253+F253</f>
        <v>11</v>
      </c>
      <c r="P253" s="0" t="n">
        <f aca="false">C253+E253+G253</f>
        <v>12</v>
      </c>
    </row>
    <row r="254" customFormat="false" ht="15" hidden="false" customHeight="false" outlineLevel="0" collapsed="false">
      <c r="A254" s="0" t="n">
        <v>254</v>
      </c>
      <c r="B254" s="0" t="n">
        <f aca="false">Raw_Data!AJ254</f>
        <v>4</v>
      </c>
      <c r="C254" s="0" t="n">
        <f aca="false">Raw_Data!AK254</f>
        <v>4</v>
      </c>
      <c r="D254" s="0" t="n">
        <f aca="false">Raw_Data!AL254</f>
        <v>5</v>
      </c>
      <c r="E254" s="0" t="n">
        <f aca="false">Raw_Data!AM254</f>
        <v>4</v>
      </c>
      <c r="F254" s="0" t="n">
        <f aca="false">Raw_Data!AN254</f>
        <v>4</v>
      </c>
      <c r="G254" s="0" t="n">
        <f aca="false">Raw_Data!AO254</f>
        <v>4</v>
      </c>
      <c r="H254" s="0" t="n">
        <f aca="false">SUM(B254:G254)</f>
        <v>25</v>
      </c>
      <c r="I254" s="0" t="n">
        <f aca="false">H254-B254</f>
        <v>21</v>
      </c>
      <c r="J254" s="0" t="n">
        <f aca="false">H254-C254</f>
        <v>21</v>
      </c>
      <c r="K254" s="0" t="n">
        <f aca="false">H254-D254</f>
        <v>20</v>
      </c>
      <c r="L254" s="0" t="n">
        <f aca="false">H254-E254</f>
        <v>21</v>
      </c>
      <c r="M254" s="0" t="n">
        <f aca="false">H254-F254</f>
        <v>21</v>
      </c>
      <c r="N254" s="0" t="n">
        <f aca="false">H254-G254</f>
        <v>21</v>
      </c>
      <c r="O254" s="0" t="n">
        <f aca="false">B254+D254+F254</f>
        <v>13</v>
      </c>
      <c r="P254" s="0" t="n">
        <f aca="false">C254+E254+G254</f>
        <v>12</v>
      </c>
    </row>
    <row r="255" customFormat="false" ht="15" hidden="false" customHeight="false" outlineLevel="0" collapsed="false">
      <c r="A255" s="0" t="n">
        <v>255</v>
      </c>
      <c r="B255" s="0" t="n">
        <f aca="false">Raw_Data!AJ255</f>
        <v>4</v>
      </c>
      <c r="C255" s="0" t="n">
        <f aca="false">Raw_Data!AK255</f>
        <v>3</v>
      </c>
      <c r="D255" s="0" t="n">
        <f aca="false">Raw_Data!AL255</f>
        <v>3</v>
      </c>
      <c r="E255" s="0" t="n">
        <f aca="false">Raw_Data!AM255</f>
        <v>4</v>
      </c>
      <c r="F255" s="0" t="n">
        <f aca="false">Raw_Data!AN255</f>
        <v>3</v>
      </c>
      <c r="G255" s="0" t="n">
        <f aca="false">Raw_Data!AO255</f>
        <v>3</v>
      </c>
      <c r="H255" s="0" t="n">
        <f aca="false">SUM(B255:G255)</f>
        <v>20</v>
      </c>
      <c r="I255" s="0" t="n">
        <f aca="false">H255-B255</f>
        <v>16</v>
      </c>
      <c r="J255" s="0" t="n">
        <f aca="false">H255-C255</f>
        <v>17</v>
      </c>
      <c r="K255" s="0" t="n">
        <f aca="false">H255-D255</f>
        <v>17</v>
      </c>
      <c r="L255" s="0" t="n">
        <f aca="false">H255-E255</f>
        <v>16</v>
      </c>
      <c r="M255" s="0" t="n">
        <f aca="false">H255-F255</f>
        <v>17</v>
      </c>
      <c r="N255" s="0" t="n">
        <f aca="false">H255-G255</f>
        <v>17</v>
      </c>
      <c r="O255" s="0" t="n">
        <f aca="false">B255+D255+F255</f>
        <v>10</v>
      </c>
      <c r="P255" s="0" t="n">
        <f aca="false">C255+E255+G255</f>
        <v>10</v>
      </c>
    </row>
    <row r="256" customFormat="false" ht="15" hidden="false" customHeight="false" outlineLevel="0" collapsed="false">
      <c r="A256" s="0" t="n">
        <v>256</v>
      </c>
      <c r="B256" s="0" t="n">
        <f aca="false">Raw_Data!AJ256</f>
        <v>4</v>
      </c>
      <c r="C256" s="0" t="n">
        <f aca="false">Raw_Data!AK256</f>
        <v>2</v>
      </c>
      <c r="D256" s="0" t="n">
        <f aca="false">Raw_Data!AL256</f>
        <v>4</v>
      </c>
      <c r="E256" s="0" t="n">
        <f aca="false">Raw_Data!AM256</f>
        <v>3</v>
      </c>
      <c r="F256" s="0" t="n">
        <f aca="false">Raw_Data!AN256</f>
        <v>3</v>
      </c>
      <c r="G256" s="0" t="n">
        <f aca="false">Raw_Data!AO256</f>
        <v>3</v>
      </c>
      <c r="H256" s="0" t="n">
        <f aca="false">SUM(B256:G256)</f>
        <v>19</v>
      </c>
      <c r="I256" s="0" t="n">
        <f aca="false">H256-B256</f>
        <v>15</v>
      </c>
      <c r="J256" s="0" t="n">
        <f aca="false">H256-C256</f>
        <v>17</v>
      </c>
      <c r="K256" s="0" t="n">
        <f aca="false">H256-D256</f>
        <v>15</v>
      </c>
      <c r="L256" s="0" t="n">
        <f aca="false">H256-E256</f>
        <v>16</v>
      </c>
      <c r="M256" s="0" t="n">
        <f aca="false">H256-F256</f>
        <v>16</v>
      </c>
      <c r="N256" s="0" t="n">
        <f aca="false">H256-G256</f>
        <v>16</v>
      </c>
      <c r="O256" s="0" t="n">
        <f aca="false">B256+D256+F256</f>
        <v>11</v>
      </c>
      <c r="P256" s="0" t="n">
        <f aca="false">C256+E256+G256</f>
        <v>8</v>
      </c>
    </row>
    <row r="257" customFormat="false" ht="15" hidden="false" customHeight="false" outlineLevel="0" collapsed="false">
      <c r="A257" s="0" t="n">
        <v>257</v>
      </c>
      <c r="B257" s="0" t="n">
        <f aca="false">Raw_Data!AJ257</f>
        <v>3</v>
      </c>
      <c r="C257" s="0" t="n">
        <f aca="false">Raw_Data!AK257</f>
        <v>2</v>
      </c>
      <c r="D257" s="0" t="n">
        <f aca="false">Raw_Data!AL257</f>
        <v>4</v>
      </c>
      <c r="E257" s="0" t="n">
        <f aca="false">Raw_Data!AM257</f>
        <v>3</v>
      </c>
      <c r="F257" s="0" t="n">
        <f aca="false">Raw_Data!AN257</f>
        <v>4</v>
      </c>
      <c r="G257" s="0" t="n">
        <f aca="false">Raw_Data!AO257</f>
        <v>2</v>
      </c>
      <c r="H257" s="0" t="n">
        <f aca="false">SUM(B257:G257)</f>
        <v>18</v>
      </c>
      <c r="I257" s="0" t="n">
        <f aca="false">H257-B257</f>
        <v>15</v>
      </c>
      <c r="J257" s="0" t="n">
        <f aca="false">H257-C257</f>
        <v>16</v>
      </c>
      <c r="K257" s="0" t="n">
        <f aca="false">H257-D257</f>
        <v>14</v>
      </c>
      <c r="L257" s="0" t="n">
        <f aca="false">H257-E257</f>
        <v>15</v>
      </c>
      <c r="M257" s="0" t="n">
        <f aca="false">H257-F257</f>
        <v>14</v>
      </c>
      <c r="N257" s="0" t="n">
        <f aca="false">H257-G257</f>
        <v>16</v>
      </c>
      <c r="O257" s="0" t="n">
        <f aca="false">B257+D257+F257</f>
        <v>11</v>
      </c>
      <c r="P257" s="0" t="n">
        <f aca="false">C257+E257+G257</f>
        <v>7</v>
      </c>
    </row>
    <row r="258" customFormat="false" ht="15" hidden="false" customHeight="false" outlineLevel="0" collapsed="false">
      <c r="A258" s="0" t="n">
        <v>258</v>
      </c>
      <c r="B258" s="0" t="n">
        <f aca="false">Raw_Data!AJ258</f>
        <v>5</v>
      </c>
      <c r="C258" s="0" t="n">
        <f aca="false">Raw_Data!AK258</f>
        <v>2</v>
      </c>
      <c r="D258" s="0" t="n">
        <f aca="false">Raw_Data!AL258</f>
        <v>2</v>
      </c>
      <c r="E258" s="0" t="n">
        <f aca="false">Raw_Data!AM258</f>
        <v>3</v>
      </c>
      <c r="F258" s="0" t="n">
        <f aca="false">Raw_Data!AN258</f>
        <v>4</v>
      </c>
      <c r="G258" s="0" t="n">
        <f aca="false">Raw_Data!AO258</f>
        <v>3</v>
      </c>
      <c r="H258" s="0" t="n">
        <f aca="false">SUM(B258:G258)</f>
        <v>19</v>
      </c>
      <c r="I258" s="0" t="n">
        <f aca="false">H258-B258</f>
        <v>14</v>
      </c>
      <c r="J258" s="0" t="n">
        <f aca="false">H258-C258</f>
        <v>17</v>
      </c>
      <c r="K258" s="0" t="n">
        <f aca="false">H258-D258</f>
        <v>17</v>
      </c>
      <c r="L258" s="0" t="n">
        <f aca="false">H258-E258</f>
        <v>16</v>
      </c>
      <c r="M258" s="0" t="n">
        <f aca="false">H258-F258</f>
        <v>15</v>
      </c>
      <c r="N258" s="0" t="n">
        <f aca="false">H258-G258</f>
        <v>16</v>
      </c>
      <c r="O258" s="0" t="n">
        <f aca="false">B258+D258+F258</f>
        <v>11</v>
      </c>
      <c r="P258" s="0" t="n">
        <f aca="false">C258+E258+G258</f>
        <v>8</v>
      </c>
    </row>
    <row r="259" customFormat="false" ht="15" hidden="false" customHeight="false" outlineLevel="0" collapsed="false">
      <c r="A259" s="0" t="n">
        <v>259</v>
      </c>
      <c r="B259" s="0" t="n">
        <f aca="false">Raw_Data!AJ259</f>
        <v>4</v>
      </c>
      <c r="C259" s="0" t="n">
        <f aca="false">Raw_Data!AK259</f>
        <v>4</v>
      </c>
      <c r="D259" s="0" t="n">
        <f aca="false">Raw_Data!AL259</f>
        <v>2</v>
      </c>
      <c r="E259" s="0" t="n">
        <f aca="false">Raw_Data!AM259</f>
        <v>4</v>
      </c>
      <c r="F259" s="0" t="n">
        <f aca="false">Raw_Data!AN259</f>
        <v>2</v>
      </c>
      <c r="G259" s="0" t="n">
        <f aca="false">Raw_Data!AO259</f>
        <v>4</v>
      </c>
      <c r="H259" s="0" t="n">
        <f aca="false">SUM(B259:G259)</f>
        <v>20</v>
      </c>
      <c r="I259" s="0" t="n">
        <f aca="false">H259-B259</f>
        <v>16</v>
      </c>
      <c r="J259" s="0" t="n">
        <f aca="false">H259-C259</f>
        <v>16</v>
      </c>
      <c r="K259" s="0" t="n">
        <f aca="false">H259-D259</f>
        <v>18</v>
      </c>
      <c r="L259" s="0" t="n">
        <f aca="false">H259-E259</f>
        <v>16</v>
      </c>
      <c r="M259" s="0" t="n">
        <f aca="false">H259-F259</f>
        <v>18</v>
      </c>
      <c r="N259" s="0" t="n">
        <f aca="false">H259-G259</f>
        <v>16</v>
      </c>
      <c r="O259" s="0" t="n">
        <f aca="false">B259+D259+F259</f>
        <v>8</v>
      </c>
      <c r="P259" s="0" t="n">
        <f aca="false">C259+E259+G259</f>
        <v>12</v>
      </c>
    </row>
    <row r="260" customFormat="false" ht="15" hidden="false" customHeight="false" outlineLevel="0" collapsed="false">
      <c r="A260" s="0" t="n">
        <v>260</v>
      </c>
      <c r="B260" s="0" t="n">
        <f aca="false">Raw_Data!AJ260</f>
        <v>4</v>
      </c>
      <c r="C260" s="0" t="n">
        <f aca="false">Raw_Data!AK260</f>
        <v>2</v>
      </c>
      <c r="D260" s="0" t="n">
        <f aca="false">Raw_Data!AL260</f>
        <v>4</v>
      </c>
      <c r="E260" s="0" t="n">
        <f aca="false">Raw_Data!AM260</f>
        <v>3</v>
      </c>
      <c r="F260" s="0" t="n">
        <f aca="false">Raw_Data!AN260</f>
        <v>2</v>
      </c>
      <c r="G260" s="0" t="n">
        <f aca="false">Raw_Data!AO260</f>
        <v>3</v>
      </c>
      <c r="H260" s="0" t="n">
        <f aca="false">SUM(B260:G260)</f>
        <v>18</v>
      </c>
      <c r="I260" s="0" t="n">
        <f aca="false">H260-B260</f>
        <v>14</v>
      </c>
      <c r="J260" s="0" t="n">
        <f aca="false">H260-C260</f>
        <v>16</v>
      </c>
      <c r="K260" s="0" t="n">
        <f aca="false">H260-D260</f>
        <v>14</v>
      </c>
      <c r="L260" s="0" t="n">
        <f aca="false">H260-E260</f>
        <v>15</v>
      </c>
      <c r="M260" s="0" t="n">
        <f aca="false">H260-F260</f>
        <v>16</v>
      </c>
      <c r="N260" s="0" t="n">
        <f aca="false">H260-G260</f>
        <v>15</v>
      </c>
      <c r="O260" s="0" t="n">
        <f aca="false">B260+D260+F260</f>
        <v>10</v>
      </c>
      <c r="P260" s="0" t="n">
        <f aca="false">C260+E260+G260</f>
        <v>8</v>
      </c>
    </row>
    <row r="261" customFormat="false" ht="15" hidden="false" customHeight="false" outlineLevel="0" collapsed="false">
      <c r="A261" s="0" t="n">
        <v>261</v>
      </c>
      <c r="B261" s="0" t="n">
        <f aca="false">Raw_Data!AJ261</f>
        <v>4</v>
      </c>
      <c r="C261" s="0" t="n">
        <f aca="false">Raw_Data!AK261</f>
        <v>4</v>
      </c>
      <c r="D261" s="0" t="n">
        <f aca="false">Raw_Data!AL261</f>
        <v>5</v>
      </c>
      <c r="E261" s="0" t="n">
        <f aca="false">Raw_Data!AM261</f>
        <v>3</v>
      </c>
      <c r="F261" s="0" t="n">
        <f aca="false">Raw_Data!AN261</f>
        <v>3</v>
      </c>
      <c r="G261" s="0" t="n">
        <f aca="false">Raw_Data!AO261</f>
        <v>3</v>
      </c>
      <c r="H261" s="0" t="n">
        <f aca="false">SUM(B261:G261)</f>
        <v>22</v>
      </c>
      <c r="I261" s="0" t="n">
        <f aca="false">H261-B261</f>
        <v>18</v>
      </c>
      <c r="J261" s="0" t="n">
        <f aca="false">H261-C261</f>
        <v>18</v>
      </c>
      <c r="K261" s="0" t="n">
        <f aca="false">H261-D261</f>
        <v>17</v>
      </c>
      <c r="L261" s="0" t="n">
        <f aca="false">H261-E261</f>
        <v>19</v>
      </c>
      <c r="M261" s="0" t="n">
        <f aca="false">H261-F261</f>
        <v>19</v>
      </c>
      <c r="N261" s="0" t="n">
        <f aca="false">H261-G261</f>
        <v>19</v>
      </c>
      <c r="O261" s="0" t="n">
        <f aca="false">B261+D261+F261</f>
        <v>12</v>
      </c>
      <c r="P261" s="0" t="n">
        <f aca="false">C261+E261+G261</f>
        <v>10</v>
      </c>
    </row>
    <row r="262" customFormat="false" ht="15" hidden="false" customHeight="false" outlineLevel="0" collapsed="false">
      <c r="A262" s="0" t="n">
        <v>262</v>
      </c>
      <c r="B262" s="0" t="n">
        <f aca="false">Raw_Data!AJ262</f>
        <v>5</v>
      </c>
      <c r="C262" s="0" t="n">
        <f aca="false">Raw_Data!AK262</f>
        <v>5</v>
      </c>
      <c r="D262" s="0" t="n">
        <f aca="false">Raw_Data!AL262</f>
        <v>5</v>
      </c>
      <c r="E262" s="0" t="n">
        <f aca="false">Raw_Data!AM262</f>
        <v>3</v>
      </c>
      <c r="F262" s="0" t="n">
        <f aca="false">Raw_Data!AN262</f>
        <v>1</v>
      </c>
      <c r="G262" s="0" t="n">
        <f aca="false">Raw_Data!AO262</f>
        <v>2</v>
      </c>
      <c r="H262" s="0" t="n">
        <f aca="false">SUM(B262:G262)</f>
        <v>21</v>
      </c>
      <c r="I262" s="0" t="n">
        <f aca="false">H262-B262</f>
        <v>16</v>
      </c>
      <c r="J262" s="0" t="n">
        <f aca="false">H262-C262</f>
        <v>16</v>
      </c>
      <c r="K262" s="0" t="n">
        <f aca="false">H262-D262</f>
        <v>16</v>
      </c>
      <c r="L262" s="0" t="n">
        <f aca="false">H262-E262</f>
        <v>18</v>
      </c>
      <c r="M262" s="0" t="n">
        <f aca="false">H262-F262</f>
        <v>20</v>
      </c>
      <c r="N262" s="0" t="n">
        <f aca="false">H262-G262</f>
        <v>19</v>
      </c>
      <c r="O262" s="0" t="n">
        <f aca="false">B262+D262+F262</f>
        <v>11</v>
      </c>
      <c r="P262" s="0" t="n">
        <f aca="false">C262+E262+G262</f>
        <v>10</v>
      </c>
    </row>
    <row r="263" customFormat="false" ht="15" hidden="false" customHeight="false" outlineLevel="0" collapsed="false">
      <c r="A263" s="0" t="n">
        <v>263</v>
      </c>
      <c r="B263" s="0" t="n">
        <f aca="false">Raw_Data!AJ263</f>
        <v>4</v>
      </c>
      <c r="C263" s="0" t="n">
        <f aca="false">Raw_Data!AK263</f>
        <v>2</v>
      </c>
      <c r="D263" s="0" t="n">
        <f aca="false">Raw_Data!AL263</f>
        <v>4</v>
      </c>
      <c r="E263" s="0" t="n">
        <f aca="false">Raw_Data!AM263</f>
        <v>4</v>
      </c>
      <c r="F263" s="0" t="n">
        <f aca="false">Raw_Data!AN263</f>
        <v>2</v>
      </c>
      <c r="G263" s="0" t="n">
        <f aca="false">Raw_Data!AO263</f>
        <v>2</v>
      </c>
      <c r="H263" s="0" t="n">
        <f aca="false">SUM(B263:G263)</f>
        <v>18</v>
      </c>
      <c r="I263" s="0" t="n">
        <f aca="false">H263-B263</f>
        <v>14</v>
      </c>
      <c r="J263" s="0" t="n">
        <f aca="false">H263-C263</f>
        <v>16</v>
      </c>
      <c r="K263" s="0" t="n">
        <f aca="false">H263-D263</f>
        <v>14</v>
      </c>
      <c r="L263" s="0" t="n">
        <f aca="false">H263-E263</f>
        <v>14</v>
      </c>
      <c r="M263" s="0" t="n">
        <f aca="false">H263-F263</f>
        <v>16</v>
      </c>
      <c r="N263" s="0" t="n">
        <f aca="false">H263-G263</f>
        <v>16</v>
      </c>
      <c r="O263" s="0" t="n">
        <f aca="false">B263+D263+F263</f>
        <v>10</v>
      </c>
      <c r="P263" s="0" t="n">
        <f aca="false">C263+E263+G263</f>
        <v>8</v>
      </c>
    </row>
    <row r="264" customFormat="false" ht="15" hidden="false" customHeight="false" outlineLevel="0" collapsed="false">
      <c r="A264" s="0" t="n">
        <v>264</v>
      </c>
      <c r="B264" s="0" t="n">
        <f aca="false">Raw_Data!AJ264</f>
        <v>4</v>
      </c>
      <c r="C264" s="0" t="n">
        <f aca="false">Raw_Data!AK264</f>
        <v>5</v>
      </c>
      <c r="D264" s="0" t="n">
        <f aca="false">Raw_Data!AL264</f>
        <v>4</v>
      </c>
      <c r="E264" s="0" t="n">
        <f aca="false">Raw_Data!AM264</f>
        <v>3</v>
      </c>
      <c r="F264" s="0" t="n">
        <f aca="false">Raw_Data!AN264</f>
        <v>4</v>
      </c>
      <c r="G264" s="0" t="n">
        <f aca="false">Raw_Data!AO264</f>
        <v>2</v>
      </c>
      <c r="H264" s="0" t="n">
        <f aca="false">SUM(B264:G264)</f>
        <v>22</v>
      </c>
      <c r="I264" s="0" t="n">
        <f aca="false">H264-B264</f>
        <v>18</v>
      </c>
      <c r="J264" s="0" t="n">
        <f aca="false">H264-C264</f>
        <v>17</v>
      </c>
      <c r="K264" s="0" t="n">
        <f aca="false">H264-D264</f>
        <v>18</v>
      </c>
      <c r="L264" s="0" t="n">
        <f aca="false">H264-E264</f>
        <v>19</v>
      </c>
      <c r="M264" s="0" t="n">
        <f aca="false">H264-F264</f>
        <v>18</v>
      </c>
      <c r="N264" s="0" t="n">
        <f aca="false">H264-G264</f>
        <v>20</v>
      </c>
      <c r="O264" s="0" t="n">
        <f aca="false">B264+D264+F264</f>
        <v>12</v>
      </c>
      <c r="P264" s="0" t="n">
        <f aca="false">C264+E264+G264</f>
        <v>10</v>
      </c>
    </row>
    <row r="265" customFormat="false" ht="15" hidden="false" customHeight="false" outlineLevel="0" collapsed="false">
      <c r="A265" s="0" t="n">
        <v>265</v>
      </c>
      <c r="B265" s="0" t="n">
        <f aca="false">Raw_Data!AJ265</f>
        <v>4</v>
      </c>
      <c r="C265" s="0" t="n">
        <f aca="false">Raw_Data!AK265</f>
        <v>4</v>
      </c>
      <c r="D265" s="0" t="n">
        <f aca="false">Raw_Data!AL265</f>
        <v>4</v>
      </c>
      <c r="E265" s="0" t="n">
        <f aca="false">Raw_Data!AM265</f>
        <v>4</v>
      </c>
      <c r="F265" s="0" t="n">
        <f aca="false">Raw_Data!AN265</f>
        <v>4</v>
      </c>
      <c r="G265" s="0" t="n">
        <f aca="false">Raw_Data!AO265</f>
        <v>4</v>
      </c>
      <c r="H265" s="0" t="n">
        <f aca="false">SUM(B265:G265)</f>
        <v>24</v>
      </c>
      <c r="I265" s="0" t="n">
        <f aca="false">H265-B265</f>
        <v>20</v>
      </c>
      <c r="J265" s="0" t="n">
        <f aca="false">H265-C265</f>
        <v>20</v>
      </c>
      <c r="K265" s="0" t="n">
        <f aca="false">H265-D265</f>
        <v>20</v>
      </c>
      <c r="L265" s="0" t="n">
        <f aca="false">H265-E265</f>
        <v>20</v>
      </c>
      <c r="M265" s="0" t="n">
        <f aca="false">H265-F265</f>
        <v>20</v>
      </c>
      <c r="N265" s="0" t="n">
        <f aca="false">H265-G265</f>
        <v>20</v>
      </c>
      <c r="O265" s="0" t="n">
        <f aca="false">B265+D265+F265</f>
        <v>12</v>
      </c>
      <c r="P265" s="0" t="n">
        <f aca="false">C265+E265+G265</f>
        <v>12</v>
      </c>
    </row>
    <row r="266" customFormat="false" ht="15" hidden="false" customHeight="false" outlineLevel="0" collapsed="false">
      <c r="A266" s="0" t="n">
        <v>266</v>
      </c>
      <c r="B266" s="0" t="n">
        <f aca="false">Raw_Data!AJ266</f>
        <v>3</v>
      </c>
      <c r="C266" s="0" t="n">
        <f aca="false">Raw_Data!AK266</f>
        <v>3</v>
      </c>
      <c r="D266" s="0" t="n">
        <f aca="false">Raw_Data!AL266</f>
        <v>5</v>
      </c>
      <c r="E266" s="0" t="n">
        <f aca="false">Raw_Data!AM266</f>
        <v>3</v>
      </c>
      <c r="F266" s="0" t="n">
        <f aca="false">Raw_Data!AN266</f>
        <v>1</v>
      </c>
      <c r="G266" s="0" t="n">
        <f aca="false">Raw_Data!AO266</f>
        <v>1</v>
      </c>
      <c r="H266" s="0" t="n">
        <f aca="false">SUM(B266:G266)</f>
        <v>16</v>
      </c>
      <c r="I266" s="0" t="n">
        <f aca="false">H266-B266</f>
        <v>13</v>
      </c>
      <c r="J266" s="0" t="n">
        <f aca="false">H266-C266</f>
        <v>13</v>
      </c>
      <c r="K266" s="0" t="n">
        <f aca="false">H266-D266</f>
        <v>11</v>
      </c>
      <c r="L266" s="0" t="n">
        <f aca="false">H266-E266</f>
        <v>13</v>
      </c>
      <c r="M266" s="0" t="n">
        <f aca="false">H266-F266</f>
        <v>15</v>
      </c>
      <c r="N266" s="0" t="n">
        <f aca="false">H266-G266</f>
        <v>15</v>
      </c>
      <c r="O266" s="0" t="n">
        <f aca="false">B266+D266+F266</f>
        <v>9</v>
      </c>
      <c r="P266" s="0" t="n">
        <f aca="false">C266+E266+G266</f>
        <v>7</v>
      </c>
    </row>
    <row r="267" customFormat="false" ht="15" hidden="false" customHeight="false" outlineLevel="0" collapsed="false">
      <c r="A267" s="0" t="n">
        <v>267</v>
      </c>
      <c r="B267" s="0" t="n">
        <f aca="false">Raw_Data!AJ267</f>
        <v>5</v>
      </c>
      <c r="C267" s="0" t="n">
        <f aca="false">Raw_Data!AK267</f>
        <v>3</v>
      </c>
      <c r="D267" s="0" t="n">
        <f aca="false">Raw_Data!AL267</f>
        <v>4</v>
      </c>
      <c r="E267" s="0" t="n">
        <f aca="false">Raw_Data!AM267</f>
        <v>4</v>
      </c>
      <c r="F267" s="0" t="n">
        <f aca="false">Raw_Data!AN267</f>
        <v>4</v>
      </c>
      <c r="G267" s="0" t="n">
        <f aca="false">Raw_Data!AO267</f>
        <v>4</v>
      </c>
      <c r="H267" s="0" t="n">
        <f aca="false">SUM(B267:G267)</f>
        <v>24</v>
      </c>
      <c r="I267" s="0" t="n">
        <f aca="false">H267-B267</f>
        <v>19</v>
      </c>
      <c r="J267" s="0" t="n">
        <f aca="false">H267-C267</f>
        <v>21</v>
      </c>
      <c r="K267" s="0" t="n">
        <f aca="false">H267-D267</f>
        <v>20</v>
      </c>
      <c r="L267" s="0" t="n">
        <f aca="false">H267-E267</f>
        <v>20</v>
      </c>
      <c r="M267" s="0" t="n">
        <f aca="false">H267-F267</f>
        <v>20</v>
      </c>
      <c r="N267" s="0" t="n">
        <f aca="false">H267-G267</f>
        <v>20</v>
      </c>
      <c r="O267" s="0" t="n">
        <f aca="false">B267+D267+F267</f>
        <v>13</v>
      </c>
      <c r="P267" s="0" t="n">
        <f aca="false">C267+E267+G267</f>
        <v>11</v>
      </c>
    </row>
    <row r="268" customFormat="false" ht="15" hidden="false" customHeight="false" outlineLevel="0" collapsed="false">
      <c r="A268" s="0" t="n">
        <v>268</v>
      </c>
      <c r="B268" s="0" t="n">
        <f aca="false">Raw_Data!AJ268</f>
        <v>3</v>
      </c>
      <c r="C268" s="0" t="n">
        <f aca="false">Raw_Data!AK268</f>
        <v>3</v>
      </c>
      <c r="D268" s="0" t="n">
        <f aca="false">Raw_Data!AL268</f>
        <v>5</v>
      </c>
      <c r="E268" s="0" t="n">
        <f aca="false">Raw_Data!AM268</f>
        <v>2</v>
      </c>
      <c r="F268" s="0" t="n">
        <f aca="false">Raw_Data!AN268</f>
        <v>4</v>
      </c>
      <c r="G268" s="0" t="n">
        <f aca="false">Raw_Data!AO268</f>
        <v>4</v>
      </c>
      <c r="H268" s="0" t="n">
        <f aca="false">SUM(B268:G268)</f>
        <v>21</v>
      </c>
      <c r="I268" s="0" t="n">
        <f aca="false">H268-B268</f>
        <v>18</v>
      </c>
      <c r="J268" s="0" t="n">
        <f aca="false">H268-C268</f>
        <v>18</v>
      </c>
      <c r="K268" s="0" t="n">
        <f aca="false">H268-D268</f>
        <v>16</v>
      </c>
      <c r="L268" s="0" t="n">
        <f aca="false">H268-E268</f>
        <v>19</v>
      </c>
      <c r="M268" s="0" t="n">
        <f aca="false">H268-F268</f>
        <v>17</v>
      </c>
      <c r="N268" s="0" t="n">
        <f aca="false">H268-G268</f>
        <v>17</v>
      </c>
      <c r="O268" s="0" t="n">
        <f aca="false">B268+D268+F268</f>
        <v>12</v>
      </c>
      <c r="P268" s="0" t="n">
        <f aca="false">C268+E268+G268</f>
        <v>9</v>
      </c>
    </row>
    <row r="269" customFormat="false" ht="15" hidden="false" customHeight="false" outlineLevel="0" collapsed="false">
      <c r="A269" s="0" t="n">
        <v>269</v>
      </c>
      <c r="B269" s="0" t="n">
        <f aca="false">Raw_Data!AJ269</f>
        <v>4</v>
      </c>
      <c r="C269" s="0" t="n">
        <f aca="false">Raw_Data!AK269</f>
        <v>2</v>
      </c>
      <c r="D269" s="0" t="n">
        <f aca="false">Raw_Data!AL269</f>
        <v>5</v>
      </c>
      <c r="E269" s="0" t="n">
        <f aca="false">Raw_Data!AM269</f>
        <v>2</v>
      </c>
      <c r="F269" s="0" t="n">
        <f aca="false">Raw_Data!AN269</f>
        <v>1</v>
      </c>
      <c r="G269" s="0" t="n">
        <f aca="false">Raw_Data!AO269</f>
        <v>1</v>
      </c>
      <c r="H269" s="0" t="n">
        <f aca="false">SUM(B269:G269)</f>
        <v>15</v>
      </c>
      <c r="I269" s="0" t="n">
        <f aca="false">H269-B269</f>
        <v>11</v>
      </c>
      <c r="J269" s="0" t="n">
        <f aca="false">H269-C269</f>
        <v>13</v>
      </c>
      <c r="K269" s="0" t="n">
        <f aca="false">H269-D269</f>
        <v>10</v>
      </c>
      <c r="L269" s="0" t="n">
        <f aca="false">H269-E269</f>
        <v>13</v>
      </c>
      <c r="M269" s="0" t="n">
        <f aca="false">H269-F269</f>
        <v>14</v>
      </c>
      <c r="N269" s="0" t="n">
        <f aca="false">H269-G269</f>
        <v>14</v>
      </c>
      <c r="O269" s="0" t="n">
        <f aca="false">B269+D269+F269</f>
        <v>10</v>
      </c>
      <c r="P269" s="0" t="n">
        <f aca="false">C269+E269+G269</f>
        <v>5</v>
      </c>
    </row>
    <row r="270" customFormat="false" ht="15" hidden="false" customHeight="false" outlineLevel="0" collapsed="false">
      <c r="A270" s="0" t="n">
        <v>270</v>
      </c>
      <c r="B270" s="0" t="n">
        <f aca="false">Raw_Data!AJ270</f>
        <v>4</v>
      </c>
      <c r="C270" s="0" t="n">
        <f aca="false">Raw_Data!AK270</f>
        <v>4</v>
      </c>
      <c r="D270" s="0" t="n">
        <f aca="false">Raw_Data!AL270</f>
        <v>4</v>
      </c>
      <c r="E270" s="0" t="n">
        <f aca="false">Raw_Data!AM270</f>
        <v>3</v>
      </c>
      <c r="F270" s="0" t="n">
        <f aca="false">Raw_Data!AN270</f>
        <v>2</v>
      </c>
      <c r="G270" s="0" t="n">
        <f aca="false">Raw_Data!AO270</f>
        <v>2</v>
      </c>
      <c r="H270" s="0" t="n">
        <f aca="false">SUM(B270:G270)</f>
        <v>19</v>
      </c>
      <c r="I270" s="0" t="n">
        <f aca="false">H270-B270</f>
        <v>15</v>
      </c>
      <c r="J270" s="0" t="n">
        <f aca="false">H270-C270</f>
        <v>15</v>
      </c>
      <c r="K270" s="0" t="n">
        <f aca="false">H270-D270</f>
        <v>15</v>
      </c>
      <c r="L270" s="0" t="n">
        <f aca="false">H270-E270</f>
        <v>16</v>
      </c>
      <c r="M270" s="0" t="n">
        <f aca="false">H270-F270</f>
        <v>17</v>
      </c>
      <c r="N270" s="0" t="n">
        <f aca="false">H270-G270</f>
        <v>17</v>
      </c>
      <c r="O270" s="0" t="n">
        <f aca="false">B270+D270+F270</f>
        <v>10</v>
      </c>
      <c r="P270" s="0" t="n">
        <f aca="false">C270+E270+G270</f>
        <v>9</v>
      </c>
    </row>
    <row r="271" customFormat="false" ht="15" hidden="false" customHeight="false" outlineLevel="0" collapsed="false">
      <c r="A271" s="0" t="n">
        <v>271</v>
      </c>
      <c r="B271" s="0" t="n">
        <f aca="false">Raw_Data!AJ271</f>
        <v>2</v>
      </c>
      <c r="C271" s="0" t="n">
        <f aca="false">Raw_Data!AK271</f>
        <v>3</v>
      </c>
      <c r="D271" s="0" t="n">
        <f aca="false">Raw_Data!AL271</f>
        <v>5</v>
      </c>
      <c r="E271" s="0" t="n">
        <f aca="false">Raw_Data!AM271</f>
        <v>2</v>
      </c>
      <c r="F271" s="0" t="n">
        <f aca="false">Raw_Data!AN271</f>
        <v>2</v>
      </c>
      <c r="G271" s="0" t="n">
        <f aca="false">Raw_Data!AO271</f>
        <v>1</v>
      </c>
      <c r="H271" s="0" t="n">
        <f aca="false">SUM(B271:G271)</f>
        <v>15</v>
      </c>
      <c r="I271" s="0" t="n">
        <f aca="false">H271-B271</f>
        <v>13</v>
      </c>
      <c r="J271" s="0" t="n">
        <f aca="false">H271-C271</f>
        <v>12</v>
      </c>
      <c r="K271" s="0" t="n">
        <f aca="false">H271-D271</f>
        <v>10</v>
      </c>
      <c r="L271" s="0" t="n">
        <f aca="false">H271-E271</f>
        <v>13</v>
      </c>
      <c r="M271" s="0" t="n">
        <f aca="false">H271-F271</f>
        <v>13</v>
      </c>
      <c r="N271" s="0" t="n">
        <f aca="false">H271-G271</f>
        <v>14</v>
      </c>
      <c r="O271" s="0" t="n">
        <f aca="false">B271+D271+F271</f>
        <v>9</v>
      </c>
      <c r="P271" s="0" t="n">
        <f aca="false">C271+E271+G271</f>
        <v>6</v>
      </c>
    </row>
    <row r="272" customFormat="false" ht="15" hidden="false" customHeight="false" outlineLevel="0" collapsed="false">
      <c r="A272" s="0" t="n">
        <v>272</v>
      </c>
      <c r="B272" s="0" t="n">
        <f aca="false">Raw_Data!AJ272</f>
        <v>4</v>
      </c>
      <c r="C272" s="0" t="n">
        <f aca="false">Raw_Data!AK272</f>
        <v>3</v>
      </c>
      <c r="D272" s="0" t="n">
        <f aca="false">Raw_Data!AL272</f>
        <v>4</v>
      </c>
      <c r="E272" s="0" t="n">
        <f aca="false">Raw_Data!AM272</f>
        <v>4</v>
      </c>
      <c r="F272" s="0" t="n">
        <f aca="false">Raw_Data!AN272</f>
        <v>3</v>
      </c>
      <c r="G272" s="0" t="n">
        <f aca="false">Raw_Data!AO272</f>
        <v>4</v>
      </c>
      <c r="H272" s="0" t="n">
        <f aca="false">SUM(B272:G272)</f>
        <v>22</v>
      </c>
      <c r="I272" s="0" t="n">
        <f aca="false">H272-B272</f>
        <v>18</v>
      </c>
      <c r="J272" s="0" t="n">
        <f aca="false">H272-C272</f>
        <v>19</v>
      </c>
      <c r="K272" s="0" t="n">
        <f aca="false">H272-D272</f>
        <v>18</v>
      </c>
      <c r="L272" s="0" t="n">
        <f aca="false">H272-E272</f>
        <v>18</v>
      </c>
      <c r="M272" s="0" t="n">
        <f aca="false">H272-F272</f>
        <v>19</v>
      </c>
      <c r="N272" s="0" t="n">
        <f aca="false">H272-G272</f>
        <v>18</v>
      </c>
      <c r="O272" s="0" t="n">
        <f aca="false">B272+D272+F272</f>
        <v>11</v>
      </c>
      <c r="P272" s="0" t="n">
        <f aca="false">C272+E272+G272</f>
        <v>11</v>
      </c>
    </row>
    <row r="273" customFormat="false" ht="15" hidden="false" customHeight="false" outlineLevel="0" collapsed="false">
      <c r="A273" s="0" t="n">
        <v>273</v>
      </c>
      <c r="B273" s="0" t="n">
        <f aca="false">Raw_Data!AJ273</f>
        <v>1</v>
      </c>
      <c r="C273" s="0" t="n">
        <f aca="false">Raw_Data!AK273</f>
        <v>4</v>
      </c>
      <c r="D273" s="0" t="n">
        <f aca="false">Raw_Data!AL273</f>
        <v>3</v>
      </c>
      <c r="E273" s="0" t="n">
        <f aca="false">Raw_Data!AM273</f>
        <v>3</v>
      </c>
      <c r="F273" s="0" t="n">
        <f aca="false">Raw_Data!AN273</f>
        <v>3</v>
      </c>
      <c r="G273" s="0" t="n">
        <f aca="false">Raw_Data!AO273</f>
        <v>3</v>
      </c>
      <c r="H273" s="0" t="n">
        <f aca="false">SUM(B273:G273)</f>
        <v>17</v>
      </c>
      <c r="I273" s="0" t="n">
        <f aca="false">H273-B273</f>
        <v>16</v>
      </c>
      <c r="J273" s="0" t="n">
        <f aca="false">H273-C273</f>
        <v>13</v>
      </c>
      <c r="K273" s="0" t="n">
        <f aca="false">H273-D273</f>
        <v>14</v>
      </c>
      <c r="L273" s="0" t="n">
        <f aca="false">H273-E273</f>
        <v>14</v>
      </c>
      <c r="M273" s="0" t="n">
        <f aca="false">H273-F273</f>
        <v>14</v>
      </c>
      <c r="N273" s="0" t="n">
        <f aca="false">H273-G273</f>
        <v>14</v>
      </c>
      <c r="O273" s="0" t="n">
        <f aca="false">B273+D273+F273</f>
        <v>7</v>
      </c>
      <c r="P273" s="0" t="n">
        <f aca="false">C273+E273+G273</f>
        <v>10</v>
      </c>
    </row>
    <row r="274" customFormat="false" ht="15" hidden="false" customHeight="false" outlineLevel="0" collapsed="false">
      <c r="A274" s="0" t="n">
        <v>274</v>
      </c>
      <c r="B274" s="0" t="n">
        <f aca="false">Raw_Data!AJ274</f>
        <v>4</v>
      </c>
      <c r="C274" s="0" t="n">
        <f aca="false">Raw_Data!AK274</f>
        <v>2</v>
      </c>
      <c r="D274" s="0" t="n">
        <f aca="false">Raw_Data!AL274</f>
        <v>4</v>
      </c>
      <c r="E274" s="0" t="n">
        <f aca="false">Raw_Data!AM274</f>
        <v>3</v>
      </c>
      <c r="F274" s="0" t="n">
        <f aca="false">Raw_Data!AN274</f>
        <v>1</v>
      </c>
      <c r="G274" s="0" t="n">
        <f aca="false">Raw_Data!AO274</f>
        <v>4</v>
      </c>
      <c r="H274" s="0" t="n">
        <f aca="false">SUM(B274:G274)</f>
        <v>18</v>
      </c>
      <c r="I274" s="0" t="n">
        <f aca="false">H274-B274</f>
        <v>14</v>
      </c>
      <c r="J274" s="0" t="n">
        <f aca="false">H274-C274</f>
        <v>16</v>
      </c>
      <c r="K274" s="0" t="n">
        <f aca="false">H274-D274</f>
        <v>14</v>
      </c>
      <c r="L274" s="0" t="n">
        <f aca="false">H274-E274</f>
        <v>15</v>
      </c>
      <c r="M274" s="0" t="n">
        <f aca="false">H274-F274</f>
        <v>17</v>
      </c>
      <c r="N274" s="0" t="n">
        <f aca="false">H274-G274</f>
        <v>14</v>
      </c>
      <c r="O274" s="0" t="n">
        <f aca="false">B274+D274+F274</f>
        <v>9</v>
      </c>
      <c r="P274" s="0" t="n">
        <f aca="false">C274+E274+G274</f>
        <v>9</v>
      </c>
    </row>
    <row r="275" customFormat="false" ht="15" hidden="false" customHeight="false" outlineLevel="0" collapsed="false">
      <c r="A275" s="0" t="n">
        <v>275</v>
      </c>
      <c r="B275" s="0" t="n">
        <f aca="false">Raw_Data!AJ275</f>
        <v>5</v>
      </c>
      <c r="C275" s="0" t="n">
        <f aca="false">Raw_Data!AK275</f>
        <v>3</v>
      </c>
      <c r="D275" s="0" t="n">
        <f aca="false">Raw_Data!AL275</f>
        <v>4</v>
      </c>
      <c r="E275" s="0" t="n">
        <f aca="false">Raw_Data!AM275</f>
        <v>3</v>
      </c>
      <c r="F275" s="0" t="n">
        <f aca="false">Raw_Data!AN275</f>
        <v>3</v>
      </c>
      <c r="G275" s="0" t="n">
        <f aca="false">Raw_Data!AO275</f>
        <v>4</v>
      </c>
      <c r="H275" s="0" t="n">
        <f aca="false">SUM(B275:G275)</f>
        <v>22</v>
      </c>
      <c r="I275" s="0" t="n">
        <f aca="false">H275-B275</f>
        <v>17</v>
      </c>
      <c r="J275" s="0" t="n">
        <f aca="false">H275-C275</f>
        <v>19</v>
      </c>
      <c r="K275" s="0" t="n">
        <f aca="false">H275-D275</f>
        <v>18</v>
      </c>
      <c r="L275" s="0" t="n">
        <f aca="false">H275-E275</f>
        <v>19</v>
      </c>
      <c r="M275" s="0" t="n">
        <f aca="false">H275-F275</f>
        <v>19</v>
      </c>
      <c r="N275" s="0" t="n">
        <f aca="false">H275-G275</f>
        <v>18</v>
      </c>
      <c r="O275" s="0" t="n">
        <f aca="false">B275+D275+F275</f>
        <v>12</v>
      </c>
      <c r="P275" s="0" t="n">
        <f aca="false">C275+E275+G275</f>
        <v>10</v>
      </c>
    </row>
    <row r="276" customFormat="false" ht="15" hidden="false" customHeight="false" outlineLevel="0" collapsed="false">
      <c r="A276" s="0" t="n">
        <v>276</v>
      </c>
      <c r="B276" s="0" t="n">
        <f aca="false">Raw_Data!AJ276</f>
        <v>4</v>
      </c>
      <c r="C276" s="0" t="n">
        <f aca="false">Raw_Data!AK276</f>
        <v>3</v>
      </c>
      <c r="D276" s="0" t="n">
        <f aca="false">Raw_Data!AL276</f>
        <v>5</v>
      </c>
      <c r="E276" s="0" t="n">
        <f aca="false">Raw_Data!AM276</f>
        <v>4</v>
      </c>
      <c r="F276" s="0" t="n">
        <f aca="false">Raw_Data!AN276</f>
        <v>3</v>
      </c>
      <c r="G276" s="0" t="n">
        <f aca="false">Raw_Data!AO276</f>
        <v>3</v>
      </c>
      <c r="H276" s="0" t="n">
        <f aca="false">SUM(B276:G276)</f>
        <v>22</v>
      </c>
      <c r="I276" s="0" t="n">
        <f aca="false">H276-B276</f>
        <v>18</v>
      </c>
      <c r="J276" s="0" t="n">
        <f aca="false">H276-C276</f>
        <v>19</v>
      </c>
      <c r="K276" s="0" t="n">
        <f aca="false">H276-D276</f>
        <v>17</v>
      </c>
      <c r="L276" s="0" t="n">
        <f aca="false">H276-E276</f>
        <v>18</v>
      </c>
      <c r="M276" s="0" t="n">
        <f aca="false">H276-F276</f>
        <v>19</v>
      </c>
      <c r="N276" s="0" t="n">
        <f aca="false">H276-G276</f>
        <v>19</v>
      </c>
      <c r="O276" s="0" t="n">
        <f aca="false">B276+D276+F276</f>
        <v>12</v>
      </c>
      <c r="P276" s="0" t="n">
        <f aca="false">C276+E276+G276</f>
        <v>10</v>
      </c>
    </row>
    <row r="277" customFormat="false" ht="15" hidden="false" customHeight="false" outlineLevel="0" collapsed="false">
      <c r="A277" s="0" t="n">
        <v>277</v>
      </c>
      <c r="B277" s="0" t="n">
        <f aca="false">Raw_Data!AJ277</f>
        <v>4</v>
      </c>
      <c r="C277" s="0" t="n">
        <f aca="false">Raw_Data!AK277</f>
        <v>2</v>
      </c>
      <c r="D277" s="0" t="n">
        <f aca="false">Raw_Data!AL277</f>
        <v>4</v>
      </c>
      <c r="E277" s="0" t="n">
        <f aca="false">Raw_Data!AM277</f>
        <v>3</v>
      </c>
      <c r="F277" s="0" t="n">
        <f aca="false">Raw_Data!AN277</f>
        <v>2</v>
      </c>
      <c r="G277" s="0" t="n">
        <f aca="false">Raw_Data!AO277</f>
        <v>2</v>
      </c>
      <c r="H277" s="0" t="n">
        <f aca="false">SUM(B277:G277)</f>
        <v>17</v>
      </c>
      <c r="I277" s="0" t="n">
        <f aca="false">H277-B277</f>
        <v>13</v>
      </c>
      <c r="J277" s="0" t="n">
        <f aca="false">H277-C277</f>
        <v>15</v>
      </c>
      <c r="K277" s="0" t="n">
        <f aca="false">H277-D277</f>
        <v>13</v>
      </c>
      <c r="L277" s="0" t="n">
        <f aca="false">H277-E277</f>
        <v>14</v>
      </c>
      <c r="M277" s="0" t="n">
        <f aca="false">H277-F277</f>
        <v>15</v>
      </c>
      <c r="N277" s="0" t="n">
        <f aca="false">H277-G277</f>
        <v>15</v>
      </c>
      <c r="O277" s="0" t="n">
        <f aca="false">B277+D277+F277</f>
        <v>10</v>
      </c>
      <c r="P277" s="0" t="n">
        <f aca="false">C277+E277+G277</f>
        <v>7</v>
      </c>
    </row>
    <row r="278" customFormat="false" ht="15" hidden="false" customHeight="false" outlineLevel="0" collapsed="false">
      <c r="A278" s="0" t="n">
        <v>278</v>
      </c>
      <c r="B278" s="0" t="n">
        <f aca="false">Raw_Data!AJ278</f>
        <v>4</v>
      </c>
      <c r="C278" s="0" t="n">
        <f aca="false">Raw_Data!AK278</f>
        <v>5</v>
      </c>
      <c r="D278" s="0" t="n">
        <f aca="false">Raw_Data!AL278</f>
        <v>5</v>
      </c>
      <c r="E278" s="0" t="n">
        <f aca="false">Raw_Data!AM278</f>
        <v>2</v>
      </c>
      <c r="F278" s="0" t="n">
        <f aca="false">Raw_Data!AN278</f>
        <v>3</v>
      </c>
      <c r="G278" s="0" t="n">
        <f aca="false">Raw_Data!AO278</f>
        <v>3</v>
      </c>
      <c r="H278" s="0" t="n">
        <f aca="false">SUM(B278:G278)</f>
        <v>22</v>
      </c>
      <c r="I278" s="0" t="n">
        <f aca="false">H278-B278</f>
        <v>18</v>
      </c>
      <c r="J278" s="0" t="n">
        <f aca="false">H278-C278</f>
        <v>17</v>
      </c>
      <c r="K278" s="0" t="n">
        <f aca="false">H278-D278</f>
        <v>17</v>
      </c>
      <c r="L278" s="0" t="n">
        <f aca="false">H278-E278</f>
        <v>20</v>
      </c>
      <c r="M278" s="0" t="n">
        <f aca="false">H278-F278</f>
        <v>19</v>
      </c>
      <c r="N278" s="0" t="n">
        <f aca="false">H278-G278</f>
        <v>19</v>
      </c>
      <c r="O278" s="0" t="n">
        <f aca="false">B278+D278+F278</f>
        <v>12</v>
      </c>
      <c r="P278" s="0" t="n">
        <f aca="false">C278+E278+G278</f>
        <v>10</v>
      </c>
    </row>
    <row r="279" customFormat="false" ht="15" hidden="false" customHeight="false" outlineLevel="0" collapsed="false">
      <c r="A279" s="0" t="n">
        <v>279</v>
      </c>
      <c r="B279" s="0" t="n">
        <f aca="false">Raw_Data!AJ279</f>
        <v>4</v>
      </c>
      <c r="C279" s="0" t="n">
        <f aca="false">Raw_Data!AK279</f>
        <v>3</v>
      </c>
      <c r="D279" s="0" t="n">
        <f aca="false">Raw_Data!AL279</f>
        <v>3</v>
      </c>
      <c r="E279" s="0" t="n">
        <f aca="false">Raw_Data!AM279</f>
        <v>3</v>
      </c>
      <c r="F279" s="0" t="n">
        <f aca="false">Raw_Data!AN279</f>
        <v>4</v>
      </c>
      <c r="G279" s="0" t="n">
        <f aca="false">Raw_Data!AO279</f>
        <v>4</v>
      </c>
      <c r="H279" s="0" t="n">
        <f aca="false">SUM(B279:G279)</f>
        <v>21</v>
      </c>
      <c r="I279" s="0" t="n">
        <f aca="false">H279-B279</f>
        <v>17</v>
      </c>
      <c r="J279" s="0" t="n">
        <f aca="false">H279-C279</f>
        <v>18</v>
      </c>
      <c r="K279" s="0" t="n">
        <f aca="false">H279-D279</f>
        <v>18</v>
      </c>
      <c r="L279" s="0" t="n">
        <f aca="false">H279-E279</f>
        <v>18</v>
      </c>
      <c r="M279" s="0" t="n">
        <f aca="false">H279-F279</f>
        <v>17</v>
      </c>
      <c r="N279" s="0" t="n">
        <f aca="false">H279-G279</f>
        <v>17</v>
      </c>
      <c r="O279" s="0" t="n">
        <f aca="false">B279+D279+F279</f>
        <v>11</v>
      </c>
      <c r="P279" s="0" t="n">
        <f aca="false">C279+E279+G279</f>
        <v>10</v>
      </c>
    </row>
    <row r="280" customFormat="false" ht="15" hidden="false" customHeight="false" outlineLevel="0" collapsed="false">
      <c r="A280" s="0" t="n">
        <v>280</v>
      </c>
      <c r="B280" s="0" t="n">
        <f aca="false">Raw_Data!AJ280</f>
        <v>4</v>
      </c>
      <c r="C280" s="0" t="n">
        <f aca="false">Raw_Data!AK280</f>
        <v>2</v>
      </c>
      <c r="D280" s="0" t="n">
        <f aca="false">Raw_Data!AL280</f>
        <v>4</v>
      </c>
      <c r="E280" s="0" t="n">
        <f aca="false">Raw_Data!AM280</f>
        <v>3</v>
      </c>
      <c r="F280" s="0" t="n">
        <f aca="false">Raw_Data!AN280</f>
        <v>3</v>
      </c>
      <c r="G280" s="0" t="n">
        <f aca="false">Raw_Data!AO280</f>
        <v>3</v>
      </c>
      <c r="H280" s="0" t="n">
        <f aca="false">SUM(B280:G280)</f>
        <v>19</v>
      </c>
      <c r="I280" s="0" t="n">
        <f aca="false">H280-B280</f>
        <v>15</v>
      </c>
      <c r="J280" s="0" t="n">
        <f aca="false">H280-C280</f>
        <v>17</v>
      </c>
      <c r="K280" s="0" t="n">
        <f aca="false">H280-D280</f>
        <v>15</v>
      </c>
      <c r="L280" s="0" t="n">
        <f aca="false">H280-E280</f>
        <v>16</v>
      </c>
      <c r="M280" s="0" t="n">
        <f aca="false">H280-F280</f>
        <v>16</v>
      </c>
      <c r="N280" s="0" t="n">
        <f aca="false">H280-G280</f>
        <v>16</v>
      </c>
      <c r="O280" s="0" t="n">
        <f aca="false">B280+D280+F280</f>
        <v>11</v>
      </c>
      <c r="P280" s="0" t="n">
        <f aca="false">C280+E280+G280</f>
        <v>8</v>
      </c>
    </row>
    <row r="281" customFormat="false" ht="15" hidden="false" customHeight="false" outlineLevel="0" collapsed="false">
      <c r="A281" s="0" t="n">
        <v>281</v>
      </c>
      <c r="B281" s="0" t="n">
        <f aca="false">Raw_Data!AJ281</f>
        <v>5</v>
      </c>
      <c r="C281" s="0" t="n">
        <f aca="false">Raw_Data!AK281</f>
        <v>1</v>
      </c>
      <c r="D281" s="0" t="n">
        <f aca="false">Raw_Data!AL281</f>
        <v>5</v>
      </c>
      <c r="E281" s="0" t="n">
        <f aca="false">Raw_Data!AM281</f>
        <v>4</v>
      </c>
      <c r="F281" s="0" t="n">
        <f aca="false">Raw_Data!AN281</f>
        <v>2</v>
      </c>
      <c r="G281" s="0" t="n">
        <f aca="false">Raw_Data!AO281</f>
        <v>5</v>
      </c>
      <c r="H281" s="0" t="n">
        <f aca="false">SUM(B281:G281)</f>
        <v>22</v>
      </c>
      <c r="I281" s="0" t="n">
        <f aca="false">H281-B281</f>
        <v>17</v>
      </c>
      <c r="J281" s="0" t="n">
        <f aca="false">H281-C281</f>
        <v>21</v>
      </c>
      <c r="K281" s="0" t="n">
        <f aca="false">H281-D281</f>
        <v>17</v>
      </c>
      <c r="L281" s="0" t="n">
        <f aca="false">H281-E281</f>
        <v>18</v>
      </c>
      <c r="M281" s="0" t="n">
        <f aca="false">H281-F281</f>
        <v>20</v>
      </c>
      <c r="N281" s="0" t="n">
        <f aca="false">H281-G281</f>
        <v>17</v>
      </c>
      <c r="O281" s="0" t="n">
        <f aca="false">B281+D281+F281</f>
        <v>12</v>
      </c>
      <c r="P281" s="0" t="n">
        <f aca="false">C281+E281+G281</f>
        <v>10</v>
      </c>
    </row>
    <row r="282" customFormat="false" ht="15" hidden="false" customHeight="false" outlineLevel="0" collapsed="false">
      <c r="A282" s="0" t="n">
        <v>282</v>
      </c>
      <c r="B282" s="0" t="n">
        <f aca="false">Raw_Data!AJ282</f>
        <v>4</v>
      </c>
      <c r="C282" s="0" t="n">
        <f aca="false">Raw_Data!AK282</f>
        <v>2</v>
      </c>
      <c r="D282" s="0" t="n">
        <f aca="false">Raw_Data!AL282</f>
        <v>2</v>
      </c>
      <c r="E282" s="0" t="n">
        <f aca="false">Raw_Data!AM282</f>
        <v>3</v>
      </c>
      <c r="F282" s="0" t="n">
        <f aca="false">Raw_Data!AN282</f>
        <v>4</v>
      </c>
      <c r="G282" s="0" t="n">
        <f aca="false">Raw_Data!AO282</f>
        <v>3</v>
      </c>
      <c r="H282" s="0" t="n">
        <f aca="false">SUM(B282:G282)</f>
        <v>18</v>
      </c>
      <c r="I282" s="0" t="n">
        <f aca="false">H282-B282</f>
        <v>14</v>
      </c>
      <c r="J282" s="0" t="n">
        <f aca="false">H282-C282</f>
        <v>16</v>
      </c>
      <c r="K282" s="0" t="n">
        <f aca="false">H282-D282</f>
        <v>16</v>
      </c>
      <c r="L282" s="0" t="n">
        <f aca="false">H282-E282</f>
        <v>15</v>
      </c>
      <c r="M282" s="0" t="n">
        <f aca="false">H282-F282</f>
        <v>14</v>
      </c>
      <c r="N282" s="0" t="n">
        <f aca="false">H282-G282</f>
        <v>15</v>
      </c>
      <c r="O282" s="0" t="n">
        <f aca="false">B282+D282+F282</f>
        <v>10</v>
      </c>
      <c r="P282" s="0" t="n">
        <f aca="false">C282+E282+G282</f>
        <v>8</v>
      </c>
    </row>
    <row r="283" customFormat="false" ht="15" hidden="false" customHeight="false" outlineLevel="0" collapsed="false">
      <c r="A283" s="0" t="n">
        <v>283</v>
      </c>
      <c r="B283" s="0" t="n">
        <f aca="false">Raw_Data!AJ283</f>
        <v>4</v>
      </c>
      <c r="C283" s="0" t="n">
        <f aca="false">Raw_Data!AK283</f>
        <v>3</v>
      </c>
      <c r="D283" s="0" t="n">
        <f aca="false">Raw_Data!AL283</f>
        <v>5</v>
      </c>
      <c r="E283" s="0" t="n">
        <f aca="false">Raw_Data!AM283</f>
        <v>4</v>
      </c>
      <c r="F283" s="0" t="n">
        <f aca="false">Raw_Data!AN283</f>
        <v>3</v>
      </c>
      <c r="G283" s="0" t="n">
        <f aca="false">Raw_Data!AO283</f>
        <v>3</v>
      </c>
      <c r="H283" s="0" t="n">
        <f aca="false">SUM(B283:G283)</f>
        <v>22</v>
      </c>
      <c r="I283" s="0" t="n">
        <f aca="false">H283-B283</f>
        <v>18</v>
      </c>
      <c r="J283" s="0" t="n">
        <f aca="false">H283-C283</f>
        <v>19</v>
      </c>
      <c r="K283" s="0" t="n">
        <f aca="false">H283-D283</f>
        <v>17</v>
      </c>
      <c r="L283" s="0" t="n">
        <f aca="false">H283-E283</f>
        <v>18</v>
      </c>
      <c r="M283" s="0" t="n">
        <f aca="false">H283-F283</f>
        <v>19</v>
      </c>
      <c r="N283" s="0" t="n">
        <f aca="false">H283-G283</f>
        <v>19</v>
      </c>
      <c r="O283" s="0" t="n">
        <f aca="false">B283+D283+F283</f>
        <v>12</v>
      </c>
      <c r="P283" s="0" t="n">
        <f aca="false">C283+E283+G283</f>
        <v>10</v>
      </c>
    </row>
    <row r="284" customFormat="false" ht="15" hidden="false" customHeight="false" outlineLevel="0" collapsed="false">
      <c r="A284" s="0" t="n">
        <v>284</v>
      </c>
      <c r="B284" s="0" t="n">
        <f aca="false">Raw_Data!AJ284</f>
        <v>5</v>
      </c>
      <c r="C284" s="0" t="n">
        <f aca="false">Raw_Data!AK284</f>
        <v>4</v>
      </c>
      <c r="D284" s="0" t="n">
        <f aca="false">Raw_Data!AL284</f>
        <v>5</v>
      </c>
      <c r="E284" s="0" t="n">
        <f aca="false">Raw_Data!AM284</f>
        <v>3</v>
      </c>
      <c r="F284" s="0" t="n">
        <f aca="false">Raw_Data!AN284</f>
        <v>3</v>
      </c>
      <c r="G284" s="0" t="n">
        <f aca="false">Raw_Data!AO284</f>
        <v>2</v>
      </c>
      <c r="H284" s="0" t="n">
        <f aca="false">SUM(B284:G284)</f>
        <v>22</v>
      </c>
      <c r="I284" s="0" t="n">
        <f aca="false">H284-B284</f>
        <v>17</v>
      </c>
      <c r="J284" s="0" t="n">
        <f aca="false">H284-C284</f>
        <v>18</v>
      </c>
      <c r="K284" s="0" t="n">
        <f aca="false">H284-D284</f>
        <v>17</v>
      </c>
      <c r="L284" s="0" t="n">
        <f aca="false">H284-E284</f>
        <v>19</v>
      </c>
      <c r="M284" s="0" t="n">
        <f aca="false">H284-F284</f>
        <v>19</v>
      </c>
      <c r="N284" s="0" t="n">
        <f aca="false">H284-G284</f>
        <v>20</v>
      </c>
      <c r="O284" s="0" t="n">
        <f aca="false">B284+D284+F284</f>
        <v>13</v>
      </c>
      <c r="P284" s="0" t="n">
        <f aca="false">C284+E284+G284</f>
        <v>9</v>
      </c>
    </row>
    <row r="285" customFormat="false" ht="15" hidden="false" customHeight="false" outlineLevel="0" collapsed="false">
      <c r="A285" s="0" t="n">
        <v>285</v>
      </c>
      <c r="B285" s="0" t="n">
        <f aca="false">Raw_Data!AJ285</f>
        <v>3</v>
      </c>
      <c r="C285" s="0" t="n">
        <f aca="false">Raw_Data!AK285</f>
        <v>3</v>
      </c>
      <c r="D285" s="0" t="n">
        <f aca="false">Raw_Data!AL285</f>
        <v>5</v>
      </c>
      <c r="E285" s="0" t="n">
        <f aca="false">Raw_Data!AM285</f>
        <v>4</v>
      </c>
      <c r="F285" s="0" t="n">
        <f aca="false">Raw_Data!AN285</f>
        <v>3</v>
      </c>
      <c r="G285" s="0" t="n">
        <f aca="false">Raw_Data!AO285</f>
        <v>3</v>
      </c>
      <c r="H285" s="0" t="n">
        <f aca="false">SUM(B285:G285)</f>
        <v>21</v>
      </c>
      <c r="I285" s="0" t="n">
        <f aca="false">H285-B285</f>
        <v>18</v>
      </c>
      <c r="J285" s="0" t="n">
        <f aca="false">H285-C285</f>
        <v>18</v>
      </c>
      <c r="K285" s="0" t="n">
        <f aca="false">H285-D285</f>
        <v>16</v>
      </c>
      <c r="L285" s="0" t="n">
        <f aca="false">H285-E285</f>
        <v>17</v>
      </c>
      <c r="M285" s="0" t="n">
        <f aca="false">H285-F285</f>
        <v>18</v>
      </c>
      <c r="N285" s="0" t="n">
        <f aca="false">H285-G285</f>
        <v>18</v>
      </c>
      <c r="O285" s="0" t="n">
        <f aca="false">B285+D285+F285</f>
        <v>11</v>
      </c>
      <c r="P285" s="0" t="n">
        <f aca="false">C285+E285+G285</f>
        <v>10</v>
      </c>
    </row>
    <row r="286" customFormat="false" ht="15" hidden="false" customHeight="false" outlineLevel="0" collapsed="false">
      <c r="A286" s="0" t="n">
        <v>286</v>
      </c>
      <c r="B286" s="0" t="n">
        <f aca="false">Raw_Data!AJ286</f>
        <v>2</v>
      </c>
      <c r="C286" s="0" t="n">
        <f aca="false">Raw_Data!AK286</f>
        <v>3</v>
      </c>
      <c r="D286" s="0" t="n">
        <f aca="false">Raw_Data!AL286</f>
        <v>4</v>
      </c>
      <c r="E286" s="0" t="n">
        <f aca="false">Raw_Data!AM286</f>
        <v>3</v>
      </c>
      <c r="F286" s="0" t="n">
        <f aca="false">Raw_Data!AN286</f>
        <v>3</v>
      </c>
      <c r="G286" s="0" t="n">
        <f aca="false">Raw_Data!AO286</f>
        <v>4</v>
      </c>
      <c r="H286" s="0" t="n">
        <f aca="false">SUM(B286:G286)</f>
        <v>19</v>
      </c>
      <c r="I286" s="0" t="n">
        <f aca="false">H286-B286</f>
        <v>17</v>
      </c>
      <c r="J286" s="0" t="n">
        <f aca="false">H286-C286</f>
        <v>16</v>
      </c>
      <c r="K286" s="0" t="n">
        <f aca="false">H286-D286</f>
        <v>15</v>
      </c>
      <c r="L286" s="0" t="n">
        <f aca="false">H286-E286</f>
        <v>16</v>
      </c>
      <c r="M286" s="0" t="n">
        <f aca="false">H286-F286</f>
        <v>16</v>
      </c>
      <c r="N286" s="0" t="n">
        <f aca="false">H286-G286</f>
        <v>15</v>
      </c>
      <c r="O286" s="0" t="n">
        <f aca="false">B286+D286+F286</f>
        <v>9</v>
      </c>
      <c r="P286" s="0" t="n">
        <f aca="false">C286+E286+G286</f>
        <v>10</v>
      </c>
    </row>
    <row r="287" customFormat="false" ht="15" hidden="false" customHeight="false" outlineLevel="0" collapsed="false">
      <c r="A287" s="0" t="n">
        <v>287</v>
      </c>
      <c r="B287" s="0" t="n">
        <f aca="false">Raw_Data!AJ287</f>
        <v>3</v>
      </c>
      <c r="C287" s="0" t="n">
        <f aca="false">Raw_Data!AK287</f>
        <v>4</v>
      </c>
      <c r="D287" s="0" t="n">
        <f aca="false">Raw_Data!AL287</f>
        <v>4</v>
      </c>
      <c r="E287" s="0" t="n">
        <f aca="false">Raw_Data!AM287</f>
        <v>3</v>
      </c>
      <c r="F287" s="0" t="n">
        <f aca="false">Raw_Data!AN287</f>
        <v>3</v>
      </c>
      <c r="G287" s="0" t="n">
        <f aca="false">Raw_Data!AO287</f>
        <v>2</v>
      </c>
      <c r="H287" s="0" t="n">
        <f aca="false">SUM(B287:G287)</f>
        <v>19</v>
      </c>
      <c r="I287" s="0" t="n">
        <f aca="false">H287-B287</f>
        <v>16</v>
      </c>
      <c r="J287" s="0" t="n">
        <f aca="false">H287-C287</f>
        <v>15</v>
      </c>
      <c r="K287" s="0" t="n">
        <f aca="false">H287-D287</f>
        <v>15</v>
      </c>
      <c r="L287" s="0" t="n">
        <f aca="false">H287-E287</f>
        <v>16</v>
      </c>
      <c r="M287" s="0" t="n">
        <f aca="false">H287-F287</f>
        <v>16</v>
      </c>
      <c r="N287" s="0" t="n">
        <f aca="false">H287-G287</f>
        <v>17</v>
      </c>
      <c r="O287" s="0" t="n">
        <f aca="false">B287+D287+F287</f>
        <v>10</v>
      </c>
      <c r="P287" s="0" t="n">
        <f aca="false">C287+E287+G287</f>
        <v>9</v>
      </c>
    </row>
    <row r="288" customFormat="false" ht="15" hidden="false" customHeight="false" outlineLevel="0" collapsed="false">
      <c r="A288" s="0" t="n">
        <v>288</v>
      </c>
      <c r="B288" s="0" t="n">
        <f aca="false">Raw_Data!AJ288</f>
        <v>4</v>
      </c>
      <c r="C288" s="0" t="n">
        <f aca="false">Raw_Data!AK288</f>
        <v>4</v>
      </c>
      <c r="D288" s="0" t="n">
        <f aca="false">Raw_Data!AL288</f>
        <v>3</v>
      </c>
      <c r="E288" s="0" t="n">
        <f aca="false">Raw_Data!AM288</f>
        <v>3</v>
      </c>
      <c r="F288" s="0" t="n">
        <f aca="false">Raw_Data!AN288</f>
        <v>4</v>
      </c>
      <c r="G288" s="0" t="n">
        <f aca="false">Raw_Data!AO288</f>
        <v>3</v>
      </c>
      <c r="H288" s="0" t="n">
        <f aca="false">SUM(B288:G288)</f>
        <v>21</v>
      </c>
      <c r="I288" s="0" t="n">
        <f aca="false">H288-B288</f>
        <v>17</v>
      </c>
      <c r="J288" s="0" t="n">
        <f aca="false">H288-C288</f>
        <v>17</v>
      </c>
      <c r="K288" s="0" t="n">
        <f aca="false">H288-D288</f>
        <v>18</v>
      </c>
      <c r="L288" s="0" t="n">
        <f aca="false">H288-E288</f>
        <v>18</v>
      </c>
      <c r="M288" s="0" t="n">
        <f aca="false">H288-F288</f>
        <v>17</v>
      </c>
      <c r="N288" s="0" t="n">
        <f aca="false">H288-G288</f>
        <v>18</v>
      </c>
      <c r="O288" s="0" t="n">
        <f aca="false">B288+D288+F288</f>
        <v>11</v>
      </c>
      <c r="P288" s="0" t="n">
        <f aca="false">C288+E288+G288</f>
        <v>10</v>
      </c>
    </row>
    <row r="289" customFormat="false" ht="15" hidden="false" customHeight="false" outlineLevel="0" collapsed="false">
      <c r="A289" s="0" t="n">
        <v>289</v>
      </c>
      <c r="B289" s="0" t="n">
        <f aca="false">Raw_Data!AJ289</f>
        <v>5</v>
      </c>
      <c r="C289" s="0" t="n">
        <f aca="false">Raw_Data!AK289</f>
        <v>5</v>
      </c>
      <c r="D289" s="0" t="n">
        <f aca="false">Raw_Data!AL289</f>
        <v>4</v>
      </c>
      <c r="E289" s="0" t="n">
        <f aca="false">Raw_Data!AM289</f>
        <v>5</v>
      </c>
      <c r="F289" s="0" t="n">
        <f aca="false">Raw_Data!AN289</f>
        <v>4</v>
      </c>
      <c r="G289" s="0" t="n">
        <f aca="false">Raw_Data!AO289</f>
        <v>4</v>
      </c>
      <c r="H289" s="0" t="n">
        <f aca="false">SUM(B289:G289)</f>
        <v>27</v>
      </c>
      <c r="I289" s="0" t="n">
        <f aca="false">H289-B289</f>
        <v>22</v>
      </c>
      <c r="J289" s="0" t="n">
        <f aca="false">H289-C289</f>
        <v>22</v>
      </c>
      <c r="K289" s="0" t="n">
        <f aca="false">H289-D289</f>
        <v>23</v>
      </c>
      <c r="L289" s="0" t="n">
        <f aca="false">H289-E289</f>
        <v>22</v>
      </c>
      <c r="M289" s="0" t="n">
        <f aca="false">H289-F289</f>
        <v>23</v>
      </c>
      <c r="N289" s="0" t="n">
        <f aca="false">H289-G289</f>
        <v>23</v>
      </c>
      <c r="O289" s="0" t="n">
        <f aca="false">B289+D289+F289</f>
        <v>13</v>
      </c>
      <c r="P289" s="0" t="n">
        <f aca="false">C289+E289+G289</f>
        <v>14</v>
      </c>
    </row>
    <row r="290" customFormat="false" ht="15" hidden="false" customHeight="false" outlineLevel="0" collapsed="false">
      <c r="A290" s="0" t="n">
        <v>290</v>
      </c>
      <c r="B290" s="0" t="n">
        <f aca="false">Raw_Data!AJ290</f>
        <v>5</v>
      </c>
      <c r="C290" s="0" t="n">
        <f aca="false">Raw_Data!AK290</f>
        <v>3</v>
      </c>
      <c r="D290" s="0" t="n">
        <f aca="false">Raw_Data!AL290</f>
        <v>4</v>
      </c>
      <c r="E290" s="0" t="n">
        <f aca="false">Raw_Data!AM290</f>
        <v>3</v>
      </c>
      <c r="F290" s="0" t="n">
        <f aca="false">Raw_Data!AN290</f>
        <v>4</v>
      </c>
      <c r="G290" s="0" t="n">
        <f aca="false">Raw_Data!AO290</f>
        <v>5</v>
      </c>
      <c r="H290" s="0" t="n">
        <f aca="false">SUM(B290:G290)</f>
        <v>24</v>
      </c>
      <c r="I290" s="0" t="n">
        <f aca="false">H290-B290</f>
        <v>19</v>
      </c>
      <c r="J290" s="0" t="n">
        <f aca="false">H290-C290</f>
        <v>21</v>
      </c>
      <c r="K290" s="0" t="n">
        <f aca="false">H290-D290</f>
        <v>20</v>
      </c>
      <c r="L290" s="0" t="n">
        <f aca="false">H290-E290</f>
        <v>21</v>
      </c>
      <c r="M290" s="0" t="n">
        <f aca="false">H290-F290</f>
        <v>20</v>
      </c>
      <c r="N290" s="0" t="n">
        <f aca="false">H290-G290</f>
        <v>19</v>
      </c>
      <c r="O290" s="0" t="n">
        <f aca="false">B290+D290+F290</f>
        <v>13</v>
      </c>
      <c r="P290" s="0" t="n">
        <f aca="false">C290+E290+G290</f>
        <v>11</v>
      </c>
    </row>
    <row r="291" customFormat="false" ht="15" hidden="false" customHeight="false" outlineLevel="0" collapsed="false">
      <c r="A291" s="0" t="n">
        <v>291</v>
      </c>
      <c r="B291" s="0" t="n">
        <f aca="false">Raw_Data!AJ291</f>
        <v>4</v>
      </c>
      <c r="C291" s="0" t="n">
        <f aca="false">Raw_Data!AK291</f>
        <v>4</v>
      </c>
      <c r="D291" s="0" t="n">
        <f aca="false">Raw_Data!AL291</f>
        <v>3</v>
      </c>
      <c r="E291" s="0" t="n">
        <f aca="false">Raw_Data!AM291</f>
        <v>3</v>
      </c>
      <c r="F291" s="0" t="n">
        <f aca="false">Raw_Data!AN291</f>
        <v>3</v>
      </c>
      <c r="G291" s="0" t="n">
        <f aca="false">Raw_Data!AO291</f>
        <v>2</v>
      </c>
      <c r="H291" s="0" t="n">
        <f aca="false">SUM(B291:G291)</f>
        <v>19</v>
      </c>
      <c r="I291" s="0" t="n">
        <f aca="false">H291-B291</f>
        <v>15</v>
      </c>
      <c r="J291" s="0" t="n">
        <f aca="false">H291-C291</f>
        <v>15</v>
      </c>
      <c r="K291" s="0" t="n">
        <f aca="false">H291-D291</f>
        <v>16</v>
      </c>
      <c r="L291" s="0" t="n">
        <f aca="false">H291-E291</f>
        <v>16</v>
      </c>
      <c r="M291" s="0" t="n">
        <f aca="false">H291-F291</f>
        <v>16</v>
      </c>
      <c r="N291" s="0" t="n">
        <f aca="false">H291-G291</f>
        <v>17</v>
      </c>
      <c r="O291" s="0" t="n">
        <f aca="false">B291+D291+F291</f>
        <v>10</v>
      </c>
      <c r="P291" s="0" t="n">
        <f aca="false">C291+E291+G291</f>
        <v>9</v>
      </c>
    </row>
    <row r="292" customFormat="false" ht="15" hidden="false" customHeight="false" outlineLevel="0" collapsed="false">
      <c r="A292" s="0" t="n">
        <v>292</v>
      </c>
      <c r="B292" s="0" t="n">
        <f aca="false">Raw_Data!AJ292</f>
        <v>5</v>
      </c>
      <c r="C292" s="0" t="n">
        <f aca="false">Raw_Data!AK292</f>
        <v>5</v>
      </c>
      <c r="D292" s="0" t="n">
        <f aca="false">Raw_Data!AL292</f>
        <v>5</v>
      </c>
      <c r="E292" s="0" t="n">
        <f aca="false">Raw_Data!AM292</f>
        <v>3</v>
      </c>
      <c r="F292" s="0" t="n">
        <f aca="false">Raw_Data!AN292</f>
        <v>1</v>
      </c>
      <c r="G292" s="0" t="n">
        <f aca="false">Raw_Data!AO292</f>
        <v>3</v>
      </c>
      <c r="H292" s="0" t="n">
        <f aca="false">SUM(B292:G292)</f>
        <v>22</v>
      </c>
      <c r="I292" s="0" t="n">
        <f aca="false">H292-B292</f>
        <v>17</v>
      </c>
      <c r="J292" s="0" t="n">
        <f aca="false">H292-C292</f>
        <v>17</v>
      </c>
      <c r="K292" s="0" t="n">
        <f aca="false">H292-D292</f>
        <v>17</v>
      </c>
      <c r="L292" s="0" t="n">
        <f aca="false">H292-E292</f>
        <v>19</v>
      </c>
      <c r="M292" s="0" t="n">
        <f aca="false">H292-F292</f>
        <v>21</v>
      </c>
      <c r="N292" s="0" t="n">
        <f aca="false">H292-G292</f>
        <v>19</v>
      </c>
      <c r="O292" s="0" t="n">
        <f aca="false">B292+D292+F292</f>
        <v>11</v>
      </c>
      <c r="P292" s="0" t="n">
        <f aca="false">C292+E292+G292</f>
        <v>11</v>
      </c>
    </row>
    <row r="293" customFormat="false" ht="15" hidden="false" customHeight="false" outlineLevel="0" collapsed="false">
      <c r="A293" s="0" t="n">
        <v>293</v>
      </c>
      <c r="B293" s="0" t="n">
        <f aca="false">Raw_Data!AJ293</f>
        <v>4</v>
      </c>
      <c r="C293" s="0" t="n">
        <f aca="false">Raw_Data!AK293</f>
        <v>2</v>
      </c>
      <c r="D293" s="0" t="n">
        <f aca="false">Raw_Data!AL293</f>
        <v>5</v>
      </c>
      <c r="E293" s="0" t="n">
        <f aca="false">Raw_Data!AM293</f>
        <v>5</v>
      </c>
      <c r="F293" s="0" t="n">
        <f aca="false">Raw_Data!AN293</f>
        <v>1</v>
      </c>
      <c r="G293" s="0" t="n">
        <f aca="false">Raw_Data!AO293</f>
        <v>2</v>
      </c>
      <c r="H293" s="0" t="n">
        <f aca="false">SUM(B293:G293)</f>
        <v>19</v>
      </c>
      <c r="I293" s="0" t="n">
        <f aca="false">H293-B293</f>
        <v>15</v>
      </c>
      <c r="J293" s="0" t="n">
        <f aca="false">H293-C293</f>
        <v>17</v>
      </c>
      <c r="K293" s="0" t="n">
        <f aca="false">H293-D293</f>
        <v>14</v>
      </c>
      <c r="L293" s="0" t="n">
        <f aca="false">H293-E293</f>
        <v>14</v>
      </c>
      <c r="M293" s="0" t="n">
        <f aca="false">H293-F293</f>
        <v>18</v>
      </c>
      <c r="N293" s="0" t="n">
        <f aca="false">H293-G293</f>
        <v>17</v>
      </c>
      <c r="O293" s="0" t="n">
        <f aca="false">B293+D293+F293</f>
        <v>10</v>
      </c>
      <c r="P293" s="0" t="n">
        <f aca="false">C293+E293+G293</f>
        <v>9</v>
      </c>
    </row>
    <row r="294" customFormat="false" ht="15" hidden="false" customHeight="false" outlineLevel="0" collapsed="false">
      <c r="A294" s="0" t="n">
        <v>294</v>
      </c>
      <c r="B294" s="0" t="n">
        <f aca="false">Raw_Data!AJ294</f>
        <v>5</v>
      </c>
      <c r="C294" s="0" t="n">
        <f aca="false">Raw_Data!AK294</f>
        <v>3</v>
      </c>
      <c r="D294" s="0" t="n">
        <f aca="false">Raw_Data!AL294</f>
        <v>4</v>
      </c>
      <c r="E294" s="0" t="n">
        <f aca="false">Raw_Data!AM294</f>
        <v>5</v>
      </c>
      <c r="F294" s="0" t="n">
        <f aca="false">Raw_Data!AN294</f>
        <v>4</v>
      </c>
      <c r="G294" s="0" t="n">
        <f aca="false">Raw_Data!AO294</f>
        <v>3</v>
      </c>
      <c r="H294" s="0" t="n">
        <f aca="false">SUM(B294:G294)</f>
        <v>24</v>
      </c>
      <c r="I294" s="0" t="n">
        <f aca="false">H294-B294</f>
        <v>19</v>
      </c>
      <c r="J294" s="0" t="n">
        <f aca="false">H294-C294</f>
        <v>21</v>
      </c>
      <c r="K294" s="0" t="n">
        <f aca="false">H294-D294</f>
        <v>20</v>
      </c>
      <c r="L294" s="0" t="n">
        <f aca="false">H294-E294</f>
        <v>19</v>
      </c>
      <c r="M294" s="0" t="n">
        <f aca="false">H294-F294</f>
        <v>20</v>
      </c>
      <c r="N294" s="0" t="n">
        <f aca="false">H294-G294</f>
        <v>21</v>
      </c>
      <c r="O294" s="0" t="n">
        <f aca="false">B294+D294+F294</f>
        <v>13</v>
      </c>
      <c r="P294" s="0" t="n">
        <f aca="false">C294+E294+G294</f>
        <v>11</v>
      </c>
    </row>
    <row r="295" customFormat="false" ht="15" hidden="false" customHeight="false" outlineLevel="0" collapsed="false">
      <c r="A295" s="0" t="n">
        <v>295</v>
      </c>
      <c r="B295" s="0" t="n">
        <f aca="false">Raw_Data!AJ295</f>
        <v>4</v>
      </c>
      <c r="C295" s="0" t="n">
        <f aca="false">Raw_Data!AK295</f>
        <v>2</v>
      </c>
      <c r="D295" s="0" t="n">
        <f aca="false">Raw_Data!AL295</f>
        <v>5</v>
      </c>
      <c r="E295" s="0" t="n">
        <f aca="false">Raw_Data!AM295</f>
        <v>4</v>
      </c>
      <c r="F295" s="0" t="n">
        <f aca="false">Raw_Data!AN295</f>
        <v>2</v>
      </c>
      <c r="G295" s="0" t="n">
        <f aca="false">Raw_Data!AO295</f>
        <v>2</v>
      </c>
      <c r="H295" s="0" t="n">
        <f aca="false">SUM(B295:G295)</f>
        <v>19</v>
      </c>
      <c r="I295" s="0" t="n">
        <f aca="false">H295-B295</f>
        <v>15</v>
      </c>
      <c r="J295" s="0" t="n">
        <f aca="false">H295-C295</f>
        <v>17</v>
      </c>
      <c r="K295" s="0" t="n">
        <f aca="false">H295-D295</f>
        <v>14</v>
      </c>
      <c r="L295" s="0" t="n">
        <f aca="false">H295-E295</f>
        <v>15</v>
      </c>
      <c r="M295" s="0" t="n">
        <f aca="false">H295-F295</f>
        <v>17</v>
      </c>
      <c r="N295" s="0" t="n">
        <f aca="false">H295-G295</f>
        <v>17</v>
      </c>
      <c r="O295" s="0" t="n">
        <f aca="false">B295+D295+F295</f>
        <v>11</v>
      </c>
      <c r="P295" s="0" t="n">
        <f aca="false">C295+E295+G295</f>
        <v>8</v>
      </c>
    </row>
    <row r="296" customFormat="false" ht="15" hidden="false" customHeight="false" outlineLevel="0" collapsed="false">
      <c r="A296" s="0" t="n">
        <v>296</v>
      </c>
      <c r="B296" s="0" t="n">
        <f aca="false">Raw_Data!AJ296</f>
        <v>3</v>
      </c>
      <c r="C296" s="0" t="n">
        <f aca="false">Raw_Data!AK296</f>
        <v>5</v>
      </c>
      <c r="D296" s="0" t="n">
        <f aca="false">Raw_Data!AL296</f>
        <v>5</v>
      </c>
      <c r="E296" s="0" t="n">
        <f aca="false">Raw_Data!AM296</f>
        <v>4</v>
      </c>
      <c r="F296" s="0" t="n">
        <f aca="false">Raw_Data!AN296</f>
        <v>1</v>
      </c>
      <c r="G296" s="0" t="n">
        <f aca="false">Raw_Data!AO296</f>
        <v>1</v>
      </c>
      <c r="H296" s="0" t="n">
        <f aca="false">SUM(B296:G296)</f>
        <v>19</v>
      </c>
      <c r="I296" s="0" t="n">
        <f aca="false">H296-B296</f>
        <v>16</v>
      </c>
      <c r="J296" s="0" t="n">
        <f aca="false">H296-C296</f>
        <v>14</v>
      </c>
      <c r="K296" s="0" t="n">
        <f aca="false">H296-D296</f>
        <v>14</v>
      </c>
      <c r="L296" s="0" t="n">
        <f aca="false">H296-E296</f>
        <v>15</v>
      </c>
      <c r="M296" s="0" t="n">
        <f aca="false">H296-F296</f>
        <v>18</v>
      </c>
      <c r="N296" s="0" t="n">
        <f aca="false">H296-G296</f>
        <v>18</v>
      </c>
      <c r="O296" s="0" t="n">
        <f aca="false">B296+D296+F296</f>
        <v>9</v>
      </c>
      <c r="P296" s="0" t="n">
        <f aca="false">C296+E296+G296</f>
        <v>10</v>
      </c>
    </row>
    <row r="297" customFormat="false" ht="15" hidden="false" customHeight="false" outlineLevel="0" collapsed="false">
      <c r="A297" s="0" t="n">
        <v>297</v>
      </c>
      <c r="B297" s="0" t="n">
        <f aca="false">Raw_Data!AJ297</f>
        <v>2</v>
      </c>
      <c r="C297" s="0" t="n">
        <f aca="false">Raw_Data!AK297</f>
        <v>2</v>
      </c>
      <c r="D297" s="0" t="n">
        <f aca="false">Raw_Data!AL297</f>
        <v>3</v>
      </c>
      <c r="E297" s="0" t="n">
        <f aca="false">Raw_Data!AM297</f>
        <v>3</v>
      </c>
      <c r="F297" s="0" t="n">
        <f aca="false">Raw_Data!AN297</f>
        <v>3</v>
      </c>
      <c r="G297" s="0" t="n">
        <f aca="false">Raw_Data!AO297</f>
        <v>3</v>
      </c>
      <c r="H297" s="0" t="n">
        <f aca="false">SUM(B297:G297)</f>
        <v>16</v>
      </c>
      <c r="I297" s="0" t="n">
        <f aca="false">H297-B297</f>
        <v>14</v>
      </c>
      <c r="J297" s="0" t="n">
        <f aca="false">H297-C297</f>
        <v>14</v>
      </c>
      <c r="K297" s="0" t="n">
        <f aca="false">H297-D297</f>
        <v>13</v>
      </c>
      <c r="L297" s="0" t="n">
        <f aca="false">H297-E297</f>
        <v>13</v>
      </c>
      <c r="M297" s="0" t="n">
        <f aca="false">H297-F297</f>
        <v>13</v>
      </c>
      <c r="N297" s="0" t="n">
        <f aca="false">H297-G297</f>
        <v>13</v>
      </c>
      <c r="O297" s="0" t="n">
        <f aca="false">B297+D297+F297</f>
        <v>8</v>
      </c>
      <c r="P297" s="0" t="n">
        <f aca="false">C297+E297+G297</f>
        <v>8</v>
      </c>
    </row>
    <row r="298" customFormat="false" ht="15" hidden="false" customHeight="false" outlineLevel="0" collapsed="false">
      <c r="A298" s="0" t="n">
        <v>298</v>
      </c>
      <c r="B298" s="0" t="n">
        <f aca="false">Raw_Data!AJ298</f>
        <v>4</v>
      </c>
      <c r="C298" s="0" t="n">
        <f aca="false">Raw_Data!AK298</f>
        <v>2</v>
      </c>
      <c r="D298" s="0" t="n">
        <f aca="false">Raw_Data!AL298</f>
        <v>5</v>
      </c>
      <c r="E298" s="0" t="n">
        <f aca="false">Raw_Data!AM298</f>
        <v>5</v>
      </c>
      <c r="F298" s="0" t="n">
        <f aca="false">Raw_Data!AN298</f>
        <v>3</v>
      </c>
      <c r="G298" s="0" t="n">
        <f aca="false">Raw_Data!AO298</f>
        <v>3</v>
      </c>
      <c r="H298" s="0" t="n">
        <f aca="false">SUM(B298:G298)</f>
        <v>22</v>
      </c>
      <c r="I298" s="0" t="n">
        <f aca="false">H298-B298</f>
        <v>18</v>
      </c>
      <c r="J298" s="0" t="n">
        <f aca="false">H298-C298</f>
        <v>20</v>
      </c>
      <c r="K298" s="0" t="n">
        <f aca="false">H298-D298</f>
        <v>17</v>
      </c>
      <c r="L298" s="0" t="n">
        <f aca="false">H298-E298</f>
        <v>17</v>
      </c>
      <c r="M298" s="0" t="n">
        <f aca="false">H298-F298</f>
        <v>19</v>
      </c>
      <c r="N298" s="0" t="n">
        <f aca="false">H298-G298</f>
        <v>19</v>
      </c>
      <c r="O298" s="0" t="n">
        <f aca="false">B298+D298+F298</f>
        <v>12</v>
      </c>
      <c r="P298" s="0" t="n">
        <f aca="false">C298+E298+G298</f>
        <v>10</v>
      </c>
    </row>
    <row r="299" customFormat="false" ht="15" hidden="false" customHeight="false" outlineLevel="0" collapsed="false">
      <c r="A299" s="0" t="n">
        <v>299</v>
      </c>
      <c r="B299" s="0" t="n">
        <f aca="false">Raw_Data!AJ299</f>
        <v>4</v>
      </c>
      <c r="C299" s="0" t="n">
        <f aca="false">Raw_Data!AK299</f>
        <v>3</v>
      </c>
      <c r="D299" s="0" t="n">
        <f aca="false">Raw_Data!AL299</f>
        <v>4</v>
      </c>
      <c r="E299" s="0" t="n">
        <f aca="false">Raw_Data!AM299</f>
        <v>3</v>
      </c>
      <c r="F299" s="0" t="n">
        <f aca="false">Raw_Data!AN299</f>
        <v>3</v>
      </c>
      <c r="G299" s="0" t="n">
        <f aca="false">Raw_Data!AO299</f>
        <v>3</v>
      </c>
      <c r="H299" s="0" t="n">
        <f aca="false">SUM(B299:G299)</f>
        <v>20</v>
      </c>
      <c r="I299" s="0" t="n">
        <f aca="false">H299-B299</f>
        <v>16</v>
      </c>
      <c r="J299" s="0" t="n">
        <f aca="false">H299-C299</f>
        <v>17</v>
      </c>
      <c r="K299" s="0" t="n">
        <f aca="false">H299-D299</f>
        <v>16</v>
      </c>
      <c r="L299" s="0" t="n">
        <f aca="false">H299-E299</f>
        <v>17</v>
      </c>
      <c r="M299" s="0" t="n">
        <f aca="false">H299-F299</f>
        <v>17</v>
      </c>
      <c r="N299" s="0" t="n">
        <f aca="false">H299-G299</f>
        <v>17</v>
      </c>
      <c r="O299" s="0" t="n">
        <f aca="false">B299+D299+F299</f>
        <v>11</v>
      </c>
      <c r="P299" s="0" t="n">
        <f aca="false">C299+E299+G299</f>
        <v>9</v>
      </c>
    </row>
    <row r="300" customFormat="false" ht="15" hidden="false" customHeight="false" outlineLevel="0" collapsed="false">
      <c r="A300" s="0" t="n">
        <v>300</v>
      </c>
      <c r="B300" s="0" t="n">
        <f aca="false">Raw_Data!AJ300</f>
        <v>4</v>
      </c>
      <c r="C300" s="0" t="n">
        <f aca="false">Raw_Data!AK300</f>
        <v>3</v>
      </c>
      <c r="D300" s="0" t="n">
        <f aca="false">Raw_Data!AL300</f>
        <v>5</v>
      </c>
      <c r="E300" s="0" t="n">
        <f aca="false">Raw_Data!AM300</f>
        <v>4</v>
      </c>
      <c r="F300" s="0" t="n">
        <f aca="false">Raw_Data!AN300</f>
        <v>3</v>
      </c>
      <c r="G300" s="0" t="n">
        <f aca="false">Raw_Data!AO300</f>
        <v>3</v>
      </c>
      <c r="H300" s="0" t="n">
        <f aca="false">SUM(B300:G300)</f>
        <v>22</v>
      </c>
      <c r="I300" s="0" t="n">
        <f aca="false">H300-B300</f>
        <v>18</v>
      </c>
      <c r="J300" s="0" t="n">
        <f aca="false">H300-C300</f>
        <v>19</v>
      </c>
      <c r="K300" s="0" t="n">
        <f aca="false">H300-D300</f>
        <v>17</v>
      </c>
      <c r="L300" s="0" t="n">
        <f aca="false">H300-E300</f>
        <v>18</v>
      </c>
      <c r="M300" s="0" t="n">
        <f aca="false">H300-F300</f>
        <v>19</v>
      </c>
      <c r="N300" s="0" t="n">
        <f aca="false">H300-G300</f>
        <v>19</v>
      </c>
      <c r="O300" s="0" t="n">
        <f aca="false">B300+D300+F300</f>
        <v>12</v>
      </c>
      <c r="P300" s="0" t="n">
        <f aca="false">C300+E300+G300</f>
        <v>10</v>
      </c>
    </row>
    <row r="301" customFormat="false" ht="15" hidden="false" customHeight="false" outlineLevel="0" collapsed="false">
      <c r="A301" s="0" t="n">
        <v>301</v>
      </c>
      <c r="B301" s="0" t="n">
        <f aca="false">Raw_Data!AJ301</f>
        <v>3</v>
      </c>
      <c r="C301" s="0" t="n">
        <f aca="false">Raw_Data!AK301</f>
        <v>3</v>
      </c>
      <c r="D301" s="0" t="n">
        <f aca="false">Raw_Data!AL301</f>
        <v>3</v>
      </c>
      <c r="E301" s="0" t="n">
        <f aca="false">Raw_Data!AM301</f>
        <v>3</v>
      </c>
      <c r="F301" s="0" t="n">
        <f aca="false">Raw_Data!AN301</f>
        <v>2</v>
      </c>
      <c r="G301" s="0" t="n">
        <f aca="false">Raw_Data!AO301</f>
        <v>3</v>
      </c>
      <c r="H301" s="0" t="n">
        <f aca="false">SUM(B301:G301)</f>
        <v>17</v>
      </c>
      <c r="I301" s="0" t="n">
        <f aca="false">H301-B301</f>
        <v>14</v>
      </c>
      <c r="J301" s="0" t="n">
        <f aca="false">H301-C301</f>
        <v>14</v>
      </c>
      <c r="K301" s="0" t="n">
        <f aca="false">H301-D301</f>
        <v>14</v>
      </c>
      <c r="L301" s="0" t="n">
        <f aca="false">H301-E301</f>
        <v>14</v>
      </c>
      <c r="M301" s="0" t="n">
        <f aca="false">H301-F301</f>
        <v>15</v>
      </c>
      <c r="N301" s="0" t="n">
        <f aca="false">H301-G301</f>
        <v>14</v>
      </c>
      <c r="O301" s="0" t="n">
        <f aca="false">B301+D301+F301</f>
        <v>8</v>
      </c>
      <c r="P301" s="0" t="n">
        <f aca="false">C301+E301+G301</f>
        <v>9</v>
      </c>
    </row>
    <row r="302" customFormat="false" ht="15" hidden="false" customHeight="false" outlineLevel="0" collapsed="false">
      <c r="A302" s="0" t="n">
        <v>302</v>
      </c>
      <c r="B302" s="0" t="n">
        <f aca="false">Raw_Data!AJ302</f>
        <v>5</v>
      </c>
      <c r="C302" s="0" t="n">
        <f aca="false">Raw_Data!AK302</f>
        <v>4</v>
      </c>
      <c r="D302" s="0" t="n">
        <f aca="false">Raw_Data!AL302</f>
        <v>5</v>
      </c>
      <c r="E302" s="0" t="n">
        <f aca="false">Raw_Data!AM302</f>
        <v>3</v>
      </c>
      <c r="F302" s="0" t="n">
        <f aca="false">Raw_Data!AN302</f>
        <v>4</v>
      </c>
      <c r="G302" s="0" t="n">
        <f aca="false">Raw_Data!AO302</f>
        <v>3</v>
      </c>
      <c r="H302" s="0" t="n">
        <f aca="false">SUM(B302:G302)</f>
        <v>24</v>
      </c>
      <c r="I302" s="0" t="n">
        <f aca="false">H302-B302</f>
        <v>19</v>
      </c>
      <c r="J302" s="0" t="n">
        <f aca="false">H302-C302</f>
        <v>20</v>
      </c>
      <c r="K302" s="0" t="n">
        <f aca="false">H302-D302</f>
        <v>19</v>
      </c>
      <c r="L302" s="0" t="n">
        <f aca="false">H302-E302</f>
        <v>21</v>
      </c>
      <c r="M302" s="0" t="n">
        <f aca="false">H302-F302</f>
        <v>20</v>
      </c>
      <c r="N302" s="0" t="n">
        <f aca="false">H302-G302</f>
        <v>21</v>
      </c>
      <c r="O302" s="0" t="n">
        <f aca="false">B302+D302+F302</f>
        <v>14</v>
      </c>
      <c r="P302" s="0" t="n">
        <f aca="false">C302+E302+G302</f>
        <v>10</v>
      </c>
    </row>
    <row r="303" customFormat="false" ht="15" hidden="false" customHeight="false" outlineLevel="0" collapsed="false">
      <c r="A303" s="0" t="n">
        <v>303</v>
      </c>
      <c r="B303" s="0" t="n">
        <f aca="false">Raw_Data!AJ303</f>
        <v>3</v>
      </c>
      <c r="C303" s="0" t="n">
        <f aca="false">Raw_Data!AK303</f>
        <v>3</v>
      </c>
      <c r="D303" s="0" t="n">
        <f aca="false">Raw_Data!AL303</f>
        <v>4</v>
      </c>
      <c r="E303" s="0" t="n">
        <f aca="false">Raw_Data!AM303</f>
        <v>2</v>
      </c>
      <c r="F303" s="0" t="n">
        <f aca="false">Raw_Data!AN303</f>
        <v>3</v>
      </c>
      <c r="G303" s="0" t="n">
        <f aca="false">Raw_Data!AO303</f>
        <v>2</v>
      </c>
      <c r="H303" s="0" t="n">
        <f aca="false">SUM(B303:G303)</f>
        <v>17</v>
      </c>
      <c r="I303" s="0" t="n">
        <f aca="false">H303-B303</f>
        <v>14</v>
      </c>
      <c r="J303" s="0" t="n">
        <f aca="false">H303-C303</f>
        <v>14</v>
      </c>
      <c r="K303" s="0" t="n">
        <f aca="false">H303-D303</f>
        <v>13</v>
      </c>
      <c r="L303" s="0" t="n">
        <f aca="false">H303-E303</f>
        <v>15</v>
      </c>
      <c r="M303" s="0" t="n">
        <f aca="false">H303-F303</f>
        <v>14</v>
      </c>
      <c r="N303" s="0" t="n">
        <f aca="false">H303-G303</f>
        <v>15</v>
      </c>
      <c r="O303" s="0" t="n">
        <f aca="false">B303+D303+F303</f>
        <v>10</v>
      </c>
      <c r="P303" s="0" t="n">
        <f aca="false">C303+E303+G303</f>
        <v>7</v>
      </c>
    </row>
    <row r="304" customFormat="false" ht="15" hidden="false" customHeight="false" outlineLevel="0" collapsed="false">
      <c r="A304" s="0" t="n">
        <v>304</v>
      </c>
      <c r="B304" s="0" t="n">
        <f aca="false">Raw_Data!AJ304</f>
        <v>1</v>
      </c>
      <c r="C304" s="0" t="n">
        <f aca="false">Raw_Data!AK304</f>
        <v>2</v>
      </c>
      <c r="D304" s="0" t="n">
        <f aca="false">Raw_Data!AL304</f>
        <v>5</v>
      </c>
      <c r="E304" s="0" t="n">
        <f aca="false">Raw_Data!AM304</f>
        <v>2</v>
      </c>
      <c r="F304" s="0" t="n">
        <f aca="false">Raw_Data!AN304</f>
        <v>4</v>
      </c>
      <c r="G304" s="0" t="n">
        <f aca="false">Raw_Data!AO304</f>
        <v>2</v>
      </c>
      <c r="H304" s="0" t="n">
        <f aca="false">SUM(B304:G304)</f>
        <v>16</v>
      </c>
      <c r="I304" s="0" t="n">
        <f aca="false">H304-B304</f>
        <v>15</v>
      </c>
      <c r="J304" s="0" t="n">
        <f aca="false">H304-C304</f>
        <v>14</v>
      </c>
      <c r="K304" s="0" t="n">
        <f aca="false">H304-D304</f>
        <v>11</v>
      </c>
      <c r="L304" s="0" t="n">
        <f aca="false">H304-E304</f>
        <v>14</v>
      </c>
      <c r="M304" s="0" t="n">
        <f aca="false">H304-F304</f>
        <v>12</v>
      </c>
      <c r="N304" s="0" t="n">
        <f aca="false">H304-G304</f>
        <v>14</v>
      </c>
      <c r="O304" s="0" t="n">
        <f aca="false">B304+D304+F304</f>
        <v>10</v>
      </c>
      <c r="P304" s="0" t="n">
        <f aca="false">C304+E304+G304</f>
        <v>6</v>
      </c>
    </row>
    <row r="305" customFormat="false" ht="15" hidden="false" customHeight="false" outlineLevel="0" collapsed="false">
      <c r="A305" s="0" t="n">
        <v>305</v>
      </c>
      <c r="B305" s="0" t="n">
        <f aca="false">Raw_Data!AJ305</f>
        <v>5</v>
      </c>
      <c r="C305" s="0" t="n">
        <f aca="false">Raw_Data!AK305</f>
        <v>2</v>
      </c>
      <c r="D305" s="0" t="n">
        <f aca="false">Raw_Data!AL305</f>
        <v>3</v>
      </c>
      <c r="E305" s="0" t="n">
        <f aca="false">Raw_Data!AM305</f>
        <v>3</v>
      </c>
      <c r="F305" s="0" t="n">
        <f aca="false">Raw_Data!AN305</f>
        <v>3</v>
      </c>
      <c r="G305" s="0" t="n">
        <f aca="false">Raw_Data!AO305</f>
        <v>2</v>
      </c>
      <c r="H305" s="0" t="n">
        <f aca="false">SUM(B305:G305)</f>
        <v>18</v>
      </c>
      <c r="I305" s="0" t="n">
        <f aca="false">H305-B305</f>
        <v>13</v>
      </c>
      <c r="J305" s="0" t="n">
        <f aca="false">H305-C305</f>
        <v>16</v>
      </c>
      <c r="K305" s="0" t="n">
        <f aca="false">H305-D305</f>
        <v>15</v>
      </c>
      <c r="L305" s="0" t="n">
        <f aca="false">H305-E305</f>
        <v>15</v>
      </c>
      <c r="M305" s="0" t="n">
        <f aca="false">H305-F305</f>
        <v>15</v>
      </c>
      <c r="N305" s="0" t="n">
        <f aca="false">H305-G305</f>
        <v>16</v>
      </c>
      <c r="O305" s="0" t="n">
        <f aca="false">B305+D305+F305</f>
        <v>11</v>
      </c>
      <c r="P305" s="0" t="n">
        <f aca="false">C305+E305+G305</f>
        <v>7</v>
      </c>
    </row>
    <row r="306" customFormat="false" ht="15" hidden="false" customHeight="false" outlineLevel="0" collapsed="false">
      <c r="A306" s="0" t="n">
        <v>306</v>
      </c>
      <c r="B306" s="0" t="n">
        <f aca="false">Raw_Data!AJ306</f>
        <v>5</v>
      </c>
      <c r="C306" s="0" t="n">
        <f aca="false">Raw_Data!AK306</f>
        <v>4</v>
      </c>
      <c r="D306" s="0" t="n">
        <f aca="false">Raw_Data!AL306</f>
        <v>5</v>
      </c>
      <c r="E306" s="0" t="n">
        <f aca="false">Raw_Data!AM306</f>
        <v>4</v>
      </c>
      <c r="F306" s="0" t="n">
        <f aca="false">Raw_Data!AN306</f>
        <v>5</v>
      </c>
      <c r="G306" s="0" t="n">
        <f aca="false">Raw_Data!AO306</f>
        <v>5</v>
      </c>
      <c r="H306" s="0" t="n">
        <f aca="false">SUM(B306:G306)</f>
        <v>28</v>
      </c>
      <c r="I306" s="0" t="n">
        <f aca="false">H306-B306</f>
        <v>23</v>
      </c>
      <c r="J306" s="0" t="n">
        <f aca="false">H306-C306</f>
        <v>24</v>
      </c>
      <c r="K306" s="0" t="n">
        <f aca="false">H306-D306</f>
        <v>23</v>
      </c>
      <c r="L306" s="0" t="n">
        <f aca="false">H306-E306</f>
        <v>24</v>
      </c>
      <c r="M306" s="0" t="n">
        <f aca="false">H306-F306</f>
        <v>23</v>
      </c>
      <c r="N306" s="0" t="n">
        <f aca="false">H306-G306</f>
        <v>23</v>
      </c>
      <c r="O306" s="0" t="n">
        <f aca="false">B306+D306+F306</f>
        <v>15</v>
      </c>
      <c r="P306" s="0" t="n">
        <f aca="false">C306+E306+G306</f>
        <v>13</v>
      </c>
    </row>
    <row r="307" customFormat="false" ht="15" hidden="false" customHeight="false" outlineLevel="0" collapsed="false">
      <c r="A307" s="0" t="n">
        <v>307</v>
      </c>
      <c r="B307" s="0" t="n">
        <f aca="false">Raw_Data!AJ307</f>
        <v>2</v>
      </c>
      <c r="C307" s="0" t="n">
        <f aca="false">Raw_Data!AK307</f>
        <v>1</v>
      </c>
      <c r="D307" s="0" t="n">
        <f aca="false">Raw_Data!AL307</f>
        <v>5</v>
      </c>
      <c r="E307" s="0" t="n">
        <f aca="false">Raw_Data!AM307</f>
        <v>4</v>
      </c>
      <c r="F307" s="0" t="n">
        <f aca="false">Raw_Data!AN307</f>
        <v>1</v>
      </c>
      <c r="G307" s="0" t="n">
        <f aca="false">Raw_Data!AO307</f>
        <v>5</v>
      </c>
      <c r="H307" s="0" t="n">
        <f aca="false">SUM(B307:G307)</f>
        <v>18</v>
      </c>
      <c r="I307" s="0" t="n">
        <f aca="false">H307-B307</f>
        <v>16</v>
      </c>
      <c r="J307" s="0" t="n">
        <f aca="false">H307-C307</f>
        <v>17</v>
      </c>
      <c r="K307" s="0" t="n">
        <f aca="false">H307-D307</f>
        <v>13</v>
      </c>
      <c r="L307" s="0" t="n">
        <f aca="false">H307-E307</f>
        <v>14</v>
      </c>
      <c r="M307" s="0" t="n">
        <f aca="false">H307-F307</f>
        <v>17</v>
      </c>
      <c r="N307" s="0" t="n">
        <f aca="false">H307-G307</f>
        <v>13</v>
      </c>
      <c r="O307" s="0" t="n">
        <f aca="false">B307+D307+F307</f>
        <v>8</v>
      </c>
      <c r="P307" s="0" t="n">
        <f aca="false">C307+E307+G307</f>
        <v>10</v>
      </c>
    </row>
    <row r="308" customFormat="false" ht="15" hidden="false" customHeight="false" outlineLevel="0" collapsed="false">
      <c r="A308" s="0" t="n">
        <v>308</v>
      </c>
      <c r="B308" s="0" t="n">
        <f aca="false">Raw_Data!AJ308</f>
        <v>2</v>
      </c>
      <c r="C308" s="0" t="n">
        <f aca="false">Raw_Data!AK308</f>
        <v>2</v>
      </c>
      <c r="D308" s="0" t="n">
        <f aca="false">Raw_Data!AL308</f>
        <v>5</v>
      </c>
      <c r="E308" s="0" t="n">
        <f aca="false">Raw_Data!AM308</f>
        <v>3</v>
      </c>
      <c r="F308" s="0" t="n">
        <f aca="false">Raw_Data!AN308</f>
        <v>4</v>
      </c>
      <c r="G308" s="0" t="n">
        <f aca="false">Raw_Data!AO308</f>
        <v>2</v>
      </c>
      <c r="H308" s="0" t="n">
        <f aca="false">SUM(B308:G308)</f>
        <v>18</v>
      </c>
      <c r="I308" s="0" t="n">
        <f aca="false">H308-B308</f>
        <v>16</v>
      </c>
      <c r="J308" s="0" t="n">
        <f aca="false">H308-C308</f>
        <v>16</v>
      </c>
      <c r="K308" s="0" t="n">
        <f aca="false">H308-D308</f>
        <v>13</v>
      </c>
      <c r="L308" s="0" t="n">
        <f aca="false">H308-E308</f>
        <v>15</v>
      </c>
      <c r="M308" s="0" t="n">
        <f aca="false">H308-F308</f>
        <v>14</v>
      </c>
      <c r="N308" s="0" t="n">
        <f aca="false">H308-G308</f>
        <v>16</v>
      </c>
      <c r="O308" s="0" t="n">
        <f aca="false">B308+D308+F308</f>
        <v>11</v>
      </c>
      <c r="P308" s="0" t="n">
        <f aca="false">C308+E308+G308</f>
        <v>7</v>
      </c>
    </row>
    <row r="309" customFormat="false" ht="15" hidden="false" customHeight="false" outlineLevel="0" collapsed="false">
      <c r="A309" s="0" t="n">
        <v>309</v>
      </c>
      <c r="B309" s="0" t="n">
        <f aca="false">Raw_Data!AJ309</f>
        <v>4</v>
      </c>
      <c r="C309" s="0" t="n">
        <f aca="false">Raw_Data!AK309</f>
        <v>3</v>
      </c>
      <c r="D309" s="0" t="n">
        <f aca="false">Raw_Data!AL309</f>
        <v>3</v>
      </c>
      <c r="E309" s="0" t="n">
        <f aca="false">Raw_Data!AM309</f>
        <v>4</v>
      </c>
      <c r="F309" s="0" t="n">
        <f aca="false">Raw_Data!AN309</f>
        <v>4</v>
      </c>
      <c r="G309" s="0" t="n">
        <f aca="false">Raw_Data!AO309</f>
        <v>3</v>
      </c>
      <c r="H309" s="0" t="n">
        <f aca="false">SUM(B309:G309)</f>
        <v>21</v>
      </c>
      <c r="I309" s="0" t="n">
        <f aca="false">H309-B309</f>
        <v>17</v>
      </c>
      <c r="J309" s="0" t="n">
        <f aca="false">H309-C309</f>
        <v>18</v>
      </c>
      <c r="K309" s="0" t="n">
        <f aca="false">H309-D309</f>
        <v>18</v>
      </c>
      <c r="L309" s="0" t="n">
        <f aca="false">H309-E309</f>
        <v>17</v>
      </c>
      <c r="M309" s="0" t="n">
        <f aca="false">H309-F309</f>
        <v>17</v>
      </c>
      <c r="N309" s="0" t="n">
        <f aca="false">H309-G309</f>
        <v>18</v>
      </c>
      <c r="O309" s="0" t="n">
        <f aca="false">B309+D309+F309</f>
        <v>11</v>
      </c>
      <c r="P309" s="0" t="n">
        <f aca="false">C309+E309+G309</f>
        <v>10</v>
      </c>
    </row>
    <row r="310" customFormat="false" ht="15" hidden="false" customHeight="false" outlineLevel="0" collapsed="false">
      <c r="A310" s="0" t="n">
        <v>310</v>
      </c>
      <c r="B310" s="0" t="n">
        <f aca="false">Raw_Data!AJ310</f>
        <v>3</v>
      </c>
      <c r="C310" s="0" t="n">
        <f aca="false">Raw_Data!AK310</f>
        <v>3</v>
      </c>
      <c r="D310" s="0" t="n">
        <f aca="false">Raw_Data!AL310</f>
        <v>5</v>
      </c>
      <c r="E310" s="0" t="n">
        <f aca="false">Raw_Data!AM310</f>
        <v>3</v>
      </c>
      <c r="F310" s="0" t="n">
        <f aca="false">Raw_Data!AN310</f>
        <v>2</v>
      </c>
      <c r="G310" s="0" t="n">
        <f aca="false">Raw_Data!AO310</f>
        <v>5</v>
      </c>
      <c r="H310" s="0" t="n">
        <f aca="false">SUM(B310:G310)</f>
        <v>21</v>
      </c>
      <c r="I310" s="0" t="n">
        <f aca="false">H310-B310</f>
        <v>18</v>
      </c>
      <c r="J310" s="0" t="n">
        <f aca="false">H310-C310</f>
        <v>18</v>
      </c>
      <c r="K310" s="0" t="n">
        <f aca="false">H310-D310</f>
        <v>16</v>
      </c>
      <c r="L310" s="0" t="n">
        <f aca="false">H310-E310</f>
        <v>18</v>
      </c>
      <c r="M310" s="0" t="n">
        <f aca="false">H310-F310</f>
        <v>19</v>
      </c>
      <c r="N310" s="0" t="n">
        <f aca="false">H310-G310</f>
        <v>16</v>
      </c>
      <c r="O310" s="0" t="n">
        <f aca="false">B310+D310+F310</f>
        <v>10</v>
      </c>
      <c r="P310" s="0" t="n">
        <f aca="false">C310+E310+G310</f>
        <v>11</v>
      </c>
    </row>
    <row r="311" customFormat="false" ht="15" hidden="false" customHeight="false" outlineLevel="0" collapsed="false">
      <c r="A311" s="0" t="n">
        <v>311</v>
      </c>
      <c r="B311" s="0" t="n">
        <f aca="false">Raw_Data!AJ311</f>
        <v>4</v>
      </c>
      <c r="C311" s="0" t="n">
        <f aca="false">Raw_Data!AK311</f>
        <v>4</v>
      </c>
      <c r="D311" s="0" t="n">
        <f aca="false">Raw_Data!AL311</f>
        <v>5</v>
      </c>
      <c r="E311" s="0" t="n">
        <f aca="false">Raw_Data!AM311</f>
        <v>4</v>
      </c>
      <c r="F311" s="0" t="n">
        <f aca="false">Raw_Data!AN311</f>
        <v>3</v>
      </c>
      <c r="G311" s="0" t="n">
        <f aca="false">Raw_Data!AO311</f>
        <v>2</v>
      </c>
      <c r="H311" s="0" t="n">
        <f aca="false">SUM(B311:G311)</f>
        <v>22</v>
      </c>
      <c r="I311" s="0" t="n">
        <f aca="false">H311-B311</f>
        <v>18</v>
      </c>
      <c r="J311" s="0" t="n">
        <f aca="false">H311-C311</f>
        <v>18</v>
      </c>
      <c r="K311" s="0" t="n">
        <f aca="false">H311-D311</f>
        <v>17</v>
      </c>
      <c r="L311" s="0" t="n">
        <f aca="false">H311-E311</f>
        <v>18</v>
      </c>
      <c r="M311" s="0" t="n">
        <f aca="false">H311-F311</f>
        <v>19</v>
      </c>
      <c r="N311" s="0" t="n">
        <f aca="false">H311-G311</f>
        <v>20</v>
      </c>
      <c r="O311" s="0" t="n">
        <f aca="false">B311+D311+F311</f>
        <v>12</v>
      </c>
      <c r="P311" s="0" t="n">
        <f aca="false">C311+E311+G311</f>
        <v>10</v>
      </c>
    </row>
    <row r="312" customFormat="false" ht="15" hidden="false" customHeight="false" outlineLevel="0" collapsed="false">
      <c r="A312" s="0" t="n">
        <v>312</v>
      </c>
      <c r="B312" s="0" t="n">
        <f aca="false">Raw_Data!AJ312</f>
        <v>2</v>
      </c>
      <c r="C312" s="0" t="n">
        <f aca="false">Raw_Data!AK312</f>
        <v>2</v>
      </c>
      <c r="D312" s="0" t="n">
        <f aca="false">Raw_Data!AL312</f>
        <v>5</v>
      </c>
      <c r="E312" s="0" t="n">
        <f aca="false">Raw_Data!AM312</f>
        <v>4</v>
      </c>
      <c r="F312" s="0" t="n">
        <f aca="false">Raw_Data!AN312</f>
        <v>3</v>
      </c>
      <c r="G312" s="0" t="n">
        <f aca="false">Raw_Data!AO312</f>
        <v>2</v>
      </c>
      <c r="H312" s="0" t="n">
        <f aca="false">SUM(B312:G312)</f>
        <v>18</v>
      </c>
      <c r="I312" s="0" t="n">
        <f aca="false">H312-B312</f>
        <v>16</v>
      </c>
      <c r="J312" s="0" t="n">
        <f aca="false">H312-C312</f>
        <v>16</v>
      </c>
      <c r="K312" s="0" t="n">
        <f aca="false">H312-D312</f>
        <v>13</v>
      </c>
      <c r="L312" s="0" t="n">
        <f aca="false">H312-E312</f>
        <v>14</v>
      </c>
      <c r="M312" s="0" t="n">
        <f aca="false">H312-F312</f>
        <v>15</v>
      </c>
      <c r="N312" s="0" t="n">
        <f aca="false">H312-G312</f>
        <v>16</v>
      </c>
      <c r="O312" s="0" t="n">
        <f aca="false">B312+D312+F312</f>
        <v>10</v>
      </c>
      <c r="P312" s="0" t="n">
        <f aca="false">C312+E312+G312</f>
        <v>8</v>
      </c>
    </row>
    <row r="313" customFormat="false" ht="15" hidden="false" customHeight="false" outlineLevel="0" collapsed="false">
      <c r="A313" s="0" t="n">
        <v>313</v>
      </c>
      <c r="B313" s="0" t="n">
        <f aca="false">Raw_Data!AJ313</f>
        <v>5</v>
      </c>
      <c r="C313" s="0" t="n">
        <f aca="false">Raw_Data!AK313</f>
        <v>3</v>
      </c>
      <c r="D313" s="0" t="n">
        <f aca="false">Raw_Data!AL313</f>
        <v>5</v>
      </c>
      <c r="E313" s="0" t="n">
        <f aca="false">Raw_Data!AM313</f>
        <v>5</v>
      </c>
      <c r="F313" s="0" t="n">
        <f aca="false">Raw_Data!AN313</f>
        <v>4</v>
      </c>
      <c r="G313" s="0" t="n">
        <f aca="false">Raw_Data!AO313</f>
        <v>3</v>
      </c>
      <c r="H313" s="0" t="n">
        <f aca="false">SUM(B313:G313)</f>
        <v>25</v>
      </c>
      <c r="I313" s="0" t="n">
        <f aca="false">H313-B313</f>
        <v>20</v>
      </c>
      <c r="J313" s="0" t="n">
        <f aca="false">H313-C313</f>
        <v>22</v>
      </c>
      <c r="K313" s="0" t="n">
        <f aca="false">H313-D313</f>
        <v>20</v>
      </c>
      <c r="L313" s="0" t="n">
        <f aca="false">H313-E313</f>
        <v>20</v>
      </c>
      <c r="M313" s="0" t="n">
        <f aca="false">H313-F313</f>
        <v>21</v>
      </c>
      <c r="N313" s="0" t="n">
        <f aca="false">H313-G313</f>
        <v>22</v>
      </c>
      <c r="O313" s="0" t="n">
        <f aca="false">B313+D313+F313</f>
        <v>14</v>
      </c>
      <c r="P313" s="0" t="n">
        <f aca="false">C313+E313+G313</f>
        <v>11</v>
      </c>
    </row>
    <row r="314" customFormat="false" ht="15" hidden="false" customHeight="false" outlineLevel="0" collapsed="false">
      <c r="A314" s="0" t="n">
        <v>314</v>
      </c>
      <c r="B314" s="0" t="n">
        <f aca="false">Raw_Data!AJ314</f>
        <v>5</v>
      </c>
      <c r="C314" s="0" t="n">
        <f aca="false">Raw_Data!AK314</f>
        <v>4</v>
      </c>
      <c r="D314" s="0" t="n">
        <f aca="false">Raw_Data!AL314</f>
        <v>4</v>
      </c>
      <c r="E314" s="0" t="n">
        <f aca="false">Raw_Data!AM314</f>
        <v>3</v>
      </c>
      <c r="F314" s="0" t="n">
        <f aca="false">Raw_Data!AN314</f>
        <v>3</v>
      </c>
      <c r="G314" s="0" t="n">
        <f aca="false">Raw_Data!AO314</f>
        <v>4</v>
      </c>
      <c r="H314" s="0" t="n">
        <f aca="false">SUM(B314:G314)</f>
        <v>23</v>
      </c>
      <c r="I314" s="0" t="n">
        <f aca="false">H314-B314</f>
        <v>18</v>
      </c>
      <c r="J314" s="0" t="n">
        <f aca="false">H314-C314</f>
        <v>19</v>
      </c>
      <c r="K314" s="0" t="n">
        <f aca="false">H314-D314</f>
        <v>19</v>
      </c>
      <c r="L314" s="0" t="n">
        <f aca="false">H314-E314</f>
        <v>20</v>
      </c>
      <c r="M314" s="0" t="n">
        <f aca="false">H314-F314</f>
        <v>20</v>
      </c>
      <c r="N314" s="0" t="n">
        <f aca="false">H314-G314</f>
        <v>19</v>
      </c>
      <c r="O314" s="0" t="n">
        <f aca="false">B314+D314+F314</f>
        <v>12</v>
      </c>
      <c r="P314" s="0" t="n">
        <f aca="false">C314+E314+G314</f>
        <v>11</v>
      </c>
    </row>
    <row r="315" customFormat="false" ht="15" hidden="false" customHeight="false" outlineLevel="0" collapsed="false">
      <c r="A315" s="0" t="n">
        <v>315</v>
      </c>
      <c r="B315" s="0" t="n">
        <f aca="false">Raw_Data!AJ315</f>
        <v>5</v>
      </c>
      <c r="C315" s="0" t="n">
        <f aca="false">Raw_Data!AK315</f>
        <v>4</v>
      </c>
      <c r="D315" s="0" t="n">
        <f aca="false">Raw_Data!AL315</f>
        <v>4</v>
      </c>
      <c r="E315" s="0" t="n">
        <f aca="false">Raw_Data!AM315</f>
        <v>4</v>
      </c>
      <c r="F315" s="0" t="n">
        <f aca="false">Raw_Data!AN315</f>
        <v>4</v>
      </c>
      <c r="G315" s="0" t="n">
        <f aca="false">Raw_Data!AO315</f>
        <v>5</v>
      </c>
      <c r="H315" s="0" t="n">
        <f aca="false">SUM(B315:G315)</f>
        <v>26</v>
      </c>
      <c r="I315" s="0" t="n">
        <f aca="false">H315-B315</f>
        <v>21</v>
      </c>
      <c r="J315" s="0" t="n">
        <f aca="false">H315-C315</f>
        <v>22</v>
      </c>
      <c r="K315" s="0" t="n">
        <f aca="false">H315-D315</f>
        <v>22</v>
      </c>
      <c r="L315" s="0" t="n">
        <f aca="false">H315-E315</f>
        <v>22</v>
      </c>
      <c r="M315" s="0" t="n">
        <f aca="false">H315-F315</f>
        <v>22</v>
      </c>
      <c r="N315" s="0" t="n">
        <f aca="false">H315-G315</f>
        <v>21</v>
      </c>
      <c r="O315" s="0" t="n">
        <f aca="false">B315+D315+F315</f>
        <v>13</v>
      </c>
      <c r="P315" s="0" t="n">
        <f aca="false">C315+E315+G315</f>
        <v>13</v>
      </c>
    </row>
    <row r="316" customFormat="false" ht="15" hidden="false" customHeight="false" outlineLevel="0" collapsed="false">
      <c r="A316" s="0" t="n">
        <v>316</v>
      </c>
      <c r="B316" s="0" t="n">
        <f aca="false">Raw_Data!AJ316</f>
        <v>3</v>
      </c>
      <c r="C316" s="0" t="n">
        <f aca="false">Raw_Data!AK316</f>
        <v>2</v>
      </c>
      <c r="D316" s="0" t="n">
        <f aca="false">Raw_Data!AL316</f>
        <v>4</v>
      </c>
      <c r="E316" s="0" t="n">
        <f aca="false">Raw_Data!AM316</f>
        <v>3</v>
      </c>
      <c r="F316" s="0" t="n">
        <f aca="false">Raw_Data!AN316</f>
        <v>2</v>
      </c>
      <c r="G316" s="0" t="n">
        <f aca="false">Raw_Data!AO316</f>
        <v>2</v>
      </c>
      <c r="H316" s="0" t="n">
        <f aca="false">SUM(B316:G316)</f>
        <v>16</v>
      </c>
      <c r="I316" s="0" t="n">
        <f aca="false">H316-B316</f>
        <v>13</v>
      </c>
      <c r="J316" s="0" t="n">
        <f aca="false">H316-C316</f>
        <v>14</v>
      </c>
      <c r="K316" s="0" t="n">
        <f aca="false">H316-D316</f>
        <v>12</v>
      </c>
      <c r="L316" s="0" t="n">
        <f aca="false">H316-E316</f>
        <v>13</v>
      </c>
      <c r="M316" s="0" t="n">
        <f aca="false">H316-F316</f>
        <v>14</v>
      </c>
      <c r="N316" s="0" t="n">
        <f aca="false">H316-G316</f>
        <v>14</v>
      </c>
      <c r="O316" s="0" t="n">
        <f aca="false">B316+D316+F316</f>
        <v>9</v>
      </c>
      <c r="P316" s="0" t="n">
        <f aca="false">C316+E316+G316</f>
        <v>7</v>
      </c>
    </row>
    <row r="317" customFormat="false" ht="15" hidden="false" customHeight="false" outlineLevel="0" collapsed="false">
      <c r="A317" s="0" t="n">
        <v>317</v>
      </c>
      <c r="B317" s="0" t="n">
        <f aca="false">Raw_Data!AJ317</f>
        <v>4</v>
      </c>
      <c r="C317" s="0" t="n">
        <f aca="false">Raw_Data!AK317</f>
        <v>3</v>
      </c>
      <c r="D317" s="0" t="n">
        <f aca="false">Raw_Data!AL317</f>
        <v>4</v>
      </c>
      <c r="E317" s="0" t="n">
        <f aca="false">Raw_Data!AM317</f>
        <v>3</v>
      </c>
      <c r="F317" s="0" t="n">
        <f aca="false">Raw_Data!AN317</f>
        <v>4</v>
      </c>
      <c r="G317" s="0" t="n">
        <f aca="false">Raw_Data!AO317</f>
        <v>3</v>
      </c>
      <c r="H317" s="0" t="n">
        <f aca="false">SUM(B317:G317)</f>
        <v>21</v>
      </c>
      <c r="I317" s="0" t="n">
        <f aca="false">H317-B317</f>
        <v>17</v>
      </c>
      <c r="J317" s="0" t="n">
        <f aca="false">H317-C317</f>
        <v>18</v>
      </c>
      <c r="K317" s="0" t="n">
        <f aca="false">H317-D317</f>
        <v>17</v>
      </c>
      <c r="L317" s="0" t="n">
        <f aca="false">H317-E317</f>
        <v>18</v>
      </c>
      <c r="M317" s="0" t="n">
        <f aca="false">H317-F317</f>
        <v>17</v>
      </c>
      <c r="N317" s="0" t="n">
        <f aca="false">H317-G317</f>
        <v>18</v>
      </c>
      <c r="O317" s="0" t="n">
        <f aca="false">B317+D317+F317</f>
        <v>12</v>
      </c>
      <c r="P317" s="0" t="n">
        <f aca="false">C317+E317+G317</f>
        <v>9</v>
      </c>
    </row>
    <row r="318" customFormat="false" ht="15" hidden="false" customHeight="false" outlineLevel="0" collapsed="false">
      <c r="A318" s="0" t="n">
        <v>318</v>
      </c>
      <c r="B318" s="0" t="n">
        <f aca="false">Raw_Data!AJ318</f>
        <v>4</v>
      </c>
      <c r="C318" s="0" t="n">
        <f aca="false">Raw_Data!AK318</f>
        <v>4</v>
      </c>
      <c r="D318" s="0" t="n">
        <f aca="false">Raw_Data!AL318</f>
        <v>4</v>
      </c>
      <c r="E318" s="0" t="n">
        <f aca="false">Raw_Data!AM318</f>
        <v>2</v>
      </c>
      <c r="F318" s="0" t="n">
        <f aca="false">Raw_Data!AN318</f>
        <v>3</v>
      </c>
      <c r="G318" s="0" t="n">
        <f aca="false">Raw_Data!AO318</f>
        <v>1</v>
      </c>
      <c r="H318" s="0" t="n">
        <f aca="false">SUM(B318:G318)</f>
        <v>18</v>
      </c>
      <c r="I318" s="0" t="n">
        <f aca="false">H318-B318</f>
        <v>14</v>
      </c>
      <c r="J318" s="0" t="n">
        <f aca="false">H318-C318</f>
        <v>14</v>
      </c>
      <c r="K318" s="0" t="n">
        <f aca="false">H318-D318</f>
        <v>14</v>
      </c>
      <c r="L318" s="0" t="n">
        <f aca="false">H318-E318</f>
        <v>16</v>
      </c>
      <c r="M318" s="0" t="n">
        <f aca="false">H318-F318</f>
        <v>15</v>
      </c>
      <c r="N318" s="0" t="n">
        <f aca="false">H318-G318</f>
        <v>17</v>
      </c>
      <c r="O318" s="0" t="n">
        <f aca="false">B318+D318+F318</f>
        <v>11</v>
      </c>
      <c r="P318" s="0" t="n">
        <f aca="false">C318+E318+G318</f>
        <v>7</v>
      </c>
    </row>
    <row r="319" customFormat="false" ht="15" hidden="false" customHeight="false" outlineLevel="0" collapsed="false">
      <c r="A319" s="0" t="n">
        <v>319</v>
      </c>
      <c r="B319" s="0" t="n">
        <f aca="false">Raw_Data!AJ319</f>
        <v>4</v>
      </c>
      <c r="C319" s="0" t="n">
        <f aca="false">Raw_Data!AK319</f>
        <v>4</v>
      </c>
      <c r="D319" s="0" t="n">
        <f aca="false">Raw_Data!AL319</f>
        <v>2</v>
      </c>
      <c r="E319" s="0" t="n">
        <f aca="false">Raw_Data!AM319</f>
        <v>3</v>
      </c>
      <c r="F319" s="0" t="n">
        <f aca="false">Raw_Data!AN319</f>
        <v>3</v>
      </c>
      <c r="G319" s="0" t="n">
        <f aca="false">Raw_Data!AO319</f>
        <v>3</v>
      </c>
      <c r="H319" s="0" t="n">
        <f aca="false">SUM(B319:G319)</f>
        <v>19</v>
      </c>
      <c r="I319" s="0" t="n">
        <f aca="false">H319-B319</f>
        <v>15</v>
      </c>
      <c r="J319" s="0" t="n">
        <f aca="false">H319-C319</f>
        <v>15</v>
      </c>
      <c r="K319" s="0" t="n">
        <f aca="false">H319-D319</f>
        <v>17</v>
      </c>
      <c r="L319" s="0" t="n">
        <f aca="false">H319-E319</f>
        <v>16</v>
      </c>
      <c r="M319" s="0" t="n">
        <f aca="false">H319-F319</f>
        <v>16</v>
      </c>
      <c r="N319" s="0" t="n">
        <f aca="false">H319-G319</f>
        <v>16</v>
      </c>
      <c r="O319" s="0" t="n">
        <f aca="false">B319+D319+F319</f>
        <v>9</v>
      </c>
      <c r="P319" s="0" t="n">
        <f aca="false">C319+E319+G319</f>
        <v>10</v>
      </c>
    </row>
    <row r="320" customFormat="false" ht="15" hidden="false" customHeight="false" outlineLevel="0" collapsed="false">
      <c r="A320" s="0" t="n">
        <v>320</v>
      </c>
      <c r="B320" s="0" t="n">
        <f aca="false">Raw_Data!AJ320</f>
        <v>4</v>
      </c>
      <c r="C320" s="0" t="n">
        <f aca="false">Raw_Data!AK320</f>
        <v>4</v>
      </c>
      <c r="D320" s="0" t="n">
        <f aca="false">Raw_Data!AL320</f>
        <v>3</v>
      </c>
      <c r="E320" s="0" t="n">
        <f aca="false">Raw_Data!AM320</f>
        <v>4</v>
      </c>
      <c r="F320" s="0" t="n">
        <f aca="false">Raw_Data!AN320</f>
        <v>3</v>
      </c>
      <c r="G320" s="0" t="n">
        <f aca="false">Raw_Data!AO320</f>
        <v>4</v>
      </c>
      <c r="H320" s="0" t="n">
        <f aca="false">SUM(B320:G320)</f>
        <v>22</v>
      </c>
      <c r="I320" s="0" t="n">
        <f aca="false">H320-B320</f>
        <v>18</v>
      </c>
      <c r="J320" s="0" t="n">
        <f aca="false">H320-C320</f>
        <v>18</v>
      </c>
      <c r="K320" s="0" t="n">
        <f aca="false">H320-D320</f>
        <v>19</v>
      </c>
      <c r="L320" s="0" t="n">
        <f aca="false">H320-E320</f>
        <v>18</v>
      </c>
      <c r="M320" s="0" t="n">
        <f aca="false">H320-F320</f>
        <v>19</v>
      </c>
      <c r="N320" s="0" t="n">
        <f aca="false">H320-G320</f>
        <v>18</v>
      </c>
      <c r="O320" s="0" t="n">
        <f aca="false">B320+D320+F320</f>
        <v>10</v>
      </c>
      <c r="P320" s="0" t="n">
        <f aca="false">C320+E320+G320</f>
        <v>12</v>
      </c>
    </row>
    <row r="321" customFormat="false" ht="15" hidden="false" customHeight="false" outlineLevel="0" collapsed="false">
      <c r="A321" s="0" t="n">
        <v>321</v>
      </c>
      <c r="B321" s="0" t="n">
        <f aca="false">Raw_Data!AJ321</f>
        <v>3</v>
      </c>
      <c r="C321" s="0" t="n">
        <f aca="false">Raw_Data!AK321</f>
        <v>3</v>
      </c>
      <c r="D321" s="0" t="n">
        <f aca="false">Raw_Data!AL321</f>
        <v>4</v>
      </c>
      <c r="E321" s="0" t="n">
        <f aca="false">Raw_Data!AM321</f>
        <v>3</v>
      </c>
      <c r="F321" s="0" t="n">
        <f aca="false">Raw_Data!AN321</f>
        <v>3</v>
      </c>
      <c r="G321" s="0" t="n">
        <f aca="false">Raw_Data!AO321</f>
        <v>3</v>
      </c>
      <c r="H321" s="0" t="n">
        <f aca="false">SUM(B321:G321)</f>
        <v>19</v>
      </c>
      <c r="I321" s="0" t="n">
        <f aca="false">H321-B321</f>
        <v>16</v>
      </c>
      <c r="J321" s="0" t="n">
        <f aca="false">H321-C321</f>
        <v>16</v>
      </c>
      <c r="K321" s="0" t="n">
        <f aca="false">H321-D321</f>
        <v>15</v>
      </c>
      <c r="L321" s="0" t="n">
        <f aca="false">H321-E321</f>
        <v>16</v>
      </c>
      <c r="M321" s="0" t="n">
        <f aca="false">H321-F321</f>
        <v>16</v>
      </c>
      <c r="N321" s="0" t="n">
        <f aca="false">H321-G321</f>
        <v>16</v>
      </c>
      <c r="O321" s="0" t="n">
        <f aca="false">B321+D321+F321</f>
        <v>10</v>
      </c>
      <c r="P321" s="0" t="n">
        <f aca="false">C321+E321+G321</f>
        <v>9</v>
      </c>
    </row>
    <row r="322" customFormat="false" ht="15" hidden="false" customHeight="false" outlineLevel="0" collapsed="false">
      <c r="A322" s="0" t="n">
        <v>322</v>
      </c>
      <c r="B322" s="0" t="n">
        <f aca="false">Raw_Data!AJ322</f>
        <v>3</v>
      </c>
      <c r="C322" s="0" t="n">
        <f aca="false">Raw_Data!AK322</f>
        <v>4</v>
      </c>
      <c r="D322" s="0" t="n">
        <f aca="false">Raw_Data!AL322</f>
        <v>5</v>
      </c>
      <c r="E322" s="0" t="n">
        <f aca="false">Raw_Data!AM322</f>
        <v>3</v>
      </c>
      <c r="F322" s="0" t="n">
        <f aca="false">Raw_Data!AN322</f>
        <v>2</v>
      </c>
      <c r="G322" s="0" t="n">
        <f aca="false">Raw_Data!AO322</f>
        <v>4</v>
      </c>
      <c r="H322" s="0" t="n">
        <f aca="false">SUM(B322:G322)</f>
        <v>21</v>
      </c>
      <c r="I322" s="0" t="n">
        <f aca="false">H322-B322</f>
        <v>18</v>
      </c>
      <c r="J322" s="0" t="n">
        <f aca="false">H322-C322</f>
        <v>17</v>
      </c>
      <c r="K322" s="0" t="n">
        <f aca="false">H322-D322</f>
        <v>16</v>
      </c>
      <c r="L322" s="0" t="n">
        <f aca="false">H322-E322</f>
        <v>18</v>
      </c>
      <c r="M322" s="0" t="n">
        <f aca="false">H322-F322</f>
        <v>19</v>
      </c>
      <c r="N322" s="0" t="n">
        <f aca="false">H322-G322</f>
        <v>17</v>
      </c>
      <c r="O322" s="0" t="n">
        <f aca="false">B322+D322+F322</f>
        <v>10</v>
      </c>
      <c r="P322" s="0" t="n">
        <f aca="false">C322+E322+G322</f>
        <v>11</v>
      </c>
    </row>
    <row r="323" customFormat="false" ht="15" hidden="false" customHeight="false" outlineLevel="0" collapsed="false">
      <c r="A323" s="0" t="n">
        <v>323</v>
      </c>
      <c r="B323" s="0" t="n">
        <f aca="false">Raw_Data!AJ323</f>
        <v>4</v>
      </c>
      <c r="C323" s="0" t="n">
        <f aca="false">Raw_Data!AK323</f>
        <v>3</v>
      </c>
      <c r="D323" s="0" t="n">
        <f aca="false">Raw_Data!AL323</f>
        <v>3</v>
      </c>
      <c r="E323" s="0" t="n">
        <f aca="false">Raw_Data!AM323</f>
        <v>3</v>
      </c>
      <c r="F323" s="0" t="n">
        <f aca="false">Raw_Data!AN323</f>
        <v>2</v>
      </c>
      <c r="G323" s="0" t="n">
        <f aca="false">Raw_Data!AO323</f>
        <v>3</v>
      </c>
      <c r="H323" s="0" t="n">
        <f aca="false">SUM(B323:G323)</f>
        <v>18</v>
      </c>
      <c r="I323" s="0" t="n">
        <f aca="false">H323-B323</f>
        <v>14</v>
      </c>
      <c r="J323" s="0" t="n">
        <f aca="false">H323-C323</f>
        <v>15</v>
      </c>
      <c r="K323" s="0" t="n">
        <f aca="false">H323-D323</f>
        <v>15</v>
      </c>
      <c r="L323" s="0" t="n">
        <f aca="false">H323-E323</f>
        <v>15</v>
      </c>
      <c r="M323" s="0" t="n">
        <f aca="false">H323-F323</f>
        <v>16</v>
      </c>
      <c r="N323" s="0" t="n">
        <f aca="false">H323-G323</f>
        <v>15</v>
      </c>
      <c r="O323" s="0" t="n">
        <f aca="false">B323+D323+F323</f>
        <v>9</v>
      </c>
      <c r="P323" s="0" t="n">
        <f aca="false">C323+E323+G323</f>
        <v>9</v>
      </c>
    </row>
    <row r="324" customFormat="false" ht="15" hidden="false" customHeight="false" outlineLevel="0" collapsed="false">
      <c r="A324" s="0" t="n">
        <v>324</v>
      </c>
      <c r="B324" s="0" t="n">
        <f aca="false">Raw_Data!AJ324</f>
        <v>5</v>
      </c>
      <c r="C324" s="0" t="n">
        <f aca="false">Raw_Data!AK324</f>
        <v>2</v>
      </c>
      <c r="D324" s="0" t="n">
        <f aca="false">Raw_Data!AL324</f>
        <v>5</v>
      </c>
      <c r="E324" s="0" t="n">
        <f aca="false">Raw_Data!AM324</f>
        <v>4</v>
      </c>
      <c r="F324" s="0" t="n">
        <f aca="false">Raw_Data!AN324</f>
        <v>3</v>
      </c>
      <c r="G324" s="0" t="n">
        <f aca="false">Raw_Data!AO324</f>
        <v>3</v>
      </c>
      <c r="H324" s="0" t="n">
        <f aca="false">SUM(B324:G324)</f>
        <v>22</v>
      </c>
      <c r="I324" s="0" t="n">
        <f aca="false">H324-B324</f>
        <v>17</v>
      </c>
      <c r="J324" s="0" t="n">
        <f aca="false">H324-C324</f>
        <v>20</v>
      </c>
      <c r="K324" s="0" t="n">
        <f aca="false">H324-D324</f>
        <v>17</v>
      </c>
      <c r="L324" s="0" t="n">
        <f aca="false">H324-E324</f>
        <v>18</v>
      </c>
      <c r="M324" s="0" t="n">
        <f aca="false">H324-F324</f>
        <v>19</v>
      </c>
      <c r="N324" s="0" t="n">
        <f aca="false">H324-G324</f>
        <v>19</v>
      </c>
      <c r="O324" s="0" t="n">
        <f aca="false">B324+D324+F324</f>
        <v>13</v>
      </c>
      <c r="P324" s="0" t="n">
        <f aca="false">C324+E324+G324</f>
        <v>9</v>
      </c>
    </row>
    <row r="325" customFormat="false" ht="15" hidden="false" customHeight="false" outlineLevel="0" collapsed="false">
      <c r="A325" s="0" t="n">
        <v>325</v>
      </c>
      <c r="B325" s="0" t="n">
        <f aca="false">Raw_Data!AJ325</f>
        <v>4</v>
      </c>
      <c r="C325" s="0" t="n">
        <f aca="false">Raw_Data!AK325</f>
        <v>3</v>
      </c>
      <c r="D325" s="0" t="n">
        <f aca="false">Raw_Data!AL325</f>
        <v>4</v>
      </c>
      <c r="E325" s="0" t="n">
        <f aca="false">Raw_Data!AM325</f>
        <v>4</v>
      </c>
      <c r="F325" s="0" t="n">
        <f aca="false">Raw_Data!AN325</f>
        <v>3</v>
      </c>
      <c r="G325" s="0" t="n">
        <f aca="false">Raw_Data!AO325</f>
        <v>4</v>
      </c>
      <c r="H325" s="0" t="n">
        <f aca="false">SUM(B325:G325)</f>
        <v>22</v>
      </c>
      <c r="I325" s="0" t="n">
        <f aca="false">H325-B325</f>
        <v>18</v>
      </c>
      <c r="J325" s="0" t="n">
        <f aca="false">H325-C325</f>
        <v>19</v>
      </c>
      <c r="K325" s="0" t="n">
        <f aca="false">H325-D325</f>
        <v>18</v>
      </c>
      <c r="L325" s="0" t="n">
        <f aca="false">H325-E325</f>
        <v>18</v>
      </c>
      <c r="M325" s="0" t="n">
        <f aca="false">H325-F325</f>
        <v>19</v>
      </c>
      <c r="N325" s="0" t="n">
        <f aca="false">H325-G325</f>
        <v>18</v>
      </c>
      <c r="O325" s="0" t="n">
        <f aca="false">B325+D325+F325</f>
        <v>11</v>
      </c>
      <c r="P325" s="0" t="n">
        <f aca="false">C325+E325+G325</f>
        <v>11</v>
      </c>
    </row>
    <row r="326" customFormat="false" ht="15" hidden="false" customHeight="false" outlineLevel="0" collapsed="false">
      <c r="A326" s="0" t="n">
        <v>326</v>
      </c>
      <c r="B326" s="0" t="n">
        <f aca="false">Raw_Data!AJ326</f>
        <v>5</v>
      </c>
      <c r="C326" s="0" t="n">
        <f aca="false">Raw_Data!AK326</f>
        <v>1</v>
      </c>
      <c r="D326" s="0" t="n">
        <f aca="false">Raw_Data!AL326</f>
        <v>4</v>
      </c>
      <c r="E326" s="0" t="n">
        <f aca="false">Raw_Data!AM326</f>
        <v>3</v>
      </c>
      <c r="F326" s="0" t="n">
        <f aca="false">Raw_Data!AN326</f>
        <v>2</v>
      </c>
      <c r="G326" s="0" t="n">
        <f aca="false">Raw_Data!AO326</f>
        <v>3</v>
      </c>
      <c r="H326" s="0" t="n">
        <f aca="false">SUM(B326:G326)</f>
        <v>18</v>
      </c>
      <c r="I326" s="0" t="n">
        <f aca="false">H326-B326</f>
        <v>13</v>
      </c>
      <c r="J326" s="0" t="n">
        <f aca="false">H326-C326</f>
        <v>17</v>
      </c>
      <c r="K326" s="0" t="n">
        <f aca="false">H326-D326</f>
        <v>14</v>
      </c>
      <c r="L326" s="0" t="n">
        <f aca="false">H326-E326</f>
        <v>15</v>
      </c>
      <c r="M326" s="0" t="n">
        <f aca="false">H326-F326</f>
        <v>16</v>
      </c>
      <c r="N326" s="0" t="n">
        <f aca="false">H326-G326</f>
        <v>15</v>
      </c>
      <c r="O326" s="0" t="n">
        <f aca="false">B326+D326+F326</f>
        <v>11</v>
      </c>
      <c r="P326" s="0" t="n">
        <f aca="false">C326+E326+G326</f>
        <v>7</v>
      </c>
    </row>
    <row r="327" customFormat="false" ht="15" hidden="false" customHeight="false" outlineLevel="0" collapsed="false">
      <c r="A327" s="0" t="n">
        <v>327</v>
      </c>
      <c r="B327" s="0" t="n">
        <f aca="false">Raw_Data!AJ327</f>
        <v>2</v>
      </c>
      <c r="C327" s="0" t="n">
        <f aca="false">Raw_Data!AK327</f>
        <v>4</v>
      </c>
      <c r="D327" s="0" t="n">
        <f aca="false">Raw_Data!AL327</f>
        <v>4</v>
      </c>
      <c r="E327" s="0" t="n">
        <f aca="false">Raw_Data!AM327</f>
        <v>4</v>
      </c>
      <c r="F327" s="0" t="n">
        <f aca="false">Raw_Data!AN327</f>
        <v>4</v>
      </c>
      <c r="G327" s="0" t="n">
        <f aca="false">Raw_Data!AO327</f>
        <v>4</v>
      </c>
      <c r="H327" s="0" t="n">
        <f aca="false">SUM(B327:G327)</f>
        <v>22</v>
      </c>
      <c r="I327" s="0" t="n">
        <f aca="false">H327-B327</f>
        <v>20</v>
      </c>
      <c r="J327" s="0" t="n">
        <f aca="false">H327-C327</f>
        <v>18</v>
      </c>
      <c r="K327" s="0" t="n">
        <f aca="false">H327-D327</f>
        <v>18</v>
      </c>
      <c r="L327" s="0" t="n">
        <f aca="false">H327-E327</f>
        <v>18</v>
      </c>
      <c r="M327" s="0" t="n">
        <f aca="false">H327-F327</f>
        <v>18</v>
      </c>
      <c r="N327" s="0" t="n">
        <f aca="false">H327-G327</f>
        <v>18</v>
      </c>
      <c r="O327" s="0" t="n">
        <f aca="false">B327+D327+F327</f>
        <v>10</v>
      </c>
      <c r="P327" s="0" t="n">
        <f aca="false">C327+E327+G327</f>
        <v>12</v>
      </c>
    </row>
    <row r="328" customFormat="false" ht="15" hidden="false" customHeight="false" outlineLevel="0" collapsed="false">
      <c r="A328" s="0" t="n">
        <v>328</v>
      </c>
      <c r="B328" s="0" t="n">
        <f aca="false">Raw_Data!AJ328</f>
        <v>4</v>
      </c>
      <c r="C328" s="0" t="n">
        <f aca="false">Raw_Data!AK328</f>
        <v>2</v>
      </c>
      <c r="D328" s="0" t="n">
        <f aca="false">Raw_Data!AL328</f>
        <v>3</v>
      </c>
      <c r="E328" s="0" t="n">
        <f aca="false">Raw_Data!AM328</f>
        <v>3</v>
      </c>
      <c r="F328" s="0" t="n">
        <f aca="false">Raw_Data!AN328</f>
        <v>2</v>
      </c>
      <c r="G328" s="0" t="n">
        <f aca="false">Raw_Data!AO328</f>
        <v>4</v>
      </c>
      <c r="H328" s="0" t="n">
        <f aca="false">SUM(B328:G328)</f>
        <v>18</v>
      </c>
      <c r="I328" s="0" t="n">
        <f aca="false">H328-B328</f>
        <v>14</v>
      </c>
      <c r="J328" s="0" t="n">
        <f aca="false">H328-C328</f>
        <v>16</v>
      </c>
      <c r="K328" s="0" t="n">
        <f aca="false">H328-D328</f>
        <v>15</v>
      </c>
      <c r="L328" s="0" t="n">
        <f aca="false">H328-E328</f>
        <v>15</v>
      </c>
      <c r="M328" s="0" t="n">
        <f aca="false">H328-F328</f>
        <v>16</v>
      </c>
      <c r="N328" s="0" t="n">
        <f aca="false">H328-G328</f>
        <v>14</v>
      </c>
      <c r="O328" s="0" t="n">
        <f aca="false">B328+D328+F328</f>
        <v>9</v>
      </c>
      <c r="P328" s="0" t="n">
        <f aca="false">C328+E328+G328</f>
        <v>9</v>
      </c>
    </row>
    <row r="329" customFormat="false" ht="15" hidden="false" customHeight="false" outlineLevel="0" collapsed="false">
      <c r="A329" s="0" t="n">
        <v>329</v>
      </c>
      <c r="B329" s="0" t="n">
        <f aca="false">Raw_Data!AJ329</f>
        <v>3</v>
      </c>
      <c r="C329" s="0" t="n">
        <f aca="false">Raw_Data!AK329</f>
        <v>4</v>
      </c>
      <c r="D329" s="0" t="n">
        <f aca="false">Raw_Data!AL329</f>
        <v>4</v>
      </c>
      <c r="E329" s="0" t="n">
        <f aca="false">Raw_Data!AM329</f>
        <v>3</v>
      </c>
      <c r="F329" s="0" t="n">
        <f aca="false">Raw_Data!AN329</f>
        <v>3</v>
      </c>
      <c r="G329" s="0" t="n">
        <f aca="false">Raw_Data!AO329</f>
        <v>2</v>
      </c>
      <c r="H329" s="0" t="n">
        <f aca="false">SUM(B329:G329)</f>
        <v>19</v>
      </c>
      <c r="I329" s="0" t="n">
        <f aca="false">H329-B329</f>
        <v>16</v>
      </c>
      <c r="J329" s="0" t="n">
        <f aca="false">H329-C329</f>
        <v>15</v>
      </c>
      <c r="K329" s="0" t="n">
        <f aca="false">H329-D329</f>
        <v>15</v>
      </c>
      <c r="L329" s="0" t="n">
        <f aca="false">H329-E329</f>
        <v>16</v>
      </c>
      <c r="M329" s="0" t="n">
        <f aca="false">H329-F329</f>
        <v>16</v>
      </c>
      <c r="N329" s="0" t="n">
        <f aca="false">H329-G329</f>
        <v>17</v>
      </c>
      <c r="O329" s="0" t="n">
        <f aca="false">B329+D329+F329</f>
        <v>10</v>
      </c>
      <c r="P329" s="0" t="n">
        <f aca="false">C329+E329+G329</f>
        <v>9</v>
      </c>
    </row>
    <row r="330" customFormat="false" ht="15" hidden="false" customHeight="false" outlineLevel="0" collapsed="false">
      <c r="A330" s="0" t="n">
        <v>330</v>
      </c>
      <c r="B330" s="0" t="n">
        <f aca="false">Raw_Data!AJ330</f>
        <v>3</v>
      </c>
      <c r="C330" s="0" t="n">
        <f aca="false">Raw_Data!AK330</f>
        <v>3</v>
      </c>
      <c r="D330" s="0" t="n">
        <f aca="false">Raw_Data!AL330</f>
        <v>3</v>
      </c>
      <c r="E330" s="0" t="n">
        <f aca="false">Raw_Data!AM330</f>
        <v>3</v>
      </c>
      <c r="F330" s="0" t="n">
        <f aca="false">Raw_Data!AN330</f>
        <v>3</v>
      </c>
      <c r="G330" s="0" t="n">
        <f aca="false">Raw_Data!AO330</f>
        <v>3</v>
      </c>
      <c r="H330" s="0" t="n">
        <f aca="false">SUM(B330:G330)</f>
        <v>18</v>
      </c>
      <c r="I330" s="0" t="n">
        <f aca="false">H330-B330</f>
        <v>15</v>
      </c>
      <c r="J330" s="0" t="n">
        <f aca="false">H330-C330</f>
        <v>15</v>
      </c>
      <c r="K330" s="0" t="n">
        <f aca="false">H330-D330</f>
        <v>15</v>
      </c>
      <c r="L330" s="0" t="n">
        <f aca="false">H330-E330</f>
        <v>15</v>
      </c>
      <c r="M330" s="0" t="n">
        <f aca="false">H330-F330</f>
        <v>15</v>
      </c>
      <c r="N330" s="0" t="n">
        <f aca="false">H330-G330</f>
        <v>15</v>
      </c>
      <c r="O330" s="0" t="n">
        <f aca="false">B330+D330+F330</f>
        <v>9</v>
      </c>
      <c r="P330" s="0" t="n">
        <f aca="false">C330+E330+G330</f>
        <v>9</v>
      </c>
    </row>
    <row r="331" customFormat="false" ht="15" hidden="false" customHeight="false" outlineLevel="0" collapsed="false">
      <c r="A331" s="0" t="n">
        <v>331</v>
      </c>
      <c r="B331" s="0" t="n">
        <f aca="false">Raw_Data!AJ331</f>
        <v>4</v>
      </c>
      <c r="C331" s="0" t="n">
        <f aca="false">Raw_Data!AK331</f>
        <v>4</v>
      </c>
      <c r="D331" s="0" t="n">
        <f aca="false">Raw_Data!AL331</f>
        <v>3</v>
      </c>
      <c r="E331" s="0" t="n">
        <f aca="false">Raw_Data!AM331</f>
        <v>2</v>
      </c>
      <c r="F331" s="0" t="n">
        <f aca="false">Raw_Data!AN331</f>
        <v>2</v>
      </c>
      <c r="G331" s="0" t="n">
        <f aca="false">Raw_Data!AO331</f>
        <v>3</v>
      </c>
      <c r="H331" s="0" t="n">
        <f aca="false">SUM(B331:G331)</f>
        <v>18</v>
      </c>
      <c r="I331" s="0" t="n">
        <f aca="false">H331-B331</f>
        <v>14</v>
      </c>
      <c r="J331" s="0" t="n">
        <f aca="false">H331-C331</f>
        <v>14</v>
      </c>
      <c r="K331" s="0" t="n">
        <f aca="false">H331-D331</f>
        <v>15</v>
      </c>
      <c r="L331" s="0" t="n">
        <f aca="false">H331-E331</f>
        <v>16</v>
      </c>
      <c r="M331" s="0" t="n">
        <f aca="false">H331-F331</f>
        <v>16</v>
      </c>
      <c r="N331" s="0" t="n">
        <f aca="false">H331-G331</f>
        <v>15</v>
      </c>
      <c r="O331" s="0" t="n">
        <f aca="false">B331+D331+F331</f>
        <v>9</v>
      </c>
      <c r="P331" s="0" t="n">
        <f aca="false">C331+E331+G331</f>
        <v>9</v>
      </c>
    </row>
    <row r="332" customFormat="false" ht="15" hidden="false" customHeight="false" outlineLevel="0" collapsed="false">
      <c r="A332" s="0" t="n">
        <v>332</v>
      </c>
      <c r="B332" s="0" t="n">
        <f aca="false">Raw_Data!AJ332</f>
        <v>4</v>
      </c>
      <c r="C332" s="0" t="n">
        <f aca="false">Raw_Data!AK332</f>
        <v>2</v>
      </c>
      <c r="D332" s="0" t="n">
        <f aca="false">Raw_Data!AL332</f>
        <v>4</v>
      </c>
      <c r="E332" s="0" t="n">
        <f aca="false">Raw_Data!AM332</f>
        <v>2</v>
      </c>
      <c r="F332" s="0" t="n">
        <f aca="false">Raw_Data!AN332</f>
        <v>2</v>
      </c>
      <c r="G332" s="0" t="n">
        <f aca="false">Raw_Data!AO332</f>
        <v>3</v>
      </c>
      <c r="H332" s="0" t="n">
        <f aca="false">SUM(B332:G332)</f>
        <v>17</v>
      </c>
      <c r="I332" s="0" t="n">
        <f aca="false">H332-B332</f>
        <v>13</v>
      </c>
      <c r="J332" s="0" t="n">
        <f aca="false">H332-C332</f>
        <v>15</v>
      </c>
      <c r="K332" s="0" t="n">
        <f aca="false">H332-D332</f>
        <v>13</v>
      </c>
      <c r="L332" s="0" t="n">
        <f aca="false">H332-E332</f>
        <v>15</v>
      </c>
      <c r="M332" s="0" t="n">
        <f aca="false">H332-F332</f>
        <v>15</v>
      </c>
      <c r="N332" s="0" t="n">
        <f aca="false">H332-G332</f>
        <v>14</v>
      </c>
      <c r="O332" s="0" t="n">
        <f aca="false">B332+D332+F332</f>
        <v>10</v>
      </c>
      <c r="P332" s="0" t="n">
        <f aca="false">C332+E332+G332</f>
        <v>7</v>
      </c>
    </row>
    <row r="333" customFormat="false" ht="15" hidden="false" customHeight="false" outlineLevel="0" collapsed="false">
      <c r="A333" s="0" t="n">
        <v>333</v>
      </c>
      <c r="B333" s="0" t="n">
        <f aca="false">Raw_Data!AJ333</f>
        <v>4</v>
      </c>
      <c r="C333" s="0" t="n">
        <f aca="false">Raw_Data!AK333</f>
        <v>3</v>
      </c>
      <c r="D333" s="0" t="n">
        <f aca="false">Raw_Data!AL333</f>
        <v>4</v>
      </c>
      <c r="E333" s="0" t="n">
        <f aca="false">Raw_Data!AM333</f>
        <v>3</v>
      </c>
      <c r="F333" s="0" t="n">
        <f aca="false">Raw_Data!AN333</f>
        <v>2</v>
      </c>
      <c r="G333" s="0" t="n">
        <f aca="false">Raw_Data!AO333</f>
        <v>2</v>
      </c>
      <c r="H333" s="0" t="n">
        <f aca="false">SUM(B333:G333)</f>
        <v>18</v>
      </c>
      <c r="I333" s="0" t="n">
        <f aca="false">H333-B333</f>
        <v>14</v>
      </c>
      <c r="J333" s="0" t="n">
        <f aca="false">H333-C333</f>
        <v>15</v>
      </c>
      <c r="K333" s="0" t="n">
        <f aca="false">H333-D333</f>
        <v>14</v>
      </c>
      <c r="L333" s="0" t="n">
        <f aca="false">H333-E333</f>
        <v>15</v>
      </c>
      <c r="M333" s="0" t="n">
        <f aca="false">H333-F333</f>
        <v>16</v>
      </c>
      <c r="N333" s="0" t="n">
        <f aca="false">H333-G333</f>
        <v>16</v>
      </c>
      <c r="O333" s="0" t="n">
        <f aca="false">B333+D333+F333</f>
        <v>10</v>
      </c>
      <c r="P333" s="0" t="n">
        <f aca="false">C333+E333+G333</f>
        <v>8</v>
      </c>
    </row>
    <row r="334" customFormat="false" ht="15" hidden="false" customHeight="false" outlineLevel="0" collapsed="false">
      <c r="A334" s="0" t="n">
        <v>334</v>
      </c>
      <c r="B334" s="0" t="n">
        <f aca="false">Raw_Data!AJ334</f>
        <v>4</v>
      </c>
      <c r="C334" s="0" t="n">
        <f aca="false">Raw_Data!AK334</f>
        <v>2</v>
      </c>
      <c r="D334" s="0" t="n">
        <f aca="false">Raw_Data!AL334</f>
        <v>5</v>
      </c>
      <c r="E334" s="0" t="n">
        <f aca="false">Raw_Data!AM334</f>
        <v>5</v>
      </c>
      <c r="F334" s="0" t="n">
        <f aca="false">Raw_Data!AN334</f>
        <v>4</v>
      </c>
      <c r="G334" s="0" t="n">
        <f aca="false">Raw_Data!AO334</f>
        <v>2</v>
      </c>
      <c r="H334" s="0" t="n">
        <f aca="false">SUM(B334:G334)</f>
        <v>22</v>
      </c>
      <c r="I334" s="0" t="n">
        <f aca="false">H334-B334</f>
        <v>18</v>
      </c>
      <c r="J334" s="0" t="n">
        <f aca="false">H334-C334</f>
        <v>20</v>
      </c>
      <c r="K334" s="0" t="n">
        <f aca="false">H334-D334</f>
        <v>17</v>
      </c>
      <c r="L334" s="0" t="n">
        <f aca="false">H334-E334</f>
        <v>17</v>
      </c>
      <c r="M334" s="0" t="n">
        <f aca="false">H334-F334</f>
        <v>18</v>
      </c>
      <c r="N334" s="0" t="n">
        <f aca="false">H334-G334</f>
        <v>20</v>
      </c>
      <c r="O334" s="0" t="n">
        <f aca="false">B334+D334+F334</f>
        <v>13</v>
      </c>
      <c r="P334" s="0" t="n">
        <f aca="false">C334+E334+G334</f>
        <v>9</v>
      </c>
    </row>
    <row r="335" customFormat="false" ht="15" hidden="false" customHeight="false" outlineLevel="0" collapsed="false">
      <c r="A335" s="0" t="n">
        <v>335</v>
      </c>
      <c r="B335" s="0" t="n">
        <f aca="false">Raw_Data!AJ335</f>
        <v>4</v>
      </c>
      <c r="C335" s="0" t="n">
        <f aca="false">Raw_Data!AK335</f>
        <v>3</v>
      </c>
      <c r="D335" s="0" t="n">
        <f aca="false">Raw_Data!AL335</f>
        <v>4</v>
      </c>
      <c r="E335" s="0" t="n">
        <f aca="false">Raw_Data!AM335</f>
        <v>4</v>
      </c>
      <c r="F335" s="0" t="n">
        <f aca="false">Raw_Data!AN335</f>
        <v>4</v>
      </c>
      <c r="G335" s="0" t="n">
        <f aca="false">Raw_Data!AO335</f>
        <v>4</v>
      </c>
      <c r="H335" s="0" t="n">
        <f aca="false">SUM(B335:G335)</f>
        <v>23</v>
      </c>
      <c r="I335" s="0" t="n">
        <f aca="false">H335-B335</f>
        <v>19</v>
      </c>
      <c r="J335" s="0" t="n">
        <f aca="false">H335-C335</f>
        <v>20</v>
      </c>
      <c r="K335" s="0" t="n">
        <f aca="false">H335-D335</f>
        <v>19</v>
      </c>
      <c r="L335" s="0" t="n">
        <f aca="false">H335-E335</f>
        <v>19</v>
      </c>
      <c r="M335" s="0" t="n">
        <f aca="false">H335-F335</f>
        <v>19</v>
      </c>
      <c r="N335" s="0" t="n">
        <f aca="false">H335-G335</f>
        <v>19</v>
      </c>
      <c r="O335" s="0" t="n">
        <f aca="false">B335+D335+F335</f>
        <v>12</v>
      </c>
      <c r="P335" s="0" t="n">
        <f aca="false">C335+E335+G335</f>
        <v>11</v>
      </c>
    </row>
    <row r="336" customFormat="false" ht="15" hidden="false" customHeight="false" outlineLevel="0" collapsed="false">
      <c r="A336" s="0" t="n">
        <v>336</v>
      </c>
      <c r="B336" s="0" t="n">
        <f aca="false">Raw_Data!AJ336</f>
        <v>2</v>
      </c>
      <c r="C336" s="0" t="n">
        <f aca="false">Raw_Data!AK336</f>
        <v>2</v>
      </c>
      <c r="D336" s="0" t="n">
        <f aca="false">Raw_Data!AL336</f>
        <v>4</v>
      </c>
      <c r="E336" s="0" t="n">
        <f aca="false">Raw_Data!AM336</f>
        <v>3</v>
      </c>
      <c r="F336" s="0" t="n">
        <f aca="false">Raw_Data!AN336</f>
        <v>2</v>
      </c>
      <c r="G336" s="0" t="n">
        <f aca="false">Raw_Data!AO336</f>
        <v>2</v>
      </c>
      <c r="H336" s="0" t="n">
        <f aca="false">SUM(B336:G336)</f>
        <v>15</v>
      </c>
      <c r="I336" s="0" t="n">
        <f aca="false">H336-B336</f>
        <v>13</v>
      </c>
      <c r="J336" s="0" t="n">
        <f aca="false">H336-C336</f>
        <v>13</v>
      </c>
      <c r="K336" s="0" t="n">
        <f aca="false">H336-D336</f>
        <v>11</v>
      </c>
      <c r="L336" s="0" t="n">
        <f aca="false">H336-E336</f>
        <v>12</v>
      </c>
      <c r="M336" s="0" t="n">
        <f aca="false">H336-F336</f>
        <v>13</v>
      </c>
      <c r="N336" s="0" t="n">
        <f aca="false">H336-G336</f>
        <v>13</v>
      </c>
      <c r="O336" s="0" t="n">
        <f aca="false">B336+D336+F336</f>
        <v>8</v>
      </c>
      <c r="P336" s="0" t="n">
        <f aca="false">C336+E336+G336</f>
        <v>7</v>
      </c>
    </row>
    <row r="337" customFormat="false" ht="15" hidden="false" customHeight="false" outlineLevel="0" collapsed="false">
      <c r="A337" s="0" t="n">
        <v>337</v>
      </c>
      <c r="B337" s="0" t="n">
        <f aca="false">Raw_Data!AJ337</f>
        <v>4</v>
      </c>
      <c r="C337" s="0" t="n">
        <f aca="false">Raw_Data!AK337</f>
        <v>2</v>
      </c>
      <c r="D337" s="0" t="n">
        <f aca="false">Raw_Data!AL337</f>
        <v>4</v>
      </c>
      <c r="E337" s="0" t="n">
        <f aca="false">Raw_Data!AM337</f>
        <v>3</v>
      </c>
      <c r="F337" s="0" t="n">
        <f aca="false">Raw_Data!AN337</f>
        <v>3</v>
      </c>
      <c r="G337" s="0" t="n">
        <f aca="false">Raw_Data!AO337</f>
        <v>3</v>
      </c>
      <c r="H337" s="0" t="n">
        <f aca="false">SUM(B337:G337)</f>
        <v>19</v>
      </c>
      <c r="I337" s="0" t="n">
        <f aca="false">H337-B337</f>
        <v>15</v>
      </c>
      <c r="J337" s="0" t="n">
        <f aca="false">H337-C337</f>
        <v>17</v>
      </c>
      <c r="K337" s="0" t="n">
        <f aca="false">H337-D337</f>
        <v>15</v>
      </c>
      <c r="L337" s="0" t="n">
        <f aca="false">H337-E337</f>
        <v>16</v>
      </c>
      <c r="M337" s="0" t="n">
        <f aca="false">H337-F337</f>
        <v>16</v>
      </c>
      <c r="N337" s="0" t="n">
        <f aca="false">H337-G337</f>
        <v>16</v>
      </c>
      <c r="O337" s="0" t="n">
        <f aca="false">B337+D337+F337</f>
        <v>11</v>
      </c>
      <c r="P337" s="0" t="n">
        <f aca="false">C337+E337+G337</f>
        <v>8</v>
      </c>
    </row>
    <row r="338" customFormat="false" ht="15" hidden="false" customHeight="false" outlineLevel="0" collapsed="false">
      <c r="A338" s="0" t="n">
        <v>338</v>
      </c>
      <c r="B338" s="0" t="n">
        <f aca="false">Raw_Data!AJ338</f>
        <v>4</v>
      </c>
      <c r="C338" s="0" t="n">
        <f aca="false">Raw_Data!AK338</f>
        <v>5</v>
      </c>
      <c r="D338" s="0" t="n">
        <f aca="false">Raw_Data!AL338</f>
        <v>5</v>
      </c>
      <c r="E338" s="0" t="n">
        <f aca="false">Raw_Data!AM338</f>
        <v>3</v>
      </c>
      <c r="F338" s="0" t="n">
        <f aca="false">Raw_Data!AN338</f>
        <v>2</v>
      </c>
      <c r="G338" s="0" t="n">
        <f aca="false">Raw_Data!AO338</f>
        <v>5</v>
      </c>
      <c r="H338" s="0" t="n">
        <f aca="false">SUM(B338:G338)</f>
        <v>24</v>
      </c>
      <c r="I338" s="0" t="n">
        <f aca="false">H338-B338</f>
        <v>20</v>
      </c>
      <c r="J338" s="0" t="n">
        <f aca="false">H338-C338</f>
        <v>19</v>
      </c>
      <c r="K338" s="0" t="n">
        <f aca="false">H338-D338</f>
        <v>19</v>
      </c>
      <c r="L338" s="0" t="n">
        <f aca="false">H338-E338</f>
        <v>21</v>
      </c>
      <c r="M338" s="0" t="n">
        <f aca="false">H338-F338</f>
        <v>22</v>
      </c>
      <c r="N338" s="0" t="n">
        <f aca="false">H338-G338</f>
        <v>19</v>
      </c>
      <c r="O338" s="0" t="n">
        <f aca="false">B338+D338+F338</f>
        <v>11</v>
      </c>
      <c r="P338" s="0" t="n">
        <f aca="false">C338+E338+G338</f>
        <v>13</v>
      </c>
    </row>
    <row r="339" customFormat="false" ht="15" hidden="false" customHeight="false" outlineLevel="0" collapsed="false">
      <c r="A339" s="0" t="n">
        <v>339</v>
      </c>
      <c r="B339" s="0" t="n">
        <f aca="false">Raw_Data!AJ339</f>
        <v>4</v>
      </c>
      <c r="C339" s="0" t="n">
        <f aca="false">Raw_Data!AK339</f>
        <v>3</v>
      </c>
      <c r="D339" s="0" t="n">
        <f aca="false">Raw_Data!AL339</f>
        <v>4</v>
      </c>
      <c r="E339" s="0" t="n">
        <f aca="false">Raw_Data!AM339</f>
        <v>3</v>
      </c>
      <c r="F339" s="0" t="n">
        <f aca="false">Raw_Data!AN339</f>
        <v>3</v>
      </c>
      <c r="G339" s="0" t="n">
        <f aca="false">Raw_Data!AO339</f>
        <v>3</v>
      </c>
      <c r="H339" s="0" t="n">
        <f aca="false">SUM(B339:G339)</f>
        <v>20</v>
      </c>
      <c r="I339" s="0" t="n">
        <f aca="false">H339-B339</f>
        <v>16</v>
      </c>
      <c r="J339" s="0" t="n">
        <f aca="false">H339-C339</f>
        <v>17</v>
      </c>
      <c r="K339" s="0" t="n">
        <f aca="false">H339-D339</f>
        <v>16</v>
      </c>
      <c r="L339" s="0" t="n">
        <f aca="false">H339-E339</f>
        <v>17</v>
      </c>
      <c r="M339" s="0" t="n">
        <f aca="false">H339-F339</f>
        <v>17</v>
      </c>
      <c r="N339" s="0" t="n">
        <f aca="false">H339-G339</f>
        <v>17</v>
      </c>
      <c r="O339" s="0" t="n">
        <f aca="false">B339+D339+F339</f>
        <v>11</v>
      </c>
      <c r="P339" s="0" t="n">
        <f aca="false">C339+E339+G339</f>
        <v>9</v>
      </c>
    </row>
    <row r="340" customFormat="false" ht="15" hidden="false" customHeight="false" outlineLevel="0" collapsed="false">
      <c r="A340" s="0" t="n">
        <v>340</v>
      </c>
      <c r="B340" s="0" t="n">
        <f aca="false">Raw_Data!AJ340</f>
        <v>2</v>
      </c>
      <c r="C340" s="0" t="n">
        <f aca="false">Raw_Data!AK340</f>
        <v>3</v>
      </c>
      <c r="D340" s="0" t="n">
        <f aca="false">Raw_Data!AL340</f>
        <v>3</v>
      </c>
      <c r="E340" s="0" t="n">
        <f aca="false">Raw_Data!AM340</f>
        <v>3</v>
      </c>
      <c r="F340" s="0" t="n">
        <f aca="false">Raw_Data!AN340</f>
        <v>2</v>
      </c>
      <c r="G340" s="0" t="n">
        <f aca="false">Raw_Data!AO340</f>
        <v>3</v>
      </c>
      <c r="H340" s="0" t="n">
        <f aca="false">SUM(B340:G340)</f>
        <v>16</v>
      </c>
      <c r="I340" s="0" t="n">
        <f aca="false">H340-B340</f>
        <v>14</v>
      </c>
      <c r="J340" s="0" t="n">
        <f aca="false">H340-C340</f>
        <v>13</v>
      </c>
      <c r="K340" s="0" t="n">
        <f aca="false">H340-D340</f>
        <v>13</v>
      </c>
      <c r="L340" s="0" t="n">
        <f aca="false">H340-E340</f>
        <v>13</v>
      </c>
      <c r="M340" s="0" t="n">
        <f aca="false">H340-F340</f>
        <v>14</v>
      </c>
      <c r="N340" s="0" t="n">
        <f aca="false">H340-G340</f>
        <v>13</v>
      </c>
      <c r="O340" s="0" t="n">
        <f aca="false">B340+D340+F340</f>
        <v>7</v>
      </c>
      <c r="P340" s="0" t="n">
        <f aca="false">C340+E340+G340</f>
        <v>9</v>
      </c>
    </row>
    <row r="341" customFormat="false" ht="15" hidden="false" customHeight="false" outlineLevel="0" collapsed="false">
      <c r="A341" s="0" t="n">
        <v>341</v>
      </c>
      <c r="B341" s="0" t="n">
        <f aca="false">Raw_Data!AJ341</f>
        <v>2</v>
      </c>
      <c r="C341" s="0" t="n">
        <f aca="false">Raw_Data!AK341</f>
        <v>3</v>
      </c>
      <c r="D341" s="0" t="n">
        <f aca="false">Raw_Data!AL341</f>
        <v>1</v>
      </c>
      <c r="E341" s="0" t="n">
        <f aca="false">Raw_Data!AM341</f>
        <v>3</v>
      </c>
      <c r="F341" s="0" t="n">
        <f aca="false">Raw_Data!AN341</f>
        <v>5</v>
      </c>
      <c r="G341" s="0" t="n">
        <f aca="false">Raw_Data!AO341</f>
        <v>2</v>
      </c>
      <c r="H341" s="0" t="n">
        <f aca="false">SUM(B341:G341)</f>
        <v>16</v>
      </c>
      <c r="I341" s="0" t="n">
        <f aca="false">H341-B341</f>
        <v>14</v>
      </c>
      <c r="J341" s="0" t="n">
        <f aca="false">H341-C341</f>
        <v>13</v>
      </c>
      <c r="K341" s="0" t="n">
        <f aca="false">H341-D341</f>
        <v>15</v>
      </c>
      <c r="L341" s="0" t="n">
        <f aca="false">H341-E341</f>
        <v>13</v>
      </c>
      <c r="M341" s="0" t="n">
        <f aca="false">H341-F341</f>
        <v>11</v>
      </c>
      <c r="N341" s="0" t="n">
        <f aca="false">H341-G341</f>
        <v>14</v>
      </c>
      <c r="O341" s="0" t="n">
        <f aca="false">B341+D341+F341</f>
        <v>8</v>
      </c>
      <c r="P341" s="0" t="n">
        <f aca="false">C341+E341+G341</f>
        <v>8</v>
      </c>
    </row>
    <row r="342" customFormat="false" ht="15" hidden="false" customHeight="false" outlineLevel="0" collapsed="false">
      <c r="A342" s="0" t="n">
        <v>342</v>
      </c>
      <c r="B342" s="0" t="n">
        <f aca="false">Raw_Data!AJ342</f>
        <v>4</v>
      </c>
      <c r="C342" s="0" t="n">
        <f aca="false">Raw_Data!AK342</f>
        <v>3</v>
      </c>
      <c r="D342" s="0" t="n">
        <f aca="false">Raw_Data!AL342</f>
        <v>4</v>
      </c>
      <c r="E342" s="0" t="n">
        <f aca="false">Raw_Data!AM342</f>
        <v>3</v>
      </c>
      <c r="F342" s="0" t="n">
        <f aca="false">Raw_Data!AN342</f>
        <v>3</v>
      </c>
      <c r="G342" s="0" t="n">
        <f aca="false">Raw_Data!AO342</f>
        <v>2</v>
      </c>
      <c r="H342" s="0" t="n">
        <f aca="false">SUM(B342:G342)</f>
        <v>19</v>
      </c>
      <c r="I342" s="0" t="n">
        <f aca="false">H342-B342</f>
        <v>15</v>
      </c>
      <c r="J342" s="0" t="n">
        <f aca="false">H342-C342</f>
        <v>16</v>
      </c>
      <c r="K342" s="0" t="n">
        <f aca="false">H342-D342</f>
        <v>15</v>
      </c>
      <c r="L342" s="0" t="n">
        <f aca="false">H342-E342</f>
        <v>16</v>
      </c>
      <c r="M342" s="0" t="n">
        <f aca="false">H342-F342</f>
        <v>16</v>
      </c>
      <c r="N342" s="0" t="n">
        <f aca="false">H342-G342</f>
        <v>17</v>
      </c>
      <c r="O342" s="0" t="n">
        <f aca="false">B342+D342+F342</f>
        <v>11</v>
      </c>
      <c r="P342" s="0" t="n">
        <f aca="false">C342+E342+G342</f>
        <v>8</v>
      </c>
    </row>
    <row r="343" customFormat="false" ht="15" hidden="false" customHeight="false" outlineLevel="0" collapsed="false">
      <c r="A343" s="0" t="n">
        <v>343</v>
      </c>
      <c r="B343" s="0" t="n">
        <f aca="false">Raw_Data!AJ343</f>
        <v>4</v>
      </c>
      <c r="C343" s="0" t="n">
        <f aca="false">Raw_Data!AK343</f>
        <v>3</v>
      </c>
      <c r="D343" s="0" t="n">
        <f aca="false">Raw_Data!AL343</f>
        <v>4</v>
      </c>
      <c r="E343" s="0" t="n">
        <f aca="false">Raw_Data!AM343</f>
        <v>3</v>
      </c>
      <c r="F343" s="0" t="n">
        <f aca="false">Raw_Data!AN343</f>
        <v>4</v>
      </c>
      <c r="G343" s="0" t="n">
        <f aca="false">Raw_Data!AO343</f>
        <v>2</v>
      </c>
      <c r="H343" s="0" t="n">
        <f aca="false">SUM(B343:G343)</f>
        <v>20</v>
      </c>
      <c r="I343" s="0" t="n">
        <f aca="false">H343-B343</f>
        <v>16</v>
      </c>
      <c r="J343" s="0" t="n">
        <f aca="false">H343-C343</f>
        <v>17</v>
      </c>
      <c r="K343" s="0" t="n">
        <f aca="false">H343-D343</f>
        <v>16</v>
      </c>
      <c r="L343" s="0" t="n">
        <f aca="false">H343-E343</f>
        <v>17</v>
      </c>
      <c r="M343" s="0" t="n">
        <f aca="false">H343-F343</f>
        <v>16</v>
      </c>
      <c r="N343" s="0" t="n">
        <f aca="false">H343-G343</f>
        <v>18</v>
      </c>
      <c r="O343" s="0" t="n">
        <f aca="false">B343+D343+F343</f>
        <v>12</v>
      </c>
      <c r="P343" s="0" t="n">
        <f aca="false">C343+E343+G343</f>
        <v>8</v>
      </c>
    </row>
    <row r="344" customFormat="false" ht="15" hidden="false" customHeight="false" outlineLevel="0" collapsed="false">
      <c r="A344" s="0" t="n">
        <v>344</v>
      </c>
      <c r="B344" s="0" t="n">
        <f aca="false">Raw_Data!AJ344</f>
        <v>3</v>
      </c>
      <c r="C344" s="0" t="n">
        <f aca="false">Raw_Data!AK344</f>
        <v>3</v>
      </c>
      <c r="D344" s="0" t="n">
        <f aca="false">Raw_Data!AL344</f>
        <v>3</v>
      </c>
      <c r="E344" s="0" t="n">
        <f aca="false">Raw_Data!AM344</f>
        <v>3</v>
      </c>
      <c r="F344" s="0" t="n">
        <f aca="false">Raw_Data!AN344</f>
        <v>3</v>
      </c>
      <c r="G344" s="0" t="n">
        <f aca="false">Raw_Data!AO344</f>
        <v>3</v>
      </c>
      <c r="H344" s="0" t="n">
        <f aca="false">SUM(B344:G344)</f>
        <v>18</v>
      </c>
      <c r="I344" s="0" t="n">
        <f aca="false">H344-B344</f>
        <v>15</v>
      </c>
      <c r="J344" s="0" t="n">
        <f aca="false">H344-C344</f>
        <v>15</v>
      </c>
      <c r="K344" s="0" t="n">
        <f aca="false">H344-D344</f>
        <v>15</v>
      </c>
      <c r="L344" s="0" t="n">
        <f aca="false">H344-E344</f>
        <v>15</v>
      </c>
      <c r="M344" s="0" t="n">
        <f aca="false">H344-F344</f>
        <v>15</v>
      </c>
      <c r="N344" s="0" t="n">
        <f aca="false">H344-G344</f>
        <v>15</v>
      </c>
      <c r="O344" s="0" t="n">
        <f aca="false">B344+D344+F344</f>
        <v>9</v>
      </c>
      <c r="P344" s="0" t="n">
        <f aca="false">C344+E344+G344</f>
        <v>9</v>
      </c>
    </row>
    <row r="345" customFormat="false" ht="15" hidden="false" customHeight="false" outlineLevel="0" collapsed="false">
      <c r="A345" s="0" t="n">
        <v>345</v>
      </c>
      <c r="B345" s="0" t="n">
        <f aca="false">Raw_Data!AJ345</f>
        <v>4</v>
      </c>
      <c r="C345" s="0" t="n">
        <f aca="false">Raw_Data!AK345</f>
        <v>1</v>
      </c>
      <c r="D345" s="0" t="n">
        <f aca="false">Raw_Data!AL345</f>
        <v>5</v>
      </c>
      <c r="E345" s="0" t="n">
        <f aca="false">Raw_Data!AM345</f>
        <v>4</v>
      </c>
      <c r="F345" s="0" t="n">
        <f aca="false">Raw_Data!AN345</f>
        <v>2</v>
      </c>
      <c r="G345" s="0" t="n">
        <f aca="false">Raw_Data!AO345</f>
        <v>3</v>
      </c>
      <c r="H345" s="0" t="n">
        <f aca="false">SUM(B345:G345)</f>
        <v>19</v>
      </c>
      <c r="I345" s="0" t="n">
        <f aca="false">H345-B345</f>
        <v>15</v>
      </c>
      <c r="J345" s="0" t="n">
        <f aca="false">H345-C345</f>
        <v>18</v>
      </c>
      <c r="K345" s="0" t="n">
        <f aca="false">H345-D345</f>
        <v>14</v>
      </c>
      <c r="L345" s="0" t="n">
        <f aca="false">H345-E345</f>
        <v>15</v>
      </c>
      <c r="M345" s="0" t="n">
        <f aca="false">H345-F345</f>
        <v>17</v>
      </c>
      <c r="N345" s="0" t="n">
        <f aca="false">H345-G345</f>
        <v>16</v>
      </c>
      <c r="O345" s="0" t="n">
        <f aca="false">B345+D345+F345</f>
        <v>11</v>
      </c>
      <c r="P345" s="0" t="n">
        <f aca="false">C345+E345+G345</f>
        <v>8</v>
      </c>
    </row>
    <row r="346" customFormat="false" ht="15" hidden="false" customHeight="false" outlineLevel="0" collapsed="false">
      <c r="A346" s="0" t="n">
        <v>346</v>
      </c>
      <c r="B346" s="0" t="n">
        <f aca="false">Raw_Data!AJ346</f>
        <v>3</v>
      </c>
      <c r="C346" s="0" t="n">
        <f aca="false">Raw_Data!AK346</f>
        <v>3</v>
      </c>
      <c r="D346" s="0" t="n">
        <f aca="false">Raw_Data!AL346</f>
        <v>3</v>
      </c>
      <c r="E346" s="0" t="n">
        <f aca="false">Raw_Data!AM346</f>
        <v>3</v>
      </c>
      <c r="F346" s="0" t="n">
        <f aca="false">Raw_Data!AN346</f>
        <v>3</v>
      </c>
      <c r="G346" s="0" t="n">
        <f aca="false">Raw_Data!AO346</f>
        <v>3</v>
      </c>
      <c r="H346" s="0" t="n">
        <f aca="false">SUM(B346:G346)</f>
        <v>18</v>
      </c>
      <c r="I346" s="0" t="n">
        <f aca="false">H346-B346</f>
        <v>15</v>
      </c>
      <c r="J346" s="0" t="n">
        <f aca="false">H346-C346</f>
        <v>15</v>
      </c>
      <c r="K346" s="0" t="n">
        <f aca="false">H346-D346</f>
        <v>15</v>
      </c>
      <c r="L346" s="0" t="n">
        <f aca="false">H346-E346</f>
        <v>15</v>
      </c>
      <c r="M346" s="0" t="n">
        <f aca="false">H346-F346</f>
        <v>15</v>
      </c>
      <c r="N346" s="0" t="n">
        <f aca="false">H346-G346</f>
        <v>15</v>
      </c>
      <c r="O346" s="0" t="n">
        <f aca="false">B346+D346+F346</f>
        <v>9</v>
      </c>
      <c r="P346" s="0" t="n">
        <f aca="false">C346+E346+G346</f>
        <v>9</v>
      </c>
    </row>
    <row r="347" customFormat="false" ht="15" hidden="false" customHeight="false" outlineLevel="0" collapsed="false">
      <c r="A347" s="0" t="n">
        <v>347</v>
      </c>
      <c r="B347" s="0" t="n">
        <f aca="false">Raw_Data!AJ347</f>
        <v>3</v>
      </c>
      <c r="C347" s="0" t="n">
        <f aca="false">Raw_Data!AK347</f>
        <v>3</v>
      </c>
      <c r="D347" s="0" t="n">
        <f aca="false">Raw_Data!AL347</f>
        <v>4</v>
      </c>
      <c r="E347" s="0" t="n">
        <f aca="false">Raw_Data!AM347</f>
        <v>2</v>
      </c>
      <c r="F347" s="0" t="n">
        <f aca="false">Raw_Data!AN347</f>
        <v>4</v>
      </c>
      <c r="G347" s="0" t="n">
        <f aca="false">Raw_Data!AO347</f>
        <v>3</v>
      </c>
      <c r="H347" s="0" t="n">
        <f aca="false">SUM(B347:G347)</f>
        <v>19</v>
      </c>
      <c r="I347" s="0" t="n">
        <f aca="false">H347-B347</f>
        <v>16</v>
      </c>
      <c r="J347" s="0" t="n">
        <f aca="false">H347-C347</f>
        <v>16</v>
      </c>
      <c r="K347" s="0" t="n">
        <f aca="false">H347-D347</f>
        <v>15</v>
      </c>
      <c r="L347" s="0" t="n">
        <f aca="false">H347-E347</f>
        <v>17</v>
      </c>
      <c r="M347" s="0" t="n">
        <f aca="false">H347-F347</f>
        <v>15</v>
      </c>
      <c r="N347" s="0" t="n">
        <f aca="false">H347-G347</f>
        <v>16</v>
      </c>
      <c r="O347" s="0" t="n">
        <f aca="false">B347+D347+F347</f>
        <v>11</v>
      </c>
      <c r="P347" s="0" t="n">
        <f aca="false">C347+E347+G347</f>
        <v>8</v>
      </c>
    </row>
    <row r="348" customFormat="false" ht="15" hidden="false" customHeight="false" outlineLevel="0" collapsed="false">
      <c r="A348" s="0" t="n">
        <v>348</v>
      </c>
      <c r="B348" s="0" t="n">
        <f aca="false">Raw_Data!AJ348</f>
        <v>4</v>
      </c>
      <c r="C348" s="0" t="n">
        <f aca="false">Raw_Data!AK348</f>
        <v>4</v>
      </c>
      <c r="D348" s="0" t="n">
        <f aca="false">Raw_Data!AL348</f>
        <v>4</v>
      </c>
      <c r="E348" s="0" t="n">
        <f aca="false">Raw_Data!AM348</f>
        <v>3</v>
      </c>
      <c r="F348" s="0" t="n">
        <f aca="false">Raw_Data!AN348</f>
        <v>5</v>
      </c>
      <c r="G348" s="0" t="n">
        <f aca="false">Raw_Data!AO348</f>
        <v>2</v>
      </c>
      <c r="H348" s="0" t="n">
        <f aca="false">SUM(B348:G348)</f>
        <v>22</v>
      </c>
      <c r="I348" s="0" t="n">
        <f aca="false">H348-B348</f>
        <v>18</v>
      </c>
      <c r="J348" s="0" t="n">
        <f aca="false">H348-C348</f>
        <v>18</v>
      </c>
      <c r="K348" s="0" t="n">
        <f aca="false">H348-D348</f>
        <v>18</v>
      </c>
      <c r="L348" s="0" t="n">
        <f aca="false">H348-E348</f>
        <v>19</v>
      </c>
      <c r="M348" s="0" t="n">
        <f aca="false">H348-F348</f>
        <v>17</v>
      </c>
      <c r="N348" s="0" t="n">
        <f aca="false">H348-G348</f>
        <v>20</v>
      </c>
      <c r="O348" s="0" t="n">
        <f aca="false">B348+D348+F348</f>
        <v>13</v>
      </c>
      <c r="P348" s="0" t="n">
        <f aca="false">C348+E348+G348</f>
        <v>9</v>
      </c>
    </row>
    <row r="349" customFormat="false" ht="15" hidden="false" customHeight="false" outlineLevel="0" collapsed="false">
      <c r="A349" s="0" t="n">
        <v>349</v>
      </c>
      <c r="B349" s="0" t="n">
        <f aca="false">Raw_Data!AJ349</f>
        <v>4</v>
      </c>
      <c r="C349" s="0" t="n">
        <f aca="false">Raw_Data!AK349</f>
        <v>4</v>
      </c>
      <c r="D349" s="0" t="n">
        <f aca="false">Raw_Data!AL349</f>
        <v>4</v>
      </c>
      <c r="E349" s="0" t="n">
        <f aca="false">Raw_Data!AM349</f>
        <v>3</v>
      </c>
      <c r="F349" s="0" t="n">
        <f aca="false">Raw_Data!AN349</f>
        <v>2</v>
      </c>
      <c r="G349" s="0" t="n">
        <f aca="false">Raw_Data!AO349</f>
        <v>4</v>
      </c>
      <c r="H349" s="0" t="n">
        <f aca="false">SUM(B349:G349)</f>
        <v>21</v>
      </c>
      <c r="I349" s="0" t="n">
        <f aca="false">H349-B349</f>
        <v>17</v>
      </c>
      <c r="J349" s="0" t="n">
        <f aca="false">H349-C349</f>
        <v>17</v>
      </c>
      <c r="K349" s="0" t="n">
        <f aca="false">H349-D349</f>
        <v>17</v>
      </c>
      <c r="L349" s="0" t="n">
        <f aca="false">H349-E349</f>
        <v>18</v>
      </c>
      <c r="M349" s="0" t="n">
        <f aca="false">H349-F349</f>
        <v>19</v>
      </c>
      <c r="N349" s="0" t="n">
        <f aca="false">H349-G349</f>
        <v>17</v>
      </c>
      <c r="O349" s="0" t="n">
        <f aca="false">B349+D349+F349</f>
        <v>10</v>
      </c>
      <c r="P349" s="0" t="n">
        <f aca="false">C349+E349+G349</f>
        <v>11</v>
      </c>
    </row>
    <row r="350" customFormat="false" ht="15" hidden="false" customHeight="false" outlineLevel="0" collapsed="false">
      <c r="A350" s="0" t="n">
        <v>350</v>
      </c>
      <c r="B350" s="0" t="n">
        <f aca="false">Raw_Data!AJ350</f>
        <v>4</v>
      </c>
      <c r="C350" s="0" t="n">
        <f aca="false">Raw_Data!AK350</f>
        <v>5</v>
      </c>
      <c r="D350" s="0" t="n">
        <f aca="false">Raw_Data!AL350</f>
        <v>5</v>
      </c>
      <c r="E350" s="0" t="n">
        <f aca="false">Raw_Data!AM350</f>
        <v>3</v>
      </c>
      <c r="F350" s="0" t="n">
        <f aca="false">Raw_Data!AN350</f>
        <v>2</v>
      </c>
      <c r="G350" s="0" t="n">
        <f aca="false">Raw_Data!AO350</f>
        <v>4</v>
      </c>
      <c r="H350" s="0" t="n">
        <f aca="false">SUM(B350:G350)</f>
        <v>23</v>
      </c>
      <c r="I350" s="0" t="n">
        <f aca="false">H350-B350</f>
        <v>19</v>
      </c>
      <c r="J350" s="0" t="n">
        <f aca="false">H350-C350</f>
        <v>18</v>
      </c>
      <c r="K350" s="0" t="n">
        <f aca="false">H350-D350</f>
        <v>18</v>
      </c>
      <c r="L350" s="0" t="n">
        <f aca="false">H350-E350</f>
        <v>20</v>
      </c>
      <c r="M350" s="0" t="n">
        <f aca="false">H350-F350</f>
        <v>21</v>
      </c>
      <c r="N350" s="0" t="n">
        <f aca="false">H350-G350</f>
        <v>19</v>
      </c>
      <c r="O350" s="0" t="n">
        <f aca="false">B350+D350+F350</f>
        <v>11</v>
      </c>
      <c r="P350" s="0" t="n">
        <f aca="false">C350+E350+G350</f>
        <v>12</v>
      </c>
    </row>
    <row r="351" customFormat="false" ht="15" hidden="false" customHeight="false" outlineLevel="0" collapsed="false">
      <c r="A351" s="0" t="n">
        <v>351</v>
      </c>
      <c r="B351" s="0" t="n">
        <f aca="false">Raw_Data!AJ351</f>
        <v>5</v>
      </c>
      <c r="C351" s="0" t="n">
        <f aca="false">Raw_Data!AK351</f>
        <v>2</v>
      </c>
      <c r="D351" s="0" t="n">
        <f aca="false">Raw_Data!AL351</f>
        <v>5</v>
      </c>
      <c r="E351" s="0" t="n">
        <f aca="false">Raw_Data!AM351</f>
        <v>4</v>
      </c>
      <c r="F351" s="0" t="n">
        <f aca="false">Raw_Data!AN351</f>
        <v>3</v>
      </c>
      <c r="G351" s="0" t="n">
        <f aca="false">Raw_Data!AO351</f>
        <v>4</v>
      </c>
      <c r="H351" s="0" t="n">
        <f aca="false">SUM(B351:G351)</f>
        <v>23</v>
      </c>
      <c r="I351" s="0" t="n">
        <f aca="false">H351-B351</f>
        <v>18</v>
      </c>
      <c r="J351" s="0" t="n">
        <f aca="false">H351-C351</f>
        <v>21</v>
      </c>
      <c r="K351" s="0" t="n">
        <f aca="false">H351-D351</f>
        <v>18</v>
      </c>
      <c r="L351" s="0" t="n">
        <f aca="false">H351-E351</f>
        <v>19</v>
      </c>
      <c r="M351" s="0" t="n">
        <f aca="false">H351-F351</f>
        <v>20</v>
      </c>
      <c r="N351" s="0" t="n">
        <f aca="false">H351-G351</f>
        <v>19</v>
      </c>
      <c r="O351" s="0" t="n">
        <f aca="false">B351+D351+F351</f>
        <v>13</v>
      </c>
      <c r="P351" s="0" t="n">
        <f aca="false">C351+E351+G351</f>
        <v>10</v>
      </c>
    </row>
    <row r="352" customFormat="false" ht="15" hidden="false" customHeight="false" outlineLevel="0" collapsed="false">
      <c r="A352" s="0" t="n">
        <v>352</v>
      </c>
      <c r="B352" s="0" t="n">
        <f aca="false">Raw_Data!AJ352</f>
        <v>4</v>
      </c>
      <c r="C352" s="0" t="n">
        <f aca="false">Raw_Data!AK352</f>
        <v>4</v>
      </c>
      <c r="D352" s="0" t="n">
        <f aca="false">Raw_Data!AL352</f>
        <v>4</v>
      </c>
      <c r="E352" s="0" t="n">
        <f aca="false">Raw_Data!AM352</f>
        <v>3</v>
      </c>
      <c r="F352" s="0" t="n">
        <f aca="false">Raw_Data!AN352</f>
        <v>4</v>
      </c>
      <c r="G352" s="0" t="n">
        <f aca="false">Raw_Data!AO352</f>
        <v>3</v>
      </c>
      <c r="H352" s="0" t="n">
        <f aca="false">SUM(B352:G352)</f>
        <v>22</v>
      </c>
      <c r="I352" s="0" t="n">
        <f aca="false">H352-B352</f>
        <v>18</v>
      </c>
      <c r="J352" s="0" t="n">
        <f aca="false">H352-C352</f>
        <v>18</v>
      </c>
      <c r="K352" s="0" t="n">
        <f aca="false">H352-D352</f>
        <v>18</v>
      </c>
      <c r="L352" s="0" t="n">
        <f aca="false">H352-E352</f>
        <v>19</v>
      </c>
      <c r="M352" s="0" t="n">
        <f aca="false">H352-F352</f>
        <v>18</v>
      </c>
      <c r="N352" s="0" t="n">
        <f aca="false">H352-G352</f>
        <v>19</v>
      </c>
      <c r="O352" s="0" t="n">
        <f aca="false">B352+D352+F352</f>
        <v>12</v>
      </c>
      <c r="P352" s="0" t="n">
        <f aca="false">C352+E352+G352</f>
        <v>10</v>
      </c>
    </row>
    <row r="353" customFormat="false" ht="15" hidden="false" customHeight="false" outlineLevel="0" collapsed="false">
      <c r="A353" s="0" t="n">
        <v>353</v>
      </c>
      <c r="B353" s="0" t="n">
        <f aca="false">Raw_Data!AJ353</f>
        <v>4</v>
      </c>
      <c r="C353" s="0" t="n">
        <f aca="false">Raw_Data!AK353</f>
        <v>3</v>
      </c>
      <c r="D353" s="0" t="n">
        <f aca="false">Raw_Data!AL353</f>
        <v>4</v>
      </c>
      <c r="E353" s="0" t="n">
        <f aca="false">Raw_Data!AM353</f>
        <v>4</v>
      </c>
      <c r="F353" s="0" t="n">
        <f aca="false">Raw_Data!AN353</f>
        <v>4</v>
      </c>
      <c r="G353" s="0" t="n">
        <f aca="false">Raw_Data!AO353</f>
        <v>4</v>
      </c>
      <c r="H353" s="0" t="n">
        <f aca="false">SUM(B353:G353)</f>
        <v>23</v>
      </c>
      <c r="I353" s="0" t="n">
        <f aca="false">H353-B353</f>
        <v>19</v>
      </c>
      <c r="J353" s="0" t="n">
        <f aca="false">H353-C353</f>
        <v>20</v>
      </c>
      <c r="K353" s="0" t="n">
        <f aca="false">H353-D353</f>
        <v>19</v>
      </c>
      <c r="L353" s="0" t="n">
        <f aca="false">H353-E353</f>
        <v>19</v>
      </c>
      <c r="M353" s="0" t="n">
        <f aca="false">H353-F353</f>
        <v>19</v>
      </c>
      <c r="N353" s="0" t="n">
        <f aca="false">H353-G353</f>
        <v>19</v>
      </c>
      <c r="O353" s="0" t="n">
        <f aca="false">B353+D353+F353</f>
        <v>12</v>
      </c>
      <c r="P353" s="0" t="n">
        <f aca="false">C353+E353+G353</f>
        <v>11</v>
      </c>
    </row>
    <row r="354" customFormat="false" ht="15" hidden="false" customHeight="false" outlineLevel="0" collapsed="false">
      <c r="A354" s="0" t="n">
        <v>354</v>
      </c>
      <c r="B354" s="0" t="n">
        <f aca="false">Raw_Data!AJ354</f>
        <v>2</v>
      </c>
      <c r="C354" s="0" t="n">
        <f aca="false">Raw_Data!AK354</f>
        <v>4</v>
      </c>
      <c r="D354" s="0" t="n">
        <f aca="false">Raw_Data!AL354</f>
        <v>5</v>
      </c>
      <c r="E354" s="0" t="n">
        <f aca="false">Raw_Data!AM354</f>
        <v>3</v>
      </c>
      <c r="F354" s="0" t="n">
        <f aca="false">Raw_Data!AN354</f>
        <v>4</v>
      </c>
      <c r="G354" s="0" t="n">
        <f aca="false">Raw_Data!AO354</f>
        <v>4</v>
      </c>
      <c r="H354" s="0" t="n">
        <f aca="false">SUM(B354:G354)</f>
        <v>22</v>
      </c>
      <c r="I354" s="0" t="n">
        <f aca="false">H354-B354</f>
        <v>20</v>
      </c>
      <c r="J354" s="0" t="n">
        <f aca="false">H354-C354</f>
        <v>18</v>
      </c>
      <c r="K354" s="0" t="n">
        <f aca="false">H354-D354</f>
        <v>17</v>
      </c>
      <c r="L354" s="0" t="n">
        <f aca="false">H354-E354</f>
        <v>19</v>
      </c>
      <c r="M354" s="0" t="n">
        <f aca="false">H354-F354</f>
        <v>18</v>
      </c>
      <c r="N354" s="0" t="n">
        <f aca="false">H354-G354</f>
        <v>18</v>
      </c>
      <c r="O354" s="0" t="n">
        <f aca="false">B354+D354+F354</f>
        <v>11</v>
      </c>
      <c r="P354" s="0" t="n">
        <f aca="false">C354+E354+G354</f>
        <v>11</v>
      </c>
    </row>
    <row r="355" customFormat="false" ht="15" hidden="false" customHeight="false" outlineLevel="0" collapsed="false">
      <c r="A355" s="0" t="n">
        <v>355</v>
      </c>
      <c r="B355" s="0" t="n">
        <f aca="false">Raw_Data!AJ355</f>
        <v>4</v>
      </c>
      <c r="C355" s="0" t="n">
        <f aca="false">Raw_Data!AK355</f>
        <v>4</v>
      </c>
      <c r="D355" s="0" t="n">
        <f aca="false">Raw_Data!AL355</f>
        <v>5</v>
      </c>
      <c r="E355" s="0" t="n">
        <f aca="false">Raw_Data!AM355</f>
        <v>3</v>
      </c>
      <c r="F355" s="0" t="n">
        <f aca="false">Raw_Data!AN355</f>
        <v>1</v>
      </c>
      <c r="G355" s="0" t="n">
        <f aca="false">Raw_Data!AO355</f>
        <v>4</v>
      </c>
      <c r="H355" s="0" t="n">
        <f aca="false">SUM(B355:G355)</f>
        <v>21</v>
      </c>
      <c r="I355" s="0" t="n">
        <f aca="false">H355-B355</f>
        <v>17</v>
      </c>
      <c r="J355" s="0" t="n">
        <f aca="false">H355-C355</f>
        <v>17</v>
      </c>
      <c r="K355" s="0" t="n">
        <f aca="false">H355-D355</f>
        <v>16</v>
      </c>
      <c r="L355" s="0" t="n">
        <f aca="false">H355-E355</f>
        <v>18</v>
      </c>
      <c r="M355" s="0" t="n">
        <f aca="false">H355-F355</f>
        <v>20</v>
      </c>
      <c r="N355" s="0" t="n">
        <f aca="false">H355-G355</f>
        <v>17</v>
      </c>
      <c r="O355" s="0" t="n">
        <f aca="false">B355+D355+F355</f>
        <v>10</v>
      </c>
      <c r="P355" s="0" t="n">
        <f aca="false">C355+E355+G355</f>
        <v>11</v>
      </c>
    </row>
    <row r="356" customFormat="false" ht="15" hidden="false" customHeight="false" outlineLevel="0" collapsed="false">
      <c r="A356" s="0" t="n">
        <v>356</v>
      </c>
      <c r="B356" s="0" t="n">
        <f aca="false">Raw_Data!AJ356</f>
        <v>4</v>
      </c>
      <c r="C356" s="0" t="n">
        <f aca="false">Raw_Data!AK356</f>
        <v>3</v>
      </c>
      <c r="D356" s="0" t="n">
        <f aca="false">Raw_Data!AL356</f>
        <v>4</v>
      </c>
      <c r="E356" s="0" t="n">
        <f aca="false">Raw_Data!AM356</f>
        <v>3</v>
      </c>
      <c r="F356" s="0" t="n">
        <f aca="false">Raw_Data!AN356</f>
        <v>2</v>
      </c>
      <c r="G356" s="0" t="n">
        <f aca="false">Raw_Data!AO356</f>
        <v>3</v>
      </c>
      <c r="H356" s="0" t="n">
        <f aca="false">SUM(B356:G356)</f>
        <v>19</v>
      </c>
      <c r="I356" s="0" t="n">
        <f aca="false">H356-B356</f>
        <v>15</v>
      </c>
      <c r="J356" s="0" t="n">
        <f aca="false">H356-C356</f>
        <v>16</v>
      </c>
      <c r="K356" s="0" t="n">
        <f aca="false">H356-D356</f>
        <v>15</v>
      </c>
      <c r="L356" s="0" t="n">
        <f aca="false">H356-E356</f>
        <v>16</v>
      </c>
      <c r="M356" s="0" t="n">
        <f aca="false">H356-F356</f>
        <v>17</v>
      </c>
      <c r="N356" s="0" t="n">
        <f aca="false">H356-G356</f>
        <v>16</v>
      </c>
      <c r="O356" s="0" t="n">
        <f aca="false">B356+D356+F356</f>
        <v>10</v>
      </c>
      <c r="P356" s="0" t="n">
        <f aca="false">C356+E356+G356</f>
        <v>9</v>
      </c>
    </row>
    <row r="357" customFormat="false" ht="15" hidden="false" customHeight="false" outlineLevel="0" collapsed="false">
      <c r="A357" s="0" t="n">
        <v>357</v>
      </c>
      <c r="B357" s="0" t="n">
        <f aca="false">Raw_Data!AJ357</f>
        <v>3</v>
      </c>
      <c r="C357" s="0" t="n">
        <f aca="false">Raw_Data!AK357</f>
        <v>2</v>
      </c>
      <c r="D357" s="0" t="n">
        <f aca="false">Raw_Data!AL357</f>
        <v>3</v>
      </c>
      <c r="E357" s="0" t="n">
        <f aca="false">Raw_Data!AM357</f>
        <v>3</v>
      </c>
      <c r="F357" s="0" t="n">
        <f aca="false">Raw_Data!AN357</f>
        <v>3</v>
      </c>
      <c r="G357" s="0" t="n">
        <f aca="false">Raw_Data!AO357</f>
        <v>3</v>
      </c>
      <c r="H357" s="0" t="n">
        <f aca="false">SUM(B357:G357)</f>
        <v>17</v>
      </c>
      <c r="I357" s="0" t="n">
        <f aca="false">H357-B357</f>
        <v>14</v>
      </c>
      <c r="J357" s="0" t="n">
        <f aca="false">H357-C357</f>
        <v>15</v>
      </c>
      <c r="K357" s="0" t="n">
        <f aca="false">H357-D357</f>
        <v>14</v>
      </c>
      <c r="L357" s="0" t="n">
        <f aca="false">H357-E357</f>
        <v>14</v>
      </c>
      <c r="M357" s="0" t="n">
        <f aca="false">H357-F357</f>
        <v>14</v>
      </c>
      <c r="N357" s="0" t="n">
        <f aca="false">H357-G357</f>
        <v>14</v>
      </c>
      <c r="O357" s="0" t="n">
        <f aca="false">B357+D357+F357</f>
        <v>9</v>
      </c>
      <c r="P357" s="0" t="n">
        <f aca="false">C357+E357+G357</f>
        <v>8</v>
      </c>
    </row>
    <row r="358" customFormat="false" ht="15" hidden="false" customHeight="false" outlineLevel="0" collapsed="false">
      <c r="A358" s="0" t="n">
        <v>358</v>
      </c>
      <c r="B358" s="0" t="n">
        <f aca="false">Raw_Data!AJ358</f>
        <v>4</v>
      </c>
      <c r="C358" s="0" t="n">
        <f aca="false">Raw_Data!AK358</f>
        <v>2</v>
      </c>
      <c r="D358" s="0" t="n">
        <f aca="false">Raw_Data!AL358</f>
        <v>4</v>
      </c>
      <c r="E358" s="0" t="n">
        <f aca="false">Raw_Data!AM358</f>
        <v>3</v>
      </c>
      <c r="F358" s="0" t="n">
        <f aca="false">Raw_Data!AN358</f>
        <v>2</v>
      </c>
      <c r="G358" s="0" t="n">
        <f aca="false">Raw_Data!AO358</f>
        <v>3</v>
      </c>
      <c r="H358" s="0" t="n">
        <f aca="false">SUM(B358:G358)</f>
        <v>18</v>
      </c>
      <c r="I358" s="0" t="n">
        <f aca="false">H358-B358</f>
        <v>14</v>
      </c>
      <c r="J358" s="0" t="n">
        <f aca="false">H358-C358</f>
        <v>16</v>
      </c>
      <c r="K358" s="0" t="n">
        <f aca="false">H358-D358</f>
        <v>14</v>
      </c>
      <c r="L358" s="0" t="n">
        <f aca="false">H358-E358</f>
        <v>15</v>
      </c>
      <c r="M358" s="0" t="n">
        <f aca="false">H358-F358</f>
        <v>16</v>
      </c>
      <c r="N358" s="0" t="n">
        <f aca="false">H358-G358</f>
        <v>15</v>
      </c>
      <c r="O358" s="0" t="n">
        <f aca="false">B358+D358+F358</f>
        <v>10</v>
      </c>
      <c r="P358" s="0" t="n">
        <f aca="false">C358+E358+G358</f>
        <v>8</v>
      </c>
    </row>
    <row r="359" customFormat="false" ht="15" hidden="false" customHeight="false" outlineLevel="0" collapsed="false">
      <c r="A359" s="0" t="n">
        <v>359</v>
      </c>
      <c r="B359" s="0" t="n">
        <f aca="false">Raw_Data!AJ359</f>
        <v>4</v>
      </c>
      <c r="C359" s="0" t="n">
        <f aca="false">Raw_Data!AK359</f>
        <v>4</v>
      </c>
      <c r="D359" s="0" t="n">
        <f aca="false">Raw_Data!AL359</f>
        <v>4</v>
      </c>
      <c r="E359" s="0" t="n">
        <f aca="false">Raw_Data!AM359</f>
        <v>3</v>
      </c>
      <c r="F359" s="0" t="n">
        <f aca="false">Raw_Data!AN359</f>
        <v>1</v>
      </c>
      <c r="G359" s="0" t="n">
        <f aca="false">Raw_Data!AO359</f>
        <v>4</v>
      </c>
      <c r="H359" s="0" t="n">
        <f aca="false">SUM(B359:G359)</f>
        <v>20</v>
      </c>
      <c r="I359" s="0" t="n">
        <f aca="false">H359-B359</f>
        <v>16</v>
      </c>
      <c r="J359" s="0" t="n">
        <f aca="false">H359-C359</f>
        <v>16</v>
      </c>
      <c r="K359" s="0" t="n">
        <f aca="false">H359-D359</f>
        <v>16</v>
      </c>
      <c r="L359" s="0" t="n">
        <f aca="false">H359-E359</f>
        <v>17</v>
      </c>
      <c r="M359" s="0" t="n">
        <f aca="false">H359-F359</f>
        <v>19</v>
      </c>
      <c r="N359" s="0" t="n">
        <f aca="false">H359-G359</f>
        <v>16</v>
      </c>
      <c r="O359" s="0" t="n">
        <f aca="false">B359+D359+F359</f>
        <v>9</v>
      </c>
      <c r="P359" s="0" t="n">
        <f aca="false">C359+E359+G359</f>
        <v>11</v>
      </c>
    </row>
    <row r="360" customFormat="false" ht="15" hidden="false" customHeight="false" outlineLevel="0" collapsed="false">
      <c r="A360" s="0" t="n">
        <v>360</v>
      </c>
      <c r="B360" s="0" t="n">
        <f aca="false">Raw_Data!AJ360</f>
        <v>5</v>
      </c>
      <c r="C360" s="0" t="n">
        <f aca="false">Raw_Data!AK360</f>
        <v>2</v>
      </c>
      <c r="D360" s="0" t="n">
        <f aca="false">Raw_Data!AL360</f>
        <v>4</v>
      </c>
      <c r="E360" s="0" t="n">
        <f aca="false">Raw_Data!AM360</f>
        <v>4</v>
      </c>
      <c r="F360" s="0" t="n">
        <f aca="false">Raw_Data!AN360</f>
        <v>2</v>
      </c>
      <c r="G360" s="0" t="n">
        <f aca="false">Raw_Data!AO360</f>
        <v>3</v>
      </c>
      <c r="H360" s="0" t="n">
        <f aca="false">SUM(B360:G360)</f>
        <v>20</v>
      </c>
      <c r="I360" s="0" t="n">
        <f aca="false">H360-B360</f>
        <v>15</v>
      </c>
      <c r="J360" s="0" t="n">
        <f aca="false">H360-C360</f>
        <v>18</v>
      </c>
      <c r="K360" s="0" t="n">
        <f aca="false">H360-D360</f>
        <v>16</v>
      </c>
      <c r="L360" s="0" t="n">
        <f aca="false">H360-E360</f>
        <v>16</v>
      </c>
      <c r="M360" s="0" t="n">
        <f aca="false">H360-F360</f>
        <v>18</v>
      </c>
      <c r="N360" s="0" t="n">
        <f aca="false">H360-G360</f>
        <v>17</v>
      </c>
      <c r="O360" s="0" t="n">
        <f aca="false">B360+D360+F360</f>
        <v>11</v>
      </c>
      <c r="P360" s="0" t="n">
        <f aca="false">C360+E360+G360</f>
        <v>9</v>
      </c>
    </row>
    <row r="361" customFormat="false" ht="15" hidden="false" customHeight="false" outlineLevel="0" collapsed="false">
      <c r="A361" s="0" t="n">
        <v>361</v>
      </c>
      <c r="B361" s="0" t="n">
        <f aca="false">Raw_Data!AJ361</f>
        <v>4</v>
      </c>
      <c r="C361" s="0" t="n">
        <f aca="false">Raw_Data!AK361</f>
        <v>4</v>
      </c>
      <c r="D361" s="0" t="n">
        <f aca="false">Raw_Data!AL361</f>
        <v>4</v>
      </c>
      <c r="E361" s="0" t="n">
        <f aca="false">Raw_Data!AM361</f>
        <v>5</v>
      </c>
      <c r="F361" s="0" t="n">
        <f aca="false">Raw_Data!AN361</f>
        <v>1</v>
      </c>
      <c r="G361" s="0" t="n">
        <f aca="false">Raw_Data!AO361</f>
        <v>4</v>
      </c>
      <c r="H361" s="0" t="n">
        <f aca="false">SUM(B361:G361)</f>
        <v>22</v>
      </c>
      <c r="I361" s="0" t="n">
        <f aca="false">H361-B361</f>
        <v>18</v>
      </c>
      <c r="J361" s="0" t="n">
        <f aca="false">H361-C361</f>
        <v>18</v>
      </c>
      <c r="K361" s="0" t="n">
        <f aca="false">H361-D361</f>
        <v>18</v>
      </c>
      <c r="L361" s="0" t="n">
        <f aca="false">H361-E361</f>
        <v>17</v>
      </c>
      <c r="M361" s="0" t="n">
        <f aca="false">H361-F361</f>
        <v>21</v>
      </c>
      <c r="N361" s="0" t="n">
        <f aca="false">H361-G361</f>
        <v>18</v>
      </c>
      <c r="O361" s="0" t="n">
        <f aca="false">B361+D361+F361</f>
        <v>9</v>
      </c>
      <c r="P361" s="0" t="n">
        <f aca="false">C361+E361+G361</f>
        <v>13</v>
      </c>
    </row>
    <row r="362" customFormat="false" ht="15" hidden="false" customHeight="false" outlineLevel="0" collapsed="false">
      <c r="A362" s="0" t="n">
        <v>362</v>
      </c>
      <c r="B362" s="0" t="n">
        <f aca="false">Raw_Data!AJ362</f>
        <v>3</v>
      </c>
      <c r="C362" s="0" t="n">
        <f aca="false">Raw_Data!AK362</f>
        <v>4</v>
      </c>
      <c r="D362" s="0" t="n">
        <f aca="false">Raw_Data!AL362</f>
        <v>5</v>
      </c>
      <c r="E362" s="0" t="n">
        <f aca="false">Raw_Data!AM362</f>
        <v>3</v>
      </c>
      <c r="F362" s="0" t="n">
        <f aca="false">Raw_Data!AN362</f>
        <v>2</v>
      </c>
      <c r="G362" s="0" t="n">
        <f aca="false">Raw_Data!AO362</f>
        <v>2</v>
      </c>
      <c r="H362" s="0" t="n">
        <f aca="false">SUM(B362:G362)</f>
        <v>19</v>
      </c>
      <c r="I362" s="0" t="n">
        <f aca="false">H362-B362</f>
        <v>16</v>
      </c>
      <c r="J362" s="0" t="n">
        <f aca="false">H362-C362</f>
        <v>15</v>
      </c>
      <c r="K362" s="0" t="n">
        <f aca="false">H362-D362</f>
        <v>14</v>
      </c>
      <c r="L362" s="0" t="n">
        <f aca="false">H362-E362</f>
        <v>16</v>
      </c>
      <c r="M362" s="0" t="n">
        <f aca="false">H362-F362</f>
        <v>17</v>
      </c>
      <c r="N362" s="0" t="n">
        <f aca="false">H362-G362</f>
        <v>17</v>
      </c>
      <c r="O362" s="0" t="n">
        <f aca="false">B362+D362+F362</f>
        <v>10</v>
      </c>
      <c r="P362" s="0" t="n">
        <f aca="false">C362+E362+G362</f>
        <v>9</v>
      </c>
    </row>
    <row r="363" customFormat="false" ht="15" hidden="false" customHeight="false" outlineLevel="0" collapsed="false">
      <c r="A363" s="0" t="n">
        <v>363</v>
      </c>
      <c r="B363" s="0" t="n">
        <f aca="false">Raw_Data!AJ363</f>
        <v>4</v>
      </c>
      <c r="C363" s="0" t="n">
        <f aca="false">Raw_Data!AK363</f>
        <v>2</v>
      </c>
      <c r="D363" s="0" t="n">
        <f aca="false">Raw_Data!AL363</f>
        <v>3</v>
      </c>
      <c r="E363" s="0" t="n">
        <f aca="false">Raw_Data!AM363</f>
        <v>3</v>
      </c>
      <c r="F363" s="0" t="n">
        <f aca="false">Raw_Data!AN363</f>
        <v>3</v>
      </c>
      <c r="G363" s="0" t="n">
        <f aca="false">Raw_Data!AO363</f>
        <v>3</v>
      </c>
      <c r="H363" s="0" t="n">
        <f aca="false">SUM(B363:G363)</f>
        <v>18</v>
      </c>
      <c r="I363" s="0" t="n">
        <f aca="false">H363-B363</f>
        <v>14</v>
      </c>
      <c r="J363" s="0" t="n">
        <f aca="false">H363-C363</f>
        <v>16</v>
      </c>
      <c r="K363" s="0" t="n">
        <f aca="false">H363-D363</f>
        <v>15</v>
      </c>
      <c r="L363" s="0" t="n">
        <f aca="false">H363-E363</f>
        <v>15</v>
      </c>
      <c r="M363" s="0" t="n">
        <f aca="false">H363-F363</f>
        <v>15</v>
      </c>
      <c r="N363" s="0" t="n">
        <f aca="false">H363-G363</f>
        <v>15</v>
      </c>
      <c r="O363" s="0" t="n">
        <f aca="false">B363+D363+F363</f>
        <v>10</v>
      </c>
      <c r="P363" s="0" t="n">
        <f aca="false">C363+E363+G363</f>
        <v>8</v>
      </c>
    </row>
    <row r="364" customFormat="false" ht="15" hidden="false" customHeight="false" outlineLevel="0" collapsed="false">
      <c r="A364" s="0" t="n">
        <v>364</v>
      </c>
      <c r="B364" s="0" t="n">
        <f aca="false">Raw_Data!AJ364</f>
        <v>3</v>
      </c>
      <c r="C364" s="0" t="n">
        <f aca="false">Raw_Data!AK364</f>
        <v>4</v>
      </c>
      <c r="D364" s="0" t="n">
        <f aca="false">Raw_Data!AL364</f>
        <v>4</v>
      </c>
      <c r="E364" s="0" t="n">
        <f aca="false">Raw_Data!AM364</f>
        <v>4</v>
      </c>
      <c r="F364" s="0" t="n">
        <f aca="false">Raw_Data!AN364</f>
        <v>2</v>
      </c>
      <c r="G364" s="0" t="n">
        <f aca="false">Raw_Data!AO364</f>
        <v>4</v>
      </c>
      <c r="H364" s="0" t="n">
        <f aca="false">SUM(B364:G364)</f>
        <v>21</v>
      </c>
      <c r="I364" s="0" t="n">
        <f aca="false">H364-B364</f>
        <v>18</v>
      </c>
      <c r="J364" s="0" t="n">
        <f aca="false">H364-C364</f>
        <v>17</v>
      </c>
      <c r="K364" s="0" t="n">
        <f aca="false">H364-D364</f>
        <v>17</v>
      </c>
      <c r="L364" s="0" t="n">
        <f aca="false">H364-E364</f>
        <v>17</v>
      </c>
      <c r="M364" s="0" t="n">
        <f aca="false">H364-F364</f>
        <v>19</v>
      </c>
      <c r="N364" s="0" t="n">
        <f aca="false">H364-G364</f>
        <v>17</v>
      </c>
      <c r="O364" s="0" t="n">
        <f aca="false">B364+D364+F364</f>
        <v>9</v>
      </c>
      <c r="P364" s="0" t="n">
        <f aca="false">C364+E364+G364</f>
        <v>12</v>
      </c>
    </row>
    <row r="365" customFormat="false" ht="15" hidden="false" customHeight="false" outlineLevel="0" collapsed="false">
      <c r="A365" s="0" t="n">
        <v>365</v>
      </c>
      <c r="B365" s="0" t="n">
        <f aca="false">Raw_Data!AJ365</f>
        <v>4</v>
      </c>
      <c r="C365" s="0" t="n">
        <f aca="false">Raw_Data!AK365</f>
        <v>3</v>
      </c>
      <c r="D365" s="0" t="n">
        <f aca="false">Raw_Data!AL365</f>
        <v>5</v>
      </c>
      <c r="E365" s="0" t="n">
        <f aca="false">Raw_Data!AM365</f>
        <v>3</v>
      </c>
      <c r="F365" s="0" t="n">
        <f aca="false">Raw_Data!AN365</f>
        <v>3</v>
      </c>
      <c r="G365" s="0" t="n">
        <f aca="false">Raw_Data!AO365</f>
        <v>2</v>
      </c>
      <c r="H365" s="0" t="n">
        <f aca="false">SUM(B365:G365)</f>
        <v>20</v>
      </c>
      <c r="I365" s="0" t="n">
        <f aca="false">H365-B365</f>
        <v>16</v>
      </c>
      <c r="J365" s="0" t="n">
        <f aca="false">H365-C365</f>
        <v>17</v>
      </c>
      <c r="K365" s="0" t="n">
        <f aca="false">H365-D365</f>
        <v>15</v>
      </c>
      <c r="L365" s="0" t="n">
        <f aca="false">H365-E365</f>
        <v>17</v>
      </c>
      <c r="M365" s="0" t="n">
        <f aca="false">H365-F365</f>
        <v>17</v>
      </c>
      <c r="N365" s="0" t="n">
        <f aca="false">H365-G365</f>
        <v>18</v>
      </c>
      <c r="O365" s="0" t="n">
        <f aca="false">B365+D365+F365</f>
        <v>12</v>
      </c>
      <c r="P365" s="0" t="n">
        <f aca="false">C365+E365+G365</f>
        <v>8</v>
      </c>
    </row>
    <row r="366" customFormat="false" ht="15" hidden="false" customHeight="false" outlineLevel="0" collapsed="false">
      <c r="A366" s="0" t="n">
        <v>366</v>
      </c>
      <c r="B366" s="0" t="n">
        <f aca="false">Raw_Data!AJ366</f>
        <v>4</v>
      </c>
      <c r="C366" s="0" t="n">
        <f aca="false">Raw_Data!AK366</f>
        <v>4</v>
      </c>
      <c r="D366" s="0" t="n">
        <f aca="false">Raw_Data!AL366</f>
        <v>3</v>
      </c>
      <c r="E366" s="0" t="n">
        <f aca="false">Raw_Data!AM366</f>
        <v>3</v>
      </c>
      <c r="F366" s="0" t="n">
        <f aca="false">Raw_Data!AN366</f>
        <v>3</v>
      </c>
      <c r="G366" s="0" t="n">
        <f aca="false">Raw_Data!AO366</f>
        <v>3</v>
      </c>
      <c r="H366" s="0" t="n">
        <f aca="false">SUM(B366:G366)</f>
        <v>20</v>
      </c>
      <c r="I366" s="0" t="n">
        <f aca="false">H366-B366</f>
        <v>16</v>
      </c>
      <c r="J366" s="0" t="n">
        <f aca="false">H366-C366</f>
        <v>16</v>
      </c>
      <c r="K366" s="0" t="n">
        <f aca="false">H366-D366</f>
        <v>17</v>
      </c>
      <c r="L366" s="0" t="n">
        <f aca="false">H366-E366</f>
        <v>17</v>
      </c>
      <c r="M366" s="0" t="n">
        <f aca="false">H366-F366</f>
        <v>17</v>
      </c>
      <c r="N366" s="0" t="n">
        <f aca="false">H366-G366</f>
        <v>17</v>
      </c>
      <c r="O366" s="0" t="n">
        <f aca="false">B366+D366+F366</f>
        <v>10</v>
      </c>
      <c r="P366" s="0" t="n">
        <f aca="false">C366+E366+G366</f>
        <v>10</v>
      </c>
    </row>
    <row r="367" customFormat="false" ht="15" hidden="false" customHeight="false" outlineLevel="0" collapsed="false">
      <c r="A367" s="0" t="n">
        <v>367</v>
      </c>
      <c r="B367" s="0" t="n">
        <f aca="false">Raw_Data!AJ367</f>
        <v>4</v>
      </c>
      <c r="C367" s="0" t="n">
        <f aca="false">Raw_Data!AK367</f>
        <v>4</v>
      </c>
      <c r="D367" s="0" t="n">
        <f aca="false">Raw_Data!AL367</f>
        <v>4</v>
      </c>
      <c r="E367" s="0" t="n">
        <f aca="false">Raw_Data!AM367</f>
        <v>3</v>
      </c>
      <c r="F367" s="0" t="n">
        <f aca="false">Raw_Data!AN367</f>
        <v>3</v>
      </c>
      <c r="G367" s="0" t="n">
        <f aca="false">Raw_Data!AO367</f>
        <v>4</v>
      </c>
      <c r="H367" s="0" t="n">
        <f aca="false">SUM(B367:G367)</f>
        <v>22</v>
      </c>
      <c r="I367" s="0" t="n">
        <f aca="false">H367-B367</f>
        <v>18</v>
      </c>
      <c r="J367" s="0" t="n">
        <f aca="false">H367-C367</f>
        <v>18</v>
      </c>
      <c r="K367" s="0" t="n">
        <f aca="false">H367-D367</f>
        <v>18</v>
      </c>
      <c r="L367" s="0" t="n">
        <f aca="false">H367-E367</f>
        <v>19</v>
      </c>
      <c r="M367" s="0" t="n">
        <f aca="false">H367-F367</f>
        <v>19</v>
      </c>
      <c r="N367" s="0" t="n">
        <f aca="false">H367-G367</f>
        <v>18</v>
      </c>
      <c r="O367" s="0" t="n">
        <f aca="false">B367+D367+F367</f>
        <v>11</v>
      </c>
      <c r="P367" s="0" t="n">
        <f aca="false">C367+E367+G367</f>
        <v>11</v>
      </c>
    </row>
    <row r="368" customFormat="false" ht="15" hidden="false" customHeight="false" outlineLevel="0" collapsed="false">
      <c r="A368" s="0" t="n">
        <v>368</v>
      </c>
      <c r="B368" s="0" t="n">
        <f aca="false">Raw_Data!AJ368</f>
        <v>4</v>
      </c>
      <c r="C368" s="0" t="n">
        <f aca="false">Raw_Data!AK368</f>
        <v>2</v>
      </c>
      <c r="D368" s="0" t="n">
        <f aca="false">Raw_Data!AL368</f>
        <v>4</v>
      </c>
      <c r="E368" s="0" t="n">
        <f aca="false">Raw_Data!AM368</f>
        <v>3</v>
      </c>
      <c r="F368" s="0" t="n">
        <f aca="false">Raw_Data!AN368</f>
        <v>3</v>
      </c>
      <c r="G368" s="0" t="n">
        <f aca="false">Raw_Data!AO368</f>
        <v>2</v>
      </c>
      <c r="H368" s="0" t="n">
        <f aca="false">SUM(B368:G368)</f>
        <v>18</v>
      </c>
      <c r="I368" s="0" t="n">
        <f aca="false">H368-B368</f>
        <v>14</v>
      </c>
      <c r="J368" s="0" t="n">
        <f aca="false">H368-C368</f>
        <v>16</v>
      </c>
      <c r="K368" s="0" t="n">
        <f aca="false">H368-D368</f>
        <v>14</v>
      </c>
      <c r="L368" s="0" t="n">
        <f aca="false">H368-E368</f>
        <v>15</v>
      </c>
      <c r="M368" s="0" t="n">
        <f aca="false">H368-F368</f>
        <v>15</v>
      </c>
      <c r="N368" s="0" t="n">
        <f aca="false">H368-G368</f>
        <v>16</v>
      </c>
      <c r="O368" s="0" t="n">
        <f aca="false">B368+D368+F368</f>
        <v>11</v>
      </c>
      <c r="P368" s="0" t="n">
        <f aca="false">C368+E368+G368</f>
        <v>7</v>
      </c>
    </row>
    <row r="369" customFormat="false" ht="15" hidden="false" customHeight="false" outlineLevel="0" collapsed="false">
      <c r="A369" s="0" t="n">
        <v>369</v>
      </c>
      <c r="B369" s="0" t="n">
        <f aca="false">Raw_Data!AJ369</f>
        <v>5</v>
      </c>
      <c r="C369" s="0" t="n">
        <f aca="false">Raw_Data!AK369</f>
        <v>1</v>
      </c>
      <c r="D369" s="0" t="n">
        <f aca="false">Raw_Data!AL369</f>
        <v>5</v>
      </c>
      <c r="E369" s="0" t="n">
        <f aca="false">Raw_Data!AM369</f>
        <v>4</v>
      </c>
      <c r="F369" s="0" t="n">
        <f aca="false">Raw_Data!AN369</f>
        <v>3</v>
      </c>
      <c r="G369" s="0" t="n">
        <f aca="false">Raw_Data!AO369</f>
        <v>2</v>
      </c>
      <c r="H369" s="0" t="n">
        <f aca="false">SUM(B369:G369)</f>
        <v>20</v>
      </c>
      <c r="I369" s="0" t="n">
        <f aca="false">H369-B369</f>
        <v>15</v>
      </c>
      <c r="J369" s="0" t="n">
        <f aca="false">H369-C369</f>
        <v>19</v>
      </c>
      <c r="K369" s="0" t="n">
        <f aca="false">H369-D369</f>
        <v>15</v>
      </c>
      <c r="L369" s="0" t="n">
        <f aca="false">H369-E369</f>
        <v>16</v>
      </c>
      <c r="M369" s="0" t="n">
        <f aca="false">H369-F369</f>
        <v>17</v>
      </c>
      <c r="N369" s="0" t="n">
        <f aca="false">H369-G369</f>
        <v>18</v>
      </c>
      <c r="O369" s="0" t="n">
        <f aca="false">B369+D369+F369</f>
        <v>13</v>
      </c>
      <c r="P369" s="0" t="n">
        <f aca="false">C369+E369+G369</f>
        <v>7</v>
      </c>
    </row>
    <row r="370" customFormat="false" ht="15" hidden="false" customHeight="false" outlineLevel="0" collapsed="false">
      <c r="A370" s="0" t="n">
        <v>370</v>
      </c>
      <c r="B370" s="0" t="n">
        <f aca="false">Raw_Data!AJ370</f>
        <v>4</v>
      </c>
      <c r="C370" s="0" t="n">
        <f aca="false">Raw_Data!AK370</f>
        <v>3</v>
      </c>
      <c r="D370" s="0" t="n">
        <f aca="false">Raw_Data!AL370</f>
        <v>5</v>
      </c>
      <c r="E370" s="0" t="n">
        <f aca="false">Raw_Data!AM370</f>
        <v>4</v>
      </c>
      <c r="F370" s="0" t="n">
        <f aca="false">Raw_Data!AN370</f>
        <v>3</v>
      </c>
      <c r="G370" s="0" t="n">
        <f aca="false">Raw_Data!AO370</f>
        <v>4</v>
      </c>
      <c r="H370" s="0" t="n">
        <f aca="false">SUM(B370:G370)</f>
        <v>23</v>
      </c>
      <c r="I370" s="0" t="n">
        <f aca="false">H370-B370</f>
        <v>19</v>
      </c>
      <c r="J370" s="0" t="n">
        <f aca="false">H370-C370</f>
        <v>20</v>
      </c>
      <c r="K370" s="0" t="n">
        <f aca="false">H370-D370</f>
        <v>18</v>
      </c>
      <c r="L370" s="0" t="n">
        <f aca="false">H370-E370</f>
        <v>19</v>
      </c>
      <c r="M370" s="0" t="n">
        <f aca="false">H370-F370</f>
        <v>20</v>
      </c>
      <c r="N370" s="0" t="n">
        <f aca="false">H370-G370</f>
        <v>19</v>
      </c>
      <c r="O370" s="0" t="n">
        <f aca="false">B370+D370+F370</f>
        <v>12</v>
      </c>
      <c r="P370" s="0" t="n">
        <f aca="false">C370+E370+G370</f>
        <v>11</v>
      </c>
    </row>
    <row r="371" customFormat="false" ht="15" hidden="false" customHeight="false" outlineLevel="0" collapsed="false">
      <c r="A371" s="0" t="n">
        <v>371</v>
      </c>
      <c r="B371" s="0" t="n">
        <f aca="false">Raw_Data!AJ371</f>
        <v>2</v>
      </c>
      <c r="C371" s="0" t="n">
        <f aca="false">Raw_Data!AK371</f>
        <v>4</v>
      </c>
      <c r="D371" s="0" t="n">
        <f aca="false">Raw_Data!AL371</f>
        <v>4</v>
      </c>
      <c r="E371" s="0" t="n">
        <f aca="false">Raw_Data!AM371</f>
        <v>3</v>
      </c>
      <c r="F371" s="0" t="n">
        <f aca="false">Raw_Data!AN371</f>
        <v>2</v>
      </c>
      <c r="G371" s="0" t="n">
        <f aca="false">Raw_Data!AO371</f>
        <v>3</v>
      </c>
      <c r="H371" s="0" t="n">
        <f aca="false">SUM(B371:G371)</f>
        <v>18</v>
      </c>
      <c r="I371" s="0" t="n">
        <f aca="false">H371-B371</f>
        <v>16</v>
      </c>
      <c r="J371" s="0" t="n">
        <f aca="false">H371-C371</f>
        <v>14</v>
      </c>
      <c r="K371" s="0" t="n">
        <f aca="false">H371-D371</f>
        <v>14</v>
      </c>
      <c r="L371" s="0" t="n">
        <f aca="false">H371-E371</f>
        <v>15</v>
      </c>
      <c r="M371" s="0" t="n">
        <f aca="false">H371-F371</f>
        <v>16</v>
      </c>
      <c r="N371" s="0" t="n">
        <f aca="false">H371-G371</f>
        <v>15</v>
      </c>
      <c r="O371" s="0" t="n">
        <f aca="false">B371+D371+F371</f>
        <v>8</v>
      </c>
      <c r="P371" s="0" t="n">
        <f aca="false">C371+E371+G371</f>
        <v>10</v>
      </c>
    </row>
    <row r="372" customFormat="false" ht="15" hidden="false" customHeight="false" outlineLevel="0" collapsed="false">
      <c r="A372" s="0" t="n">
        <v>372</v>
      </c>
      <c r="B372" s="0" t="n">
        <f aca="false">Raw_Data!AJ372</f>
        <v>4</v>
      </c>
      <c r="C372" s="0" t="n">
        <f aca="false">Raw_Data!AK372</f>
        <v>3</v>
      </c>
      <c r="D372" s="0" t="n">
        <f aca="false">Raw_Data!AL372</f>
        <v>2</v>
      </c>
      <c r="E372" s="0" t="n">
        <f aca="false">Raw_Data!AM372</f>
        <v>3</v>
      </c>
      <c r="F372" s="0" t="n">
        <f aca="false">Raw_Data!AN372</f>
        <v>3</v>
      </c>
      <c r="G372" s="0" t="n">
        <f aca="false">Raw_Data!AO372</f>
        <v>3</v>
      </c>
      <c r="H372" s="0" t="n">
        <f aca="false">SUM(B372:G372)</f>
        <v>18</v>
      </c>
      <c r="I372" s="0" t="n">
        <f aca="false">H372-B372</f>
        <v>14</v>
      </c>
      <c r="J372" s="0" t="n">
        <f aca="false">H372-C372</f>
        <v>15</v>
      </c>
      <c r="K372" s="0" t="n">
        <f aca="false">H372-D372</f>
        <v>16</v>
      </c>
      <c r="L372" s="0" t="n">
        <f aca="false">H372-E372</f>
        <v>15</v>
      </c>
      <c r="M372" s="0" t="n">
        <f aca="false">H372-F372</f>
        <v>15</v>
      </c>
      <c r="N372" s="0" t="n">
        <f aca="false">H372-G372</f>
        <v>15</v>
      </c>
      <c r="O372" s="0" t="n">
        <f aca="false">B372+D372+F372</f>
        <v>9</v>
      </c>
      <c r="P372" s="0" t="n">
        <f aca="false">C372+E372+G372</f>
        <v>9</v>
      </c>
    </row>
    <row r="373" customFormat="false" ht="15" hidden="false" customHeight="false" outlineLevel="0" collapsed="false">
      <c r="A373" s="0" t="n">
        <v>373</v>
      </c>
      <c r="B373" s="0" t="n">
        <f aca="false">Raw_Data!AJ373</f>
        <v>3</v>
      </c>
      <c r="C373" s="0" t="n">
        <f aca="false">Raw_Data!AK373</f>
        <v>4</v>
      </c>
      <c r="D373" s="0" t="n">
        <f aca="false">Raw_Data!AL373</f>
        <v>4</v>
      </c>
      <c r="E373" s="0" t="n">
        <f aca="false">Raw_Data!AM373</f>
        <v>3</v>
      </c>
      <c r="F373" s="0" t="n">
        <f aca="false">Raw_Data!AN373</f>
        <v>2</v>
      </c>
      <c r="G373" s="0" t="n">
        <f aca="false">Raw_Data!AO373</f>
        <v>3</v>
      </c>
      <c r="H373" s="0" t="n">
        <f aca="false">SUM(B373:G373)</f>
        <v>19</v>
      </c>
      <c r="I373" s="0" t="n">
        <f aca="false">H373-B373</f>
        <v>16</v>
      </c>
      <c r="J373" s="0" t="n">
        <f aca="false">H373-C373</f>
        <v>15</v>
      </c>
      <c r="K373" s="0" t="n">
        <f aca="false">H373-D373</f>
        <v>15</v>
      </c>
      <c r="L373" s="0" t="n">
        <f aca="false">H373-E373</f>
        <v>16</v>
      </c>
      <c r="M373" s="0" t="n">
        <f aca="false">H373-F373</f>
        <v>17</v>
      </c>
      <c r="N373" s="0" t="n">
        <f aca="false">H373-G373</f>
        <v>16</v>
      </c>
      <c r="O373" s="0" t="n">
        <f aca="false">B373+D373+F373</f>
        <v>9</v>
      </c>
      <c r="P373" s="0" t="n">
        <f aca="false">C373+E373+G373</f>
        <v>10</v>
      </c>
    </row>
    <row r="374" customFormat="false" ht="15" hidden="false" customHeight="false" outlineLevel="0" collapsed="false">
      <c r="A374" s="0" t="n">
        <v>374</v>
      </c>
      <c r="B374" s="0" t="n">
        <f aca="false">Raw_Data!AJ374</f>
        <v>5</v>
      </c>
      <c r="C374" s="0" t="n">
        <f aca="false">Raw_Data!AK374</f>
        <v>5</v>
      </c>
      <c r="D374" s="0" t="n">
        <f aca="false">Raw_Data!AL374</f>
        <v>5</v>
      </c>
      <c r="E374" s="0" t="n">
        <f aca="false">Raw_Data!AM374</f>
        <v>5</v>
      </c>
      <c r="F374" s="0" t="n">
        <f aca="false">Raw_Data!AN374</f>
        <v>1</v>
      </c>
      <c r="G374" s="0" t="n">
        <f aca="false">Raw_Data!AO374</f>
        <v>5</v>
      </c>
      <c r="H374" s="0" t="n">
        <f aca="false">SUM(B374:G374)</f>
        <v>26</v>
      </c>
      <c r="I374" s="0" t="n">
        <f aca="false">H374-B374</f>
        <v>21</v>
      </c>
      <c r="J374" s="0" t="n">
        <f aca="false">H374-C374</f>
        <v>21</v>
      </c>
      <c r="K374" s="0" t="n">
        <f aca="false">H374-D374</f>
        <v>21</v>
      </c>
      <c r="L374" s="0" t="n">
        <f aca="false">H374-E374</f>
        <v>21</v>
      </c>
      <c r="M374" s="0" t="n">
        <f aca="false">H374-F374</f>
        <v>25</v>
      </c>
      <c r="N374" s="0" t="n">
        <f aca="false">H374-G374</f>
        <v>21</v>
      </c>
      <c r="O374" s="0" t="n">
        <f aca="false">B374+D374+F374</f>
        <v>11</v>
      </c>
      <c r="P374" s="0" t="n">
        <f aca="false">C374+E374+G374</f>
        <v>15</v>
      </c>
    </row>
    <row r="375" customFormat="false" ht="15" hidden="false" customHeight="false" outlineLevel="0" collapsed="false">
      <c r="A375" s="0" t="n">
        <v>375</v>
      </c>
      <c r="B375" s="0" t="n">
        <f aca="false">Raw_Data!AJ375</f>
        <v>4</v>
      </c>
      <c r="C375" s="0" t="n">
        <f aca="false">Raw_Data!AK375</f>
        <v>2</v>
      </c>
      <c r="D375" s="0" t="n">
        <f aca="false">Raw_Data!AL375</f>
        <v>5</v>
      </c>
      <c r="E375" s="0" t="n">
        <f aca="false">Raw_Data!AM375</f>
        <v>4</v>
      </c>
      <c r="F375" s="0" t="n">
        <f aca="false">Raw_Data!AN375</f>
        <v>5</v>
      </c>
      <c r="G375" s="0" t="n">
        <f aca="false">Raw_Data!AO375</f>
        <v>5</v>
      </c>
      <c r="H375" s="0" t="n">
        <f aca="false">SUM(B375:G375)</f>
        <v>25</v>
      </c>
      <c r="I375" s="0" t="n">
        <f aca="false">H375-B375</f>
        <v>21</v>
      </c>
      <c r="J375" s="0" t="n">
        <f aca="false">H375-C375</f>
        <v>23</v>
      </c>
      <c r="K375" s="0" t="n">
        <f aca="false">H375-D375</f>
        <v>20</v>
      </c>
      <c r="L375" s="0" t="n">
        <f aca="false">H375-E375</f>
        <v>21</v>
      </c>
      <c r="M375" s="0" t="n">
        <f aca="false">H375-F375</f>
        <v>20</v>
      </c>
      <c r="N375" s="0" t="n">
        <f aca="false">H375-G375</f>
        <v>20</v>
      </c>
      <c r="O375" s="0" t="n">
        <f aca="false">B375+D375+F375</f>
        <v>14</v>
      </c>
      <c r="P375" s="0" t="n">
        <f aca="false">C375+E375+G375</f>
        <v>11</v>
      </c>
    </row>
    <row r="376" customFormat="false" ht="15" hidden="false" customHeight="false" outlineLevel="0" collapsed="false">
      <c r="A376" s="0" t="n">
        <v>376</v>
      </c>
      <c r="B376" s="0" t="n">
        <f aca="false">Raw_Data!AJ376</f>
        <v>4</v>
      </c>
      <c r="C376" s="0" t="n">
        <f aca="false">Raw_Data!AK376</f>
        <v>3</v>
      </c>
      <c r="D376" s="0" t="n">
        <f aca="false">Raw_Data!AL376</f>
        <v>4</v>
      </c>
      <c r="E376" s="0" t="n">
        <f aca="false">Raw_Data!AM376</f>
        <v>3</v>
      </c>
      <c r="F376" s="0" t="n">
        <f aca="false">Raw_Data!AN376</f>
        <v>1</v>
      </c>
      <c r="G376" s="0" t="n">
        <f aca="false">Raw_Data!AO376</f>
        <v>3</v>
      </c>
      <c r="H376" s="0" t="n">
        <f aca="false">SUM(B376:G376)</f>
        <v>18</v>
      </c>
      <c r="I376" s="0" t="n">
        <f aca="false">H376-B376</f>
        <v>14</v>
      </c>
      <c r="J376" s="0" t="n">
        <f aca="false">H376-C376</f>
        <v>15</v>
      </c>
      <c r="K376" s="0" t="n">
        <f aca="false">H376-D376</f>
        <v>14</v>
      </c>
      <c r="L376" s="0" t="n">
        <f aca="false">H376-E376</f>
        <v>15</v>
      </c>
      <c r="M376" s="0" t="n">
        <f aca="false">H376-F376</f>
        <v>17</v>
      </c>
      <c r="N376" s="0" t="n">
        <f aca="false">H376-G376</f>
        <v>15</v>
      </c>
      <c r="O376" s="0" t="n">
        <f aca="false">B376+D376+F376</f>
        <v>9</v>
      </c>
      <c r="P376" s="0" t="n">
        <f aca="false">C376+E376+G376</f>
        <v>9</v>
      </c>
    </row>
    <row r="377" customFormat="false" ht="15" hidden="false" customHeight="false" outlineLevel="0" collapsed="false">
      <c r="A377" s="0" t="n">
        <v>377</v>
      </c>
      <c r="B377" s="0" t="n">
        <f aca="false">Raw_Data!AJ377</f>
        <v>4</v>
      </c>
      <c r="C377" s="0" t="n">
        <f aca="false">Raw_Data!AK377</f>
        <v>3</v>
      </c>
      <c r="D377" s="0" t="n">
        <f aca="false">Raw_Data!AL377</f>
        <v>4</v>
      </c>
      <c r="E377" s="0" t="n">
        <f aca="false">Raw_Data!AM377</f>
        <v>3</v>
      </c>
      <c r="F377" s="0" t="n">
        <f aca="false">Raw_Data!AN377</f>
        <v>3</v>
      </c>
      <c r="G377" s="0" t="n">
        <f aca="false">Raw_Data!AO377</f>
        <v>3</v>
      </c>
      <c r="H377" s="0" t="n">
        <f aca="false">SUM(B377:G377)</f>
        <v>20</v>
      </c>
      <c r="I377" s="0" t="n">
        <f aca="false">H377-B377</f>
        <v>16</v>
      </c>
      <c r="J377" s="0" t="n">
        <f aca="false">H377-C377</f>
        <v>17</v>
      </c>
      <c r="K377" s="0" t="n">
        <f aca="false">H377-D377</f>
        <v>16</v>
      </c>
      <c r="L377" s="0" t="n">
        <f aca="false">H377-E377</f>
        <v>17</v>
      </c>
      <c r="M377" s="0" t="n">
        <f aca="false">H377-F377</f>
        <v>17</v>
      </c>
      <c r="N377" s="0" t="n">
        <f aca="false">H377-G377</f>
        <v>17</v>
      </c>
      <c r="O377" s="0" t="n">
        <f aca="false">B377+D377+F377</f>
        <v>11</v>
      </c>
      <c r="P377" s="0" t="n">
        <f aca="false">C377+E377+G377</f>
        <v>9</v>
      </c>
    </row>
    <row r="378" customFormat="false" ht="15" hidden="false" customHeight="false" outlineLevel="0" collapsed="false">
      <c r="A378" s="0" t="n">
        <v>378</v>
      </c>
      <c r="B378" s="0" t="n">
        <f aca="false">Raw_Data!AJ378</f>
        <v>4</v>
      </c>
      <c r="C378" s="0" t="n">
        <f aca="false">Raw_Data!AK378</f>
        <v>3</v>
      </c>
      <c r="D378" s="0" t="n">
        <f aca="false">Raw_Data!AL378</f>
        <v>5</v>
      </c>
      <c r="E378" s="0" t="n">
        <f aca="false">Raw_Data!AM378</f>
        <v>2</v>
      </c>
      <c r="F378" s="0" t="n">
        <f aca="false">Raw_Data!AN378</f>
        <v>2</v>
      </c>
      <c r="G378" s="0" t="n">
        <f aca="false">Raw_Data!AO378</f>
        <v>2</v>
      </c>
      <c r="H378" s="0" t="n">
        <f aca="false">SUM(B378:G378)</f>
        <v>18</v>
      </c>
      <c r="I378" s="0" t="n">
        <f aca="false">H378-B378</f>
        <v>14</v>
      </c>
      <c r="J378" s="0" t="n">
        <f aca="false">H378-C378</f>
        <v>15</v>
      </c>
      <c r="K378" s="0" t="n">
        <f aca="false">H378-D378</f>
        <v>13</v>
      </c>
      <c r="L378" s="0" t="n">
        <f aca="false">H378-E378</f>
        <v>16</v>
      </c>
      <c r="M378" s="0" t="n">
        <f aca="false">H378-F378</f>
        <v>16</v>
      </c>
      <c r="N378" s="0" t="n">
        <f aca="false">H378-G378</f>
        <v>16</v>
      </c>
      <c r="O378" s="0" t="n">
        <f aca="false">B378+D378+F378</f>
        <v>11</v>
      </c>
      <c r="P378" s="0" t="n">
        <f aca="false">C378+E378+G378</f>
        <v>7</v>
      </c>
    </row>
    <row r="379" customFormat="false" ht="15" hidden="false" customHeight="false" outlineLevel="0" collapsed="false">
      <c r="A379" s="0" t="n">
        <v>379</v>
      </c>
      <c r="B379" s="0" t="n">
        <f aca="false">Raw_Data!AJ379</f>
        <v>4</v>
      </c>
      <c r="C379" s="0" t="n">
        <f aca="false">Raw_Data!AK379</f>
        <v>2</v>
      </c>
      <c r="D379" s="0" t="n">
        <f aca="false">Raw_Data!AL379</f>
        <v>5</v>
      </c>
      <c r="E379" s="0" t="n">
        <f aca="false">Raw_Data!AM379</f>
        <v>3</v>
      </c>
      <c r="F379" s="0" t="n">
        <f aca="false">Raw_Data!AN379</f>
        <v>2</v>
      </c>
      <c r="G379" s="0" t="n">
        <f aca="false">Raw_Data!AO379</f>
        <v>4</v>
      </c>
      <c r="H379" s="0" t="n">
        <f aca="false">SUM(B379:G379)</f>
        <v>20</v>
      </c>
      <c r="I379" s="0" t="n">
        <f aca="false">H379-B379</f>
        <v>16</v>
      </c>
      <c r="J379" s="0" t="n">
        <f aca="false">H379-C379</f>
        <v>18</v>
      </c>
      <c r="K379" s="0" t="n">
        <f aca="false">H379-D379</f>
        <v>15</v>
      </c>
      <c r="L379" s="0" t="n">
        <f aca="false">H379-E379</f>
        <v>17</v>
      </c>
      <c r="M379" s="0" t="n">
        <f aca="false">H379-F379</f>
        <v>18</v>
      </c>
      <c r="N379" s="0" t="n">
        <f aca="false">H379-G379</f>
        <v>16</v>
      </c>
      <c r="O379" s="0" t="n">
        <f aca="false">B379+D379+F379</f>
        <v>11</v>
      </c>
      <c r="P379" s="0" t="n">
        <f aca="false">C379+E379+G379</f>
        <v>9</v>
      </c>
    </row>
    <row r="380" customFormat="false" ht="15" hidden="false" customHeight="false" outlineLevel="0" collapsed="false">
      <c r="A380" s="0" t="n">
        <v>380</v>
      </c>
      <c r="B380" s="0" t="n">
        <f aca="false">Raw_Data!AJ380</f>
        <v>4</v>
      </c>
      <c r="C380" s="0" t="n">
        <f aca="false">Raw_Data!AK380</f>
        <v>3</v>
      </c>
      <c r="D380" s="0" t="n">
        <f aca="false">Raw_Data!AL380</f>
        <v>4</v>
      </c>
      <c r="E380" s="0" t="n">
        <f aca="false">Raw_Data!AM380</f>
        <v>4</v>
      </c>
      <c r="F380" s="0" t="n">
        <f aca="false">Raw_Data!AN380</f>
        <v>3</v>
      </c>
      <c r="G380" s="0" t="n">
        <f aca="false">Raw_Data!AO380</f>
        <v>3</v>
      </c>
      <c r="H380" s="0" t="n">
        <f aca="false">SUM(B380:G380)</f>
        <v>21</v>
      </c>
      <c r="I380" s="0" t="n">
        <f aca="false">H380-B380</f>
        <v>17</v>
      </c>
      <c r="J380" s="0" t="n">
        <f aca="false">H380-C380</f>
        <v>18</v>
      </c>
      <c r="K380" s="0" t="n">
        <f aca="false">H380-D380</f>
        <v>17</v>
      </c>
      <c r="L380" s="0" t="n">
        <f aca="false">H380-E380</f>
        <v>17</v>
      </c>
      <c r="M380" s="0" t="n">
        <f aca="false">H380-F380</f>
        <v>18</v>
      </c>
      <c r="N380" s="0" t="n">
        <f aca="false">H380-G380</f>
        <v>18</v>
      </c>
      <c r="O380" s="0" t="n">
        <f aca="false">B380+D380+F380</f>
        <v>11</v>
      </c>
      <c r="P380" s="0" t="n">
        <f aca="false">C380+E380+G380</f>
        <v>10</v>
      </c>
    </row>
    <row r="381" customFormat="false" ht="15" hidden="false" customHeight="false" outlineLevel="0" collapsed="false">
      <c r="A381" s="0" t="n">
        <v>381</v>
      </c>
      <c r="B381" s="0" t="n">
        <f aca="false">Raw_Data!AJ381</f>
        <v>4</v>
      </c>
      <c r="C381" s="0" t="n">
        <f aca="false">Raw_Data!AK381</f>
        <v>3</v>
      </c>
      <c r="D381" s="0" t="n">
        <f aca="false">Raw_Data!AL381</f>
        <v>4</v>
      </c>
      <c r="E381" s="0" t="n">
        <f aca="false">Raw_Data!AM381</f>
        <v>3</v>
      </c>
      <c r="F381" s="0" t="n">
        <f aca="false">Raw_Data!AN381</f>
        <v>4</v>
      </c>
      <c r="G381" s="0" t="n">
        <f aca="false">Raw_Data!AO381</f>
        <v>4</v>
      </c>
      <c r="H381" s="0" t="n">
        <f aca="false">SUM(B381:G381)</f>
        <v>22</v>
      </c>
      <c r="I381" s="0" t="n">
        <f aca="false">H381-B381</f>
        <v>18</v>
      </c>
      <c r="J381" s="0" t="n">
        <f aca="false">H381-C381</f>
        <v>19</v>
      </c>
      <c r="K381" s="0" t="n">
        <f aca="false">H381-D381</f>
        <v>18</v>
      </c>
      <c r="L381" s="0" t="n">
        <f aca="false">H381-E381</f>
        <v>19</v>
      </c>
      <c r="M381" s="0" t="n">
        <f aca="false">H381-F381</f>
        <v>18</v>
      </c>
      <c r="N381" s="0" t="n">
        <f aca="false">H381-G381</f>
        <v>18</v>
      </c>
      <c r="O381" s="0" t="n">
        <f aca="false">B381+D381+F381</f>
        <v>12</v>
      </c>
      <c r="P381" s="0" t="n">
        <f aca="false">C381+E381+G381</f>
        <v>10</v>
      </c>
    </row>
    <row r="382" customFormat="false" ht="15" hidden="false" customHeight="false" outlineLevel="0" collapsed="false">
      <c r="A382" s="0" t="n">
        <v>382</v>
      </c>
      <c r="B382" s="0" t="n">
        <f aca="false">Raw_Data!AJ382</f>
        <v>5</v>
      </c>
      <c r="C382" s="0" t="n">
        <f aca="false">Raw_Data!AK382</f>
        <v>4</v>
      </c>
      <c r="D382" s="0" t="n">
        <f aca="false">Raw_Data!AL382</f>
        <v>5</v>
      </c>
      <c r="E382" s="0" t="n">
        <f aca="false">Raw_Data!AM382</f>
        <v>4</v>
      </c>
      <c r="F382" s="0" t="n">
        <f aca="false">Raw_Data!AN382</f>
        <v>3</v>
      </c>
      <c r="G382" s="0" t="n">
        <f aca="false">Raw_Data!AO382</f>
        <v>4</v>
      </c>
      <c r="H382" s="0" t="n">
        <f aca="false">SUM(B382:G382)</f>
        <v>25</v>
      </c>
      <c r="I382" s="0" t="n">
        <f aca="false">H382-B382</f>
        <v>20</v>
      </c>
      <c r="J382" s="0" t="n">
        <f aca="false">H382-C382</f>
        <v>21</v>
      </c>
      <c r="K382" s="0" t="n">
        <f aca="false">H382-D382</f>
        <v>20</v>
      </c>
      <c r="L382" s="0" t="n">
        <f aca="false">H382-E382</f>
        <v>21</v>
      </c>
      <c r="M382" s="0" t="n">
        <f aca="false">H382-F382</f>
        <v>22</v>
      </c>
      <c r="N382" s="0" t="n">
        <f aca="false">H382-G382</f>
        <v>21</v>
      </c>
      <c r="O382" s="0" t="n">
        <f aca="false">B382+D382+F382</f>
        <v>13</v>
      </c>
      <c r="P382" s="0" t="n">
        <f aca="false">C382+E382+G382</f>
        <v>12</v>
      </c>
    </row>
    <row r="383" customFormat="false" ht="15" hidden="false" customHeight="false" outlineLevel="0" collapsed="false">
      <c r="A383" s="0" t="n">
        <v>383</v>
      </c>
      <c r="B383" s="0" t="n">
        <f aca="false">Raw_Data!AJ383</f>
        <v>4</v>
      </c>
      <c r="C383" s="0" t="n">
        <f aca="false">Raw_Data!AK383</f>
        <v>3</v>
      </c>
      <c r="D383" s="0" t="n">
        <f aca="false">Raw_Data!AL383</f>
        <v>4</v>
      </c>
      <c r="E383" s="0" t="n">
        <f aca="false">Raw_Data!AM383</f>
        <v>4</v>
      </c>
      <c r="F383" s="0" t="n">
        <f aca="false">Raw_Data!AN383</f>
        <v>3</v>
      </c>
      <c r="G383" s="0" t="n">
        <f aca="false">Raw_Data!AO383</f>
        <v>3</v>
      </c>
      <c r="H383" s="0" t="n">
        <f aca="false">SUM(B383:G383)</f>
        <v>21</v>
      </c>
      <c r="I383" s="0" t="n">
        <f aca="false">H383-B383</f>
        <v>17</v>
      </c>
      <c r="J383" s="0" t="n">
        <f aca="false">H383-C383</f>
        <v>18</v>
      </c>
      <c r="K383" s="0" t="n">
        <f aca="false">H383-D383</f>
        <v>17</v>
      </c>
      <c r="L383" s="0" t="n">
        <f aca="false">H383-E383</f>
        <v>17</v>
      </c>
      <c r="M383" s="0" t="n">
        <f aca="false">H383-F383</f>
        <v>18</v>
      </c>
      <c r="N383" s="0" t="n">
        <f aca="false">H383-G383</f>
        <v>18</v>
      </c>
      <c r="O383" s="0" t="n">
        <f aca="false">B383+D383+F383</f>
        <v>11</v>
      </c>
      <c r="P383" s="0" t="n">
        <f aca="false">C383+E383+G383</f>
        <v>10</v>
      </c>
    </row>
    <row r="384" customFormat="false" ht="15" hidden="false" customHeight="false" outlineLevel="0" collapsed="false">
      <c r="A384" s="0" t="n">
        <v>384</v>
      </c>
      <c r="B384" s="0" t="n">
        <f aca="false">Raw_Data!AJ384</f>
        <v>4</v>
      </c>
      <c r="C384" s="0" t="n">
        <f aca="false">Raw_Data!AK384</f>
        <v>2</v>
      </c>
      <c r="D384" s="0" t="n">
        <f aca="false">Raw_Data!AL384</f>
        <v>3</v>
      </c>
      <c r="E384" s="0" t="n">
        <f aca="false">Raw_Data!AM384</f>
        <v>4</v>
      </c>
      <c r="F384" s="0" t="n">
        <f aca="false">Raw_Data!AN384</f>
        <v>4</v>
      </c>
      <c r="G384" s="0" t="n">
        <f aca="false">Raw_Data!AO384</f>
        <v>4</v>
      </c>
      <c r="H384" s="0" t="n">
        <f aca="false">SUM(B384:G384)</f>
        <v>21</v>
      </c>
      <c r="I384" s="0" t="n">
        <f aca="false">H384-B384</f>
        <v>17</v>
      </c>
      <c r="J384" s="0" t="n">
        <f aca="false">H384-C384</f>
        <v>19</v>
      </c>
      <c r="K384" s="0" t="n">
        <f aca="false">H384-D384</f>
        <v>18</v>
      </c>
      <c r="L384" s="0" t="n">
        <f aca="false">H384-E384</f>
        <v>17</v>
      </c>
      <c r="M384" s="0" t="n">
        <f aca="false">H384-F384</f>
        <v>17</v>
      </c>
      <c r="N384" s="0" t="n">
        <f aca="false">H384-G384</f>
        <v>17</v>
      </c>
      <c r="O384" s="0" t="n">
        <f aca="false">B384+D384+F384</f>
        <v>11</v>
      </c>
      <c r="P384" s="0" t="n">
        <f aca="false">C384+E384+G384</f>
        <v>10</v>
      </c>
    </row>
    <row r="385" customFormat="false" ht="15" hidden="false" customHeight="false" outlineLevel="0" collapsed="false">
      <c r="A385" s="0" t="n">
        <v>385</v>
      </c>
      <c r="B385" s="0" t="n">
        <f aca="false">Raw_Data!AJ385</f>
        <v>4</v>
      </c>
      <c r="C385" s="0" t="n">
        <f aca="false">Raw_Data!AK385</f>
        <v>2</v>
      </c>
      <c r="D385" s="0" t="n">
        <f aca="false">Raw_Data!AL385</f>
        <v>4</v>
      </c>
      <c r="E385" s="0" t="n">
        <f aca="false">Raw_Data!AM385</f>
        <v>3</v>
      </c>
      <c r="F385" s="0" t="n">
        <f aca="false">Raw_Data!AN385</f>
        <v>3</v>
      </c>
      <c r="G385" s="0" t="n">
        <f aca="false">Raw_Data!AO385</f>
        <v>3</v>
      </c>
      <c r="H385" s="0" t="n">
        <f aca="false">SUM(B385:G385)</f>
        <v>19</v>
      </c>
      <c r="I385" s="0" t="n">
        <f aca="false">H385-B385</f>
        <v>15</v>
      </c>
      <c r="J385" s="0" t="n">
        <f aca="false">H385-C385</f>
        <v>17</v>
      </c>
      <c r="K385" s="0" t="n">
        <f aca="false">H385-D385</f>
        <v>15</v>
      </c>
      <c r="L385" s="0" t="n">
        <f aca="false">H385-E385</f>
        <v>16</v>
      </c>
      <c r="M385" s="0" t="n">
        <f aca="false">H385-F385</f>
        <v>16</v>
      </c>
      <c r="N385" s="0" t="n">
        <f aca="false">H385-G385</f>
        <v>16</v>
      </c>
      <c r="O385" s="0" t="n">
        <f aca="false">B385+D385+F385</f>
        <v>11</v>
      </c>
      <c r="P385" s="0" t="n">
        <f aca="false">C385+E385+G385</f>
        <v>8</v>
      </c>
    </row>
    <row r="386" customFormat="false" ht="15" hidden="false" customHeight="false" outlineLevel="0" collapsed="false">
      <c r="A386" s="0" t="n">
        <v>386</v>
      </c>
      <c r="B386" s="0" t="n">
        <f aca="false">Raw_Data!AJ386</f>
        <v>4</v>
      </c>
      <c r="C386" s="0" t="n">
        <f aca="false">Raw_Data!AK386</f>
        <v>3</v>
      </c>
      <c r="D386" s="0" t="n">
        <f aca="false">Raw_Data!AL386</f>
        <v>3</v>
      </c>
      <c r="E386" s="0" t="n">
        <f aca="false">Raw_Data!AM386</f>
        <v>3</v>
      </c>
      <c r="F386" s="0" t="n">
        <f aca="false">Raw_Data!AN386</f>
        <v>4</v>
      </c>
      <c r="G386" s="0" t="n">
        <f aca="false">Raw_Data!AO386</f>
        <v>3</v>
      </c>
      <c r="H386" s="0" t="n">
        <f aca="false">SUM(B386:G386)</f>
        <v>20</v>
      </c>
      <c r="I386" s="0" t="n">
        <f aca="false">H386-B386</f>
        <v>16</v>
      </c>
      <c r="J386" s="0" t="n">
        <f aca="false">H386-C386</f>
        <v>17</v>
      </c>
      <c r="K386" s="0" t="n">
        <f aca="false">H386-D386</f>
        <v>17</v>
      </c>
      <c r="L386" s="0" t="n">
        <f aca="false">H386-E386</f>
        <v>17</v>
      </c>
      <c r="M386" s="0" t="n">
        <f aca="false">H386-F386</f>
        <v>16</v>
      </c>
      <c r="N386" s="0" t="n">
        <f aca="false">H386-G386</f>
        <v>17</v>
      </c>
      <c r="O386" s="0" t="n">
        <f aca="false">B386+D386+F386</f>
        <v>11</v>
      </c>
      <c r="P386" s="0" t="n">
        <f aca="false">C386+E386+G386</f>
        <v>9</v>
      </c>
    </row>
    <row r="387" customFormat="false" ht="15" hidden="false" customHeight="false" outlineLevel="0" collapsed="false">
      <c r="A387" s="0" t="n">
        <v>387</v>
      </c>
      <c r="B387" s="0" t="n">
        <f aca="false">Raw_Data!AJ387</f>
        <v>4</v>
      </c>
      <c r="C387" s="0" t="n">
        <f aca="false">Raw_Data!AK387</f>
        <v>3</v>
      </c>
      <c r="D387" s="0" t="n">
        <f aca="false">Raw_Data!AL387</f>
        <v>3</v>
      </c>
      <c r="E387" s="0" t="n">
        <f aca="false">Raw_Data!AM387</f>
        <v>3</v>
      </c>
      <c r="F387" s="0" t="n">
        <f aca="false">Raw_Data!AN387</f>
        <v>2</v>
      </c>
      <c r="G387" s="0" t="n">
        <f aca="false">Raw_Data!AO387</f>
        <v>3</v>
      </c>
      <c r="H387" s="0" t="n">
        <f aca="false">SUM(B387:G387)</f>
        <v>18</v>
      </c>
      <c r="I387" s="0" t="n">
        <f aca="false">H387-B387</f>
        <v>14</v>
      </c>
      <c r="J387" s="0" t="n">
        <f aca="false">H387-C387</f>
        <v>15</v>
      </c>
      <c r="K387" s="0" t="n">
        <f aca="false">H387-D387</f>
        <v>15</v>
      </c>
      <c r="L387" s="0" t="n">
        <f aca="false">H387-E387</f>
        <v>15</v>
      </c>
      <c r="M387" s="0" t="n">
        <f aca="false">H387-F387</f>
        <v>16</v>
      </c>
      <c r="N387" s="0" t="n">
        <f aca="false">H387-G387</f>
        <v>15</v>
      </c>
      <c r="O387" s="0" t="n">
        <f aca="false">B387+D387+F387</f>
        <v>9</v>
      </c>
      <c r="P387" s="0" t="n">
        <f aca="false">C387+E387+G387</f>
        <v>9</v>
      </c>
    </row>
    <row r="388" customFormat="false" ht="15" hidden="false" customHeight="false" outlineLevel="0" collapsed="false">
      <c r="A388" s="0" t="n">
        <v>388</v>
      </c>
      <c r="B388" s="0" t="n">
        <f aca="false">Raw_Data!AJ388</f>
        <v>4</v>
      </c>
      <c r="C388" s="0" t="n">
        <f aca="false">Raw_Data!AK388</f>
        <v>2</v>
      </c>
      <c r="D388" s="0" t="n">
        <f aca="false">Raw_Data!AL388</f>
        <v>4</v>
      </c>
      <c r="E388" s="0" t="n">
        <f aca="false">Raw_Data!AM388</f>
        <v>3</v>
      </c>
      <c r="F388" s="0" t="n">
        <f aca="false">Raw_Data!AN388</f>
        <v>3</v>
      </c>
      <c r="G388" s="0" t="n">
        <f aca="false">Raw_Data!AO388</f>
        <v>3</v>
      </c>
      <c r="H388" s="0" t="n">
        <f aca="false">SUM(B388:G388)</f>
        <v>19</v>
      </c>
      <c r="I388" s="0" t="n">
        <f aca="false">H388-B388</f>
        <v>15</v>
      </c>
      <c r="J388" s="0" t="n">
        <f aca="false">H388-C388</f>
        <v>17</v>
      </c>
      <c r="K388" s="0" t="n">
        <f aca="false">H388-D388</f>
        <v>15</v>
      </c>
      <c r="L388" s="0" t="n">
        <f aca="false">H388-E388</f>
        <v>16</v>
      </c>
      <c r="M388" s="0" t="n">
        <f aca="false">H388-F388</f>
        <v>16</v>
      </c>
      <c r="N388" s="0" t="n">
        <f aca="false">H388-G388</f>
        <v>16</v>
      </c>
      <c r="O388" s="0" t="n">
        <f aca="false">B388+D388+F388</f>
        <v>11</v>
      </c>
      <c r="P388" s="0" t="n">
        <f aca="false">C388+E388+G388</f>
        <v>8</v>
      </c>
    </row>
    <row r="389" customFormat="false" ht="15" hidden="false" customHeight="false" outlineLevel="0" collapsed="false">
      <c r="A389" s="0" t="n">
        <v>389</v>
      </c>
      <c r="B389" s="0" t="n">
        <f aca="false">Raw_Data!AJ389</f>
        <v>3</v>
      </c>
      <c r="C389" s="0" t="n">
        <f aca="false">Raw_Data!AK389</f>
        <v>3</v>
      </c>
      <c r="D389" s="0" t="n">
        <f aca="false">Raw_Data!AL389</f>
        <v>4</v>
      </c>
      <c r="E389" s="0" t="n">
        <f aca="false">Raw_Data!AM389</f>
        <v>3</v>
      </c>
      <c r="F389" s="0" t="n">
        <f aca="false">Raw_Data!AN389</f>
        <v>3</v>
      </c>
      <c r="G389" s="0" t="n">
        <f aca="false">Raw_Data!AO389</f>
        <v>3</v>
      </c>
      <c r="H389" s="0" t="n">
        <f aca="false">SUM(B389:G389)</f>
        <v>19</v>
      </c>
      <c r="I389" s="0" t="n">
        <f aca="false">H389-B389</f>
        <v>16</v>
      </c>
      <c r="J389" s="0" t="n">
        <f aca="false">H389-C389</f>
        <v>16</v>
      </c>
      <c r="K389" s="0" t="n">
        <f aca="false">H389-D389</f>
        <v>15</v>
      </c>
      <c r="L389" s="0" t="n">
        <f aca="false">H389-E389</f>
        <v>16</v>
      </c>
      <c r="M389" s="0" t="n">
        <f aca="false">H389-F389</f>
        <v>16</v>
      </c>
      <c r="N389" s="0" t="n">
        <f aca="false">H389-G389</f>
        <v>16</v>
      </c>
      <c r="O389" s="0" t="n">
        <f aca="false">B389+D389+F389</f>
        <v>10</v>
      </c>
      <c r="P389" s="0" t="n">
        <f aca="false">C389+E389+G389</f>
        <v>9</v>
      </c>
    </row>
    <row r="390" customFormat="false" ht="15" hidden="false" customHeight="false" outlineLevel="0" collapsed="false">
      <c r="A390" s="0" t="n">
        <v>390</v>
      </c>
      <c r="B390" s="0" t="n">
        <f aca="false">Raw_Data!AJ390</f>
        <v>4</v>
      </c>
      <c r="C390" s="0" t="n">
        <f aca="false">Raw_Data!AK390</f>
        <v>3</v>
      </c>
      <c r="D390" s="0" t="n">
        <f aca="false">Raw_Data!AL390</f>
        <v>4</v>
      </c>
      <c r="E390" s="0" t="n">
        <f aca="false">Raw_Data!AM390</f>
        <v>4</v>
      </c>
      <c r="F390" s="0" t="n">
        <f aca="false">Raw_Data!AN390</f>
        <v>3</v>
      </c>
      <c r="G390" s="0" t="n">
        <f aca="false">Raw_Data!AO390</f>
        <v>4</v>
      </c>
      <c r="H390" s="0" t="n">
        <f aca="false">SUM(B390:G390)</f>
        <v>22</v>
      </c>
      <c r="I390" s="0" t="n">
        <f aca="false">H390-B390</f>
        <v>18</v>
      </c>
      <c r="J390" s="0" t="n">
        <f aca="false">H390-C390</f>
        <v>19</v>
      </c>
      <c r="K390" s="0" t="n">
        <f aca="false">H390-D390</f>
        <v>18</v>
      </c>
      <c r="L390" s="0" t="n">
        <f aca="false">H390-E390</f>
        <v>18</v>
      </c>
      <c r="M390" s="0" t="n">
        <f aca="false">H390-F390</f>
        <v>19</v>
      </c>
      <c r="N390" s="0" t="n">
        <f aca="false">H390-G390</f>
        <v>18</v>
      </c>
      <c r="O390" s="0" t="n">
        <f aca="false">B390+D390+F390</f>
        <v>11</v>
      </c>
      <c r="P390" s="0" t="n">
        <f aca="false">C390+E390+G390</f>
        <v>11</v>
      </c>
    </row>
    <row r="391" customFormat="false" ht="15" hidden="false" customHeight="false" outlineLevel="0" collapsed="false">
      <c r="A391" s="0" t="n">
        <v>391</v>
      </c>
      <c r="B391" s="0" t="n">
        <f aca="false">Raw_Data!AJ391</f>
        <v>5</v>
      </c>
      <c r="C391" s="0" t="n">
        <f aca="false">Raw_Data!AK391</f>
        <v>2</v>
      </c>
      <c r="D391" s="0" t="n">
        <f aca="false">Raw_Data!AL391</f>
        <v>4</v>
      </c>
      <c r="E391" s="0" t="n">
        <f aca="false">Raw_Data!AM391</f>
        <v>3</v>
      </c>
      <c r="F391" s="0" t="n">
        <f aca="false">Raw_Data!AN391</f>
        <v>4</v>
      </c>
      <c r="G391" s="0" t="n">
        <f aca="false">Raw_Data!AO391</f>
        <v>3</v>
      </c>
      <c r="H391" s="0" t="n">
        <f aca="false">SUM(B391:G391)</f>
        <v>21</v>
      </c>
      <c r="I391" s="0" t="n">
        <f aca="false">H391-B391</f>
        <v>16</v>
      </c>
      <c r="J391" s="0" t="n">
        <f aca="false">H391-C391</f>
        <v>19</v>
      </c>
      <c r="K391" s="0" t="n">
        <f aca="false">H391-D391</f>
        <v>17</v>
      </c>
      <c r="L391" s="0" t="n">
        <f aca="false">H391-E391</f>
        <v>18</v>
      </c>
      <c r="M391" s="0" t="n">
        <f aca="false">H391-F391</f>
        <v>17</v>
      </c>
      <c r="N391" s="0" t="n">
        <f aca="false">H391-G391</f>
        <v>18</v>
      </c>
      <c r="O391" s="0" t="n">
        <f aca="false">B391+D391+F391</f>
        <v>13</v>
      </c>
      <c r="P391" s="0" t="n">
        <f aca="false">C391+E391+G391</f>
        <v>8</v>
      </c>
    </row>
    <row r="392" customFormat="false" ht="15" hidden="false" customHeight="false" outlineLevel="0" collapsed="false">
      <c r="A392" s="0" t="n">
        <v>392</v>
      </c>
      <c r="B392" s="0" t="n">
        <f aca="false">Raw_Data!AJ392</f>
        <v>4</v>
      </c>
      <c r="C392" s="0" t="n">
        <f aca="false">Raw_Data!AK392</f>
        <v>2</v>
      </c>
      <c r="D392" s="0" t="n">
        <f aca="false">Raw_Data!AL392</f>
        <v>5</v>
      </c>
      <c r="E392" s="0" t="n">
        <f aca="false">Raw_Data!AM392</f>
        <v>5</v>
      </c>
      <c r="F392" s="0" t="n">
        <f aca="false">Raw_Data!AN392</f>
        <v>3</v>
      </c>
      <c r="G392" s="0" t="n">
        <f aca="false">Raw_Data!AO392</f>
        <v>2</v>
      </c>
      <c r="H392" s="0" t="n">
        <f aca="false">SUM(B392:G392)</f>
        <v>21</v>
      </c>
      <c r="I392" s="0" t="n">
        <f aca="false">H392-B392</f>
        <v>17</v>
      </c>
      <c r="J392" s="0" t="n">
        <f aca="false">H392-C392</f>
        <v>19</v>
      </c>
      <c r="K392" s="0" t="n">
        <f aca="false">H392-D392</f>
        <v>16</v>
      </c>
      <c r="L392" s="0" t="n">
        <f aca="false">H392-E392</f>
        <v>16</v>
      </c>
      <c r="M392" s="0" t="n">
        <f aca="false">H392-F392</f>
        <v>18</v>
      </c>
      <c r="N392" s="0" t="n">
        <f aca="false">H392-G392</f>
        <v>19</v>
      </c>
      <c r="O392" s="0" t="n">
        <f aca="false">B392+D392+F392</f>
        <v>12</v>
      </c>
      <c r="P392" s="0" t="n">
        <f aca="false">C392+E392+G392</f>
        <v>9</v>
      </c>
    </row>
    <row r="393" customFormat="false" ht="15" hidden="false" customHeight="false" outlineLevel="0" collapsed="false">
      <c r="A393" s="0" t="n">
        <v>393</v>
      </c>
      <c r="B393" s="0" t="n">
        <f aca="false">Raw_Data!AJ393</f>
        <v>4</v>
      </c>
      <c r="C393" s="0" t="n">
        <f aca="false">Raw_Data!AK393</f>
        <v>4</v>
      </c>
      <c r="D393" s="0" t="n">
        <f aca="false">Raw_Data!AL393</f>
        <v>5</v>
      </c>
      <c r="E393" s="0" t="n">
        <f aca="false">Raw_Data!AM393</f>
        <v>5</v>
      </c>
      <c r="F393" s="0" t="n">
        <f aca="false">Raw_Data!AN393</f>
        <v>4</v>
      </c>
      <c r="G393" s="0" t="n">
        <f aca="false">Raw_Data!AO393</f>
        <v>2</v>
      </c>
      <c r="H393" s="0" t="n">
        <f aca="false">SUM(B393:G393)</f>
        <v>24</v>
      </c>
      <c r="I393" s="0" t="n">
        <f aca="false">H393-B393</f>
        <v>20</v>
      </c>
      <c r="J393" s="0" t="n">
        <f aca="false">H393-C393</f>
        <v>20</v>
      </c>
      <c r="K393" s="0" t="n">
        <f aca="false">H393-D393</f>
        <v>19</v>
      </c>
      <c r="L393" s="0" t="n">
        <f aca="false">H393-E393</f>
        <v>19</v>
      </c>
      <c r="M393" s="0" t="n">
        <f aca="false">H393-F393</f>
        <v>20</v>
      </c>
      <c r="N393" s="0" t="n">
        <f aca="false">H393-G393</f>
        <v>22</v>
      </c>
      <c r="O393" s="0" t="n">
        <f aca="false">B393+D393+F393</f>
        <v>13</v>
      </c>
      <c r="P393" s="0" t="n">
        <f aca="false">C393+E393+G393</f>
        <v>11</v>
      </c>
    </row>
    <row r="394" customFormat="false" ht="15" hidden="false" customHeight="false" outlineLevel="0" collapsed="false">
      <c r="A394" s="0" t="n">
        <v>394</v>
      </c>
      <c r="B394" s="0" t="n">
        <f aca="false">Raw_Data!AJ394</f>
        <v>3</v>
      </c>
      <c r="C394" s="0" t="n">
        <f aca="false">Raw_Data!AK394</f>
        <v>3</v>
      </c>
      <c r="D394" s="0" t="n">
        <f aca="false">Raw_Data!AL394</f>
        <v>5</v>
      </c>
      <c r="E394" s="0" t="n">
        <f aca="false">Raw_Data!AM394</f>
        <v>4</v>
      </c>
      <c r="F394" s="0" t="n">
        <f aca="false">Raw_Data!AN394</f>
        <v>3</v>
      </c>
      <c r="G394" s="0" t="n">
        <f aca="false">Raw_Data!AO394</f>
        <v>2</v>
      </c>
      <c r="H394" s="0" t="n">
        <f aca="false">SUM(B394:G394)</f>
        <v>20</v>
      </c>
      <c r="I394" s="0" t="n">
        <f aca="false">H394-B394</f>
        <v>17</v>
      </c>
      <c r="J394" s="0" t="n">
        <f aca="false">H394-C394</f>
        <v>17</v>
      </c>
      <c r="K394" s="0" t="n">
        <f aca="false">H394-D394</f>
        <v>15</v>
      </c>
      <c r="L394" s="0" t="n">
        <f aca="false">H394-E394</f>
        <v>16</v>
      </c>
      <c r="M394" s="0" t="n">
        <f aca="false">H394-F394</f>
        <v>17</v>
      </c>
      <c r="N394" s="0" t="n">
        <f aca="false">H394-G394</f>
        <v>18</v>
      </c>
      <c r="O394" s="0" t="n">
        <f aca="false">B394+D394+F394</f>
        <v>11</v>
      </c>
      <c r="P394" s="0" t="n">
        <f aca="false">C394+E394+G394</f>
        <v>9</v>
      </c>
    </row>
    <row r="395" customFormat="false" ht="15" hidden="false" customHeight="false" outlineLevel="0" collapsed="false">
      <c r="A395" s="0" t="n">
        <v>395</v>
      </c>
      <c r="B395" s="0" t="n">
        <f aca="false">Raw_Data!AJ395</f>
        <v>4</v>
      </c>
      <c r="C395" s="0" t="n">
        <f aca="false">Raw_Data!AK395</f>
        <v>4</v>
      </c>
      <c r="D395" s="0" t="n">
        <f aca="false">Raw_Data!AL395</f>
        <v>4</v>
      </c>
      <c r="E395" s="0" t="n">
        <f aca="false">Raw_Data!AM395</f>
        <v>4</v>
      </c>
      <c r="F395" s="0" t="n">
        <f aca="false">Raw_Data!AN395</f>
        <v>3</v>
      </c>
      <c r="G395" s="0" t="n">
        <f aca="false">Raw_Data!AO395</f>
        <v>2</v>
      </c>
      <c r="H395" s="0" t="n">
        <f aca="false">SUM(B395:G395)</f>
        <v>21</v>
      </c>
      <c r="I395" s="0" t="n">
        <f aca="false">H395-B395</f>
        <v>17</v>
      </c>
      <c r="J395" s="0" t="n">
        <f aca="false">H395-C395</f>
        <v>17</v>
      </c>
      <c r="K395" s="0" t="n">
        <f aca="false">H395-D395</f>
        <v>17</v>
      </c>
      <c r="L395" s="0" t="n">
        <f aca="false">H395-E395</f>
        <v>17</v>
      </c>
      <c r="M395" s="0" t="n">
        <f aca="false">H395-F395</f>
        <v>18</v>
      </c>
      <c r="N395" s="0" t="n">
        <f aca="false">H395-G395</f>
        <v>19</v>
      </c>
      <c r="O395" s="0" t="n">
        <f aca="false">B395+D395+F395</f>
        <v>11</v>
      </c>
      <c r="P395" s="0" t="n">
        <f aca="false">C395+E395+G395</f>
        <v>10</v>
      </c>
    </row>
    <row r="396" customFormat="false" ht="15" hidden="false" customHeight="false" outlineLevel="0" collapsed="false">
      <c r="A396" s="0" t="n">
        <v>396</v>
      </c>
      <c r="B396" s="0" t="n">
        <f aca="false">Raw_Data!AJ396</f>
        <v>4</v>
      </c>
      <c r="C396" s="0" t="n">
        <f aca="false">Raw_Data!AK396</f>
        <v>3</v>
      </c>
      <c r="D396" s="0" t="n">
        <f aca="false">Raw_Data!AL396</f>
        <v>4</v>
      </c>
      <c r="E396" s="0" t="n">
        <f aca="false">Raw_Data!AM396</f>
        <v>4</v>
      </c>
      <c r="F396" s="0" t="n">
        <f aca="false">Raw_Data!AN396</f>
        <v>3</v>
      </c>
      <c r="G396" s="0" t="n">
        <f aca="false">Raw_Data!AO396</f>
        <v>4</v>
      </c>
      <c r="H396" s="0" t="n">
        <f aca="false">SUM(B396:G396)</f>
        <v>22</v>
      </c>
      <c r="I396" s="0" t="n">
        <f aca="false">H396-B396</f>
        <v>18</v>
      </c>
      <c r="J396" s="0" t="n">
        <f aca="false">H396-C396</f>
        <v>19</v>
      </c>
      <c r="K396" s="0" t="n">
        <f aca="false">H396-D396</f>
        <v>18</v>
      </c>
      <c r="L396" s="0" t="n">
        <f aca="false">H396-E396</f>
        <v>18</v>
      </c>
      <c r="M396" s="0" t="n">
        <f aca="false">H396-F396</f>
        <v>19</v>
      </c>
      <c r="N396" s="0" t="n">
        <f aca="false">H396-G396</f>
        <v>18</v>
      </c>
      <c r="O396" s="0" t="n">
        <f aca="false">B396+D396+F396</f>
        <v>11</v>
      </c>
      <c r="P396" s="0" t="n">
        <f aca="false">C396+E396+G396</f>
        <v>11</v>
      </c>
    </row>
    <row r="397" customFormat="false" ht="15" hidden="false" customHeight="false" outlineLevel="0" collapsed="false">
      <c r="A397" s="0" t="n">
        <v>397</v>
      </c>
      <c r="B397" s="0" t="n">
        <f aca="false">Raw_Data!AJ397</f>
        <v>5</v>
      </c>
      <c r="C397" s="0" t="n">
        <f aca="false">Raw_Data!AK397</f>
        <v>2</v>
      </c>
      <c r="D397" s="0" t="n">
        <f aca="false">Raw_Data!AL397</f>
        <v>5</v>
      </c>
      <c r="E397" s="0" t="n">
        <f aca="false">Raw_Data!AM397</f>
        <v>5</v>
      </c>
      <c r="F397" s="0" t="n">
        <f aca="false">Raw_Data!AN397</f>
        <v>3</v>
      </c>
      <c r="G397" s="0" t="n">
        <f aca="false">Raw_Data!AO397</f>
        <v>3</v>
      </c>
      <c r="H397" s="0" t="n">
        <f aca="false">SUM(B397:G397)</f>
        <v>23</v>
      </c>
      <c r="I397" s="0" t="n">
        <f aca="false">H397-B397</f>
        <v>18</v>
      </c>
      <c r="J397" s="0" t="n">
        <f aca="false">H397-C397</f>
        <v>21</v>
      </c>
      <c r="K397" s="0" t="n">
        <f aca="false">H397-D397</f>
        <v>18</v>
      </c>
      <c r="L397" s="0" t="n">
        <f aca="false">H397-E397</f>
        <v>18</v>
      </c>
      <c r="M397" s="0" t="n">
        <f aca="false">H397-F397</f>
        <v>20</v>
      </c>
      <c r="N397" s="0" t="n">
        <f aca="false">H397-G397</f>
        <v>20</v>
      </c>
      <c r="O397" s="0" t="n">
        <f aca="false">B397+D397+F397</f>
        <v>13</v>
      </c>
      <c r="P397" s="0" t="n">
        <f aca="false">C397+E397+G397</f>
        <v>10</v>
      </c>
    </row>
    <row r="398" customFormat="false" ht="15" hidden="false" customHeight="false" outlineLevel="0" collapsed="false">
      <c r="A398" s="0" t="n">
        <v>398</v>
      </c>
      <c r="B398" s="0" t="n">
        <f aca="false">Raw_Data!AJ398</f>
        <v>4</v>
      </c>
      <c r="C398" s="0" t="n">
        <f aca="false">Raw_Data!AK398</f>
        <v>3</v>
      </c>
      <c r="D398" s="0" t="n">
        <f aca="false">Raw_Data!AL398</f>
        <v>4</v>
      </c>
      <c r="E398" s="0" t="n">
        <f aca="false">Raw_Data!AM398</f>
        <v>3</v>
      </c>
      <c r="F398" s="0" t="n">
        <f aca="false">Raw_Data!AN398</f>
        <v>4</v>
      </c>
      <c r="G398" s="0" t="n">
        <f aca="false">Raw_Data!AO398</f>
        <v>3</v>
      </c>
      <c r="H398" s="0" t="n">
        <f aca="false">SUM(B398:G398)</f>
        <v>21</v>
      </c>
      <c r="I398" s="0" t="n">
        <f aca="false">H398-B398</f>
        <v>17</v>
      </c>
      <c r="J398" s="0" t="n">
        <f aca="false">H398-C398</f>
        <v>18</v>
      </c>
      <c r="K398" s="0" t="n">
        <f aca="false">H398-D398</f>
        <v>17</v>
      </c>
      <c r="L398" s="0" t="n">
        <f aca="false">H398-E398</f>
        <v>18</v>
      </c>
      <c r="M398" s="0" t="n">
        <f aca="false">H398-F398</f>
        <v>17</v>
      </c>
      <c r="N398" s="0" t="n">
        <f aca="false">H398-G398</f>
        <v>18</v>
      </c>
      <c r="O398" s="0" t="n">
        <f aca="false">B398+D398+F398</f>
        <v>12</v>
      </c>
      <c r="P398" s="0" t="n">
        <f aca="false">C398+E398+G398</f>
        <v>9</v>
      </c>
    </row>
    <row r="399" customFormat="false" ht="15" hidden="false" customHeight="false" outlineLevel="0" collapsed="false">
      <c r="A399" s="0" t="n">
        <v>399</v>
      </c>
      <c r="B399" s="0" t="n">
        <f aca="false">Raw_Data!AJ399</f>
        <v>4</v>
      </c>
      <c r="C399" s="0" t="n">
        <f aca="false">Raw_Data!AK399</f>
        <v>3</v>
      </c>
      <c r="D399" s="0" t="n">
        <f aca="false">Raw_Data!AL399</f>
        <v>5</v>
      </c>
      <c r="E399" s="0" t="n">
        <f aca="false">Raw_Data!AM399</f>
        <v>5</v>
      </c>
      <c r="F399" s="0" t="n">
        <f aca="false">Raw_Data!AN399</f>
        <v>4</v>
      </c>
      <c r="G399" s="0" t="n">
        <f aca="false">Raw_Data!AO399</f>
        <v>3</v>
      </c>
      <c r="H399" s="0" t="n">
        <f aca="false">SUM(B399:G399)</f>
        <v>24</v>
      </c>
      <c r="I399" s="0" t="n">
        <f aca="false">H399-B399</f>
        <v>20</v>
      </c>
      <c r="J399" s="0" t="n">
        <f aca="false">H399-C399</f>
        <v>21</v>
      </c>
      <c r="K399" s="0" t="n">
        <f aca="false">H399-D399</f>
        <v>19</v>
      </c>
      <c r="L399" s="0" t="n">
        <f aca="false">H399-E399</f>
        <v>19</v>
      </c>
      <c r="M399" s="0" t="n">
        <f aca="false">H399-F399</f>
        <v>20</v>
      </c>
      <c r="N399" s="0" t="n">
        <f aca="false">H399-G399</f>
        <v>21</v>
      </c>
      <c r="O399" s="0" t="n">
        <f aca="false">B399+D399+F399</f>
        <v>13</v>
      </c>
      <c r="P399" s="0" t="n">
        <f aca="false">C399+E399+G399</f>
        <v>11</v>
      </c>
    </row>
    <row r="400" customFormat="false" ht="15" hidden="false" customHeight="false" outlineLevel="0" collapsed="false">
      <c r="A400" s="0" t="n">
        <v>400</v>
      </c>
      <c r="B400" s="0" t="n">
        <f aca="false">Raw_Data!AJ400</f>
        <v>2</v>
      </c>
      <c r="C400" s="0" t="n">
        <f aca="false">Raw_Data!AK400</f>
        <v>4</v>
      </c>
      <c r="D400" s="0" t="n">
        <f aca="false">Raw_Data!AL400</f>
        <v>4</v>
      </c>
      <c r="E400" s="0" t="n">
        <f aca="false">Raw_Data!AM400</f>
        <v>3</v>
      </c>
      <c r="F400" s="0" t="n">
        <f aca="false">Raw_Data!AN400</f>
        <v>2</v>
      </c>
      <c r="G400" s="0" t="n">
        <f aca="false">Raw_Data!AO400</f>
        <v>3</v>
      </c>
      <c r="H400" s="0" t="n">
        <f aca="false">SUM(B400:G400)</f>
        <v>18</v>
      </c>
      <c r="I400" s="0" t="n">
        <f aca="false">H400-B400</f>
        <v>16</v>
      </c>
      <c r="J400" s="0" t="n">
        <f aca="false">H400-C400</f>
        <v>14</v>
      </c>
      <c r="K400" s="0" t="n">
        <f aca="false">H400-D400</f>
        <v>14</v>
      </c>
      <c r="L400" s="0" t="n">
        <f aca="false">H400-E400</f>
        <v>15</v>
      </c>
      <c r="M400" s="0" t="n">
        <f aca="false">H400-F400</f>
        <v>16</v>
      </c>
      <c r="N400" s="0" t="n">
        <f aca="false">H400-G400</f>
        <v>15</v>
      </c>
      <c r="O400" s="0" t="n">
        <f aca="false">B400+D400+F400</f>
        <v>8</v>
      </c>
      <c r="P400" s="0" t="n">
        <f aca="false">C400+E400+G400</f>
        <v>10</v>
      </c>
    </row>
    <row r="401" customFormat="false" ht="15" hidden="false" customHeight="false" outlineLevel="0" collapsed="false">
      <c r="A401" s="0" t="n">
        <v>401</v>
      </c>
      <c r="B401" s="0" t="n">
        <f aca="false">Raw_Data!AJ401</f>
        <v>2</v>
      </c>
      <c r="C401" s="0" t="n">
        <f aca="false">Raw_Data!AK401</f>
        <v>3</v>
      </c>
      <c r="D401" s="0" t="n">
        <f aca="false">Raw_Data!AL401</f>
        <v>5</v>
      </c>
      <c r="E401" s="0" t="n">
        <f aca="false">Raw_Data!AM401</f>
        <v>3</v>
      </c>
      <c r="F401" s="0" t="n">
        <f aca="false">Raw_Data!AN401</f>
        <v>3</v>
      </c>
      <c r="G401" s="0" t="n">
        <f aca="false">Raw_Data!AO401</f>
        <v>3</v>
      </c>
      <c r="H401" s="0" t="n">
        <f aca="false">SUM(B401:G401)</f>
        <v>19</v>
      </c>
      <c r="I401" s="0" t="n">
        <f aca="false">H401-B401</f>
        <v>17</v>
      </c>
      <c r="J401" s="0" t="n">
        <f aca="false">H401-C401</f>
        <v>16</v>
      </c>
      <c r="K401" s="0" t="n">
        <f aca="false">H401-D401</f>
        <v>14</v>
      </c>
      <c r="L401" s="0" t="n">
        <f aca="false">H401-E401</f>
        <v>16</v>
      </c>
      <c r="M401" s="0" t="n">
        <f aca="false">H401-F401</f>
        <v>16</v>
      </c>
      <c r="N401" s="0" t="n">
        <f aca="false">H401-G401</f>
        <v>16</v>
      </c>
      <c r="O401" s="0" t="n">
        <f aca="false">B401+D401+F401</f>
        <v>10</v>
      </c>
      <c r="P401" s="0" t="n">
        <f aca="false">C401+E401+G401</f>
        <v>9</v>
      </c>
    </row>
    <row r="402" customFormat="false" ht="15" hidden="false" customHeight="false" outlineLevel="0" collapsed="false">
      <c r="A402" s="0" t="n">
        <v>402</v>
      </c>
      <c r="B402" s="0" t="n">
        <f aca="false">Raw_Data!AJ402</f>
        <v>4</v>
      </c>
      <c r="C402" s="0" t="n">
        <f aca="false">Raw_Data!AK402</f>
        <v>3</v>
      </c>
      <c r="D402" s="0" t="n">
        <f aca="false">Raw_Data!AL402</f>
        <v>4</v>
      </c>
      <c r="E402" s="0" t="n">
        <f aca="false">Raw_Data!AM402</f>
        <v>2</v>
      </c>
      <c r="F402" s="0" t="n">
        <f aca="false">Raw_Data!AN402</f>
        <v>3</v>
      </c>
      <c r="G402" s="0" t="n">
        <f aca="false">Raw_Data!AO402</f>
        <v>2</v>
      </c>
      <c r="H402" s="0" t="n">
        <f aca="false">SUM(B402:G402)</f>
        <v>18</v>
      </c>
      <c r="I402" s="0" t="n">
        <f aca="false">H402-B402</f>
        <v>14</v>
      </c>
      <c r="J402" s="0" t="n">
        <f aca="false">H402-C402</f>
        <v>15</v>
      </c>
      <c r="K402" s="0" t="n">
        <f aca="false">H402-D402</f>
        <v>14</v>
      </c>
      <c r="L402" s="0" t="n">
        <f aca="false">H402-E402</f>
        <v>16</v>
      </c>
      <c r="M402" s="0" t="n">
        <f aca="false">H402-F402</f>
        <v>15</v>
      </c>
      <c r="N402" s="0" t="n">
        <f aca="false">H402-G402</f>
        <v>16</v>
      </c>
      <c r="O402" s="0" t="n">
        <f aca="false">B402+D402+F402</f>
        <v>11</v>
      </c>
      <c r="P402" s="0" t="n">
        <f aca="false">C402+E402+G402</f>
        <v>7</v>
      </c>
    </row>
    <row r="403" customFormat="false" ht="15" hidden="false" customHeight="false" outlineLevel="0" collapsed="false">
      <c r="A403" s="0" t="n">
        <v>403</v>
      </c>
      <c r="B403" s="0" t="n">
        <f aca="false">Raw_Data!AJ403</f>
        <v>2</v>
      </c>
      <c r="C403" s="0" t="n">
        <f aca="false">Raw_Data!AK403</f>
        <v>3</v>
      </c>
      <c r="D403" s="0" t="n">
        <f aca="false">Raw_Data!AL403</f>
        <v>4</v>
      </c>
      <c r="E403" s="0" t="n">
        <f aca="false">Raw_Data!AM403</f>
        <v>4</v>
      </c>
      <c r="F403" s="0" t="n">
        <f aca="false">Raw_Data!AN403</f>
        <v>3</v>
      </c>
      <c r="G403" s="0" t="n">
        <f aca="false">Raw_Data!AO403</f>
        <v>3</v>
      </c>
      <c r="H403" s="0" t="n">
        <f aca="false">SUM(B403:G403)</f>
        <v>19</v>
      </c>
      <c r="I403" s="0" t="n">
        <f aca="false">H403-B403</f>
        <v>17</v>
      </c>
      <c r="J403" s="0" t="n">
        <f aca="false">H403-C403</f>
        <v>16</v>
      </c>
      <c r="K403" s="0" t="n">
        <f aca="false">H403-D403</f>
        <v>15</v>
      </c>
      <c r="L403" s="0" t="n">
        <f aca="false">H403-E403</f>
        <v>15</v>
      </c>
      <c r="M403" s="0" t="n">
        <f aca="false">H403-F403</f>
        <v>16</v>
      </c>
      <c r="N403" s="0" t="n">
        <f aca="false">H403-G403</f>
        <v>16</v>
      </c>
      <c r="O403" s="0" t="n">
        <f aca="false">B403+D403+F403</f>
        <v>9</v>
      </c>
      <c r="P403" s="0" t="n">
        <f aca="false">C403+E403+G403</f>
        <v>10</v>
      </c>
    </row>
    <row r="404" customFormat="false" ht="15" hidden="false" customHeight="false" outlineLevel="0" collapsed="false">
      <c r="A404" s="0" t="n">
        <v>404</v>
      </c>
      <c r="B404" s="0" t="n">
        <f aca="false">Raw_Data!AJ404</f>
        <v>3</v>
      </c>
      <c r="C404" s="0" t="n">
        <f aca="false">Raw_Data!AK404</f>
        <v>2</v>
      </c>
      <c r="D404" s="0" t="n">
        <f aca="false">Raw_Data!AL404</f>
        <v>4</v>
      </c>
      <c r="E404" s="0" t="n">
        <f aca="false">Raw_Data!AM404</f>
        <v>2</v>
      </c>
      <c r="F404" s="0" t="n">
        <f aca="false">Raw_Data!AN404</f>
        <v>2</v>
      </c>
      <c r="G404" s="0" t="n">
        <f aca="false">Raw_Data!AO404</f>
        <v>3</v>
      </c>
      <c r="H404" s="0" t="n">
        <f aca="false">SUM(B404:G404)</f>
        <v>16</v>
      </c>
      <c r="I404" s="0" t="n">
        <f aca="false">H404-B404</f>
        <v>13</v>
      </c>
      <c r="J404" s="0" t="n">
        <f aca="false">H404-C404</f>
        <v>14</v>
      </c>
      <c r="K404" s="0" t="n">
        <f aca="false">H404-D404</f>
        <v>12</v>
      </c>
      <c r="L404" s="0" t="n">
        <f aca="false">H404-E404</f>
        <v>14</v>
      </c>
      <c r="M404" s="0" t="n">
        <f aca="false">H404-F404</f>
        <v>14</v>
      </c>
      <c r="N404" s="0" t="n">
        <f aca="false">H404-G404</f>
        <v>13</v>
      </c>
      <c r="O404" s="0" t="n">
        <f aca="false">B404+D404+F404</f>
        <v>9</v>
      </c>
      <c r="P404" s="0" t="n">
        <f aca="false">C404+E404+G404</f>
        <v>7</v>
      </c>
    </row>
    <row r="405" customFormat="false" ht="15" hidden="false" customHeight="false" outlineLevel="0" collapsed="false">
      <c r="A405" s="0" t="n">
        <v>405</v>
      </c>
      <c r="B405" s="0" t="n">
        <f aca="false">Raw_Data!AJ405</f>
        <v>3</v>
      </c>
      <c r="C405" s="0" t="n">
        <f aca="false">Raw_Data!AK405</f>
        <v>2</v>
      </c>
      <c r="D405" s="0" t="n">
        <f aca="false">Raw_Data!AL405</f>
        <v>4</v>
      </c>
      <c r="E405" s="0" t="n">
        <f aca="false">Raw_Data!AM405</f>
        <v>4</v>
      </c>
      <c r="F405" s="0" t="n">
        <f aca="false">Raw_Data!AN405</f>
        <v>3</v>
      </c>
      <c r="G405" s="0" t="n">
        <f aca="false">Raw_Data!AO405</f>
        <v>3</v>
      </c>
      <c r="H405" s="0" t="n">
        <f aca="false">SUM(B405:G405)</f>
        <v>19</v>
      </c>
      <c r="I405" s="0" t="n">
        <f aca="false">H405-B405</f>
        <v>16</v>
      </c>
      <c r="J405" s="0" t="n">
        <f aca="false">H405-C405</f>
        <v>17</v>
      </c>
      <c r="K405" s="0" t="n">
        <f aca="false">H405-D405</f>
        <v>15</v>
      </c>
      <c r="L405" s="0" t="n">
        <f aca="false">H405-E405</f>
        <v>15</v>
      </c>
      <c r="M405" s="0" t="n">
        <f aca="false">H405-F405</f>
        <v>16</v>
      </c>
      <c r="N405" s="0" t="n">
        <f aca="false">H405-G405</f>
        <v>16</v>
      </c>
      <c r="O405" s="0" t="n">
        <f aca="false">B405+D405+F405</f>
        <v>10</v>
      </c>
      <c r="P405" s="0" t="n">
        <f aca="false">C405+E405+G405</f>
        <v>9</v>
      </c>
    </row>
    <row r="406" customFormat="false" ht="15" hidden="false" customHeight="false" outlineLevel="0" collapsed="false">
      <c r="A406" s="0" t="n">
        <v>406</v>
      </c>
      <c r="B406" s="0" t="n">
        <f aca="false">Raw_Data!AJ406</f>
        <v>2</v>
      </c>
      <c r="C406" s="0" t="n">
        <f aca="false">Raw_Data!AK406</f>
        <v>5</v>
      </c>
      <c r="D406" s="0" t="n">
        <f aca="false">Raw_Data!AL406</f>
        <v>5</v>
      </c>
      <c r="E406" s="0" t="n">
        <f aca="false">Raw_Data!AM406</f>
        <v>4</v>
      </c>
      <c r="F406" s="0" t="n">
        <f aca="false">Raw_Data!AN406</f>
        <v>2</v>
      </c>
      <c r="G406" s="0" t="n">
        <f aca="false">Raw_Data!AO406</f>
        <v>3</v>
      </c>
      <c r="H406" s="0" t="n">
        <f aca="false">SUM(B406:G406)</f>
        <v>21</v>
      </c>
      <c r="I406" s="0" t="n">
        <f aca="false">H406-B406</f>
        <v>19</v>
      </c>
      <c r="J406" s="0" t="n">
        <f aca="false">H406-C406</f>
        <v>16</v>
      </c>
      <c r="K406" s="0" t="n">
        <f aca="false">H406-D406</f>
        <v>16</v>
      </c>
      <c r="L406" s="0" t="n">
        <f aca="false">H406-E406</f>
        <v>17</v>
      </c>
      <c r="M406" s="0" t="n">
        <f aca="false">H406-F406</f>
        <v>19</v>
      </c>
      <c r="N406" s="0" t="n">
        <f aca="false">H406-G406</f>
        <v>18</v>
      </c>
      <c r="O406" s="0" t="n">
        <f aca="false">B406+D406+F406</f>
        <v>9</v>
      </c>
      <c r="P406" s="0" t="n">
        <f aca="false">C406+E406+G406</f>
        <v>12</v>
      </c>
    </row>
    <row r="407" customFormat="false" ht="15" hidden="false" customHeight="false" outlineLevel="0" collapsed="false">
      <c r="A407" s="0" t="n">
        <v>407</v>
      </c>
      <c r="B407" s="0" t="n">
        <f aca="false">Raw_Data!AJ407</f>
        <v>2</v>
      </c>
      <c r="C407" s="0" t="n">
        <f aca="false">Raw_Data!AK407</f>
        <v>3</v>
      </c>
      <c r="D407" s="0" t="n">
        <f aca="false">Raw_Data!AL407</f>
        <v>3</v>
      </c>
      <c r="E407" s="0" t="n">
        <f aca="false">Raw_Data!AM407</f>
        <v>3</v>
      </c>
      <c r="F407" s="0" t="n">
        <f aca="false">Raw_Data!AN407</f>
        <v>3</v>
      </c>
      <c r="G407" s="0" t="n">
        <f aca="false">Raw_Data!AO407</f>
        <v>4</v>
      </c>
      <c r="H407" s="0" t="n">
        <f aca="false">SUM(B407:G407)</f>
        <v>18</v>
      </c>
      <c r="I407" s="0" t="n">
        <f aca="false">H407-B407</f>
        <v>16</v>
      </c>
      <c r="J407" s="0" t="n">
        <f aca="false">H407-C407</f>
        <v>15</v>
      </c>
      <c r="K407" s="0" t="n">
        <f aca="false">H407-D407</f>
        <v>15</v>
      </c>
      <c r="L407" s="0" t="n">
        <f aca="false">H407-E407</f>
        <v>15</v>
      </c>
      <c r="M407" s="0" t="n">
        <f aca="false">H407-F407</f>
        <v>15</v>
      </c>
      <c r="N407" s="0" t="n">
        <f aca="false">H407-G407</f>
        <v>14</v>
      </c>
      <c r="O407" s="0" t="n">
        <f aca="false">B407+D407+F407</f>
        <v>8</v>
      </c>
      <c r="P407" s="0" t="n">
        <f aca="false">C407+E407+G407</f>
        <v>10</v>
      </c>
    </row>
    <row r="408" customFormat="false" ht="15" hidden="false" customHeight="false" outlineLevel="0" collapsed="false">
      <c r="A408" s="0" t="n">
        <v>408</v>
      </c>
      <c r="B408" s="0" t="n">
        <f aca="false">Raw_Data!AJ408</f>
        <v>5</v>
      </c>
      <c r="C408" s="0" t="n">
        <f aca="false">Raw_Data!AK408</f>
        <v>4</v>
      </c>
      <c r="D408" s="0" t="n">
        <f aca="false">Raw_Data!AL408</f>
        <v>4</v>
      </c>
      <c r="E408" s="0" t="n">
        <f aca="false">Raw_Data!AM408</f>
        <v>3</v>
      </c>
      <c r="F408" s="0" t="n">
        <f aca="false">Raw_Data!AN408</f>
        <v>3</v>
      </c>
      <c r="G408" s="0" t="n">
        <f aca="false">Raw_Data!AO408</f>
        <v>4</v>
      </c>
      <c r="H408" s="0" t="n">
        <f aca="false">SUM(B408:G408)</f>
        <v>23</v>
      </c>
      <c r="I408" s="0" t="n">
        <f aca="false">H408-B408</f>
        <v>18</v>
      </c>
      <c r="J408" s="0" t="n">
        <f aca="false">H408-C408</f>
        <v>19</v>
      </c>
      <c r="K408" s="0" t="n">
        <f aca="false">H408-D408</f>
        <v>19</v>
      </c>
      <c r="L408" s="0" t="n">
        <f aca="false">H408-E408</f>
        <v>20</v>
      </c>
      <c r="M408" s="0" t="n">
        <f aca="false">H408-F408</f>
        <v>20</v>
      </c>
      <c r="N408" s="0" t="n">
        <f aca="false">H408-G408</f>
        <v>19</v>
      </c>
      <c r="O408" s="0" t="n">
        <f aca="false">B408+D408+F408</f>
        <v>12</v>
      </c>
      <c r="P408" s="0" t="n">
        <f aca="false">C408+E408+G408</f>
        <v>11</v>
      </c>
    </row>
    <row r="409" customFormat="false" ht="15" hidden="false" customHeight="false" outlineLevel="0" collapsed="false">
      <c r="A409" s="0" t="n">
        <v>409</v>
      </c>
      <c r="B409" s="0" t="n">
        <f aca="false">Raw_Data!AJ409</f>
        <v>5</v>
      </c>
      <c r="C409" s="0" t="n">
        <f aca="false">Raw_Data!AK409</f>
        <v>3</v>
      </c>
      <c r="D409" s="0" t="n">
        <f aca="false">Raw_Data!AL409</f>
        <v>4</v>
      </c>
      <c r="E409" s="0" t="n">
        <f aca="false">Raw_Data!AM409</f>
        <v>4</v>
      </c>
      <c r="F409" s="0" t="n">
        <f aca="false">Raw_Data!AN409</f>
        <v>4</v>
      </c>
      <c r="G409" s="0" t="n">
        <f aca="false">Raw_Data!AO409</f>
        <v>4</v>
      </c>
      <c r="H409" s="0" t="n">
        <f aca="false">SUM(B409:G409)</f>
        <v>24</v>
      </c>
      <c r="I409" s="0" t="n">
        <f aca="false">H409-B409</f>
        <v>19</v>
      </c>
      <c r="J409" s="0" t="n">
        <f aca="false">H409-C409</f>
        <v>21</v>
      </c>
      <c r="K409" s="0" t="n">
        <f aca="false">H409-D409</f>
        <v>20</v>
      </c>
      <c r="L409" s="0" t="n">
        <f aca="false">H409-E409</f>
        <v>20</v>
      </c>
      <c r="M409" s="0" t="n">
        <f aca="false">H409-F409</f>
        <v>20</v>
      </c>
      <c r="N409" s="0" t="n">
        <f aca="false">H409-G409</f>
        <v>20</v>
      </c>
      <c r="O409" s="0" t="n">
        <f aca="false">B409+D409+F409</f>
        <v>13</v>
      </c>
      <c r="P409" s="0" t="n">
        <f aca="false">C409+E409+G409</f>
        <v>11</v>
      </c>
    </row>
    <row r="410" customFormat="false" ht="15" hidden="false" customHeight="false" outlineLevel="0" collapsed="false">
      <c r="A410" s="0" t="n">
        <v>410</v>
      </c>
      <c r="B410" s="0" t="n">
        <f aca="false">Raw_Data!AJ410</f>
        <v>4</v>
      </c>
      <c r="C410" s="0" t="n">
        <f aca="false">Raw_Data!AK410</f>
        <v>3</v>
      </c>
      <c r="D410" s="0" t="n">
        <f aca="false">Raw_Data!AL410</f>
        <v>3</v>
      </c>
      <c r="E410" s="0" t="n">
        <f aca="false">Raw_Data!AM410</f>
        <v>3</v>
      </c>
      <c r="F410" s="0" t="n">
        <f aca="false">Raw_Data!AN410</f>
        <v>3</v>
      </c>
      <c r="G410" s="0" t="n">
        <f aca="false">Raw_Data!AO410</f>
        <v>3</v>
      </c>
      <c r="H410" s="0" t="n">
        <f aca="false">SUM(B410:G410)</f>
        <v>19</v>
      </c>
      <c r="I410" s="0" t="n">
        <f aca="false">H410-B410</f>
        <v>15</v>
      </c>
      <c r="J410" s="0" t="n">
        <f aca="false">H410-C410</f>
        <v>16</v>
      </c>
      <c r="K410" s="0" t="n">
        <f aca="false">H410-D410</f>
        <v>16</v>
      </c>
      <c r="L410" s="0" t="n">
        <f aca="false">H410-E410</f>
        <v>16</v>
      </c>
      <c r="M410" s="0" t="n">
        <f aca="false">H410-F410</f>
        <v>16</v>
      </c>
      <c r="N410" s="0" t="n">
        <f aca="false">H410-G410</f>
        <v>16</v>
      </c>
      <c r="O410" s="0" t="n">
        <f aca="false">B410+D410+F410</f>
        <v>10</v>
      </c>
      <c r="P410" s="0" t="n">
        <f aca="false">C410+E410+G410</f>
        <v>9</v>
      </c>
    </row>
    <row r="411" customFormat="false" ht="15" hidden="false" customHeight="false" outlineLevel="0" collapsed="false">
      <c r="A411" s="0" t="n">
        <v>411</v>
      </c>
      <c r="B411" s="0" t="n">
        <f aca="false">Raw_Data!AJ411</f>
        <v>3</v>
      </c>
      <c r="C411" s="0" t="n">
        <f aca="false">Raw_Data!AK411</f>
        <v>3</v>
      </c>
      <c r="D411" s="0" t="n">
        <f aca="false">Raw_Data!AL411</f>
        <v>5</v>
      </c>
      <c r="E411" s="0" t="n">
        <f aca="false">Raw_Data!AM411</f>
        <v>3</v>
      </c>
      <c r="F411" s="0" t="n">
        <f aca="false">Raw_Data!AN411</f>
        <v>3</v>
      </c>
      <c r="G411" s="0" t="n">
        <f aca="false">Raw_Data!AO411</f>
        <v>3</v>
      </c>
      <c r="H411" s="0" t="n">
        <f aca="false">SUM(B411:G411)</f>
        <v>20</v>
      </c>
      <c r="I411" s="0" t="n">
        <f aca="false">H411-B411</f>
        <v>17</v>
      </c>
      <c r="J411" s="0" t="n">
        <f aca="false">H411-C411</f>
        <v>17</v>
      </c>
      <c r="K411" s="0" t="n">
        <f aca="false">H411-D411</f>
        <v>15</v>
      </c>
      <c r="L411" s="0" t="n">
        <f aca="false">H411-E411</f>
        <v>17</v>
      </c>
      <c r="M411" s="0" t="n">
        <f aca="false">H411-F411</f>
        <v>17</v>
      </c>
      <c r="N411" s="0" t="n">
        <f aca="false">H411-G411</f>
        <v>17</v>
      </c>
      <c r="O411" s="0" t="n">
        <f aca="false">B411+D411+F411</f>
        <v>11</v>
      </c>
      <c r="P411" s="0" t="n">
        <f aca="false">C411+E411+G411</f>
        <v>9</v>
      </c>
    </row>
    <row r="412" customFormat="false" ht="15" hidden="false" customHeight="false" outlineLevel="0" collapsed="false">
      <c r="A412" s="0" t="n">
        <v>412</v>
      </c>
      <c r="B412" s="0" t="n">
        <f aca="false">Raw_Data!AJ412</f>
        <v>3</v>
      </c>
      <c r="C412" s="0" t="n">
        <f aca="false">Raw_Data!AK412</f>
        <v>3</v>
      </c>
      <c r="D412" s="0" t="n">
        <f aca="false">Raw_Data!AL412</f>
        <v>3</v>
      </c>
      <c r="E412" s="0" t="n">
        <f aca="false">Raw_Data!AM412</f>
        <v>3</v>
      </c>
      <c r="F412" s="0" t="n">
        <f aca="false">Raw_Data!AN412</f>
        <v>2</v>
      </c>
      <c r="G412" s="0" t="n">
        <f aca="false">Raw_Data!AO412</f>
        <v>3</v>
      </c>
      <c r="H412" s="0" t="n">
        <f aca="false">SUM(B412:G412)</f>
        <v>17</v>
      </c>
      <c r="I412" s="0" t="n">
        <f aca="false">H412-B412</f>
        <v>14</v>
      </c>
      <c r="J412" s="0" t="n">
        <f aca="false">H412-C412</f>
        <v>14</v>
      </c>
      <c r="K412" s="0" t="n">
        <f aca="false">H412-D412</f>
        <v>14</v>
      </c>
      <c r="L412" s="0" t="n">
        <f aca="false">H412-E412</f>
        <v>14</v>
      </c>
      <c r="M412" s="0" t="n">
        <f aca="false">H412-F412</f>
        <v>15</v>
      </c>
      <c r="N412" s="0" t="n">
        <f aca="false">H412-G412</f>
        <v>14</v>
      </c>
      <c r="O412" s="0" t="n">
        <f aca="false">B412+D412+F412</f>
        <v>8</v>
      </c>
      <c r="P412" s="0" t="n">
        <f aca="false">C412+E412+G412</f>
        <v>9</v>
      </c>
    </row>
    <row r="413" customFormat="false" ht="15" hidden="false" customHeight="false" outlineLevel="0" collapsed="false">
      <c r="A413" s="0" t="n">
        <v>413</v>
      </c>
      <c r="B413" s="0" t="n">
        <f aca="false">Raw_Data!AJ413</f>
        <v>3</v>
      </c>
      <c r="C413" s="0" t="n">
        <f aca="false">Raw_Data!AK413</f>
        <v>4</v>
      </c>
      <c r="D413" s="0" t="n">
        <f aca="false">Raw_Data!AL413</f>
        <v>3</v>
      </c>
      <c r="E413" s="0" t="n">
        <f aca="false">Raw_Data!AM413</f>
        <v>3</v>
      </c>
      <c r="F413" s="0" t="n">
        <f aca="false">Raw_Data!AN413</f>
        <v>4</v>
      </c>
      <c r="G413" s="0" t="n">
        <f aca="false">Raw_Data!AO413</f>
        <v>3</v>
      </c>
      <c r="H413" s="0" t="n">
        <f aca="false">SUM(B413:G413)</f>
        <v>20</v>
      </c>
      <c r="I413" s="0" t="n">
        <f aca="false">H413-B413</f>
        <v>17</v>
      </c>
      <c r="J413" s="0" t="n">
        <f aca="false">H413-C413</f>
        <v>16</v>
      </c>
      <c r="K413" s="0" t="n">
        <f aca="false">H413-D413</f>
        <v>17</v>
      </c>
      <c r="L413" s="0" t="n">
        <f aca="false">H413-E413</f>
        <v>17</v>
      </c>
      <c r="M413" s="0" t="n">
        <f aca="false">H413-F413</f>
        <v>16</v>
      </c>
      <c r="N413" s="0" t="n">
        <f aca="false">H413-G413</f>
        <v>17</v>
      </c>
      <c r="O413" s="0" t="n">
        <f aca="false">B413+D413+F413</f>
        <v>10</v>
      </c>
      <c r="P413" s="0" t="n">
        <f aca="false">C413+E413+G413</f>
        <v>10</v>
      </c>
    </row>
    <row r="414" customFormat="false" ht="15" hidden="false" customHeight="false" outlineLevel="0" collapsed="false">
      <c r="A414" s="0" t="n">
        <v>414</v>
      </c>
      <c r="B414" s="0" t="n">
        <f aca="false">Raw_Data!AJ414</f>
        <v>4</v>
      </c>
      <c r="C414" s="0" t="n">
        <f aca="false">Raw_Data!AK414</f>
        <v>2</v>
      </c>
      <c r="D414" s="0" t="n">
        <f aca="false">Raw_Data!AL414</f>
        <v>4</v>
      </c>
      <c r="E414" s="0" t="n">
        <f aca="false">Raw_Data!AM414</f>
        <v>3</v>
      </c>
      <c r="F414" s="0" t="n">
        <f aca="false">Raw_Data!AN414</f>
        <v>3</v>
      </c>
      <c r="G414" s="0" t="n">
        <f aca="false">Raw_Data!AO414</f>
        <v>3</v>
      </c>
      <c r="H414" s="0" t="n">
        <f aca="false">SUM(B414:G414)</f>
        <v>19</v>
      </c>
      <c r="I414" s="0" t="n">
        <f aca="false">H414-B414</f>
        <v>15</v>
      </c>
      <c r="J414" s="0" t="n">
        <f aca="false">H414-C414</f>
        <v>17</v>
      </c>
      <c r="K414" s="0" t="n">
        <f aca="false">H414-D414</f>
        <v>15</v>
      </c>
      <c r="L414" s="0" t="n">
        <f aca="false">H414-E414</f>
        <v>16</v>
      </c>
      <c r="M414" s="0" t="n">
        <f aca="false">H414-F414</f>
        <v>16</v>
      </c>
      <c r="N414" s="0" t="n">
        <f aca="false">H414-G414</f>
        <v>16</v>
      </c>
      <c r="O414" s="0" t="n">
        <f aca="false">B414+D414+F414</f>
        <v>11</v>
      </c>
      <c r="P414" s="0" t="n">
        <f aca="false">C414+E414+G414</f>
        <v>8</v>
      </c>
    </row>
    <row r="415" customFormat="false" ht="15" hidden="false" customHeight="false" outlineLevel="0" collapsed="false">
      <c r="A415" s="0" t="n">
        <v>415</v>
      </c>
      <c r="B415" s="0" t="n">
        <f aca="false">Raw_Data!AJ415</f>
        <v>3</v>
      </c>
      <c r="C415" s="0" t="n">
        <f aca="false">Raw_Data!AK415</f>
        <v>3</v>
      </c>
      <c r="D415" s="0" t="n">
        <f aca="false">Raw_Data!AL415</f>
        <v>3</v>
      </c>
      <c r="E415" s="0" t="n">
        <f aca="false">Raw_Data!AM415</f>
        <v>3</v>
      </c>
      <c r="F415" s="0" t="n">
        <f aca="false">Raw_Data!AN415</f>
        <v>4</v>
      </c>
      <c r="G415" s="0" t="n">
        <f aca="false">Raw_Data!AO415</f>
        <v>3</v>
      </c>
      <c r="H415" s="0" t="n">
        <f aca="false">SUM(B415:G415)</f>
        <v>19</v>
      </c>
      <c r="I415" s="0" t="n">
        <f aca="false">H415-B415</f>
        <v>16</v>
      </c>
      <c r="J415" s="0" t="n">
        <f aca="false">H415-C415</f>
        <v>16</v>
      </c>
      <c r="K415" s="0" t="n">
        <f aca="false">H415-D415</f>
        <v>16</v>
      </c>
      <c r="L415" s="0" t="n">
        <f aca="false">H415-E415</f>
        <v>16</v>
      </c>
      <c r="M415" s="0" t="n">
        <f aca="false">H415-F415</f>
        <v>15</v>
      </c>
      <c r="N415" s="0" t="n">
        <f aca="false">H415-G415</f>
        <v>16</v>
      </c>
      <c r="O415" s="0" t="n">
        <f aca="false">B415+D415+F415</f>
        <v>10</v>
      </c>
      <c r="P415" s="0" t="n">
        <f aca="false">C415+E415+G415</f>
        <v>9</v>
      </c>
    </row>
    <row r="416" customFormat="false" ht="15" hidden="false" customHeight="false" outlineLevel="0" collapsed="false">
      <c r="A416" s="0" t="n">
        <v>416</v>
      </c>
      <c r="B416" s="0" t="n">
        <f aca="false">Raw_Data!AJ416</f>
        <v>2</v>
      </c>
      <c r="C416" s="0" t="n">
        <f aca="false">Raw_Data!AK416</f>
        <v>3</v>
      </c>
      <c r="D416" s="0" t="n">
        <f aca="false">Raw_Data!AL416</f>
        <v>3</v>
      </c>
      <c r="E416" s="0" t="n">
        <f aca="false">Raw_Data!AM416</f>
        <v>3</v>
      </c>
      <c r="F416" s="0" t="n">
        <f aca="false">Raw_Data!AN416</f>
        <v>5</v>
      </c>
      <c r="G416" s="0" t="n">
        <f aca="false">Raw_Data!AO416</f>
        <v>3</v>
      </c>
      <c r="H416" s="0" t="n">
        <f aca="false">SUM(B416:G416)</f>
        <v>19</v>
      </c>
      <c r="I416" s="0" t="n">
        <f aca="false">H416-B416</f>
        <v>17</v>
      </c>
      <c r="J416" s="0" t="n">
        <f aca="false">H416-C416</f>
        <v>16</v>
      </c>
      <c r="K416" s="0" t="n">
        <f aca="false">H416-D416</f>
        <v>16</v>
      </c>
      <c r="L416" s="0" t="n">
        <f aca="false">H416-E416</f>
        <v>16</v>
      </c>
      <c r="M416" s="0" t="n">
        <f aca="false">H416-F416</f>
        <v>14</v>
      </c>
      <c r="N416" s="0" t="n">
        <f aca="false">H416-G416</f>
        <v>16</v>
      </c>
      <c r="O416" s="0" t="n">
        <f aca="false">B416+D416+F416</f>
        <v>10</v>
      </c>
      <c r="P416" s="0" t="n">
        <f aca="false">C416+E416+G416</f>
        <v>9</v>
      </c>
    </row>
    <row r="417" customFormat="false" ht="15" hidden="false" customHeight="false" outlineLevel="0" collapsed="false">
      <c r="A417" s="0" t="n">
        <v>417</v>
      </c>
      <c r="B417" s="0" t="n">
        <f aca="false">Raw_Data!AJ417</f>
        <v>3</v>
      </c>
      <c r="C417" s="0" t="n">
        <f aca="false">Raw_Data!AK417</f>
        <v>4</v>
      </c>
      <c r="D417" s="0" t="n">
        <f aca="false">Raw_Data!AL417</f>
        <v>4</v>
      </c>
      <c r="E417" s="0" t="n">
        <f aca="false">Raw_Data!AM417</f>
        <v>3</v>
      </c>
      <c r="F417" s="0" t="n">
        <f aca="false">Raw_Data!AN417</f>
        <v>2</v>
      </c>
      <c r="G417" s="0" t="n">
        <f aca="false">Raw_Data!AO417</f>
        <v>3</v>
      </c>
      <c r="H417" s="0" t="n">
        <f aca="false">SUM(B417:G417)</f>
        <v>19</v>
      </c>
      <c r="I417" s="0" t="n">
        <f aca="false">H417-B417</f>
        <v>16</v>
      </c>
      <c r="J417" s="0" t="n">
        <f aca="false">H417-C417</f>
        <v>15</v>
      </c>
      <c r="K417" s="0" t="n">
        <f aca="false">H417-D417</f>
        <v>15</v>
      </c>
      <c r="L417" s="0" t="n">
        <f aca="false">H417-E417</f>
        <v>16</v>
      </c>
      <c r="M417" s="0" t="n">
        <f aca="false">H417-F417</f>
        <v>17</v>
      </c>
      <c r="N417" s="0" t="n">
        <f aca="false">H417-G417</f>
        <v>16</v>
      </c>
      <c r="O417" s="0" t="n">
        <f aca="false">B417+D417+F417</f>
        <v>9</v>
      </c>
      <c r="P417" s="0" t="n">
        <f aca="false">C417+E417+G417</f>
        <v>10</v>
      </c>
    </row>
    <row r="418" customFormat="false" ht="15" hidden="false" customHeight="false" outlineLevel="0" collapsed="false">
      <c r="A418" s="0" t="n">
        <v>418</v>
      </c>
      <c r="B418" s="0" t="n">
        <f aca="false">Raw_Data!AJ418</f>
        <v>4</v>
      </c>
      <c r="C418" s="0" t="n">
        <f aca="false">Raw_Data!AK418</f>
        <v>4</v>
      </c>
      <c r="D418" s="0" t="n">
        <f aca="false">Raw_Data!AL418</f>
        <v>3</v>
      </c>
      <c r="E418" s="0" t="n">
        <f aca="false">Raw_Data!AM418</f>
        <v>3</v>
      </c>
      <c r="F418" s="0" t="n">
        <f aca="false">Raw_Data!AN418</f>
        <v>4</v>
      </c>
      <c r="G418" s="0" t="n">
        <f aca="false">Raw_Data!AO418</f>
        <v>2</v>
      </c>
      <c r="H418" s="0" t="n">
        <f aca="false">SUM(B418:G418)</f>
        <v>20</v>
      </c>
      <c r="I418" s="0" t="n">
        <f aca="false">H418-B418</f>
        <v>16</v>
      </c>
      <c r="J418" s="0" t="n">
        <f aca="false">H418-C418</f>
        <v>16</v>
      </c>
      <c r="K418" s="0" t="n">
        <f aca="false">H418-D418</f>
        <v>17</v>
      </c>
      <c r="L418" s="0" t="n">
        <f aca="false">H418-E418</f>
        <v>17</v>
      </c>
      <c r="M418" s="0" t="n">
        <f aca="false">H418-F418</f>
        <v>16</v>
      </c>
      <c r="N418" s="0" t="n">
        <f aca="false">H418-G418</f>
        <v>18</v>
      </c>
      <c r="O418" s="0" t="n">
        <f aca="false">B418+D418+F418</f>
        <v>11</v>
      </c>
      <c r="P418" s="0" t="n">
        <f aca="false">C418+E418+G418</f>
        <v>9</v>
      </c>
    </row>
    <row r="419" customFormat="false" ht="15" hidden="false" customHeight="false" outlineLevel="0" collapsed="false">
      <c r="A419" s="0" t="n">
        <v>419</v>
      </c>
      <c r="B419" s="0" t="n">
        <f aca="false">Raw_Data!AJ419</f>
        <v>4</v>
      </c>
      <c r="C419" s="0" t="n">
        <f aca="false">Raw_Data!AK419</f>
        <v>2</v>
      </c>
      <c r="D419" s="0" t="n">
        <f aca="false">Raw_Data!AL419</f>
        <v>3</v>
      </c>
      <c r="E419" s="0" t="n">
        <f aca="false">Raw_Data!AM419</f>
        <v>3</v>
      </c>
      <c r="F419" s="0" t="n">
        <f aca="false">Raw_Data!AN419</f>
        <v>2</v>
      </c>
      <c r="G419" s="0" t="n">
        <f aca="false">Raw_Data!AO419</f>
        <v>3</v>
      </c>
      <c r="H419" s="0" t="n">
        <f aca="false">SUM(B419:G419)</f>
        <v>17</v>
      </c>
      <c r="I419" s="0" t="n">
        <f aca="false">H419-B419</f>
        <v>13</v>
      </c>
      <c r="J419" s="0" t="n">
        <f aca="false">H419-C419</f>
        <v>15</v>
      </c>
      <c r="K419" s="0" t="n">
        <f aca="false">H419-D419</f>
        <v>14</v>
      </c>
      <c r="L419" s="0" t="n">
        <f aca="false">H419-E419</f>
        <v>14</v>
      </c>
      <c r="M419" s="0" t="n">
        <f aca="false">H419-F419</f>
        <v>15</v>
      </c>
      <c r="N419" s="0" t="n">
        <f aca="false">H419-G419</f>
        <v>14</v>
      </c>
      <c r="O419" s="0" t="n">
        <f aca="false">B419+D419+F419</f>
        <v>9</v>
      </c>
      <c r="P419" s="0" t="n">
        <f aca="false">C419+E419+G419</f>
        <v>8</v>
      </c>
    </row>
    <row r="420" customFormat="false" ht="15" hidden="false" customHeight="false" outlineLevel="0" collapsed="false">
      <c r="A420" s="0" t="n">
        <v>420</v>
      </c>
      <c r="B420" s="0" t="n">
        <f aca="false">Raw_Data!AJ420</f>
        <v>4</v>
      </c>
      <c r="C420" s="0" t="n">
        <f aca="false">Raw_Data!AK420</f>
        <v>3</v>
      </c>
      <c r="D420" s="0" t="n">
        <f aca="false">Raw_Data!AL420</f>
        <v>3</v>
      </c>
      <c r="E420" s="0" t="n">
        <f aca="false">Raw_Data!AM420</f>
        <v>3</v>
      </c>
      <c r="F420" s="0" t="n">
        <f aca="false">Raw_Data!AN420</f>
        <v>3</v>
      </c>
      <c r="G420" s="0" t="n">
        <f aca="false">Raw_Data!AO420</f>
        <v>3</v>
      </c>
      <c r="H420" s="0" t="n">
        <f aca="false">SUM(B420:G420)</f>
        <v>19</v>
      </c>
      <c r="I420" s="0" t="n">
        <f aca="false">H420-B420</f>
        <v>15</v>
      </c>
      <c r="J420" s="0" t="n">
        <f aca="false">H420-C420</f>
        <v>16</v>
      </c>
      <c r="K420" s="0" t="n">
        <f aca="false">H420-D420</f>
        <v>16</v>
      </c>
      <c r="L420" s="0" t="n">
        <f aca="false">H420-E420</f>
        <v>16</v>
      </c>
      <c r="M420" s="0" t="n">
        <f aca="false">H420-F420</f>
        <v>16</v>
      </c>
      <c r="N420" s="0" t="n">
        <f aca="false">H420-G420</f>
        <v>16</v>
      </c>
      <c r="O420" s="0" t="n">
        <f aca="false">B420+D420+F420</f>
        <v>10</v>
      </c>
      <c r="P420" s="0" t="n">
        <f aca="false">C420+E420+G420</f>
        <v>9</v>
      </c>
    </row>
    <row r="421" customFormat="false" ht="15" hidden="false" customHeight="false" outlineLevel="0" collapsed="false">
      <c r="A421" s="0" t="n">
        <v>421</v>
      </c>
      <c r="B421" s="0" t="n">
        <f aca="false">Raw_Data!AJ421</f>
        <v>5</v>
      </c>
      <c r="C421" s="0" t="n">
        <f aca="false">Raw_Data!AK421</f>
        <v>2</v>
      </c>
      <c r="D421" s="0" t="n">
        <f aca="false">Raw_Data!AL421</f>
        <v>5</v>
      </c>
      <c r="E421" s="0" t="n">
        <f aca="false">Raw_Data!AM421</f>
        <v>4</v>
      </c>
      <c r="F421" s="0" t="n">
        <f aca="false">Raw_Data!AN421</f>
        <v>3</v>
      </c>
      <c r="G421" s="0" t="n">
        <f aca="false">Raw_Data!AO421</f>
        <v>3</v>
      </c>
      <c r="H421" s="0" t="n">
        <f aca="false">SUM(B421:G421)</f>
        <v>22</v>
      </c>
      <c r="I421" s="0" t="n">
        <f aca="false">H421-B421</f>
        <v>17</v>
      </c>
      <c r="J421" s="0" t="n">
        <f aca="false">H421-C421</f>
        <v>20</v>
      </c>
      <c r="K421" s="0" t="n">
        <f aca="false">H421-D421</f>
        <v>17</v>
      </c>
      <c r="L421" s="0" t="n">
        <f aca="false">H421-E421</f>
        <v>18</v>
      </c>
      <c r="M421" s="0" t="n">
        <f aca="false">H421-F421</f>
        <v>19</v>
      </c>
      <c r="N421" s="0" t="n">
        <f aca="false">H421-G421</f>
        <v>19</v>
      </c>
      <c r="O421" s="0" t="n">
        <f aca="false">B421+D421+F421</f>
        <v>13</v>
      </c>
      <c r="P421" s="0" t="n">
        <f aca="false">C421+E421+G421</f>
        <v>9</v>
      </c>
    </row>
    <row r="422" customFormat="false" ht="15" hidden="false" customHeight="false" outlineLevel="0" collapsed="false">
      <c r="A422" s="0" t="n">
        <v>422</v>
      </c>
      <c r="B422" s="0" t="n">
        <f aca="false">Raw_Data!AJ422</f>
        <v>5</v>
      </c>
      <c r="C422" s="0" t="n">
        <f aca="false">Raw_Data!AK422</f>
        <v>3</v>
      </c>
      <c r="D422" s="0" t="n">
        <f aca="false">Raw_Data!AL422</f>
        <v>3</v>
      </c>
      <c r="E422" s="0" t="n">
        <f aca="false">Raw_Data!AM422</f>
        <v>3</v>
      </c>
      <c r="F422" s="0" t="n">
        <f aca="false">Raw_Data!AN422</f>
        <v>4</v>
      </c>
      <c r="G422" s="0" t="n">
        <f aca="false">Raw_Data!AO422</f>
        <v>4</v>
      </c>
      <c r="H422" s="0" t="n">
        <f aca="false">SUM(B422:G422)</f>
        <v>22</v>
      </c>
      <c r="I422" s="0" t="n">
        <f aca="false">H422-B422</f>
        <v>17</v>
      </c>
      <c r="J422" s="0" t="n">
        <f aca="false">H422-C422</f>
        <v>19</v>
      </c>
      <c r="K422" s="0" t="n">
        <f aca="false">H422-D422</f>
        <v>19</v>
      </c>
      <c r="L422" s="0" t="n">
        <f aca="false">H422-E422</f>
        <v>19</v>
      </c>
      <c r="M422" s="0" t="n">
        <f aca="false">H422-F422</f>
        <v>18</v>
      </c>
      <c r="N422" s="0" t="n">
        <f aca="false">H422-G422</f>
        <v>18</v>
      </c>
      <c r="O422" s="0" t="n">
        <f aca="false">B422+D422+F422</f>
        <v>12</v>
      </c>
      <c r="P422" s="0" t="n">
        <f aca="false">C422+E422+G422</f>
        <v>10</v>
      </c>
    </row>
    <row r="423" customFormat="false" ht="15" hidden="false" customHeight="false" outlineLevel="0" collapsed="false">
      <c r="A423" s="0" t="n">
        <v>423</v>
      </c>
      <c r="B423" s="0" t="n">
        <f aca="false">Raw_Data!AJ423</f>
        <v>4</v>
      </c>
      <c r="C423" s="0" t="n">
        <f aca="false">Raw_Data!AK423</f>
        <v>2</v>
      </c>
      <c r="D423" s="0" t="n">
        <f aca="false">Raw_Data!AL423</f>
        <v>4</v>
      </c>
      <c r="E423" s="0" t="n">
        <f aca="false">Raw_Data!AM423</f>
        <v>4</v>
      </c>
      <c r="F423" s="0" t="n">
        <f aca="false">Raw_Data!AN423</f>
        <v>2</v>
      </c>
      <c r="G423" s="0" t="n">
        <f aca="false">Raw_Data!AO423</f>
        <v>3</v>
      </c>
      <c r="H423" s="0" t="n">
        <f aca="false">SUM(B423:G423)</f>
        <v>19</v>
      </c>
      <c r="I423" s="0" t="n">
        <f aca="false">H423-B423</f>
        <v>15</v>
      </c>
      <c r="J423" s="0" t="n">
        <f aca="false">H423-C423</f>
        <v>17</v>
      </c>
      <c r="K423" s="0" t="n">
        <f aca="false">H423-D423</f>
        <v>15</v>
      </c>
      <c r="L423" s="0" t="n">
        <f aca="false">H423-E423</f>
        <v>15</v>
      </c>
      <c r="M423" s="0" t="n">
        <f aca="false">H423-F423</f>
        <v>17</v>
      </c>
      <c r="N423" s="0" t="n">
        <f aca="false">H423-G423</f>
        <v>16</v>
      </c>
      <c r="O423" s="0" t="n">
        <f aca="false">B423+D423+F423</f>
        <v>10</v>
      </c>
      <c r="P423" s="0" t="n">
        <f aca="false">C423+E423+G423</f>
        <v>9</v>
      </c>
    </row>
    <row r="424" customFormat="false" ht="15" hidden="false" customHeight="false" outlineLevel="0" collapsed="false">
      <c r="A424" s="0" t="n">
        <v>424</v>
      </c>
      <c r="B424" s="0" t="n">
        <f aca="false">Raw_Data!AJ424</f>
        <v>3</v>
      </c>
      <c r="C424" s="0" t="n">
        <f aca="false">Raw_Data!AK424</f>
        <v>3</v>
      </c>
      <c r="D424" s="0" t="n">
        <f aca="false">Raw_Data!AL424</f>
        <v>5</v>
      </c>
      <c r="E424" s="0" t="n">
        <f aca="false">Raw_Data!AM424</f>
        <v>4</v>
      </c>
      <c r="F424" s="0" t="n">
        <f aca="false">Raw_Data!AN424</f>
        <v>2</v>
      </c>
      <c r="G424" s="0" t="n">
        <f aca="false">Raw_Data!AO424</f>
        <v>4</v>
      </c>
      <c r="H424" s="0" t="n">
        <f aca="false">SUM(B424:G424)</f>
        <v>21</v>
      </c>
      <c r="I424" s="0" t="n">
        <f aca="false">H424-B424</f>
        <v>18</v>
      </c>
      <c r="J424" s="0" t="n">
        <f aca="false">H424-C424</f>
        <v>18</v>
      </c>
      <c r="K424" s="0" t="n">
        <f aca="false">H424-D424</f>
        <v>16</v>
      </c>
      <c r="L424" s="0" t="n">
        <f aca="false">H424-E424</f>
        <v>17</v>
      </c>
      <c r="M424" s="0" t="n">
        <f aca="false">H424-F424</f>
        <v>19</v>
      </c>
      <c r="N424" s="0" t="n">
        <f aca="false">H424-G424</f>
        <v>17</v>
      </c>
      <c r="O424" s="0" t="n">
        <f aca="false">B424+D424+F424</f>
        <v>10</v>
      </c>
      <c r="P424" s="0" t="n">
        <f aca="false">C424+E424+G424</f>
        <v>11</v>
      </c>
    </row>
    <row r="425" customFormat="false" ht="15" hidden="false" customHeight="false" outlineLevel="0" collapsed="false">
      <c r="A425" s="0" t="n">
        <v>425</v>
      </c>
      <c r="B425" s="0" t="n">
        <f aca="false">Raw_Data!AJ425</f>
        <v>5</v>
      </c>
      <c r="C425" s="0" t="n">
        <f aca="false">Raw_Data!AK425</f>
        <v>3</v>
      </c>
      <c r="D425" s="0" t="n">
        <f aca="false">Raw_Data!AL425</f>
        <v>5</v>
      </c>
      <c r="E425" s="0" t="n">
        <f aca="false">Raw_Data!AM425</f>
        <v>3</v>
      </c>
      <c r="F425" s="0" t="n">
        <f aca="false">Raw_Data!AN425</f>
        <v>4</v>
      </c>
      <c r="G425" s="0" t="n">
        <f aca="false">Raw_Data!AO425</f>
        <v>3</v>
      </c>
      <c r="H425" s="0" t="n">
        <f aca="false">SUM(B425:G425)</f>
        <v>23</v>
      </c>
      <c r="I425" s="0" t="n">
        <f aca="false">H425-B425</f>
        <v>18</v>
      </c>
      <c r="J425" s="0" t="n">
        <f aca="false">H425-C425</f>
        <v>20</v>
      </c>
      <c r="K425" s="0" t="n">
        <f aca="false">H425-D425</f>
        <v>18</v>
      </c>
      <c r="L425" s="0" t="n">
        <f aca="false">H425-E425</f>
        <v>20</v>
      </c>
      <c r="M425" s="0" t="n">
        <f aca="false">H425-F425</f>
        <v>19</v>
      </c>
      <c r="N425" s="0" t="n">
        <f aca="false">H425-G425</f>
        <v>20</v>
      </c>
      <c r="O425" s="0" t="n">
        <f aca="false">B425+D425+F425</f>
        <v>14</v>
      </c>
      <c r="P425" s="0" t="n">
        <f aca="false">C425+E425+G425</f>
        <v>9</v>
      </c>
    </row>
    <row r="426" customFormat="false" ht="15" hidden="false" customHeight="false" outlineLevel="0" collapsed="false">
      <c r="A426" s="0" t="n">
        <v>426</v>
      </c>
      <c r="B426" s="0" t="n">
        <f aca="false">Raw_Data!AJ426</f>
        <v>4</v>
      </c>
      <c r="C426" s="0" t="n">
        <f aca="false">Raw_Data!AK426</f>
        <v>2</v>
      </c>
      <c r="D426" s="0" t="n">
        <f aca="false">Raw_Data!AL426</f>
        <v>5</v>
      </c>
      <c r="E426" s="0" t="n">
        <f aca="false">Raw_Data!AM426</f>
        <v>4</v>
      </c>
      <c r="F426" s="0" t="n">
        <f aca="false">Raw_Data!AN426</f>
        <v>4</v>
      </c>
      <c r="G426" s="0" t="n">
        <f aca="false">Raw_Data!AO426</f>
        <v>2</v>
      </c>
      <c r="H426" s="0" t="n">
        <f aca="false">SUM(B426:G426)</f>
        <v>21</v>
      </c>
      <c r="I426" s="0" t="n">
        <f aca="false">H426-B426</f>
        <v>17</v>
      </c>
      <c r="J426" s="0" t="n">
        <f aca="false">H426-C426</f>
        <v>19</v>
      </c>
      <c r="K426" s="0" t="n">
        <f aca="false">H426-D426</f>
        <v>16</v>
      </c>
      <c r="L426" s="0" t="n">
        <f aca="false">H426-E426</f>
        <v>17</v>
      </c>
      <c r="M426" s="0" t="n">
        <f aca="false">H426-F426</f>
        <v>17</v>
      </c>
      <c r="N426" s="0" t="n">
        <f aca="false">H426-G426</f>
        <v>19</v>
      </c>
      <c r="O426" s="0" t="n">
        <f aca="false">B426+D426+F426</f>
        <v>13</v>
      </c>
      <c r="P426" s="0" t="n">
        <f aca="false">C426+E426+G426</f>
        <v>8</v>
      </c>
    </row>
    <row r="427" customFormat="false" ht="15" hidden="false" customHeight="false" outlineLevel="0" collapsed="false">
      <c r="A427" s="0" t="n">
        <v>427</v>
      </c>
      <c r="B427" s="0" t="n">
        <f aca="false">Raw_Data!AJ427</f>
        <v>3</v>
      </c>
      <c r="C427" s="0" t="n">
        <f aca="false">Raw_Data!AK427</f>
        <v>4</v>
      </c>
      <c r="D427" s="0" t="n">
        <f aca="false">Raw_Data!AL427</f>
        <v>5</v>
      </c>
      <c r="E427" s="0" t="n">
        <f aca="false">Raw_Data!AM427</f>
        <v>4</v>
      </c>
      <c r="F427" s="0" t="n">
        <f aca="false">Raw_Data!AN427</f>
        <v>2</v>
      </c>
      <c r="G427" s="0" t="n">
        <f aca="false">Raw_Data!AO427</f>
        <v>3</v>
      </c>
      <c r="H427" s="0" t="n">
        <f aca="false">SUM(B427:G427)</f>
        <v>21</v>
      </c>
      <c r="I427" s="0" t="n">
        <f aca="false">H427-B427</f>
        <v>18</v>
      </c>
      <c r="J427" s="0" t="n">
        <f aca="false">H427-C427</f>
        <v>17</v>
      </c>
      <c r="K427" s="0" t="n">
        <f aca="false">H427-D427</f>
        <v>16</v>
      </c>
      <c r="L427" s="0" t="n">
        <f aca="false">H427-E427</f>
        <v>17</v>
      </c>
      <c r="M427" s="0" t="n">
        <f aca="false">H427-F427</f>
        <v>19</v>
      </c>
      <c r="N427" s="0" t="n">
        <f aca="false">H427-G427</f>
        <v>18</v>
      </c>
      <c r="O427" s="0" t="n">
        <f aca="false">B427+D427+F427</f>
        <v>10</v>
      </c>
      <c r="P427" s="0" t="n">
        <f aca="false">C427+E427+G427</f>
        <v>11</v>
      </c>
    </row>
    <row r="428" customFormat="false" ht="15" hidden="false" customHeight="false" outlineLevel="0" collapsed="false">
      <c r="A428" s="0" t="n">
        <v>428</v>
      </c>
      <c r="B428" s="0" t="n">
        <f aca="false">Raw_Data!AJ428</f>
        <v>4</v>
      </c>
      <c r="C428" s="0" t="n">
        <f aca="false">Raw_Data!AK428</f>
        <v>3</v>
      </c>
      <c r="D428" s="0" t="n">
        <f aca="false">Raw_Data!AL428</f>
        <v>4</v>
      </c>
      <c r="E428" s="0" t="n">
        <f aca="false">Raw_Data!AM428</f>
        <v>4</v>
      </c>
      <c r="F428" s="0" t="n">
        <f aca="false">Raw_Data!AN428</f>
        <v>2</v>
      </c>
      <c r="G428" s="0" t="n">
        <f aca="false">Raw_Data!AO428</f>
        <v>3</v>
      </c>
      <c r="H428" s="0" t="n">
        <f aca="false">SUM(B428:G428)</f>
        <v>20</v>
      </c>
      <c r="I428" s="0" t="n">
        <f aca="false">H428-B428</f>
        <v>16</v>
      </c>
      <c r="J428" s="0" t="n">
        <f aca="false">H428-C428</f>
        <v>17</v>
      </c>
      <c r="K428" s="0" t="n">
        <f aca="false">H428-D428</f>
        <v>16</v>
      </c>
      <c r="L428" s="0" t="n">
        <f aca="false">H428-E428</f>
        <v>16</v>
      </c>
      <c r="M428" s="0" t="n">
        <f aca="false">H428-F428</f>
        <v>18</v>
      </c>
      <c r="N428" s="0" t="n">
        <f aca="false">H428-G428</f>
        <v>17</v>
      </c>
      <c r="O428" s="0" t="n">
        <f aca="false">B428+D428+F428</f>
        <v>10</v>
      </c>
      <c r="P428" s="0" t="n">
        <f aca="false">C428+E428+G428</f>
        <v>10</v>
      </c>
    </row>
    <row r="429" customFormat="false" ht="15" hidden="false" customHeight="false" outlineLevel="0" collapsed="false">
      <c r="A429" s="0" t="n">
        <v>429</v>
      </c>
      <c r="B429" s="0" t="n">
        <f aca="false">Raw_Data!AJ429</f>
        <v>5</v>
      </c>
      <c r="C429" s="0" t="n">
        <f aca="false">Raw_Data!AK429</f>
        <v>3</v>
      </c>
      <c r="D429" s="0" t="n">
        <f aca="false">Raw_Data!AL429</f>
        <v>5</v>
      </c>
      <c r="E429" s="0" t="n">
        <f aca="false">Raw_Data!AM429</f>
        <v>4</v>
      </c>
      <c r="F429" s="0" t="n">
        <f aca="false">Raw_Data!AN429</f>
        <v>3</v>
      </c>
      <c r="G429" s="0" t="n">
        <f aca="false">Raw_Data!AO429</f>
        <v>4</v>
      </c>
      <c r="H429" s="0" t="n">
        <f aca="false">SUM(B429:G429)</f>
        <v>24</v>
      </c>
      <c r="I429" s="0" t="n">
        <f aca="false">H429-B429</f>
        <v>19</v>
      </c>
      <c r="J429" s="0" t="n">
        <f aca="false">H429-C429</f>
        <v>21</v>
      </c>
      <c r="K429" s="0" t="n">
        <f aca="false">H429-D429</f>
        <v>19</v>
      </c>
      <c r="L429" s="0" t="n">
        <f aca="false">H429-E429</f>
        <v>20</v>
      </c>
      <c r="M429" s="0" t="n">
        <f aca="false">H429-F429</f>
        <v>21</v>
      </c>
      <c r="N429" s="0" t="n">
        <f aca="false">H429-G429</f>
        <v>20</v>
      </c>
      <c r="O429" s="0" t="n">
        <f aca="false">B429+D429+F429</f>
        <v>13</v>
      </c>
      <c r="P429" s="0" t="n">
        <f aca="false">C429+E429+G429</f>
        <v>11</v>
      </c>
    </row>
    <row r="430" customFormat="false" ht="15" hidden="false" customHeight="false" outlineLevel="0" collapsed="false">
      <c r="A430" s="0" t="n">
        <v>430</v>
      </c>
      <c r="B430" s="0" t="n">
        <f aca="false">Raw_Data!AJ430</f>
        <v>2</v>
      </c>
      <c r="C430" s="0" t="n">
        <f aca="false">Raw_Data!AK430</f>
        <v>2</v>
      </c>
      <c r="D430" s="0" t="n">
        <f aca="false">Raw_Data!AL430</f>
        <v>4</v>
      </c>
      <c r="E430" s="0" t="n">
        <f aca="false">Raw_Data!AM430</f>
        <v>4</v>
      </c>
      <c r="F430" s="0" t="n">
        <f aca="false">Raw_Data!AN430</f>
        <v>3</v>
      </c>
      <c r="G430" s="0" t="n">
        <f aca="false">Raw_Data!AO430</f>
        <v>3</v>
      </c>
      <c r="H430" s="0" t="n">
        <f aca="false">SUM(B430:G430)</f>
        <v>18</v>
      </c>
      <c r="I430" s="0" t="n">
        <f aca="false">H430-B430</f>
        <v>16</v>
      </c>
      <c r="J430" s="0" t="n">
        <f aca="false">H430-C430</f>
        <v>16</v>
      </c>
      <c r="K430" s="0" t="n">
        <f aca="false">H430-D430</f>
        <v>14</v>
      </c>
      <c r="L430" s="0" t="n">
        <f aca="false">H430-E430</f>
        <v>14</v>
      </c>
      <c r="M430" s="0" t="n">
        <f aca="false">H430-F430</f>
        <v>15</v>
      </c>
      <c r="N430" s="0" t="n">
        <f aca="false">H430-G430</f>
        <v>15</v>
      </c>
      <c r="O430" s="0" t="n">
        <f aca="false">B430+D430+F430</f>
        <v>9</v>
      </c>
      <c r="P430" s="0" t="n">
        <f aca="false">C430+E430+G430</f>
        <v>9</v>
      </c>
    </row>
    <row r="431" customFormat="false" ht="15" hidden="false" customHeight="false" outlineLevel="0" collapsed="false">
      <c r="A431" s="0" t="n">
        <v>431</v>
      </c>
      <c r="B431" s="0" t="n">
        <f aca="false">Raw_Data!AJ431</f>
        <v>2</v>
      </c>
      <c r="C431" s="0" t="n">
        <f aca="false">Raw_Data!AK431</f>
        <v>2</v>
      </c>
      <c r="D431" s="0" t="n">
        <f aca="false">Raw_Data!AL431</f>
        <v>4</v>
      </c>
      <c r="E431" s="0" t="n">
        <f aca="false">Raw_Data!AM431</f>
        <v>4</v>
      </c>
      <c r="F431" s="0" t="n">
        <f aca="false">Raw_Data!AN431</f>
        <v>3</v>
      </c>
      <c r="G431" s="0" t="n">
        <f aca="false">Raw_Data!AO431</f>
        <v>2</v>
      </c>
      <c r="H431" s="0" t="n">
        <f aca="false">SUM(B431:G431)</f>
        <v>17</v>
      </c>
      <c r="I431" s="0" t="n">
        <f aca="false">H431-B431</f>
        <v>15</v>
      </c>
      <c r="J431" s="0" t="n">
        <f aca="false">H431-C431</f>
        <v>15</v>
      </c>
      <c r="K431" s="0" t="n">
        <f aca="false">H431-D431</f>
        <v>13</v>
      </c>
      <c r="L431" s="0" t="n">
        <f aca="false">H431-E431</f>
        <v>13</v>
      </c>
      <c r="M431" s="0" t="n">
        <f aca="false">H431-F431</f>
        <v>14</v>
      </c>
      <c r="N431" s="0" t="n">
        <f aca="false">H431-G431</f>
        <v>15</v>
      </c>
      <c r="O431" s="0" t="n">
        <f aca="false">B431+D431+F431</f>
        <v>9</v>
      </c>
      <c r="P431" s="0" t="n">
        <f aca="false">C431+E431+G431</f>
        <v>8</v>
      </c>
    </row>
    <row r="432" customFormat="false" ht="15" hidden="false" customHeight="false" outlineLevel="0" collapsed="false">
      <c r="A432" s="0" t="n">
        <v>432</v>
      </c>
      <c r="B432" s="0" t="n">
        <f aca="false">Raw_Data!AJ432</f>
        <v>3</v>
      </c>
      <c r="C432" s="0" t="n">
        <f aca="false">Raw_Data!AK432</f>
        <v>3</v>
      </c>
      <c r="D432" s="0" t="n">
        <f aca="false">Raw_Data!AL432</f>
        <v>5</v>
      </c>
      <c r="E432" s="0" t="n">
        <f aca="false">Raw_Data!AM432</f>
        <v>2</v>
      </c>
      <c r="F432" s="0" t="n">
        <f aca="false">Raw_Data!AN432</f>
        <v>1</v>
      </c>
      <c r="G432" s="0" t="n">
        <f aca="false">Raw_Data!AO432</f>
        <v>4</v>
      </c>
      <c r="H432" s="0" t="n">
        <f aca="false">SUM(B432:G432)</f>
        <v>18</v>
      </c>
      <c r="I432" s="0" t="n">
        <f aca="false">H432-B432</f>
        <v>15</v>
      </c>
      <c r="J432" s="0" t="n">
        <f aca="false">H432-C432</f>
        <v>15</v>
      </c>
      <c r="K432" s="0" t="n">
        <f aca="false">H432-D432</f>
        <v>13</v>
      </c>
      <c r="L432" s="0" t="n">
        <f aca="false">H432-E432</f>
        <v>16</v>
      </c>
      <c r="M432" s="0" t="n">
        <f aca="false">H432-F432</f>
        <v>17</v>
      </c>
      <c r="N432" s="0" t="n">
        <f aca="false">H432-G432</f>
        <v>14</v>
      </c>
      <c r="O432" s="0" t="n">
        <f aca="false">B432+D432+F432</f>
        <v>9</v>
      </c>
      <c r="P432" s="0" t="n">
        <f aca="false">C432+E432+G432</f>
        <v>9</v>
      </c>
    </row>
    <row r="433" customFormat="false" ht="15" hidden="false" customHeight="false" outlineLevel="0" collapsed="false">
      <c r="A433" s="0" t="n">
        <v>433</v>
      </c>
      <c r="B433" s="0" t="n">
        <f aca="false">Raw_Data!AJ433</f>
        <v>5</v>
      </c>
      <c r="C433" s="0" t="n">
        <f aca="false">Raw_Data!AK433</f>
        <v>5</v>
      </c>
      <c r="D433" s="0" t="n">
        <f aca="false">Raw_Data!AL433</f>
        <v>5</v>
      </c>
      <c r="E433" s="0" t="n">
        <f aca="false">Raw_Data!AM433</f>
        <v>4</v>
      </c>
      <c r="F433" s="0" t="n">
        <f aca="false">Raw_Data!AN433</f>
        <v>4</v>
      </c>
      <c r="G433" s="0" t="n">
        <f aca="false">Raw_Data!AO433</f>
        <v>4</v>
      </c>
      <c r="H433" s="0" t="n">
        <f aca="false">SUM(B433:G433)</f>
        <v>27</v>
      </c>
      <c r="I433" s="0" t="n">
        <f aca="false">H433-B433</f>
        <v>22</v>
      </c>
      <c r="J433" s="0" t="n">
        <f aca="false">H433-C433</f>
        <v>22</v>
      </c>
      <c r="K433" s="0" t="n">
        <f aca="false">H433-D433</f>
        <v>22</v>
      </c>
      <c r="L433" s="0" t="n">
        <f aca="false">H433-E433</f>
        <v>23</v>
      </c>
      <c r="M433" s="0" t="n">
        <f aca="false">H433-F433</f>
        <v>23</v>
      </c>
      <c r="N433" s="0" t="n">
        <f aca="false">H433-G433</f>
        <v>23</v>
      </c>
      <c r="O433" s="0" t="n">
        <f aca="false">B433+D433+F433</f>
        <v>14</v>
      </c>
      <c r="P433" s="0" t="n">
        <f aca="false">C433+E433+G433</f>
        <v>13</v>
      </c>
    </row>
    <row r="434" customFormat="false" ht="15" hidden="false" customHeight="false" outlineLevel="0" collapsed="false">
      <c r="A434" s="0" t="n">
        <v>434</v>
      </c>
      <c r="B434" s="0" t="n">
        <f aca="false">Raw_Data!AJ434</f>
        <v>4</v>
      </c>
      <c r="C434" s="0" t="n">
        <f aca="false">Raw_Data!AK434</f>
        <v>2</v>
      </c>
      <c r="D434" s="0" t="n">
        <f aca="false">Raw_Data!AL434</f>
        <v>2</v>
      </c>
      <c r="E434" s="0" t="n">
        <f aca="false">Raw_Data!AM434</f>
        <v>2</v>
      </c>
      <c r="F434" s="0" t="n">
        <f aca="false">Raw_Data!AN434</f>
        <v>4</v>
      </c>
      <c r="G434" s="0" t="n">
        <f aca="false">Raw_Data!AO434</f>
        <v>3</v>
      </c>
      <c r="H434" s="0" t="n">
        <f aca="false">SUM(B434:G434)</f>
        <v>17</v>
      </c>
      <c r="I434" s="0" t="n">
        <f aca="false">H434-B434</f>
        <v>13</v>
      </c>
      <c r="J434" s="0" t="n">
        <f aca="false">H434-C434</f>
        <v>15</v>
      </c>
      <c r="K434" s="0" t="n">
        <f aca="false">H434-D434</f>
        <v>15</v>
      </c>
      <c r="L434" s="0" t="n">
        <f aca="false">H434-E434</f>
        <v>15</v>
      </c>
      <c r="M434" s="0" t="n">
        <f aca="false">H434-F434</f>
        <v>13</v>
      </c>
      <c r="N434" s="0" t="n">
        <f aca="false">H434-G434</f>
        <v>14</v>
      </c>
      <c r="O434" s="0" t="n">
        <f aca="false">B434+D434+F434</f>
        <v>10</v>
      </c>
      <c r="P434" s="0" t="n">
        <f aca="false">C434+E434+G434</f>
        <v>7</v>
      </c>
    </row>
    <row r="435" customFormat="false" ht="15" hidden="false" customHeight="false" outlineLevel="0" collapsed="false">
      <c r="A435" s="0" t="n">
        <v>435</v>
      </c>
      <c r="B435" s="0" t="n">
        <f aca="false">Raw_Data!AJ435</f>
        <v>5</v>
      </c>
      <c r="C435" s="0" t="n">
        <f aca="false">Raw_Data!AK435</f>
        <v>2</v>
      </c>
      <c r="D435" s="0" t="n">
        <f aca="false">Raw_Data!AL435</f>
        <v>4</v>
      </c>
      <c r="E435" s="0" t="n">
        <f aca="false">Raw_Data!AM435</f>
        <v>4</v>
      </c>
      <c r="F435" s="0" t="n">
        <f aca="false">Raw_Data!AN435</f>
        <v>4</v>
      </c>
      <c r="G435" s="0" t="n">
        <f aca="false">Raw_Data!AO435</f>
        <v>4</v>
      </c>
      <c r="H435" s="0" t="n">
        <f aca="false">SUM(B435:G435)</f>
        <v>23</v>
      </c>
      <c r="I435" s="0" t="n">
        <f aca="false">H435-B435</f>
        <v>18</v>
      </c>
      <c r="J435" s="0" t="n">
        <f aca="false">H435-C435</f>
        <v>21</v>
      </c>
      <c r="K435" s="0" t="n">
        <f aca="false">H435-D435</f>
        <v>19</v>
      </c>
      <c r="L435" s="0" t="n">
        <f aca="false">H435-E435</f>
        <v>19</v>
      </c>
      <c r="M435" s="0" t="n">
        <f aca="false">H435-F435</f>
        <v>19</v>
      </c>
      <c r="N435" s="0" t="n">
        <f aca="false">H435-G435</f>
        <v>19</v>
      </c>
      <c r="O435" s="0" t="n">
        <f aca="false">B435+D435+F435</f>
        <v>13</v>
      </c>
      <c r="P435" s="0" t="n">
        <f aca="false">C435+E435+G435</f>
        <v>10</v>
      </c>
    </row>
    <row r="436" customFormat="false" ht="15" hidden="false" customHeight="false" outlineLevel="0" collapsed="false">
      <c r="A436" s="0" t="n">
        <v>436</v>
      </c>
      <c r="B436" s="0" t="n">
        <f aca="false">Raw_Data!AJ436</f>
        <v>1</v>
      </c>
      <c r="C436" s="0" t="n">
        <f aca="false">Raw_Data!AK436</f>
        <v>4</v>
      </c>
      <c r="D436" s="0" t="n">
        <f aca="false">Raw_Data!AL436</f>
        <v>2</v>
      </c>
      <c r="E436" s="0" t="n">
        <f aca="false">Raw_Data!AM436</f>
        <v>4</v>
      </c>
      <c r="F436" s="0" t="n">
        <f aca="false">Raw_Data!AN436</f>
        <v>1</v>
      </c>
      <c r="G436" s="0" t="n">
        <f aca="false">Raw_Data!AO436</f>
        <v>2</v>
      </c>
      <c r="H436" s="0" t="n">
        <f aca="false">SUM(B436:G436)</f>
        <v>14</v>
      </c>
      <c r="I436" s="0" t="n">
        <f aca="false">H436-B436</f>
        <v>13</v>
      </c>
      <c r="J436" s="0" t="n">
        <f aca="false">H436-C436</f>
        <v>10</v>
      </c>
      <c r="K436" s="0" t="n">
        <f aca="false">H436-D436</f>
        <v>12</v>
      </c>
      <c r="L436" s="0" t="n">
        <f aca="false">H436-E436</f>
        <v>10</v>
      </c>
      <c r="M436" s="0" t="n">
        <f aca="false">H436-F436</f>
        <v>13</v>
      </c>
      <c r="N436" s="0" t="n">
        <f aca="false">H436-G436</f>
        <v>12</v>
      </c>
      <c r="O436" s="0" t="n">
        <f aca="false">B436+D436+F436</f>
        <v>4</v>
      </c>
      <c r="P436" s="0" t="n">
        <f aca="false">C436+E436+G436</f>
        <v>10</v>
      </c>
    </row>
    <row r="437" customFormat="false" ht="15" hidden="false" customHeight="false" outlineLevel="0" collapsed="false">
      <c r="A437" s="0" t="n">
        <v>437</v>
      </c>
      <c r="B437" s="0" t="n">
        <f aca="false">Raw_Data!AJ437</f>
        <v>3</v>
      </c>
      <c r="C437" s="0" t="n">
        <f aca="false">Raw_Data!AK437</f>
        <v>3</v>
      </c>
      <c r="D437" s="0" t="n">
        <f aca="false">Raw_Data!AL437</f>
        <v>4</v>
      </c>
      <c r="E437" s="0" t="n">
        <f aca="false">Raw_Data!AM437</f>
        <v>4</v>
      </c>
      <c r="F437" s="0" t="n">
        <f aca="false">Raw_Data!AN437</f>
        <v>4</v>
      </c>
      <c r="G437" s="0" t="n">
        <f aca="false">Raw_Data!AO437</f>
        <v>3</v>
      </c>
      <c r="H437" s="0" t="n">
        <f aca="false">SUM(B437:G437)</f>
        <v>21</v>
      </c>
      <c r="I437" s="0" t="n">
        <f aca="false">H437-B437</f>
        <v>18</v>
      </c>
      <c r="J437" s="0" t="n">
        <f aca="false">H437-C437</f>
        <v>18</v>
      </c>
      <c r="K437" s="0" t="n">
        <f aca="false">H437-D437</f>
        <v>17</v>
      </c>
      <c r="L437" s="0" t="n">
        <f aca="false">H437-E437</f>
        <v>17</v>
      </c>
      <c r="M437" s="0" t="n">
        <f aca="false">H437-F437</f>
        <v>17</v>
      </c>
      <c r="N437" s="0" t="n">
        <f aca="false">H437-G437</f>
        <v>18</v>
      </c>
      <c r="O437" s="0" t="n">
        <f aca="false">B437+D437+F437</f>
        <v>11</v>
      </c>
      <c r="P437" s="0" t="n">
        <f aca="false">C437+E437+G437</f>
        <v>10</v>
      </c>
    </row>
    <row r="438" customFormat="false" ht="15" hidden="false" customHeight="false" outlineLevel="0" collapsed="false">
      <c r="A438" s="0" t="n">
        <v>438</v>
      </c>
      <c r="B438" s="0" t="n">
        <f aca="false">Raw_Data!AJ438</f>
        <v>3</v>
      </c>
      <c r="C438" s="0" t="n">
        <f aca="false">Raw_Data!AK438</f>
        <v>4</v>
      </c>
      <c r="D438" s="0" t="n">
        <f aca="false">Raw_Data!AL438</f>
        <v>3</v>
      </c>
      <c r="E438" s="0" t="n">
        <f aca="false">Raw_Data!AM438</f>
        <v>4</v>
      </c>
      <c r="F438" s="0" t="n">
        <f aca="false">Raw_Data!AN438</f>
        <v>2</v>
      </c>
      <c r="G438" s="0" t="n">
        <f aca="false">Raw_Data!AO438</f>
        <v>4</v>
      </c>
      <c r="H438" s="0" t="n">
        <f aca="false">SUM(B438:G438)</f>
        <v>20</v>
      </c>
      <c r="I438" s="0" t="n">
        <f aca="false">H438-B438</f>
        <v>17</v>
      </c>
      <c r="J438" s="0" t="n">
        <f aca="false">H438-C438</f>
        <v>16</v>
      </c>
      <c r="K438" s="0" t="n">
        <f aca="false">H438-D438</f>
        <v>17</v>
      </c>
      <c r="L438" s="0" t="n">
        <f aca="false">H438-E438</f>
        <v>16</v>
      </c>
      <c r="M438" s="0" t="n">
        <f aca="false">H438-F438</f>
        <v>18</v>
      </c>
      <c r="N438" s="0" t="n">
        <f aca="false">H438-G438</f>
        <v>16</v>
      </c>
      <c r="O438" s="0" t="n">
        <f aca="false">B438+D438+F438</f>
        <v>8</v>
      </c>
      <c r="P438" s="0" t="n">
        <f aca="false">C438+E438+G438</f>
        <v>12</v>
      </c>
    </row>
    <row r="439" customFormat="false" ht="15" hidden="false" customHeight="false" outlineLevel="0" collapsed="false">
      <c r="A439" s="0" t="n">
        <v>439</v>
      </c>
      <c r="B439" s="0" t="n">
        <f aca="false">Raw_Data!AJ439</f>
        <v>3</v>
      </c>
      <c r="C439" s="0" t="n">
        <f aca="false">Raw_Data!AK439</f>
        <v>4</v>
      </c>
      <c r="D439" s="0" t="n">
        <f aca="false">Raw_Data!AL439</f>
        <v>4</v>
      </c>
      <c r="E439" s="0" t="n">
        <f aca="false">Raw_Data!AM439</f>
        <v>3</v>
      </c>
      <c r="F439" s="0" t="n">
        <f aca="false">Raw_Data!AN439</f>
        <v>3</v>
      </c>
      <c r="G439" s="0" t="n">
        <f aca="false">Raw_Data!AO439</f>
        <v>4</v>
      </c>
      <c r="H439" s="0" t="n">
        <f aca="false">SUM(B439:G439)</f>
        <v>21</v>
      </c>
      <c r="I439" s="0" t="n">
        <f aca="false">H439-B439</f>
        <v>18</v>
      </c>
      <c r="J439" s="0" t="n">
        <f aca="false">H439-C439</f>
        <v>17</v>
      </c>
      <c r="K439" s="0" t="n">
        <f aca="false">H439-D439</f>
        <v>17</v>
      </c>
      <c r="L439" s="0" t="n">
        <f aca="false">H439-E439</f>
        <v>18</v>
      </c>
      <c r="M439" s="0" t="n">
        <f aca="false">H439-F439</f>
        <v>18</v>
      </c>
      <c r="N439" s="0" t="n">
        <f aca="false">H439-G439</f>
        <v>17</v>
      </c>
      <c r="O439" s="0" t="n">
        <f aca="false">B439+D439+F439</f>
        <v>10</v>
      </c>
      <c r="P439" s="0" t="n">
        <f aca="false">C439+E439+G439</f>
        <v>11</v>
      </c>
    </row>
    <row r="440" customFormat="false" ht="15" hidden="false" customHeight="false" outlineLevel="0" collapsed="false">
      <c r="A440" s="0" t="n">
        <v>440</v>
      </c>
      <c r="B440" s="0" t="n">
        <f aca="false">Raw_Data!AJ440</f>
        <v>5</v>
      </c>
      <c r="C440" s="0" t="n">
        <f aca="false">Raw_Data!AK440</f>
        <v>5</v>
      </c>
      <c r="D440" s="0" t="n">
        <f aca="false">Raw_Data!AL440</f>
        <v>4</v>
      </c>
      <c r="E440" s="0" t="n">
        <f aca="false">Raw_Data!AM440</f>
        <v>4</v>
      </c>
      <c r="F440" s="0" t="n">
        <f aca="false">Raw_Data!AN440</f>
        <v>1</v>
      </c>
      <c r="G440" s="0" t="n">
        <f aca="false">Raw_Data!AO440</f>
        <v>3</v>
      </c>
      <c r="H440" s="0" t="n">
        <f aca="false">SUM(B440:G440)</f>
        <v>22</v>
      </c>
      <c r="I440" s="0" t="n">
        <f aca="false">H440-B440</f>
        <v>17</v>
      </c>
      <c r="J440" s="0" t="n">
        <f aca="false">H440-C440</f>
        <v>17</v>
      </c>
      <c r="K440" s="0" t="n">
        <f aca="false">H440-D440</f>
        <v>18</v>
      </c>
      <c r="L440" s="0" t="n">
        <f aca="false">H440-E440</f>
        <v>18</v>
      </c>
      <c r="M440" s="0" t="n">
        <f aca="false">H440-F440</f>
        <v>21</v>
      </c>
      <c r="N440" s="0" t="n">
        <f aca="false">H440-G440</f>
        <v>19</v>
      </c>
      <c r="O440" s="0" t="n">
        <f aca="false">B440+D440+F440</f>
        <v>10</v>
      </c>
      <c r="P440" s="0" t="n">
        <f aca="false">C440+E440+G440</f>
        <v>12</v>
      </c>
    </row>
    <row r="441" customFormat="false" ht="15" hidden="false" customHeight="false" outlineLevel="0" collapsed="false">
      <c r="A441" s="0" t="n">
        <v>441</v>
      </c>
      <c r="B441" s="0" t="n">
        <f aca="false">Raw_Data!AJ441</f>
        <v>4</v>
      </c>
      <c r="C441" s="0" t="n">
        <f aca="false">Raw_Data!AK441</f>
        <v>1</v>
      </c>
      <c r="D441" s="0" t="n">
        <f aca="false">Raw_Data!AL441</f>
        <v>5</v>
      </c>
      <c r="E441" s="0" t="n">
        <f aca="false">Raw_Data!AM441</f>
        <v>3</v>
      </c>
      <c r="F441" s="0" t="n">
        <f aca="false">Raw_Data!AN441</f>
        <v>2</v>
      </c>
      <c r="G441" s="0" t="n">
        <f aca="false">Raw_Data!AO441</f>
        <v>2</v>
      </c>
      <c r="H441" s="0" t="n">
        <f aca="false">SUM(B441:G441)</f>
        <v>17</v>
      </c>
      <c r="I441" s="0" t="n">
        <f aca="false">H441-B441</f>
        <v>13</v>
      </c>
      <c r="J441" s="0" t="n">
        <f aca="false">H441-C441</f>
        <v>16</v>
      </c>
      <c r="K441" s="0" t="n">
        <f aca="false">H441-D441</f>
        <v>12</v>
      </c>
      <c r="L441" s="0" t="n">
        <f aca="false">H441-E441</f>
        <v>14</v>
      </c>
      <c r="M441" s="0" t="n">
        <f aca="false">H441-F441</f>
        <v>15</v>
      </c>
      <c r="N441" s="0" t="n">
        <f aca="false">H441-G441</f>
        <v>15</v>
      </c>
      <c r="O441" s="0" t="n">
        <f aca="false">B441+D441+F441</f>
        <v>11</v>
      </c>
      <c r="P441" s="0" t="n">
        <f aca="false">C441+E441+G441</f>
        <v>6</v>
      </c>
    </row>
    <row r="442" customFormat="false" ht="15" hidden="false" customHeight="false" outlineLevel="0" collapsed="false">
      <c r="A442" s="0" t="n">
        <v>442</v>
      </c>
      <c r="B442" s="0" t="n">
        <f aca="false">Raw_Data!AJ442</f>
        <v>2</v>
      </c>
      <c r="C442" s="0" t="n">
        <f aca="false">Raw_Data!AK442</f>
        <v>2</v>
      </c>
      <c r="D442" s="0" t="n">
        <f aca="false">Raw_Data!AL442</f>
        <v>4</v>
      </c>
      <c r="E442" s="0" t="n">
        <f aca="false">Raw_Data!AM442</f>
        <v>2</v>
      </c>
      <c r="F442" s="0" t="n">
        <f aca="false">Raw_Data!AN442</f>
        <v>2</v>
      </c>
      <c r="G442" s="0" t="n">
        <f aca="false">Raw_Data!AO442</f>
        <v>1</v>
      </c>
      <c r="H442" s="0" t="n">
        <f aca="false">SUM(B442:G442)</f>
        <v>13</v>
      </c>
      <c r="I442" s="0" t="n">
        <f aca="false">H442-B442</f>
        <v>11</v>
      </c>
      <c r="J442" s="0" t="n">
        <f aca="false">H442-C442</f>
        <v>11</v>
      </c>
      <c r="K442" s="0" t="n">
        <f aca="false">H442-D442</f>
        <v>9</v>
      </c>
      <c r="L442" s="0" t="n">
        <f aca="false">H442-E442</f>
        <v>11</v>
      </c>
      <c r="M442" s="0" t="n">
        <f aca="false">H442-F442</f>
        <v>11</v>
      </c>
      <c r="N442" s="0" t="n">
        <f aca="false">H442-G442</f>
        <v>12</v>
      </c>
      <c r="O442" s="0" t="n">
        <f aca="false">B442+D442+F442</f>
        <v>8</v>
      </c>
      <c r="P442" s="0" t="n">
        <f aca="false">C442+E442+G442</f>
        <v>5</v>
      </c>
    </row>
    <row r="443" customFormat="false" ht="15" hidden="false" customHeight="false" outlineLevel="0" collapsed="false">
      <c r="A443" s="0" t="n">
        <v>443</v>
      </c>
      <c r="B443" s="0" t="n">
        <f aca="false">Raw_Data!AJ443</f>
        <v>4</v>
      </c>
      <c r="C443" s="0" t="n">
        <f aca="false">Raw_Data!AK443</f>
        <v>3</v>
      </c>
      <c r="D443" s="0" t="n">
        <f aca="false">Raw_Data!AL443</f>
        <v>4</v>
      </c>
      <c r="E443" s="0" t="n">
        <f aca="false">Raw_Data!AM443</f>
        <v>3</v>
      </c>
      <c r="F443" s="0" t="n">
        <f aca="false">Raw_Data!AN443</f>
        <v>3</v>
      </c>
      <c r="G443" s="0" t="n">
        <f aca="false">Raw_Data!AO443</f>
        <v>4</v>
      </c>
      <c r="H443" s="0" t="n">
        <f aca="false">SUM(B443:G443)</f>
        <v>21</v>
      </c>
      <c r="I443" s="0" t="n">
        <f aca="false">H443-B443</f>
        <v>17</v>
      </c>
      <c r="J443" s="0" t="n">
        <f aca="false">H443-C443</f>
        <v>18</v>
      </c>
      <c r="K443" s="0" t="n">
        <f aca="false">H443-D443</f>
        <v>17</v>
      </c>
      <c r="L443" s="0" t="n">
        <f aca="false">H443-E443</f>
        <v>18</v>
      </c>
      <c r="M443" s="0" t="n">
        <f aca="false">H443-F443</f>
        <v>18</v>
      </c>
      <c r="N443" s="0" t="n">
        <f aca="false">H443-G443</f>
        <v>17</v>
      </c>
      <c r="O443" s="0" t="n">
        <f aca="false">B443+D443+F443</f>
        <v>11</v>
      </c>
      <c r="P443" s="0" t="n">
        <f aca="false">C443+E443+G443</f>
        <v>10</v>
      </c>
    </row>
    <row r="444" customFormat="false" ht="15" hidden="false" customHeight="false" outlineLevel="0" collapsed="false">
      <c r="A444" s="0" t="n">
        <v>444</v>
      </c>
      <c r="B444" s="0" t="n">
        <f aca="false">Raw_Data!AJ444</f>
        <v>4</v>
      </c>
      <c r="C444" s="0" t="n">
        <f aca="false">Raw_Data!AK444</f>
        <v>2</v>
      </c>
      <c r="D444" s="0" t="n">
        <f aca="false">Raw_Data!AL444</f>
        <v>3</v>
      </c>
      <c r="E444" s="0" t="n">
        <f aca="false">Raw_Data!AM444</f>
        <v>3</v>
      </c>
      <c r="F444" s="0" t="n">
        <f aca="false">Raw_Data!AN444</f>
        <v>3</v>
      </c>
      <c r="G444" s="0" t="n">
        <f aca="false">Raw_Data!AO444</f>
        <v>3</v>
      </c>
      <c r="H444" s="0" t="n">
        <f aca="false">SUM(B444:G444)</f>
        <v>18</v>
      </c>
      <c r="I444" s="0" t="n">
        <f aca="false">H444-B444</f>
        <v>14</v>
      </c>
      <c r="J444" s="0" t="n">
        <f aca="false">H444-C444</f>
        <v>16</v>
      </c>
      <c r="K444" s="0" t="n">
        <f aca="false">H444-D444</f>
        <v>15</v>
      </c>
      <c r="L444" s="0" t="n">
        <f aca="false">H444-E444</f>
        <v>15</v>
      </c>
      <c r="M444" s="0" t="n">
        <f aca="false">H444-F444</f>
        <v>15</v>
      </c>
      <c r="N444" s="0" t="n">
        <f aca="false">H444-G444</f>
        <v>15</v>
      </c>
      <c r="O444" s="0" t="n">
        <f aca="false">B444+D444+F444</f>
        <v>10</v>
      </c>
      <c r="P444" s="0" t="n">
        <f aca="false">C444+E444+G444</f>
        <v>8</v>
      </c>
    </row>
    <row r="445" customFormat="false" ht="15" hidden="false" customHeight="false" outlineLevel="0" collapsed="false">
      <c r="A445" s="0" t="n">
        <v>445</v>
      </c>
      <c r="B445" s="0" t="n">
        <f aca="false">Raw_Data!AJ445</f>
        <v>4</v>
      </c>
      <c r="C445" s="0" t="n">
        <f aca="false">Raw_Data!AK445</f>
        <v>4</v>
      </c>
      <c r="D445" s="0" t="n">
        <f aca="false">Raw_Data!AL445</f>
        <v>5</v>
      </c>
      <c r="E445" s="0" t="n">
        <f aca="false">Raw_Data!AM445</f>
        <v>3</v>
      </c>
      <c r="F445" s="0" t="n">
        <f aca="false">Raw_Data!AN445</f>
        <v>3</v>
      </c>
      <c r="G445" s="0" t="n">
        <f aca="false">Raw_Data!AO445</f>
        <v>4</v>
      </c>
      <c r="H445" s="0" t="n">
        <f aca="false">SUM(B445:G445)</f>
        <v>23</v>
      </c>
      <c r="I445" s="0" t="n">
        <f aca="false">H445-B445</f>
        <v>19</v>
      </c>
      <c r="J445" s="0" t="n">
        <f aca="false">H445-C445</f>
        <v>19</v>
      </c>
      <c r="K445" s="0" t="n">
        <f aca="false">H445-D445</f>
        <v>18</v>
      </c>
      <c r="L445" s="0" t="n">
        <f aca="false">H445-E445</f>
        <v>20</v>
      </c>
      <c r="M445" s="0" t="n">
        <f aca="false">H445-F445</f>
        <v>20</v>
      </c>
      <c r="N445" s="0" t="n">
        <f aca="false">H445-G445</f>
        <v>19</v>
      </c>
      <c r="O445" s="0" t="n">
        <f aca="false">B445+D445+F445</f>
        <v>12</v>
      </c>
      <c r="P445" s="0" t="n">
        <f aca="false">C445+E445+G445</f>
        <v>11</v>
      </c>
    </row>
    <row r="446" customFormat="false" ht="15" hidden="false" customHeight="false" outlineLevel="0" collapsed="false">
      <c r="A446" s="0" t="n">
        <v>446</v>
      </c>
      <c r="B446" s="0" t="n">
        <f aca="false">Raw_Data!AJ446</f>
        <v>5</v>
      </c>
      <c r="C446" s="0" t="n">
        <f aca="false">Raw_Data!AK446</f>
        <v>1</v>
      </c>
      <c r="D446" s="0" t="n">
        <f aca="false">Raw_Data!AL446</f>
        <v>5</v>
      </c>
      <c r="E446" s="0" t="n">
        <f aca="false">Raw_Data!AM446</f>
        <v>4</v>
      </c>
      <c r="F446" s="0" t="n">
        <f aca="false">Raw_Data!AN446</f>
        <v>1</v>
      </c>
      <c r="G446" s="0" t="n">
        <f aca="false">Raw_Data!AO446</f>
        <v>3</v>
      </c>
      <c r="H446" s="0" t="n">
        <f aca="false">SUM(B446:G446)</f>
        <v>19</v>
      </c>
      <c r="I446" s="0" t="n">
        <f aca="false">H446-B446</f>
        <v>14</v>
      </c>
      <c r="J446" s="0" t="n">
        <f aca="false">H446-C446</f>
        <v>18</v>
      </c>
      <c r="K446" s="0" t="n">
        <f aca="false">H446-D446</f>
        <v>14</v>
      </c>
      <c r="L446" s="0" t="n">
        <f aca="false">H446-E446</f>
        <v>15</v>
      </c>
      <c r="M446" s="0" t="n">
        <f aca="false">H446-F446</f>
        <v>18</v>
      </c>
      <c r="N446" s="0" t="n">
        <f aca="false">H446-G446</f>
        <v>16</v>
      </c>
      <c r="O446" s="0" t="n">
        <f aca="false">B446+D446+F446</f>
        <v>11</v>
      </c>
      <c r="P446" s="0" t="n">
        <f aca="false">C446+E446+G446</f>
        <v>8</v>
      </c>
    </row>
    <row r="447" customFormat="false" ht="15" hidden="false" customHeight="false" outlineLevel="0" collapsed="false">
      <c r="A447" s="0" t="n">
        <v>447</v>
      </c>
      <c r="B447" s="0" t="n">
        <f aca="false">Raw_Data!AJ447</f>
        <v>5</v>
      </c>
      <c r="C447" s="0" t="n">
        <f aca="false">Raw_Data!AK447</f>
        <v>3</v>
      </c>
      <c r="D447" s="0" t="n">
        <f aca="false">Raw_Data!AL447</f>
        <v>3</v>
      </c>
      <c r="E447" s="0" t="n">
        <f aca="false">Raw_Data!AM447</f>
        <v>3</v>
      </c>
      <c r="F447" s="0" t="n">
        <f aca="false">Raw_Data!AN447</f>
        <v>3</v>
      </c>
      <c r="G447" s="0" t="n">
        <f aca="false">Raw_Data!AO447</f>
        <v>3</v>
      </c>
      <c r="H447" s="0" t="n">
        <f aca="false">SUM(B447:G447)</f>
        <v>20</v>
      </c>
      <c r="I447" s="0" t="n">
        <f aca="false">H447-B447</f>
        <v>15</v>
      </c>
      <c r="J447" s="0" t="n">
        <f aca="false">H447-C447</f>
        <v>17</v>
      </c>
      <c r="K447" s="0" t="n">
        <f aca="false">H447-D447</f>
        <v>17</v>
      </c>
      <c r="L447" s="0" t="n">
        <f aca="false">H447-E447</f>
        <v>17</v>
      </c>
      <c r="M447" s="0" t="n">
        <f aca="false">H447-F447</f>
        <v>17</v>
      </c>
      <c r="N447" s="0" t="n">
        <f aca="false">H447-G447</f>
        <v>17</v>
      </c>
      <c r="O447" s="0" t="n">
        <f aca="false">B447+D447+F447</f>
        <v>11</v>
      </c>
      <c r="P447" s="0" t="n">
        <f aca="false">C447+E447+G447</f>
        <v>9</v>
      </c>
    </row>
    <row r="448" customFormat="false" ht="15" hidden="false" customHeight="false" outlineLevel="0" collapsed="false">
      <c r="A448" s="0" t="n">
        <v>448</v>
      </c>
      <c r="B448" s="0" t="n">
        <f aca="false">Raw_Data!AJ448</f>
        <v>3</v>
      </c>
      <c r="C448" s="0" t="n">
        <f aca="false">Raw_Data!AK448</f>
        <v>3</v>
      </c>
      <c r="D448" s="0" t="n">
        <f aca="false">Raw_Data!AL448</f>
        <v>4</v>
      </c>
      <c r="E448" s="0" t="n">
        <f aca="false">Raw_Data!AM448</f>
        <v>3</v>
      </c>
      <c r="F448" s="0" t="n">
        <f aca="false">Raw_Data!AN448</f>
        <v>3</v>
      </c>
      <c r="G448" s="0" t="n">
        <f aca="false">Raw_Data!AO448</f>
        <v>2</v>
      </c>
      <c r="H448" s="0" t="n">
        <f aca="false">SUM(B448:G448)</f>
        <v>18</v>
      </c>
      <c r="I448" s="0" t="n">
        <f aca="false">H448-B448</f>
        <v>15</v>
      </c>
      <c r="J448" s="0" t="n">
        <f aca="false">H448-C448</f>
        <v>15</v>
      </c>
      <c r="K448" s="0" t="n">
        <f aca="false">H448-D448</f>
        <v>14</v>
      </c>
      <c r="L448" s="0" t="n">
        <f aca="false">H448-E448</f>
        <v>15</v>
      </c>
      <c r="M448" s="0" t="n">
        <f aca="false">H448-F448</f>
        <v>15</v>
      </c>
      <c r="N448" s="0" t="n">
        <f aca="false">H448-G448</f>
        <v>16</v>
      </c>
      <c r="O448" s="0" t="n">
        <f aca="false">B448+D448+F448</f>
        <v>10</v>
      </c>
      <c r="P448" s="0" t="n">
        <f aca="false">C448+E448+G448</f>
        <v>8</v>
      </c>
    </row>
    <row r="449" customFormat="false" ht="15" hidden="false" customHeight="false" outlineLevel="0" collapsed="false">
      <c r="A449" s="0" t="n">
        <v>449</v>
      </c>
      <c r="B449" s="0" t="n">
        <f aca="false">Raw_Data!AJ449</f>
        <v>4</v>
      </c>
      <c r="C449" s="0" t="n">
        <f aca="false">Raw_Data!AK449</f>
        <v>4</v>
      </c>
      <c r="D449" s="0" t="n">
        <f aca="false">Raw_Data!AL449</f>
        <v>4</v>
      </c>
      <c r="E449" s="0" t="n">
        <f aca="false">Raw_Data!AM449</f>
        <v>4</v>
      </c>
      <c r="F449" s="0" t="n">
        <f aca="false">Raw_Data!AN449</f>
        <v>2</v>
      </c>
      <c r="G449" s="0" t="n">
        <f aca="false">Raw_Data!AO449</f>
        <v>4</v>
      </c>
      <c r="H449" s="0" t="n">
        <f aca="false">SUM(B449:G449)</f>
        <v>22</v>
      </c>
      <c r="I449" s="0" t="n">
        <f aca="false">H449-B449</f>
        <v>18</v>
      </c>
      <c r="J449" s="0" t="n">
        <f aca="false">H449-C449</f>
        <v>18</v>
      </c>
      <c r="K449" s="0" t="n">
        <f aca="false">H449-D449</f>
        <v>18</v>
      </c>
      <c r="L449" s="0" t="n">
        <f aca="false">H449-E449</f>
        <v>18</v>
      </c>
      <c r="M449" s="0" t="n">
        <f aca="false">H449-F449</f>
        <v>20</v>
      </c>
      <c r="N449" s="0" t="n">
        <f aca="false">H449-G449</f>
        <v>18</v>
      </c>
      <c r="O449" s="0" t="n">
        <f aca="false">B449+D449+F449</f>
        <v>10</v>
      </c>
      <c r="P449" s="0" t="n">
        <f aca="false">C449+E449+G449</f>
        <v>12</v>
      </c>
    </row>
    <row r="450" customFormat="false" ht="15" hidden="false" customHeight="false" outlineLevel="0" collapsed="false">
      <c r="A450" s="0" t="n">
        <v>450</v>
      </c>
      <c r="B450" s="0" t="n">
        <f aca="false">Raw_Data!AJ450</f>
        <v>4</v>
      </c>
      <c r="C450" s="0" t="n">
        <f aca="false">Raw_Data!AK450</f>
        <v>3</v>
      </c>
      <c r="D450" s="0" t="n">
        <f aca="false">Raw_Data!AL450</f>
        <v>3</v>
      </c>
      <c r="E450" s="0" t="n">
        <f aca="false">Raw_Data!AM450</f>
        <v>3</v>
      </c>
      <c r="F450" s="0" t="n">
        <f aca="false">Raw_Data!AN450</f>
        <v>4</v>
      </c>
      <c r="G450" s="0" t="n">
        <f aca="false">Raw_Data!AO450</f>
        <v>2</v>
      </c>
      <c r="H450" s="0" t="n">
        <f aca="false">SUM(B450:G450)</f>
        <v>19</v>
      </c>
      <c r="I450" s="0" t="n">
        <f aca="false">H450-B450</f>
        <v>15</v>
      </c>
      <c r="J450" s="0" t="n">
        <f aca="false">H450-C450</f>
        <v>16</v>
      </c>
      <c r="K450" s="0" t="n">
        <f aca="false">H450-D450</f>
        <v>16</v>
      </c>
      <c r="L450" s="0" t="n">
        <f aca="false">H450-E450</f>
        <v>16</v>
      </c>
      <c r="M450" s="0" t="n">
        <f aca="false">H450-F450</f>
        <v>15</v>
      </c>
      <c r="N450" s="0" t="n">
        <f aca="false">H450-G450</f>
        <v>17</v>
      </c>
      <c r="O450" s="0" t="n">
        <f aca="false">B450+D450+F450</f>
        <v>11</v>
      </c>
      <c r="P450" s="0" t="n">
        <f aca="false">C450+E450+G450</f>
        <v>8</v>
      </c>
    </row>
    <row r="451" customFormat="false" ht="15" hidden="false" customHeight="false" outlineLevel="0" collapsed="false">
      <c r="A451" s="0" t="n">
        <v>451</v>
      </c>
      <c r="B451" s="0" t="n">
        <f aca="false">Raw_Data!AJ451</f>
        <v>4</v>
      </c>
      <c r="C451" s="0" t="n">
        <f aca="false">Raw_Data!AK451</f>
        <v>2</v>
      </c>
      <c r="D451" s="0" t="n">
        <f aca="false">Raw_Data!AL451</f>
        <v>4</v>
      </c>
      <c r="E451" s="0" t="n">
        <f aca="false">Raw_Data!AM451</f>
        <v>4</v>
      </c>
      <c r="F451" s="0" t="n">
        <f aca="false">Raw_Data!AN451</f>
        <v>3</v>
      </c>
      <c r="G451" s="0" t="n">
        <f aca="false">Raw_Data!AO451</f>
        <v>3</v>
      </c>
      <c r="H451" s="0" t="n">
        <f aca="false">SUM(B451:G451)</f>
        <v>20</v>
      </c>
      <c r="I451" s="0" t="n">
        <f aca="false">H451-B451</f>
        <v>16</v>
      </c>
      <c r="J451" s="0" t="n">
        <f aca="false">H451-C451</f>
        <v>18</v>
      </c>
      <c r="K451" s="0" t="n">
        <f aca="false">H451-D451</f>
        <v>16</v>
      </c>
      <c r="L451" s="0" t="n">
        <f aca="false">H451-E451</f>
        <v>16</v>
      </c>
      <c r="M451" s="0" t="n">
        <f aca="false">H451-F451</f>
        <v>17</v>
      </c>
      <c r="N451" s="0" t="n">
        <f aca="false">H451-G451</f>
        <v>17</v>
      </c>
      <c r="O451" s="0" t="n">
        <f aca="false">B451+D451+F451</f>
        <v>11</v>
      </c>
      <c r="P451" s="0" t="n">
        <f aca="false">C451+E451+G451</f>
        <v>9</v>
      </c>
    </row>
    <row r="452" customFormat="false" ht="15" hidden="false" customHeight="false" outlineLevel="0" collapsed="false">
      <c r="A452" s="0" t="n">
        <v>452</v>
      </c>
      <c r="B452" s="0" t="n">
        <f aca="false">Raw_Data!AJ452</f>
        <v>3</v>
      </c>
      <c r="C452" s="0" t="n">
        <f aca="false">Raw_Data!AK452</f>
        <v>3</v>
      </c>
      <c r="D452" s="0" t="n">
        <f aca="false">Raw_Data!AL452</f>
        <v>2</v>
      </c>
      <c r="E452" s="0" t="n">
        <f aca="false">Raw_Data!AM452</f>
        <v>3</v>
      </c>
      <c r="F452" s="0" t="n">
        <f aca="false">Raw_Data!AN452</f>
        <v>4</v>
      </c>
      <c r="G452" s="0" t="n">
        <f aca="false">Raw_Data!AO452</f>
        <v>2</v>
      </c>
      <c r="H452" s="0" t="n">
        <f aca="false">SUM(B452:G452)</f>
        <v>17</v>
      </c>
      <c r="I452" s="0" t="n">
        <f aca="false">H452-B452</f>
        <v>14</v>
      </c>
      <c r="J452" s="0" t="n">
        <f aca="false">H452-C452</f>
        <v>14</v>
      </c>
      <c r="K452" s="0" t="n">
        <f aca="false">H452-D452</f>
        <v>15</v>
      </c>
      <c r="L452" s="0" t="n">
        <f aca="false">H452-E452</f>
        <v>14</v>
      </c>
      <c r="M452" s="0" t="n">
        <f aca="false">H452-F452</f>
        <v>13</v>
      </c>
      <c r="N452" s="0" t="n">
        <f aca="false">H452-G452</f>
        <v>15</v>
      </c>
      <c r="O452" s="0" t="n">
        <f aca="false">B452+D452+F452</f>
        <v>9</v>
      </c>
      <c r="P452" s="0" t="n">
        <f aca="false">C452+E452+G452</f>
        <v>8</v>
      </c>
    </row>
    <row r="453" customFormat="false" ht="15" hidden="false" customHeight="false" outlineLevel="0" collapsed="false">
      <c r="A453" s="0" t="n">
        <v>453</v>
      </c>
      <c r="B453" s="0" t="n">
        <f aca="false">Raw_Data!AJ453</f>
        <v>4</v>
      </c>
      <c r="C453" s="0" t="n">
        <f aca="false">Raw_Data!AK453</f>
        <v>3</v>
      </c>
      <c r="D453" s="0" t="n">
        <f aca="false">Raw_Data!AL453</f>
        <v>5</v>
      </c>
      <c r="E453" s="0" t="n">
        <f aca="false">Raw_Data!AM453</f>
        <v>3</v>
      </c>
      <c r="F453" s="0" t="n">
        <f aca="false">Raw_Data!AN453</f>
        <v>3</v>
      </c>
      <c r="G453" s="0" t="n">
        <f aca="false">Raw_Data!AO453</f>
        <v>4</v>
      </c>
      <c r="H453" s="0" t="n">
        <f aca="false">SUM(B453:G453)</f>
        <v>22</v>
      </c>
      <c r="I453" s="0" t="n">
        <f aca="false">H453-B453</f>
        <v>18</v>
      </c>
      <c r="J453" s="0" t="n">
        <f aca="false">H453-C453</f>
        <v>19</v>
      </c>
      <c r="K453" s="0" t="n">
        <f aca="false">H453-D453</f>
        <v>17</v>
      </c>
      <c r="L453" s="0" t="n">
        <f aca="false">H453-E453</f>
        <v>19</v>
      </c>
      <c r="M453" s="0" t="n">
        <f aca="false">H453-F453</f>
        <v>19</v>
      </c>
      <c r="N453" s="0" t="n">
        <f aca="false">H453-G453</f>
        <v>18</v>
      </c>
      <c r="O453" s="0" t="n">
        <f aca="false">B453+D453+F453</f>
        <v>12</v>
      </c>
      <c r="P453" s="0" t="n">
        <f aca="false">C453+E453+G453</f>
        <v>10</v>
      </c>
    </row>
    <row r="454" customFormat="false" ht="15" hidden="false" customHeight="false" outlineLevel="0" collapsed="false">
      <c r="A454" s="0" t="n">
        <v>454</v>
      </c>
      <c r="B454" s="0" t="n">
        <f aca="false">Raw_Data!AJ454</f>
        <v>5</v>
      </c>
      <c r="C454" s="0" t="n">
        <f aca="false">Raw_Data!AK454</f>
        <v>4</v>
      </c>
      <c r="D454" s="0" t="n">
        <f aca="false">Raw_Data!AL454</f>
        <v>4</v>
      </c>
      <c r="E454" s="0" t="n">
        <f aca="false">Raw_Data!AM454</f>
        <v>4</v>
      </c>
      <c r="F454" s="0" t="n">
        <f aca="false">Raw_Data!AN454</f>
        <v>4</v>
      </c>
      <c r="G454" s="0" t="n">
        <f aca="false">Raw_Data!AO454</f>
        <v>2</v>
      </c>
      <c r="H454" s="0" t="n">
        <f aca="false">SUM(B454:G454)</f>
        <v>23</v>
      </c>
      <c r="I454" s="0" t="n">
        <f aca="false">H454-B454</f>
        <v>18</v>
      </c>
      <c r="J454" s="0" t="n">
        <f aca="false">H454-C454</f>
        <v>19</v>
      </c>
      <c r="K454" s="0" t="n">
        <f aca="false">H454-D454</f>
        <v>19</v>
      </c>
      <c r="L454" s="0" t="n">
        <f aca="false">H454-E454</f>
        <v>19</v>
      </c>
      <c r="M454" s="0" t="n">
        <f aca="false">H454-F454</f>
        <v>19</v>
      </c>
      <c r="N454" s="0" t="n">
        <f aca="false">H454-G454</f>
        <v>21</v>
      </c>
      <c r="O454" s="0" t="n">
        <f aca="false">B454+D454+F454</f>
        <v>13</v>
      </c>
      <c r="P454" s="0" t="n">
        <f aca="false">C454+E454+G454</f>
        <v>10</v>
      </c>
    </row>
    <row r="455" customFormat="false" ht="15" hidden="false" customHeight="false" outlineLevel="0" collapsed="false">
      <c r="A455" s="0" t="n">
        <v>455</v>
      </c>
      <c r="B455" s="0" t="n">
        <f aca="false">Raw_Data!AJ455</f>
        <v>4</v>
      </c>
      <c r="C455" s="0" t="n">
        <f aca="false">Raw_Data!AK455</f>
        <v>4</v>
      </c>
      <c r="D455" s="0" t="n">
        <f aca="false">Raw_Data!AL455</f>
        <v>5</v>
      </c>
      <c r="E455" s="0" t="n">
        <f aca="false">Raw_Data!AM455</f>
        <v>4</v>
      </c>
      <c r="F455" s="0" t="n">
        <f aca="false">Raw_Data!AN455</f>
        <v>4</v>
      </c>
      <c r="G455" s="0" t="n">
        <f aca="false">Raw_Data!AO455</f>
        <v>4</v>
      </c>
      <c r="H455" s="0" t="n">
        <f aca="false">SUM(B455:G455)</f>
        <v>25</v>
      </c>
      <c r="I455" s="0" t="n">
        <f aca="false">H455-B455</f>
        <v>21</v>
      </c>
      <c r="J455" s="0" t="n">
        <f aca="false">H455-C455</f>
        <v>21</v>
      </c>
      <c r="K455" s="0" t="n">
        <f aca="false">H455-D455</f>
        <v>20</v>
      </c>
      <c r="L455" s="0" t="n">
        <f aca="false">H455-E455</f>
        <v>21</v>
      </c>
      <c r="M455" s="0" t="n">
        <f aca="false">H455-F455</f>
        <v>21</v>
      </c>
      <c r="N455" s="0" t="n">
        <f aca="false">H455-G455</f>
        <v>21</v>
      </c>
      <c r="O455" s="0" t="n">
        <f aca="false">B455+D455+F455</f>
        <v>13</v>
      </c>
      <c r="P455" s="0" t="n">
        <f aca="false">C455+E455+G455</f>
        <v>12</v>
      </c>
    </row>
    <row r="456" customFormat="false" ht="15" hidden="false" customHeight="false" outlineLevel="0" collapsed="false">
      <c r="A456" s="0" t="n">
        <v>456</v>
      </c>
      <c r="B456" s="0" t="n">
        <f aca="false">Raw_Data!AJ456</f>
        <v>2</v>
      </c>
      <c r="C456" s="0" t="n">
        <f aca="false">Raw_Data!AK456</f>
        <v>3</v>
      </c>
      <c r="D456" s="0" t="n">
        <f aca="false">Raw_Data!AL456</f>
        <v>2</v>
      </c>
      <c r="E456" s="0" t="n">
        <f aca="false">Raw_Data!AM456</f>
        <v>3</v>
      </c>
      <c r="F456" s="0" t="n">
        <f aca="false">Raw_Data!AN456</f>
        <v>2</v>
      </c>
      <c r="G456" s="0" t="n">
        <f aca="false">Raw_Data!AO456</f>
        <v>3</v>
      </c>
      <c r="H456" s="0" t="n">
        <f aca="false">SUM(B456:G456)</f>
        <v>15</v>
      </c>
      <c r="I456" s="0" t="n">
        <f aca="false">H456-B456</f>
        <v>13</v>
      </c>
      <c r="J456" s="0" t="n">
        <f aca="false">H456-C456</f>
        <v>12</v>
      </c>
      <c r="K456" s="0" t="n">
        <f aca="false">H456-D456</f>
        <v>13</v>
      </c>
      <c r="L456" s="0" t="n">
        <f aca="false">H456-E456</f>
        <v>12</v>
      </c>
      <c r="M456" s="0" t="n">
        <f aca="false">H456-F456</f>
        <v>13</v>
      </c>
      <c r="N456" s="0" t="n">
        <f aca="false">H456-G456</f>
        <v>12</v>
      </c>
      <c r="O456" s="0" t="n">
        <f aca="false">B456+D456+F456</f>
        <v>6</v>
      </c>
      <c r="P456" s="0" t="n">
        <f aca="false">C456+E456+G456</f>
        <v>9</v>
      </c>
    </row>
    <row r="457" customFormat="false" ht="15" hidden="false" customHeight="false" outlineLevel="0" collapsed="false">
      <c r="A457" s="0" t="n">
        <v>457</v>
      </c>
      <c r="B457" s="0" t="n">
        <f aca="false">Raw_Data!AJ457</f>
        <v>4</v>
      </c>
      <c r="C457" s="0" t="n">
        <f aca="false">Raw_Data!AK457</f>
        <v>4</v>
      </c>
      <c r="D457" s="0" t="n">
        <f aca="false">Raw_Data!AL457</f>
        <v>4</v>
      </c>
      <c r="E457" s="0" t="n">
        <f aca="false">Raw_Data!AM457</f>
        <v>4</v>
      </c>
      <c r="F457" s="0" t="n">
        <f aca="false">Raw_Data!AN457</f>
        <v>3</v>
      </c>
      <c r="G457" s="0" t="n">
        <f aca="false">Raw_Data!AO457</f>
        <v>3</v>
      </c>
      <c r="H457" s="0" t="n">
        <f aca="false">SUM(B457:G457)</f>
        <v>22</v>
      </c>
      <c r="I457" s="0" t="n">
        <f aca="false">H457-B457</f>
        <v>18</v>
      </c>
      <c r="J457" s="0" t="n">
        <f aca="false">H457-C457</f>
        <v>18</v>
      </c>
      <c r="K457" s="0" t="n">
        <f aca="false">H457-D457</f>
        <v>18</v>
      </c>
      <c r="L457" s="0" t="n">
        <f aca="false">H457-E457</f>
        <v>18</v>
      </c>
      <c r="M457" s="0" t="n">
        <f aca="false">H457-F457</f>
        <v>19</v>
      </c>
      <c r="N457" s="0" t="n">
        <f aca="false">H457-G457</f>
        <v>19</v>
      </c>
      <c r="O457" s="0" t="n">
        <f aca="false">B457+D457+F457</f>
        <v>11</v>
      </c>
      <c r="P457" s="0" t="n">
        <f aca="false">C457+E457+G457</f>
        <v>11</v>
      </c>
    </row>
    <row r="458" customFormat="false" ht="15" hidden="false" customHeight="false" outlineLevel="0" collapsed="false">
      <c r="A458" s="0" t="n">
        <v>458</v>
      </c>
      <c r="B458" s="0" t="n">
        <f aca="false">Raw_Data!AJ458</f>
        <v>4</v>
      </c>
      <c r="C458" s="0" t="n">
        <f aca="false">Raw_Data!AK458</f>
        <v>1</v>
      </c>
      <c r="D458" s="0" t="n">
        <f aca="false">Raw_Data!AL458</f>
        <v>4</v>
      </c>
      <c r="E458" s="0" t="n">
        <f aca="false">Raw_Data!AM458</f>
        <v>4</v>
      </c>
      <c r="F458" s="0" t="n">
        <f aca="false">Raw_Data!AN458</f>
        <v>2</v>
      </c>
      <c r="G458" s="0" t="n">
        <f aca="false">Raw_Data!AO458</f>
        <v>2</v>
      </c>
      <c r="H458" s="0" t="n">
        <f aca="false">SUM(B458:G458)</f>
        <v>17</v>
      </c>
      <c r="I458" s="0" t="n">
        <f aca="false">H458-B458</f>
        <v>13</v>
      </c>
      <c r="J458" s="0" t="n">
        <f aca="false">H458-C458</f>
        <v>16</v>
      </c>
      <c r="K458" s="0" t="n">
        <f aca="false">H458-D458</f>
        <v>13</v>
      </c>
      <c r="L458" s="0" t="n">
        <f aca="false">H458-E458</f>
        <v>13</v>
      </c>
      <c r="M458" s="0" t="n">
        <f aca="false">H458-F458</f>
        <v>15</v>
      </c>
      <c r="N458" s="0" t="n">
        <f aca="false">H458-G458</f>
        <v>15</v>
      </c>
      <c r="O458" s="0" t="n">
        <f aca="false">B458+D458+F458</f>
        <v>10</v>
      </c>
      <c r="P458" s="0" t="n">
        <f aca="false">C458+E458+G458</f>
        <v>7</v>
      </c>
    </row>
    <row r="459" customFormat="false" ht="15" hidden="false" customHeight="false" outlineLevel="0" collapsed="false">
      <c r="A459" s="0" t="n">
        <v>459</v>
      </c>
      <c r="B459" s="0" t="n">
        <f aca="false">Raw_Data!AJ459</f>
        <v>3</v>
      </c>
      <c r="C459" s="0" t="n">
        <f aca="false">Raw_Data!AK459</f>
        <v>4</v>
      </c>
      <c r="D459" s="0" t="n">
        <f aca="false">Raw_Data!AL459</f>
        <v>4</v>
      </c>
      <c r="E459" s="0" t="n">
        <f aca="false">Raw_Data!AM459</f>
        <v>3</v>
      </c>
      <c r="F459" s="0" t="n">
        <f aca="false">Raw_Data!AN459</f>
        <v>1</v>
      </c>
      <c r="G459" s="0" t="n">
        <f aca="false">Raw_Data!AO459</f>
        <v>4</v>
      </c>
      <c r="H459" s="0" t="n">
        <f aca="false">SUM(B459:G459)</f>
        <v>19</v>
      </c>
      <c r="I459" s="0" t="n">
        <f aca="false">H459-B459</f>
        <v>16</v>
      </c>
      <c r="J459" s="0" t="n">
        <f aca="false">H459-C459</f>
        <v>15</v>
      </c>
      <c r="K459" s="0" t="n">
        <f aca="false">H459-D459</f>
        <v>15</v>
      </c>
      <c r="L459" s="0" t="n">
        <f aca="false">H459-E459</f>
        <v>16</v>
      </c>
      <c r="M459" s="0" t="n">
        <f aca="false">H459-F459</f>
        <v>18</v>
      </c>
      <c r="N459" s="0" t="n">
        <f aca="false">H459-G459</f>
        <v>15</v>
      </c>
      <c r="O459" s="0" t="n">
        <f aca="false">B459+D459+F459</f>
        <v>8</v>
      </c>
      <c r="P459" s="0" t="n">
        <f aca="false">C459+E459+G459</f>
        <v>11</v>
      </c>
    </row>
    <row r="460" customFormat="false" ht="15" hidden="false" customHeight="false" outlineLevel="0" collapsed="false">
      <c r="A460" s="0" t="n">
        <v>460</v>
      </c>
      <c r="B460" s="0" t="n">
        <f aca="false">Raw_Data!AJ460</f>
        <v>5</v>
      </c>
      <c r="C460" s="0" t="n">
        <f aca="false">Raw_Data!AK460</f>
        <v>4</v>
      </c>
      <c r="D460" s="0" t="n">
        <f aca="false">Raw_Data!AL460</f>
        <v>4</v>
      </c>
      <c r="E460" s="0" t="n">
        <f aca="false">Raw_Data!AM460</f>
        <v>3</v>
      </c>
      <c r="F460" s="0" t="n">
        <f aca="false">Raw_Data!AN460</f>
        <v>3</v>
      </c>
      <c r="G460" s="0" t="n">
        <f aca="false">Raw_Data!AO460</f>
        <v>3</v>
      </c>
      <c r="H460" s="0" t="n">
        <f aca="false">SUM(B460:G460)</f>
        <v>22</v>
      </c>
      <c r="I460" s="0" t="n">
        <f aca="false">H460-B460</f>
        <v>17</v>
      </c>
      <c r="J460" s="0" t="n">
        <f aca="false">H460-C460</f>
        <v>18</v>
      </c>
      <c r="K460" s="0" t="n">
        <f aca="false">H460-D460</f>
        <v>18</v>
      </c>
      <c r="L460" s="0" t="n">
        <f aca="false">H460-E460</f>
        <v>19</v>
      </c>
      <c r="M460" s="0" t="n">
        <f aca="false">H460-F460</f>
        <v>19</v>
      </c>
      <c r="N460" s="0" t="n">
        <f aca="false">H460-G460</f>
        <v>19</v>
      </c>
      <c r="O460" s="0" t="n">
        <f aca="false">B460+D460+F460</f>
        <v>12</v>
      </c>
      <c r="P460" s="0" t="n">
        <f aca="false">C460+E460+G460</f>
        <v>10</v>
      </c>
    </row>
    <row r="461" customFormat="false" ht="15" hidden="false" customHeight="false" outlineLevel="0" collapsed="false">
      <c r="A461" s="0" t="n">
        <v>461</v>
      </c>
      <c r="B461" s="0" t="n">
        <f aca="false">Raw_Data!AJ461</f>
        <v>5</v>
      </c>
      <c r="C461" s="0" t="n">
        <f aca="false">Raw_Data!AK461</f>
        <v>3</v>
      </c>
      <c r="D461" s="0" t="n">
        <f aca="false">Raw_Data!AL461</f>
        <v>3</v>
      </c>
      <c r="E461" s="0" t="n">
        <f aca="false">Raw_Data!AM461</f>
        <v>4</v>
      </c>
      <c r="F461" s="0" t="n">
        <f aca="false">Raw_Data!AN461</f>
        <v>4</v>
      </c>
      <c r="G461" s="0" t="n">
        <f aca="false">Raw_Data!AO461</f>
        <v>3</v>
      </c>
      <c r="H461" s="0" t="n">
        <f aca="false">SUM(B461:G461)</f>
        <v>22</v>
      </c>
      <c r="I461" s="0" t="n">
        <f aca="false">H461-B461</f>
        <v>17</v>
      </c>
      <c r="J461" s="0" t="n">
        <f aca="false">H461-C461</f>
        <v>19</v>
      </c>
      <c r="K461" s="0" t="n">
        <f aca="false">H461-D461</f>
        <v>19</v>
      </c>
      <c r="L461" s="0" t="n">
        <f aca="false">H461-E461</f>
        <v>18</v>
      </c>
      <c r="M461" s="0" t="n">
        <f aca="false">H461-F461</f>
        <v>18</v>
      </c>
      <c r="N461" s="0" t="n">
        <f aca="false">H461-G461</f>
        <v>19</v>
      </c>
      <c r="O461" s="0" t="n">
        <f aca="false">B461+D461+F461</f>
        <v>12</v>
      </c>
      <c r="P461" s="0" t="n">
        <f aca="false">C461+E461+G461</f>
        <v>10</v>
      </c>
    </row>
    <row r="462" customFormat="false" ht="15" hidden="false" customHeight="false" outlineLevel="0" collapsed="false">
      <c r="A462" s="0" t="n">
        <v>462</v>
      </c>
      <c r="B462" s="0" t="n">
        <f aca="false">Raw_Data!AJ462</f>
        <v>3</v>
      </c>
      <c r="C462" s="0" t="n">
        <f aca="false">Raw_Data!AK462</f>
        <v>2</v>
      </c>
      <c r="D462" s="0" t="n">
        <f aca="false">Raw_Data!AL462</f>
        <v>4</v>
      </c>
      <c r="E462" s="0" t="n">
        <f aca="false">Raw_Data!AM462</f>
        <v>4</v>
      </c>
      <c r="F462" s="0" t="n">
        <f aca="false">Raw_Data!AN462</f>
        <v>4</v>
      </c>
      <c r="G462" s="0" t="n">
        <f aca="false">Raw_Data!AO462</f>
        <v>2</v>
      </c>
      <c r="H462" s="0" t="n">
        <f aca="false">SUM(B462:G462)</f>
        <v>19</v>
      </c>
      <c r="I462" s="0" t="n">
        <f aca="false">H462-B462</f>
        <v>16</v>
      </c>
      <c r="J462" s="0" t="n">
        <f aca="false">H462-C462</f>
        <v>17</v>
      </c>
      <c r="K462" s="0" t="n">
        <f aca="false">H462-D462</f>
        <v>15</v>
      </c>
      <c r="L462" s="0" t="n">
        <f aca="false">H462-E462</f>
        <v>15</v>
      </c>
      <c r="M462" s="0" t="n">
        <f aca="false">H462-F462</f>
        <v>15</v>
      </c>
      <c r="N462" s="0" t="n">
        <f aca="false">H462-G462</f>
        <v>17</v>
      </c>
      <c r="O462" s="0" t="n">
        <f aca="false">B462+D462+F462</f>
        <v>11</v>
      </c>
      <c r="P462" s="0" t="n">
        <f aca="false">C462+E462+G462</f>
        <v>8</v>
      </c>
    </row>
    <row r="463" customFormat="false" ht="15" hidden="false" customHeight="false" outlineLevel="0" collapsed="false">
      <c r="A463" s="0" t="n">
        <v>463</v>
      </c>
      <c r="B463" s="0" t="n">
        <f aca="false">Raw_Data!AJ463</f>
        <v>4</v>
      </c>
      <c r="C463" s="0" t="n">
        <f aca="false">Raw_Data!AK463</f>
        <v>2</v>
      </c>
      <c r="D463" s="0" t="n">
        <f aca="false">Raw_Data!AL463</f>
        <v>4</v>
      </c>
      <c r="E463" s="0" t="n">
        <f aca="false">Raw_Data!AM463</f>
        <v>4</v>
      </c>
      <c r="F463" s="0" t="n">
        <f aca="false">Raw_Data!AN463</f>
        <v>2</v>
      </c>
      <c r="G463" s="0" t="n">
        <f aca="false">Raw_Data!AO463</f>
        <v>3</v>
      </c>
      <c r="H463" s="0" t="n">
        <f aca="false">SUM(B463:G463)</f>
        <v>19</v>
      </c>
      <c r="I463" s="0" t="n">
        <f aca="false">H463-B463</f>
        <v>15</v>
      </c>
      <c r="J463" s="0" t="n">
        <f aca="false">H463-C463</f>
        <v>17</v>
      </c>
      <c r="K463" s="0" t="n">
        <f aca="false">H463-D463</f>
        <v>15</v>
      </c>
      <c r="L463" s="0" t="n">
        <f aca="false">H463-E463</f>
        <v>15</v>
      </c>
      <c r="M463" s="0" t="n">
        <f aca="false">H463-F463</f>
        <v>17</v>
      </c>
      <c r="N463" s="0" t="n">
        <f aca="false">H463-G463</f>
        <v>16</v>
      </c>
      <c r="O463" s="0" t="n">
        <f aca="false">B463+D463+F463</f>
        <v>10</v>
      </c>
      <c r="P463" s="0" t="n">
        <f aca="false">C463+E463+G463</f>
        <v>9</v>
      </c>
    </row>
    <row r="464" customFormat="false" ht="15" hidden="false" customHeight="false" outlineLevel="0" collapsed="false">
      <c r="A464" s="0" t="n">
        <v>464</v>
      </c>
      <c r="B464" s="0" t="n">
        <f aca="false">Raw_Data!AJ464</f>
        <v>3</v>
      </c>
      <c r="C464" s="0" t="n">
        <f aca="false">Raw_Data!AK464</f>
        <v>4</v>
      </c>
      <c r="D464" s="0" t="n">
        <f aca="false">Raw_Data!AL464</f>
        <v>5</v>
      </c>
      <c r="E464" s="0" t="n">
        <f aca="false">Raw_Data!AM464</f>
        <v>3</v>
      </c>
      <c r="F464" s="0" t="n">
        <f aca="false">Raw_Data!AN464</f>
        <v>4</v>
      </c>
      <c r="G464" s="0" t="n">
        <f aca="false">Raw_Data!AO464</f>
        <v>4</v>
      </c>
      <c r="H464" s="0" t="n">
        <f aca="false">SUM(B464:G464)</f>
        <v>23</v>
      </c>
      <c r="I464" s="0" t="n">
        <f aca="false">H464-B464</f>
        <v>20</v>
      </c>
      <c r="J464" s="0" t="n">
        <f aca="false">H464-C464</f>
        <v>19</v>
      </c>
      <c r="K464" s="0" t="n">
        <f aca="false">H464-D464</f>
        <v>18</v>
      </c>
      <c r="L464" s="0" t="n">
        <f aca="false">H464-E464</f>
        <v>20</v>
      </c>
      <c r="M464" s="0" t="n">
        <f aca="false">H464-F464</f>
        <v>19</v>
      </c>
      <c r="N464" s="0" t="n">
        <f aca="false">H464-G464</f>
        <v>19</v>
      </c>
      <c r="O464" s="0" t="n">
        <f aca="false">B464+D464+F464</f>
        <v>12</v>
      </c>
      <c r="P464" s="0" t="n">
        <f aca="false">C464+E464+G464</f>
        <v>11</v>
      </c>
    </row>
    <row r="465" customFormat="false" ht="15" hidden="false" customHeight="false" outlineLevel="0" collapsed="false">
      <c r="A465" s="0" t="n">
        <v>465</v>
      </c>
      <c r="B465" s="0" t="n">
        <f aca="false">Raw_Data!AJ465</f>
        <v>4</v>
      </c>
      <c r="C465" s="0" t="n">
        <f aca="false">Raw_Data!AK465</f>
        <v>3</v>
      </c>
      <c r="D465" s="0" t="n">
        <f aca="false">Raw_Data!AL465</f>
        <v>4</v>
      </c>
      <c r="E465" s="0" t="n">
        <f aca="false">Raw_Data!AM465</f>
        <v>2</v>
      </c>
      <c r="F465" s="0" t="n">
        <f aca="false">Raw_Data!AN465</f>
        <v>3</v>
      </c>
      <c r="G465" s="0" t="n">
        <f aca="false">Raw_Data!AO465</f>
        <v>2</v>
      </c>
      <c r="H465" s="0" t="n">
        <f aca="false">SUM(B465:G465)</f>
        <v>18</v>
      </c>
      <c r="I465" s="0" t="n">
        <f aca="false">H465-B465</f>
        <v>14</v>
      </c>
      <c r="J465" s="0" t="n">
        <f aca="false">H465-C465</f>
        <v>15</v>
      </c>
      <c r="K465" s="0" t="n">
        <f aca="false">H465-D465</f>
        <v>14</v>
      </c>
      <c r="L465" s="0" t="n">
        <f aca="false">H465-E465</f>
        <v>16</v>
      </c>
      <c r="M465" s="0" t="n">
        <f aca="false">H465-F465</f>
        <v>15</v>
      </c>
      <c r="N465" s="0" t="n">
        <f aca="false">H465-G465</f>
        <v>16</v>
      </c>
      <c r="O465" s="0" t="n">
        <f aca="false">B465+D465+F465</f>
        <v>11</v>
      </c>
      <c r="P465" s="0" t="n">
        <f aca="false">C465+E465+G465</f>
        <v>7</v>
      </c>
    </row>
    <row r="466" customFormat="false" ht="15" hidden="false" customHeight="false" outlineLevel="0" collapsed="false">
      <c r="A466" s="0" t="n">
        <v>466</v>
      </c>
      <c r="B466" s="0" t="n">
        <f aca="false">Raw_Data!AJ466</f>
        <v>4</v>
      </c>
      <c r="C466" s="0" t="n">
        <f aca="false">Raw_Data!AK466</f>
        <v>2</v>
      </c>
      <c r="D466" s="0" t="n">
        <f aca="false">Raw_Data!AL466</f>
        <v>3</v>
      </c>
      <c r="E466" s="0" t="n">
        <f aca="false">Raw_Data!AM466</f>
        <v>3</v>
      </c>
      <c r="F466" s="0" t="n">
        <f aca="false">Raw_Data!AN466</f>
        <v>4</v>
      </c>
      <c r="G466" s="0" t="n">
        <f aca="false">Raw_Data!AO466</f>
        <v>3</v>
      </c>
      <c r="H466" s="0" t="n">
        <f aca="false">SUM(B466:G466)</f>
        <v>19</v>
      </c>
      <c r="I466" s="0" t="n">
        <f aca="false">H466-B466</f>
        <v>15</v>
      </c>
      <c r="J466" s="0" t="n">
        <f aca="false">H466-C466</f>
        <v>17</v>
      </c>
      <c r="K466" s="0" t="n">
        <f aca="false">H466-D466</f>
        <v>16</v>
      </c>
      <c r="L466" s="0" t="n">
        <f aca="false">H466-E466</f>
        <v>16</v>
      </c>
      <c r="M466" s="0" t="n">
        <f aca="false">H466-F466</f>
        <v>15</v>
      </c>
      <c r="N466" s="0" t="n">
        <f aca="false">H466-G466</f>
        <v>16</v>
      </c>
      <c r="O466" s="0" t="n">
        <f aca="false">B466+D466+F466</f>
        <v>11</v>
      </c>
      <c r="P466" s="0" t="n">
        <f aca="false">C466+E466+G466</f>
        <v>8</v>
      </c>
    </row>
    <row r="467" customFormat="false" ht="15" hidden="false" customHeight="false" outlineLevel="0" collapsed="false">
      <c r="A467" s="0" t="n">
        <v>467</v>
      </c>
      <c r="B467" s="0" t="n">
        <f aca="false">Raw_Data!AJ467</f>
        <v>4</v>
      </c>
      <c r="C467" s="0" t="n">
        <f aca="false">Raw_Data!AK467</f>
        <v>1</v>
      </c>
      <c r="D467" s="0" t="n">
        <f aca="false">Raw_Data!AL467</f>
        <v>4</v>
      </c>
      <c r="E467" s="0" t="n">
        <f aca="false">Raw_Data!AM467</f>
        <v>3</v>
      </c>
      <c r="F467" s="0" t="n">
        <f aca="false">Raw_Data!AN467</f>
        <v>2</v>
      </c>
      <c r="G467" s="0" t="n">
        <f aca="false">Raw_Data!AO467</f>
        <v>4</v>
      </c>
      <c r="H467" s="0" t="n">
        <f aca="false">SUM(B467:G467)</f>
        <v>18</v>
      </c>
      <c r="I467" s="0" t="n">
        <f aca="false">H467-B467</f>
        <v>14</v>
      </c>
      <c r="J467" s="0" t="n">
        <f aca="false">H467-C467</f>
        <v>17</v>
      </c>
      <c r="K467" s="0" t="n">
        <f aca="false">H467-D467</f>
        <v>14</v>
      </c>
      <c r="L467" s="0" t="n">
        <f aca="false">H467-E467</f>
        <v>15</v>
      </c>
      <c r="M467" s="0" t="n">
        <f aca="false">H467-F467</f>
        <v>16</v>
      </c>
      <c r="N467" s="0" t="n">
        <f aca="false">H467-G467</f>
        <v>14</v>
      </c>
      <c r="O467" s="0" t="n">
        <f aca="false">B467+D467+F467</f>
        <v>10</v>
      </c>
      <c r="P467" s="0" t="n">
        <f aca="false">C467+E467+G467</f>
        <v>8</v>
      </c>
    </row>
    <row r="468" customFormat="false" ht="15" hidden="false" customHeight="false" outlineLevel="0" collapsed="false">
      <c r="A468" s="0" t="n">
        <v>468</v>
      </c>
      <c r="B468" s="0" t="n">
        <f aca="false">Raw_Data!AJ468</f>
        <v>4</v>
      </c>
      <c r="C468" s="0" t="n">
        <f aca="false">Raw_Data!AK468</f>
        <v>3</v>
      </c>
      <c r="D468" s="0" t="n">
        <f aca="false">Raw_Data!AL468</f>
        <v>3</v>
      </c>
      <c r="E468" s="0" t="n">
        <f aca="false">Raw_Data!AM468</f>
        <v>3</v>
      </c>
      <c r="F468" s="0" t="n">
        <f aca="false">Raw_Data!AN468</f>
        <v>3</v>
      </c>
      <c r="G468" s="0" t="n">
        <f aca="false">Raw_Data!AO468</f>
        <v>3</v>
      </c>
      <c r="H468" s="0" t="n">
        <f aca="false">SUM(B468:G468)</f>
        <v>19</v>
      </c>
      <c r="I468" s="0" t="n">
        <f aca="false">H468-B468</f>
        <v>15</v>
      </c>
      <c r="J468" s="0" t="n">
        <f aca="false">H468-C468</f>
        <v>16</v>
      </c>
      <c r="K468" s="0" t="n">
        <f aca="false">H468-D468</f>
        <v>16</v>
      </c>
      <c r="L468" s="0" t="n">
        <f aca="false">H468-E468</f>
        <v>16</v>
      </c>
      <c r="M468" s="0" t="n">
        <f aca="false">H468-F468</f>
        <v>16</v>
      </c>
      <c r="N468" s="0" t="n">
        <f aca="false">H468-G468</f>
        <v>16</v>
      </c>
      <c r="O468" s="0" t="n">
        <f aca="false">B468+D468+F468</f>
        <v>10</v>
      </c>
      <c r="P468" s="0" t="n">
        <f aca="false">C468+E468+G468</f>
        <v>9</v>
      </c>
    </row>
    <row r="469" customFormat="false" ht="15" hidden="false" customHeight="false" outlineLevel="0" collapsed="false">
      <c r="A469" s="0" t="n">
        <v>469</v>
      </c>
      <c r="B469" s="0" t="n">
        <f aca="false">Raw_Data!AJ469</f>
        <v>5</v>
      </c>
      <c r="C469" s="0" t="n">
        <f aca="false">Raw_Data!AK469</f>
        <v>3</v>
      </c>
      <c r="D469" s="0" t="n">
        <f aca="false">Raw_Data!AL469</f>
        <v>4</v>
      </c>
      <c r="E469" s="0" t="n">
        <f aca="false">Raw_Data!AM469</f>
        <v>1</v>
      </c>
      <c r="F469" s="0" t="n">
        <f aca="false">Raw_Data!AN469</f>
        <v>4</v>
      </c>
      <c r="G469" s="0" t="n">
        <f aca="false">Raw_Data!AO469</f>
        <v>4</v>
      </c>
      <c r="H469" s="0" t="n">
        <f aca="false">SUM(B469:G469)</f>
        <v>21</v>
      </c>
      <c r="I469" s="0" t="n">
        <f aca="false">H469-B469</f>
        <v>16</v>
      </c>
      <c r="J469" s="0" t="n">
        <f aca="false">H469-C469</f>
        <v>18</v>
      </c>
      <c r="K469" s="0" t="n">
        <f aca="false">H469-D469</f>
        <v>17</v>
      </c>
      <c r="L469" s="0" t="n">
        <f aca="false">H469-E469</f>
        <v>20</v>
      </c>
      <c r="M469" s="0" t="n">
        <f aca="false">H469-F469</f>
        <v>17</v>
      </c>
      <c r="N469" s="0" t="n">
        <f aca="false">H469-G469</f>
        <v>17</v>
      </c>
      <c r="O469" s="0" t="n">
        <f aca="false">B469+D469+F469</f>
        <v>13</v>
      </c>
      <c r="P469" s="0" t="n">
        <f aca="false">C469+E469+G469</f>
        <v>8</v>
      </c>
    </row>
    <row r="470" customFormat="false" ht="15" hidden="false" customHeight="false" outlineLevel="0" collapsed="false">
      <c r="A470" s="0" t="n">
        <v>470</v>
      </c>
      <c r="B470" s="0" t="n">
        <f aca="false">Raw_Data!AJ470</f>
        <v>2</v>
      </c>
      <c r="C470" s="0" t="n">
        <f aca="false">Raw_Data!AK470</f>
        <v>3</v>
      </c>
      <c r="D470" s="0" t="n">
        <f aca="false">Raw_Data!AL470</f>
        <v>4</v>
      </c>
      <c r="E470" s="0" t="n">
        <f aca="false">Raw_Data!AM470</f>
        <v>2</v>
      </c>
      <c r="F470" s="0" t="n">
        <f aca="false">Raw_Data!AN470</f>
        <v>3</v>
      </c>
      <c r="G470" s="0" t="n">
        <f aca="false">Raw_Data!AO470</f>
        <v>3</v>
      </c>
      <c r="H470" s="0" t="n">
        <f aca="false">SUM(B470:G470)</f>
        <v>17</v>
      </c>
      <c r="I470" s="0" t="n">
        <f aca="false">H470-B470</f>
        <v>15</v>
      </c>
      <c r="J470" s="0" t="n">
        <f aca="false">H470-C470</f>
        <v>14</v>
      </c>
      <c r="K470" s="0" t="n">
        <f aca="false">H470-D470</f>
        <v>13</v>
      </c>
      <c r="L470" s="0" t="n">
        <f aca="false">H470-E470</f>
        <v>15</v>
      </c>
      <c r="M470" s="0" t="n">
        <f aca="false">H470-F470</f>
        <v>14</v>
      </c>
      <c r="N470" s="0" t="n">
        <f aca="false">H470-G470</f>
        <v>14</v>
      </c>
      <c r="O470" s="0" t="n">
        <f aca="false">B470+D470+F470</f>
        <v>9</v>
      </c>
      <c r="P470" s="0" t="n">
        <f aca="false">C470+E470+G470</f>
        <v>8</v>
      </c>
    </row>
    <row r="471" customFormat="false" ht="15" hidden="false" customHeight="false" outlineLevel="0" collapsed="false">
      <c r="A471" s="0" t="n">
        <v>471</v>
      </c>
      <c r="B471" s="0" t="n">
        <f aca="false">Raw_Data!AJ471</f>
        <v>3</v>
      </c>
      <c r="C471" s="0" t="n">
        <f aca="false">Raw_Data!AK471</f>
        <v>3</v>
      </c>
      <c r="D471" s="0" t="n">
        <f aca="false">Raw_Data!AL471</f>
        <v>5</v>
      </c>
      <c r="E471" s="0" t="n">
        <f aca="false">Raw_Data!AM471</f>
        <v>3</v>
      </c>
      <c r="F471" s="0" t="n">
        <f aca="false">Raw_Data!AN471</f>
        <v>2</v>
      </c>
      <c r="G471" s="0" t="n">
        <f aca="false">Raw_Data!AO471</f>
        <v>4</v>
      </c>
      <c r="H471" s="0" t="n">
        <f aca="false">SUM(B471:G471)</f>
        <v>20</v>
      </c>
      <c r="I471" s="0" t="n">
        <f aca="false">H471-B471</f>
        <v>17</v>
      </c>
      <c r="J471" s="0" t="n">
        <f aca="false">H471-C471</f>
        <v>17</v>
      </c>
      <c r="K471" s="0" t="n">
        <f aca="false">H471-D471</f>
        <v>15</v>
      </c>
      <c r="L471" s="0" t="n">
        <f aca="false">H471-E471</f>
        <v>17</v>
      </c>
      <c r="M471" s="0" t="n">
        <f aca="false">H471-F471</f>
        <v>18</v>
      </c>
      <c r="N471" s="0" t="n">
        <f aca="false">H471-G471</f>
        <v>16</v>
      </c>
      <c r="O471" s="0" t="n">
        <f aca="false">B471+D471+F471</f>
        <v>10</v>
      </c>
      <c r="P471" s="0" t="n">
        <f aca="false">C471+E471+G471</f>
        <v>10</v>
      </c>
    </row>
    <row r="472" customFormat="false" ht="15" hidden="false" customHeight="false" outlineLevel="0" collapsed="false">
      <c r="A472" s="0" t="n">
        <v>472</v>
      </c>
      <c r="B472" s="0" t="n">
        <f aca="false">Raw_Data!AJ472</f>
        <v>4</v>
      </c>
      <c r="C472" s="0" t="n">
        <f aca="false">Raw_Data!AK472</f>
        <v>4</v>
      </c>
      <c r="D472" s="0" t="n">
        <f aca="false">Raw_Data!AL472</f>
        <v>4</v>
      </c>
      <c r="E472" s="0" t="n">
        <f aca="false">Raw_Data!AM472</f>
        <v>3</v>
      </c>
      <c r="F472" s="0" t="n">
        <f aca="false">Raw_Data!AN472</f>
        <v>4</v>
      </c>
      <c r="G472" s="0" t="n">
        <f aca="false">Raw_Data!AO472</f>
        <v>3</v>
      </c>
      <c r="H472" s="0" t="n">
        <f aca="false">SUM(B472:G472)</f>
        <v>22</v>
      </c>
      <c r="I472" s="0" t="n">
        <f aca="false">H472-B472</f>
        <v>18</v>
      </c>
      <c r="J472" s="0" t="n">
        <f aca="false">H472-C472</f>
        <v>18</v>
      </c>
      <c r="K472" s="0" t="n">
        <f aca="false">H472-D472</f>
        <v>18</v>
      </c>
      <c r="L472" s="0" t="n">
        <f aca="false">H472-E472</f>
        <v>19</v>
      </c>
      <c r="M472" s="0" t="n">
        <f aca="false">H472-F472</f>
        <v>18</v>
      </c>
      <c r="N472" s="0" t="n">
        <f aca="false">H472-G472</f>
        <v>19</v>
      </c>
      <c r="O472" s="0" t="n">
        <f aca="false">B472+D472+F472</f>
        <v>12</v>
      </c>
      <c r="P472" s="0" t="n">
        <f aca="false">C472+E472+G472</f>
        <v>10</v>
      </c>
    </row>
    <row r="473" customFormat="false" ht="15" hidden="false" customHeight="false" outlineLevel="0" collapsed="false">
      <c r="A473" s="0" t="n">
        <v>473</v>
      </c>
      <c r="B473" s="0" t="n">
        <f aca="false">Raw_Data!AJ473</f>
        <v>3</v>
      </c>
      <c r="C473" s="0" t="n">
        <f aca="false">Raw_Data!AK473</f>
        <v>2</v>
      </c>
      <c r="D473" s="0" t="n">
        <f aca="false">Raw_Data!AL473</f>
        <v>3</v>
      </c>
      <c r="E473" s="0" t="n">
        <f aca="false">Raw_Data!AM473</f>
        <v>2</v>
      </c>
      <c r="F473" s="0" t="n">
        <f aca="false">Raw_Data!AN473</f>
        <v>3</v>
      </c>
      <c r="G473" s="0" t="n">
        <f aca="false">Raw_Data!AO473</f>
        <v>4</v>
      </c>
      <c r="H473" s="0" t="n">
        <f aca="false">SUM(B473:G473)</f>
        <v>17</v>
      </c>
      <c r="I473" s="0" t="n">
        <f aca="false">H473-B473</f>
        <v>14</v>
      </c>
      <c r="J473" s="0" t="n">
        <f aca="false">H473-C473</f>
        <v>15</v>
      </c>
      <c r="K473" s="0" t="n">
        <f aca="false">H473-D473</f>
        <v>14</v>
      </c>
      <c r="L473" s="0" t="n">
        <f aca="false">H473-E473</f>
        <v>15</v>
      </c>
      <c r="M473" s="0" t="n">
        <f aca="false">H473-F473</f>
        <v>14</v>
      </c>
      <c r="N473" s="0" t="n">
        <f aca="false">H473-G473</f>
        <v>13</v>
      </c>
      <c r="O473" s="0" t="n">
        <f aca="false">B473+D473+F473</f>
        <v>9</v>
      </c>
      <c r="P473" s="0" t="n">
        <f aca="false">C473+E473+G473</f>
        <v>8</v>
      </c>
    </row>
    <row r="474" customFormat="false" ht="15" hidden="false" customHeight="false" outlineLevel="0" collapsed="false">
      <c r="A474" s="0" t="n">
        <v>474</v>
      </c>
      <c r="B474" s="0" t="n">
        <f aca="false">Raw_Data!AJ474</f>
        <v>5</v>
      </c>
      <c r="C474" s="0" t="n">
        <f aca="false">Raw_Data!AK474</f>
        <v>3</v>
      </c>
      <c r="D474" s="0" t="n">
        <f aca="false">Raw_Data!AL474</f>
        <v>4</v>
      </c>
      <c r="E474" s="0" t="n">
        <f aca="false">Raw_Data!AM474</f>
        <v>3</v>
      </c>
      <c r="F474" s="0" t="n">
        <f aca="false">Raw_Data!AN474</f>
        <v>4</v>
      </c>
      <c r="G474" s="0" t="n">
        <f aca="false">Raw_Data!AO474</f>
        <v>3</v>
      </c>
      <c r="H474" s="0" t="n">
        <f aca="false">SUM(B474:G474)</f>
        <v>22</v>
      </c>
      <c r="I474" s="0" t="n">
        <f aca="false">H474-B474</f>
        <v>17</v>
      </c>
      <c r="J474" s="0" t="n">
        <f aca="false">H474-C474</f>
        <v>19</v>
      </c>
      <c r="K474" s="0" t="n">
        <f aca="false">H474-D474</f>
        <v>18</v>
      </c>
      <c r="L474" s="0" t="n">
        <f aca="false">H474-E474</f>
        <v>19</v>
      </c>
      <c r="M474" s="0" t="n">
        <f aca="false">H474-F474</f>
        <v>18</v>
      </c>
      <c r="N474" s="0" t="n">
        <f aca="false">H474-G474</f>
        <v>19</v>
      </c>
      <c r="O474" s="0" t="n">
        <f aca="false">B474+D474+F474</f>
        <v>13</v>
      </c>
      <c r="P474" s="0" t="n">
        <f aca="false">C474+E474+G474</f>
        <v>9</v>
      </c>
    </row>
    <row r="475" customFormat="false" ht="15" hidden="false" customHeight="false" outlineLevel="0" collapsed="false">
      <c r="A475" s="0" t="n">
        <v>475</v>
      </c>
      <c r="B475" s="0" t="n">
        <f aca="false">Raw_Data!AJ475</f>
        <v>5</v>
      </c>
      <c r="C475" s="0" t="n">
        <f aca="false">Raw_Data!AK475</f>
        <v>1</v>
      </c>
      <c r="D475" s="0" t="n">
        <f aca="false">Raw_Data!AL475</f>
        <v>3</v>
      </c>
      <c r="E475" s="0" t="n">
        <f aca="false">Raw_Data!AM475</f>
        <v>3</v>
      </c>
      <c r="F475" s="0" t="n">
        <f aca="false">Raw_Data!AN475</f>
        <v>3</v>
      </c>
      <c r="G475" s="0" t="n">
        <f aca="false">Raw_Data!AO475</f>
        <v>3</v>
      </c>
      <c r="H475" s="0" t="n">
        <f aca="false">SUM(B475:G475)</f>
        <v>18</v>
      </c>
      <c r="I475" s="0" t="n">
        <f aca="false">H475-B475</f>
        <v>13</v>
      </c>
      <c r="J475" s="0" t="n">
        <f aca="false">H475-C475</f>
        <v>17</v>
      </c>
      <c r="K475" s="0" t="n">
        <f aca="false">H475-D475</f>
        <v>15</v>
      </c>
      <c r="L475" s="0" t="n">
        <f aca="false">H475-E475</f>
        <v>15</v>
      </c>
      <c r="M475" s="0" t="n">
        <f aca="false">H475-F475</f>
        <v>15</v>
      </c>
      <c r="N475" s="0" t="n">
        <f aca="false">H475-G475</f>
        <v>15</v>
      </c>
      <c r="O475" s="0" t="n">
        <f aca="false">B475+D475+F475</f>
        <v>11</v>
      </c>
      <c r="P475" s="0" t="n">
        <f aca="false">C475+E475+G475</f>
        <v>7</v>
      </c>
    </row>
    <row r="476" customFormat="false" ht="15" hidden="false" customHeight="false" outlineLevel="0" collapsed="false">
      <c r="A476" s="0" t="n">
        <v>476</v>
      </c>
      <c r="B476" s="0" t="n">
        <f aca="false">Raw_Data!AJ476</f>
        <v>4</v>
      </c>
      <c r="C476" s="0" t="n">
        <f aca="false">Raw_Data!AK476</f>
        <v>1</v>
      </c>
      <c r="D476" s="0" t="n">
        <f aca="false">Raw_Data!AL476</f>
        <v>4</v>
      </c>
      <c r="E476" s="0" t="n">
        <f aca="false">Raw_Data!AM476</f>
        <v>3</v>
      </c>
      <c r="F476" s="0" t="n">
        <f aca="false">Raw_Data!AN476</f>
        <v>3</v>
      </c>
      <c r="G476" s="0" t="n">
        <f aca="false">Raw_Data!AO476</f>
        <v>2</v>
      </c>
      <c r="H476" s="0" t="n">
        <f aca="false">SUM(B476:G476)</f>
        <v>17</v>
      </c>
      <c r="I476" s="0" t="n">
        <f aca="false">H476-B476</f>
        <v>13</v>
      </c>
      <c r="J476" s="0" t="n">
        <f aca="false">H476-C476</f>
        <v>16</v>
      </c>
      <c r="K476" s="0" t="n">
        <f aca="false">H476-D476</f>
        <v>13</v>
      </c>
      <c r="L476" s="0" t="n">
        <f aca="false">H476-E476</f>
        <v>14</v>
      </c>
      <c r="M476" s="0" t="n">
        <f aca="false">H476-F476</f>
        <v>14</v>
      </c>
      <c r="N476" s="0" t="n">
        <f aca="false">H476-G476</f>
        <v>15</v>
      </c>
      <c r="O476" s="0" t="n">
        <f aca="false">B476+D476+F476</f>
        <v>11</v>
      </c>
      <c r="P476" s="0" t="n">
        <f aca="false">C476+E476+G476</f>
        <v>6</v>
      </c>
    </row>
    <row r="477" customFormat="false" ht="15" hidden="false" customHeight="false" outlineLevel="0" collapsed="false">
      <c r="A477" s="0" t="n">
        <v>477</v>
      </c>
      <c r="B477" s="0" t="n">
        <f aca="false">Raw_Data!AJ477</f>
        <v>4</v>
      </c>
      <c r="C477" s="0" t="n">
        <f aca="false">Raw_Data!AK477</f>
        <v>4</v>
      </c>
      <c r="D477" s="0" t="n">
        <f aca="false">Raw_Data!AL477</f>
        <v>3</v>
      </c>
      <c r="E477" s="0" t="n">
        <f aca="false">Raw_Data!AM477</f>
        <v>3</v>
      </c>
      <c r="F477" s="0" t="n">
        <f aca="false">Raw_Data!AN477</f>
        <v>3</v>
      </c>
      <c r="G477" s="0" t="n">
        <f aca="false">Raw_Data!AO477</f>
        <v>4</v>
      </c>
      <c r="H477" s="0" t="n">
        <f aca="false">SUM(B477:G477)</f>
        <v>21</v>
      </c>
      <c r="I477" s="0" t="n">
        <f aca="false">H477-B477</f>
        <v>17</v>
      </c>
      <c r="J477" s="0" t="n">
        <f aca="false">H477-C477</f>
        <v>17</v>
      </c>
      <c r="K477" s="0" t="n">
        <f aca="false">H477-D477</f>
        <v>18</v>
      </c>
      <c r="L477" s="0" t="n">
        <f aca="false">H477-E477</f>
        <v>18</v>
      </c>
      <c r="M477" s="0" t="n">
        <f aca="false">H477-F477</f>
        <v>18</v>
      </c>
      <c r="N477" s="0" t="n">
        <f aca="false">H477-G477</f>
        <v>17</v>
      </c>
      <c r="O477" s="0" t="n">
        <f aca="false">B477+D477+F477</f>
        <v>10</v>
      </c>
      <c r="P477" s="0" t="n">
        <f aca="false">C477+E477+G477</f>
        <v>11</v>
      </c>
    </row>
    <row r="478" customFormat="false" ht="15" hidden="false" customHeight="false" outlineLevel="0" collapsed="false">
      <c r="A478" s="0" t="n">
        <v>478</v>
      </c>
      <c r="B478" s="0" t="n">
        <f aca="false">Raw_Data!AJ478</f>
        <v>4</v>
      </c>
      <c r="C478" s="0" t="n">
        <f aca="false">Raw_Data!AK478</f>
        <v>3</v>
      </c>
      <c r="D478" s="0" t="n">
        <f aca="false">Raw_Data!AL478</f>
        <v>3</v>
      </c>
      <c r="E478" s="0" t="n">
        <f aca="false">Raw_Data!AM478</f>
        <v>4</v>
      </c>
      <c r="F478" s="0" t="n">
        <f aca="false">Raw_Data!AN478</f>
        <v>4</v>
      </c>
      <c r="G478" s="0" t="n">
        <f aca="false">Raw_Data!AO478</f>
        <v>3</v>
      </c>
      <c r="H478" s="0" t="n">
        <f aca="false">SUM(B478:G478)</f>
        <v>21</v>
      </c>
      <c r="I478" s="0" t="n">
        <f aca="false">H478-B478</f>
        <v>17</v>
      </c>
      <c r="J478" s="0" t="n">
        <f aca="false">H478-C478</f>
        <v>18</v>
      </c>
      <c r="K478" s="0" t="n">
        <f aca="false">H478-D478</f>
        <v>18</v>
      </c>
      <c r="L478" s="0" t="n">
        <f aca="false">H478-E478</f>
        <v>17</v>
      </c>
      <c r="M478" s="0" t="n">
        <f aca="false">H478-F478</f>
        <v>17</v>
      </c>
      <c r="N478" s="0" t="n">
        <f aca="false">H478-G478</f>
        <v>18</v>
      </c>
      <c r="O478" s="0" t="n">
        <f aca="false">B478+D478+F478</f>
        <v>11</v>
      </c>
      <c r="P478" s="0" t="n">
        <f aca="false">C478+E478+G478</f>
        <v>10</v>
      </c>
    </row>
    <row r="479" customFormat="false" ht="15" hidden="false" customHeight="false" outlineLevel="0" collapsed="false">
      <c r="A479" s="0" t="n">
        <v>479</v>
      </c>
      <c r="B479" s="0" t="n">
        <f aca="false">Raw_Data!AJ479</f>
        <v>4</v>
      </c>
      <c r="C479" s="0" t="n">
        <f aca="false">Raw_Data!AK479</f>
        <v>3</v>
      </c>
      <c r="D479" s="0" t="n">
        <f aca="false">Raw_Data!AL479</f>
        <v>3</v>
      </c>
      <c r="E479" s="0" t="n">
        <f aca="false">Raw_Data!AM479</f>
        <v>3</v>
      </c>
      <c r="F479" s="0" t="n">
        <f aca="false">Raw_Data!AN479</f>
        <v>3</v>
      </c>
      <c r="G479" s="0" t="n">
        <f aca="false">Raw_Data!AO479</f>
        <v>3</v>
      </c>
      <c r="H479" s="0" t="n">
        <f aca="false">SUM(B479:G479)</f>
        <v>19</v>
      </c>
      <c r="I479" s="0" t="n">
        <f aca="false">H479-B479</f>
        <v>15</v>
      </c>
      <c r="J479" s="0" t="n">
        <f aca="false">H479-C479</f>
        <v>16</v>
      </c>
      <c r="K479" s="0" t="n">
        <f aca="false">H479-D479</f>
        <v>16</v>
      </c>
      <c r="L479" s="0" t="n">
        <f aca="false">H479-E479</f>
        <v>16</v>
      </c>
      <c r="M479" s="0" t="n">
        <f aca="false">H479-F479</f>
        <v>16</v>
      </c>
      <c r="N479" s="0" t="n">
        <f aca="false">H479-G479</f>
        <v>16</v>
      </c>
      <c r="O479" s="0" t="n">
        <f aca="false">B479+D479+F479</f>
        <v>10</v>
      </c>
      <c r="P479" s="0" t="n">
        <f aca="false">C479+E479+G479</f>
        <v>9</v>
      </c>
    </row>
    <row r="480" customFormat="false" ht="15" hidden="false" customHeight="false" outlineLevel="0" collapsed="false">
      <c r="A480" s="0" t="n">
        <v>480</v>
      </c>
      <c r="B480" s="0" t="n">
        <f aca="false">Raw_Data!AJ480</f>
        <v>4</v>
      </c>
      <c r="C480" s="0" t="n">
        <f aca="false">Raw_Data!AK480</f>
        <v>1</v>
      </c>
      <c r="D480" s="0" t="n">
        <f aca="false">Raw_Data!AL480</f>
        <v>4</v>
      </c>
      <c r="E480" s="0" t="n">
        <f aca="false">Raw_Data!AM480</f>
        <v>4</v>
      </c>
      <c r="F480" s="0" t="n">
        <f aca="false">Raw_Data!AN480</f>
        <v>3</v>
      </c>
      <c r="G480" s="0" t="n">
        <f aca="false">Raw_Data!AO480</f>
        <v>2</v>
      </c>
      <c r="H480" s="0" t="n">
        <f aca="false">SUM(B480:G480)</f>
        <v>18</v>
      </c>
      <c r="I480" s="0" t="n">
        <f aca="false">H480-B480</f>
        <v>14</v>
      </c>
      <c r="J480" s="0" t="n">
        <f aca="false">H480-C480</f>
        <v>17</v>
      </c>
      <c r="K480" s="0" t="n">
        <f aca="false">H480-D480</f>
        <v>14</v>
      </c>
      <c r="L480" s="0" t="n">
        <f aca="false">H480-E480</f>
        <v>14</v>
      </c>
      <c r="M480" s="0" t="n">
        <f aca="false">H480-F480</f>
        <v>15</v>
      </c>
      <c r="N480" s="0" t="n">
        <f aca="false">H480-G480</f>
        <v>16</v>
      </c>
      <c r="O480" s="0" t="n">
        <f aca="false">B480+D480+F480</f>
        <v>11</v>
      </c>
      <c r="P480" s="0" t="n">
        <f aca="false">C480+E480+G480</f>
        <v>7</v>
      </c>
    </row>
    <row r="481" customFormat="false" ht="15" hidden="false" customHeight="false" outlineLevel="0" collapsed="false">
      <c r="A481" s="0" t="n">
        <v>481</v>
      </c>
      <c r="B481" s="0" t="n">
        <f aca="false">Raw_Data!AJ481</f>
        <v>4</v>
      </c>
      <c r="C481" s="0" t="n">
        <f aca="false">Raw_Data!AK481</f>
        <v>2</v>
      </c>
      <c r="D481" s="0" t="n">
        <f aca="false">Raw_Data!AL481</f>
        <v>4</v>
      </c>
      <c r="E481" s="0" t="n">
        <f aca="false">Raw_Data!AM481</f>
        <v>3</v>
      </c>
      <c r="F481" s="0" t="n">
        <f aca="false">Raw_Data!AN481</f>
        <v>3</v>
      </c>
      <c r="G481" s="0" t="n">
        <f aca="false">Raw_Data!AO481</f>
        <v>4</v>
      </c>
      <c r="H481" s="0" t="n">
        <f aca="false">SUM(B481:G481)</f>
        <v>20</v>
      </c>
      <c r="I481" s="0" t="n">
        <f aca="false">H481-B481</f>
        <v>16</v>
      </c>
      <c r="J481" s="0" t="n">
        <f aca="false">H481-C481</f>
        <v>18</v>
      </c>
      <c r="K481" s="0" t="n">
        <f aca="false">H481-D481</f>
        <v>16</v>
      </c>
      <c r="L481" s="0" t="n">
        <f aca="false">H481-E481</f>
        <v>17</v>
      </c>
      <c r="M481" s="0" t="n">
        <f aca="false">H481-F481</f>
        <v>17</v>
      </c>
      <c r="N481" s="0" t="n">
        <f aca="false">H481-G481</f>
        <v>16</v>
      </c>
      <c r="O481" s="0" t="n">
        <f aca="false">B481+D481+F481</f>
        <v>11</v>
      </c>
      <c r="P481" s="0" t="n">
        <f aca="false">C481+E481+G481</f>
        <v>9</v>
      </c>
    </row>
    <row r="482" customFormat="false" ht="15" hidden="false" customHeight="false" outlineLevel="0" collapsed="false">
      <c r="A482" s="0" t="n">
        <v>482</v>
      </c>
      <c r="B482" s="0" t="n">
        <f aca="false">Raw_Data!AJ482</f>
        <v>5</v>
      </c>
      <c r="C482" s="0" t="n">
        <f aca="false">Raw_Data!AK482</f>
        <v>4</v>
      </c>
      <c r="D482" s="0" t="n">
        <f aca="false">Raw_Data!AL482</f>
        <v>5</v>
      </c>
      <c r="E482" s="0" t="n">
        <f aca="false">Raw_Data!AM482</f>
        <v>5</v>
      </c>
      <c r="F482" s="0" t="n">
        <f aca="false">Raw_Data!AN482</f>
        <v>2</v>
      </c>
      <c r="G482" s="0" t="n">
        <f aca="false">Raw_Data!AO482</f>
        <v>4</v>
      </c>
      <c r="H482" s="0" t="n">
        <f aca="false">SUM(B482:G482)</f>
        <v>25</v>
      </c>
      <c r="I482" s="0" t="n">
        <f aca="false">H482-B482</f>
        <v>20</v>
      </c>
      <c r="J482" s="0" t="n">
        <f aca="false">H482-C482</f>
        <v>21</v>
      </c>
      <c r="K482" s="0" t="n">
        <f aca="false">H482-D482</f>
        <v>20</v>
      </c>
      <c r="L482" s="0" t="n">
        <f aca="false">H482-E482</f>
        <v>20</v>
      </c>
      <c r="M482" s="0" t="n">
        <f aca="false">H482-F482</f>
        <v>23</v>
      </c>
      <c r="N482" s="0" t="n">
        <f aca="false">H482-G482</f>
        <v>21</v>
      </c>
      <c r="O482" s="0" t="n">
        <f aca="false">B482+D482+F482</f>
        <v>12</v>
      </c>
      <c r="P482" s="0" t="n">
        <f aca="false">C482+E482+G482</f>
        <v>13</v>
      </c>
    </row>
    <row r="483" customFormat="false" ht="15" hidden="false" customHeight="false" outlineLevel="0" collapsed="false">
      <c r="A483" s="0" t="n">
        <v>483</v>
      </c>
      <c r="B483" s="0" t="n">
        <f aca="false">Raw_Data!AJ483</f>
        <v>4</v>
      </c>
      <c r="C483" s="0" t="n">
        <f aca="false">Raw_Data!AK483</f>
        <v>3</v>
      </c>
      <c r="D483" s="0" t="n">
        <f aca="false">Raw_Data!AL483</f>
        <v>4</v>
      </c>
      <c r="E483" s="0" t="n">
        <f aca="false">Raw_Data!AM483</f>
        <v>4</v>
      </c>
      <c r="F483" s="0" t="n">
        <f aca="false">Raw_Data!AN483</f>
        <v>2</v>
      </c>
      <c r="G483" s="0" t="n">
        <f aca="false">Raw_Data!AO483</f>
        <v>4</v>
      </c>
      <c r="H483" s="0" t="n">
        <f aca="false">SUM(B483:G483)</f>
        <v>21</v>
      </c>
      <c r="I483" s="0" t="n">
        <f aca="false">H483-B483</f>
        <v>17</v>
      </c>
      <c r="J483" s="0" t="n">
        <f aca="false">H483-C483</f>
        <v>18</v>
      </c>
      <c r="K483" s="0" t="n">
        <f aca="false">H483-D483</f>
        <v>17</v>
      </c>
      <c r="L483" s="0" t="n">
        <f aca="false">H483-E483</f>
        <v>17</v>
      </c>
      <c r="M483" s="0" t="n">
        <f aca="false">H483-F483</f>
        <v>19</v>
      </c>
      <c r="N483" s="0" t="n">
        <f aca="false">H483-G483</f>
        <v>17</v>
      </c>
      <c r="O483" s="0" t="n">
        <f aca="false">B483+D483+F483</f>
        <v>10</v>
      </c>
      <c r="P483" s="0" t="n">
        <f aca="false">C483+E483+G483</f>
        <v>11</v>
      </c>
    </row>
    <row r="484" customFormat="false" ht="15" hidden="false" customHeight="false" outlineLevel="0" collapsed="false">
      <c r="A484" s="0" t="n">
        <v>484</v>
      </c>
      <c r="B484" s="0" t="n">
        <f aca="false">Raw_Data!AJ484</f>
        <v>5</v>
      </c>
      <c r="C484" s="0" t="n">
        <f aca="false">Raw_Data!AK484</f>
        <v>5</v>
      </c>
      <c r="D484" s="0" t="n">
        <f aca="false">Raw_Data!AL484</f>
        <v>5</v>
      </c>
      <c r="E484" s="0" t="n">
        <f aca="false">Raw_Data!AM484</f>
        <v>4</v>
      </c>
      <c r="F484" s="0" t="n">
        <f aca="false">Raw_Data!AN484</f>
        <v>3</v>
      </c>
      <c r="G484" s="0" t="n">
        <f aca="false">Raw_Data!AO484</f>
        <v>4</v>
      </c>
      <c r="H484" s="0" t="n">
        <f aca="false">SUM(B484:G484)</f>
        <v>26</v>
      </c>
      <c r="I484" s="0" t="n">
        <f aca="false">H484-B484</f>
        <v>21</v>
      </c>
      <c r="J484" s="0" t="n">
        <f aca="false">H484-C484</f>
        <v>21</v>
      </c>
      <c r="K484" s="0" t="n">
        <f aca="false">H484-D484</f>
        <v>21</v>
      </c>
      <c r="L484" s="0" t="n">
        <f aca="false">H484-E484</f>
        <v>22</v>
      </c>
      <c r="M484" s="0" t="n">
        <f aca="false">H484-F484</f>
        <v>23</v>
      </c>
      <c r="N484" s="0" t="n">
        <f aca="false">H484-G484</f>
        <v>22</v>
      </c>
      <c r="O484" s="0" t="n">
        <f aca="false">B484+D484+F484</f>
        <v>13</v>
      </c>
      <c r="P484" s="0" t="n">
        <f aca="false">C484+E484+G484</f>
        <v>13</v>
      </c>
    </row>
    <row r="485" customFormat="false" ht="15" hidden="false" customHeight="false" outlineLevel="0" collapsed="false">
      <c r="A485" s="0" t="n">
        <v>485</v>
      </c>
      <c r="B485" s="0" t="n">
        <f aca="false">Raw_Data!AJ485</f>
        <v>5</v>
      </c>
      <c r="C485" s="0" t="n">
        <f aca="false">Raw_Data!AK485</f>
        <v>2</v>
      </c>
      <c r="D485" s="0" t="n">
        <f aca="false">Raw_Data!AL485</f>
        <v>4</v>
      </c>
      <c r="E485" s="0" t="n">
        <f aca="false">Raw_Data!AM485</f>
        <v>5</v>
      </c>
      <c r="F485" s="0" t="n">
        <f aca="false">Raw_Data!AN485</f>
        <v>4</v>
      </c>
      <c r="G485" s="0" t="n">
        <f aca="false">Raw_Data!AO485</f>
        <v>4</v>
      </c>
      <c r="H485" s="0" t="n">
        <f aca="false">SUM(B485:G485)</f>
        <v>24</v>
      </c>
      <c r="I485" s="0" t="n">
        <f aca="false">H485-B485</f>
        <v>19</v>
      </c>
      <c r="J485" s="0" t="n">
        <f aca="false">H485-C485</f>
        <v>22</v>
      </c>
      <c r="K485" s="0" t="n">
        <f aca="false">H485-D485</f>
        <v>20</v>
      </c>
      <c r="L485" s="0" t="n">
        <f aca="false">H485-E485</f>
        <v>19</v>
      </c>
      <c r="M485" s="0" t="n">
        <f aca="false">H485-F485</f>
        <v>20</v>
      </c>
      <c r="N485" s="0" t="n">
        <f aca="false">H485-G485</f>
        <v>20</v>
      </c>
      <c r="O485" s="0" t="n">
        <f aca="false">B485+D485+F485</f>
        <v>13</v>
      </c>
      <c r="P485" s="0" t="n">
        <f aca="false">C485+E485+G485</f>
        <v>11</v>
      </c>
    </row>
    <row r="486" customFormat="false" ht="15" hidden="false" customHeight="false" outlineLevel="0" collapsed="false">
      <c r="A486" s="0" t="n">
        <v>486</v>
      </c>
      <c r="B486" s="0" t="n">
        <f aca="false">Raw_Data!AJ486</f>
        <v>4</v>
      </c>
      <c r="C486" s="0" t="n">
        <f aca="false">Raw_Data!AK486</f>
        <v>2</v>
      </c>
      <c r="D486" s="0" t="n">
        <f aca="false">Raw_Data!AL486</f>
        <v>4</v>
      </c>
      <c r="E486" s="0" t="n">
        <f aca="false">Raw_Data!AM486</f>
        <v>3</v>
      </c>
      <c r="F486" s="0" t="n">
        <f aca="false">Raw_Data!AN486</f>
        <v>2</v>
      </c>
      <c r="G486" s="0" t="n">
        <f aca="false">Raw_Data!AO486</f>
        <v>3</v>
      </c>
      <c r="H486" s="0" t="n">
        <f aca="false">SUM(B486:G486)</f>
        <v>18</v>
      </c>
      <c r="I486" s="0" t="n">
        <f aca="false">H486-B486</f>
        <v>14</v>
      </c>
      <c r="J486" s="0" t="n">
        <f aca="false">H486-C486</f>
        <v>16</v>
      </c>
      <c r="K486" s="0" t="n">
        <f aca="false">H486-D486</f>
        <v>14</v>
      </c>
      <c r="L486" s="0" t="n">
        <f aca="false">H486-E486</f>
        <v>15</v>
      </c>
      <c r="M486" s="0" t="n">
        <f aca="false">H486-F486</f>
        <v>16</v>
      </c>
      <c r="N486" s="0" t="n">
        <f aca="false">H486-G486</f>
        <v>15</v>
      </c>
      <c r="O486" s="0" t="n">
        <f aca="false">B486+D486+F486</f>
        <v>10</v>
      </c>
      <c r="P486" s="0" t="n">
        <f aca="false">C486+E486+G486</f>
        <v>8</v>
      </c>
    </row>
    <row r="487" customFormat="false" ht="15" hidden="false" customHeight="false" outlineLevel="0" collapsed="false">
      <c r="A487" s="0" t="n">
        <v>487</v>
      </c>
      <c r="B487" s="0" t="n">
        <f aca="false">Raw_Data!AJ487</f>
        <v>4</v>
      </c>
      <c r="C487" s="0" t="n">
        <f aca="false">Raw_Data!AK487</f>
        <v>2</v>
      </c>
      <c r="D487" s="0" t="n">
        <f aca="false">Raw_Data!AL487</f>
        <v>2</v>
      </c>
      <c r="E487" s="0" t="n">
        <f aca="false">Raw_Data!AM487</f>
        <v>4</v>
      </c>
      <c r="F487" s="0" t="n">
        <f aca="false">Raw_Data!AN487</f>
        <v>3</v>
      </c>
      <c r="G487" s="0" t="n">
        <f aca="false">Raw_Data!AO487</f>
        <v>3</v>
      </c>
      <c r="H487" s="0" t="n">
        <f aca="false">SUM(B487:G487)</f>
        <v>18</v>
      </c>
      <c r="I487" s="0" t="n">
        <f aca="false">H487-B487</f>
        <v>14</v>
      </c>
      <c r="J487" s="0" t="n">
        <f aca="false">H487-C487</f>
        <v>16</v>
      </c>
      <c r="K487" s="0" t="n">
        <f aca="false">H487-D487</f>
        <v>16</v>
      </c>
      <c r="L487" s="0" t="n">
        <f aca="false">H487-E487</f>
        <v>14</v>
      </c>
      <c r="M487" s="0" t="n">
        <f aca="false">H487-F487</f>
        <v>15</v>
      </c>
      <c r="N487" s="0" t="n">
        <f aca="false">H487-G487</f>
        <v>15</v>
      </c>
      <c r="O487" s="0" t="n">
        <f aca="false">B487+D487+F487</f>
        <v>9</v>
      </c>
      <c r="P487" s="0" t="n">
        <f aca="false">C487+E487+G487</f>
        <v>9</v>
      </c>
    </row>
    <row r="488" customFormat="false" ht="15" hidden="false" customHeight="false" outlineLevel="0" collapsed="false">
      <c r="A488" s="0" t="n">
        <v>488</v>
      </c>
      <c r="B488" s="0" t="n">
        <f aca="false">Raw_Data!AJ488</f>
        <v>2</v>
      </c>
      <c r="C488" s="0" t="n">
        <f aca="false">Raw_Data!AK488</f>
        <v>4</v>
      </c>
      <c r="D488" s="0" t="n">
        <f aca="false">Raw_Data!AL488</f>
        <v>5</v>
      </c>
      <c r="E488" s="0" t="n">
        <f aca="false">Raw_Data!AM488</f>
        <v>4</v>
      </c>
      <c r="F488" s="0" t="n">
        <f aca="false">Raw_Data!AN488</f>
        <v>1</v>
      </c>
      <c r="G488" s="0" t="n">
        <f aca="false">Raw_Data!AO488</f>
        <v>2</v>
      </c>
      <c r="H488" s="0" t="n">
        <f aca="false">SUM(B488:G488)</f>
        <v>18</v>
      </c>
      <c r="I488" s="0" t="n">
        <f aca="false">H488-B488</f>
        <v>16</v>
      </c>
      <c r="J488" s="0" t="n">
        <f aca="false">H488-C488</f>
        <v>14</v>
      </c>
      <c r="K488" s="0" t="n">
        <f aca="false">H488-D488</f>
        <v>13</v>
      </c>
      <c r="L488" s="0" t="n">
        <f aca="false">H488-E488</f>
        <v>14</v>
      </c>
      <c r="M488" s="0" t="n">
        <f aca="false">H488-F488</f>
        <v>17</v>
      </c>
      <c r="N488" s="0" t="n">
        <f aca="false">H488-G488</f>
        <v>16</v>
      </c>
      <c r="O488" s="0" t="n">
        <f aca="false">B488+D488+F488</f>
        <v>8</v>
      </c>
      <c r="P488" s="0" t="n">
        <f aca="false">C488+E488+G488</f>
        <v>10</v>
      </c>
    </row>
    <row r="489" customFormat="false" ht="15" hidden="false" customHeight="false" outlineLevel="0" collapsed="false">
      <c r="A489" s="0" t="n">
        <v>489</v>
      </c>
      <c r="B489" s="0" t="n">
        <f aca="false">Raw_Data!AJ489</f>
        <v>4</v>
      </c>
      <c r="C489" s="0" t="n">
        <f aca="false">Raw_Data!AK489</f>
        <v>4</v>
      </c>
      <c r="D489" s="0" t="n">
        <f aca="false">Raw_Data!AL489</f>
        <v>5</v>
      </c>
      <c r="E489" s="0" t="n">
        <f aca="false">Raw_Data!AM489</f>
        <v>4</v>
      </c>
      <c r="F489" s="0" t="n">
        <f aca="false">Raw_Data!AN489</f>
        <v>2</v>
      </c>
      <c r="G489" s="0" t="n">
        <f aca="false">Raw_Data!AO489</f>
        <v>4</v>
      </c>
      <c r="H489" s="0" t="n">
        <f aca="false">SUM(B489:G489)</f>
        <v>23</v>
      </c>
      <c r="I489" s="0" t="n">
        <f aca="false">H489-B489</f>
        <v>19</v>
      </c>
      <c r="J489" s="0" t="n">
        <f aca="false">H489-C489</f>
        <v>19</v>
      </c>
      <c r="K489" s="0" t="n">
        <f aca="false">H489-D489</f>
        <v>18</v>
      </c>
      <c r="L489" s="0" t="n">
        <f aca="false">H489-E489</f>
        <v>19</v>
      </c>
      <c r="M489" s="0" t="n">
        <f aca="false">H489-F489</f>
        <v>21</v>
      </c>
      <c r="N489" s="0" t="n">
        <f aca="false">H489-G489</f>
        <v>19</v>
      </c>
      <c r="O489" s="0" t="n">
        <f aca="false">B489+D489+F489</f>
        <v>11</v>
      </c>
      <c r="P489" s="0" t="n">
        <f aca="false">C489+E489+G489</f>
        <v>12</v>
      </c>
    </row>
    <row r="490" customFormat="false" ht="15" hidden="false" customHeight="false" outlineLevel="0" collapsed="false">
      <c r="A490" s="0" t="n">
        <v>490</v>
      </c>
      <c r="B490" s="0" t="n">
        <f aca="false">Raw_Data!AJ490</f>
        <v>1</v>
      </c>
      <c r="C490" s="0" t="n">
        <f aca="false">Raw_Data!AK490</f>
        <v>2</v>
      </c>
      <c r="D490" s="0" t="n">
        <f aca="false">Raw_Data!AL490</f>
        <v>5</v>
      </c>
      <c r="E490" s="0" t="n">
        <f aca="false">Raw_Data!AM490</f>
        <v>3</v>
      </c>
      <c r="F490" s="0" t="n">
        <f aca="false">Raw_Data!AN490</f>
        <v>2</v>
      </c>
      <c r="G490" s="0" t="n">
        <f aca="false">Raw_Data!AO490</f>
        <v>3</v>
      </c>
      <c r="H490" s="0" t="n">
        <f aca="false">SUM(B490:G490)</f>
        <v>16</v>
      </c>
      <c r="I490" s="0" t="n">
        <f aca="false">H490-B490</f>
        <v>15</v>
      </c>
      <c r="J490" s="0" t="n">
        <f aca="false">H490-C490</f>
        <v>14</v>
      </c>
      <c r="K490" s="0" t="n">
        <f aca="false">H490-D490</f>
        <v>11</v>
      </c>
      <c r="L490" s="0" t="n">
        <f aca="false">H490-E490</f>
        <v>13</v>
      </c>
      <c r="M490" s="0" t="n">
        <f aca="false">H490-F490</f>
        <v>14</v>
      </c>
      <c r="N490" s="0" t="n">
        <f aca="false">H490-G490</f>
        <v>13</v>
      </c>
      <c r="O490" s="0" t="n">
        <f aca="false">B490+D490+F490</f>
        <v>8</v>
      </c>
      <c r="P490" s="0" t="n">
        <f aca="false">C490+E490+G490</f>
        <v>8</v>
      </c>
    </row>
    <row r="491" customFormat="false" ht="15" hidden="false" customHeight="false" outlineLevel="0" collapsed="false">
      <c r="A491" s="0" t="n">
        <v>491</v>
      </c>
      <c r="B491" s="0" t="n">
        <f aca="false">Raw_Data!AJ491</f>
        <v>3</v>
      </c>
      <c r="C491" s="0" t="n">
        <f aca="false">Raw_Data!AK491</f>
        <v>5</v>
      </c>
      <c r="D491" s="0" t="n">
        <f aca="false">Raw_Data!AL491</f>
        <v>4</v>
      </c>
      <c r="E491" s="0" t="n">
        <f aca="false">Raw_Data!AM491</f>
        <v>4</v>
      </c>
      <c r="F491" s="0" t="n">
        <f aca="false">Raw_Data!AN491</f>
        <v>4</v>
      </c>
      <c r="G491" s="0" t="n">
        <f aca="false">Raw_Data!AO491</f>
        <v>2</v>
      </c>
      <c r="H491" s="0" t="n">
        <f aca="false">SUM(B491:G491)</f>
        <v>22</v>
      </c>
      <c r="I491" s="0" t="n">
        <f aca="false">H491-B491</f>
        <v>19</v>
      </c>
      <c r="J491" s="0" t="n">
        <f aca="false">H491-C491</f>
        <v>17</v>
      </c>
      <c r="K491" s="0" t="n">
        <f aca="false">H491-D491</f>
        <v>18</v>
      </c>
      <c r="L491" s="0" t="n">
        <f aca="false">H491-E491</f>
        <v>18</v>
      </c>
      <c r="M491" s="0" t="n">
        <f aca="false">H491-F491</f>
        <v>18</v>
      </c>
      <c r="N491" s="0" t="n">
        <f aca="false">H491-G491</f>
        <v>20</v>
      </c>
      <c r="O491" s="0" t="n">
        <f aca="false">B491+D491+F491</f>
        <v>11</v>
      </c>
      <c r="P491" s="0" t="n">
        <f aca="false">C491+E491+G491</f>
        <v>11</v>
      </c>
    </row>
    <row r="492" customFormat="false" ht="15" hidden="false" customHeight="false" outlineLevel="0" collapsed="false">
      <c r="A492" s="0" t="n">
        <v>492</v>
      </c>
      <c r="B492" s="0" t="n">
        <f aca="false">Raw_Data!AJ492</f>
        <v>4</v>
      </c>
      <c r="C492" s="0" t="n">
        <f aca="false">Raw_Data!AK492</f>
        <v>2</v>
      </c>
      <c r="D492" s="0" t="n">
        <f aca="false">Raw_Data!AL492</f>
        <v>4</v>
      </c>
      <c r="E492" s="0" t="n">
        <f aca="false">Raw_Data!AM492</f>
        <v>4</v>
      </c>
      <c r="F492" s="0" t="n">
        <f aca="false">Raw_Data!AN492</f>
        <v>4</v>
      </c>
      <c r="G492" s="0" t="n">
        <f aca="false">Raw_Data!AO492</f>
        <v>4</v>
      </c>
      <c r="H492" s="0" t="n">
        <f aca="false">SUM(B492:G492)</f>
        <v>22</v>
      </c>
      <c r="I492" s="0" t="n">
        <f aca="false">H492-B492</f>
        <v>18</v>
      </c>
      <c r="J492" s="0" t="n">
        <f aca="false">H492-C492</f>
        <v>20</v>
      </c>
      <c r="K492" s="0" t="n">
        <f aca="false">H492-D492</f>
        <v>18</v>
      </c>
      <c r="L492" s="0" t="n">
        <f aca="false">H492-E492</f>
        <v>18</v>
      </c>
      <c r="M492" s="0" t="n">
        <f aca="false">H492-F492</f>
        <v>18</v>
      </c>
      <c r="N492" s="0" t="n">
        <f aca="false">H492-G492</f>
        <v>18</v>
      </c>
      <c r="O492" s="0" t="n">
        <f aca="false">B492+D492+F492</f>
        <v>12</v>
      </c>
      <c r="P492" s="0" t="n">
        <f aca="false">C492+E492+G492</f>
        <v>10</v>
      </c>
    </row>
    <row r="493" customFormat="false" ht="15" hidden="false" customHeight="false" outlineLevel="0" collapsed="false">
      <c r="A493" s="0" t="n">
        <v>493</v>
      </c>
      <c r="B493" s="0" t="n">
        <f aca="false">Raw_Data!AJ493</f>
        <v>4</v>
      </c>
      <c r="C493" s="0" t="n">
        <f aca="false">Raw_Data!AK493</f>
        <v>4</v>
      </c>
      <c r="D493" s="0" t="n">
        <f aca="false">Raw_Data!AL493</f>
        <v>5</v>
      </c>
      <c r="E493" s="0" t="n">
        <f aca="false">Raw_Data!AM493</f>
        <v>4</v>
      </c>
      <c r="F493" s="0" t="n">
        <f aca="false">Raw_Data!AN493</f>
        <v>5</v>
      </c>
      <c r="G493" s="0" t="n">
        <f aca="false">Raw_Data!AO493</f>
        <v>4</v>
      </c>
      <c r="H493" s="0" t="n">
        <f aca="false">SUM(B493:G493)</f>
        <v>26</v>
      </c>
      <c r="I493" s="0" t="n">
        <f aca="false">H493-B493</f>
        <v>22</v>
      </c>
      <c r="J493" s="0" t="n">
        <f aca="false">H493-C493</f>
        <v>22</v>
      </c>
      <c r="K493" s="0" t="n">
        <f aca="false">H493-D493</f>
        <v>21</v>
      </c>
      <c r="L493" s="0" t="n">
        <f aca="false">H493-E493</f>
        <v>22</v>
      </c>
      <c r="M493" s="0" t="n">
        <f aca="false">H493-F493</f>
        <v>21</v>
      </c>
      <c r="N493" s="0" t="n">
        <f aca="false">H493-G493</f>
        <v>22</v>
      </c>
      <c r="O493" s="0" t="n">
        <f aca="false">B493+D493+F493</f>
        <v>14</v>
      </c>
      <c r="P493" s="0" t="n">
        <f aca="false">C493+E493+G493</f>
        <v>12</v>
      </c>
    </row>
    <row r="494" customFormat="false" ht="15" hidden="false" customHeight="false" outlineLevel="0" collapsed="false">
      <c r="A494" s="0" t="n">
        <v>494</v>
      </c>
      <c r="B494" s="0" t="n">
        <f aca="false">Raw_Data!AJ494</f>
        <v>3</v>
      </c>
      <c r="C494" s="0" t="n">
        <f aca="false">Raw_Data!AK494</f>
        <v>4</v>
      </c>
      <c r="D494" s="0" t="n">
        <f aca="false">Raw_Data!AL494</f>
        <v>3</v>
      </c>
      <c r="E494" s="0" t="n">
        <f aca="false">Raw_Data!AM494</f>
        <v>3</v>
      </c>
      <c r="F494" s="0" t="n">
        <f aca="false">Raw_Data!AN494</f>
        <v>2</v>
      </c>
      <c r="G494" s="0" t="n">
        <f aca="false">Raw_Data!AO494</f>
        <v>1</v>
      </c>
      <c r="H494" s="0" t="n">
        <f aca="false">SUM(B494:G494)</f>
        <v>16</v>
      </c>
      <c r="I494" s="0" t="n">
        <f aca="false">H494-B494</f>
        <v>13</v>
      </c>
      <c r="J494" s="0" t="n">
        <f aca="false">H494-C494</f>
        <v>12</v>
      </c>
      <c r="K494" s="0" t="n">
        <f aca="false">H494-D494</f>
        <v>13</v>
      </c>
      <c r="L494" s="0" t="n">
        <f aca="false">H494-E494</f>
        <v>13</v>
      </c>
      <c r="M494" s="0" t="n">
        <f aca="false">H494-F494</f>
        <v>14</v>
      </c>
      <c r="N494" s="0" t="n">
        <f aca="false">H494-G494</f>
        <v>15</v>
      </c>
      <c r="O494" s="0" t="n">
        <f aca="false">B494+D494+F494</f>
        <v>8</v>
      </c>
      <c r="P494" s="0" t="n">
        <f aca="false">C494+E494+G494</f>
        <v>8</v>
      </c>
    </row>
    <row r="495" customFormat="false" ht="15" hidden="false" customHeight="false" outlineLevel="0" collapsed="false">
      <c r="A495" s="0" t="n">
        <v>495</v>
      </c>
      <c r="B495" s="0" t="n">
        <f aca="false">Raw_Data!AJ495</f>
        <v>3</v>
      </c>
      <c r="C495" s="0" t="n">
        <f aca="false">Raw_Data!AK495</f>
        <v>3</v>
      </c>
      <c r="D495" s="0" t="n">
        <f aca="false">Raw_Data!AL495</f>
        <v>4</v>
      </c>
      <c r="E495" s="0" t="n">
        <f aca="false">Raw_Data!AM495</f>
        <v>4</v>
      </c>
      <c r="F495" s="0" t="n">
        <f aca="false">Raw_Data!AN495</f>
        <v>3</v>
      </c>
      <c r="G495" s="0" t="n">
        <f aca="false">Raw_Data!AO495</f>
        <v>2</v>
      </c>
      <c r="H495" s="0" t="n">
        <f aca="false">SUM(B495:G495)</f>
        <v>19</v>
      </c>
      <c r="I495" s="0" t="n">
        <f aca="false">H495-B495</f>
        <v>16</v>
      </c>
      <c r="J495" s="0" t="n">
        <f aca="false">H495-C495</f>
        <v>16</v>
      </c>
      <c r="K495" s="0" t="n">
        <f aca="false">H495-D495</f>
        <v>15</v>
      </c>
      <c r="L495" s="0" t="n">
        <f aca="false">H495-E495</f>
        <v>15</v>
      </c>
      <c r="M495" s="0" t="n">
        <f aca="false">H495-F495</f>
        <v>16</v>
      </c>
      <c r="N495" s="0" t="n">
        <f aca="false">H495-G495</f>
        <v>17</v>
      </c>
      <c r="O495" s="0" t="n">
        <f aca="false">B495+D495+F495</f>
        <v>10</v>
      </c>
      <c r="P495" s="0" t="n">
        <f aca="false">C495+E495+G495</f>
        <v>9</v>
      </c>
    </row>
    <row r="496" customFormat="false" ht="15" hidden="false" customHeight="false" outlineLevel="0" collapsed="false">
      <c r="A496" s="0" t="n">
        <v>496</v>
      </c>
      <c r="B496" s="0" t="n">
        <f aca="false">Raw_Data!AJ496</f>
        <v>4</v>
      </c>
      <c r="C496" s="0" t="n">
        <f aca="false">Raw_Data!AK496</f>
        <v>2</v>
      </c>
      <c r="D496" s="0" t="n">
        <f aca="false">Raw_Data!AL496</f>
        <v>5</v>
      </c>
      <c r="E496" s="0" t="n">
        <f aca="false">Raw_Data!AM496</f>
        <v>3</v>
      </c>
      <c r="F496" s="0" t="n">
        <f aca="false">Raw_Data!AN496</f>
        <v>2</v>
      </c>
      <c r="G496" s="0" t="n">
        <f aca="false">Raw_Data!AO496</f>
        <v>4</v>
      </c>
      <c r="H496" s="0" t="n">
        <f aca="false">SUM(B496:G496)</f>
        <v>20</v>
      </c>
      <c r="I496" s="0" t="n">
        <f aca="false">H496-B496</f>
        <v>16</v>
      </c>
      <c r="J496" s="0" t="n">
        <f aca="false">H496-C496</f>
        <v>18</v>
      </c>
      <c r="K496" s="0" t="n">
        <f aca="false">H496-D496</f>
        <v>15</v>
      </c>
      <c r="L496" s="0" t="n">
        <f aca="false">H496-E496</f>
        <v>17</v>
      </c>
      <c r="M496" s="0" t="n">
        <f aca="false">H496-F496</f>
        <v>18</v>
      </c>
      <c r="N496" s="0" t="n">
        <f aca="false">H496-G496</f>
        <v>16</v>
      </c>
      <c r="O496" s="0" t="n">
        <f aca="false">B496+D496+F496</f>
        <v>11</v>
      </c>
      <c r="P496" s="0" t="n">
        <f aca="false">C496+E496+G496</f>
        <v>9</v>
      </c>
    </row>
    <row r="497" customFormat="false" ht="15" hidden="false" customHeight="false" outlineLevel="0" collapsed="false">
      <c r="A497" s="0" t="n">
        <v>497</v>
      </c>
      <c r="B497" s="0" t="n">
        <f aca="false">Raw_Data!AJ497</f>
        <v>2</v>
      </c>
      <c r="C497" s="0" t="n">
        <f aca="false">Raw_Data!AK497</f>
        <v>3</v>
      </c>
      <c r="D497" s="0" t="n">
        <f aca="false">Raw_Data!AL497</f>
        <v>4</v>
      </c>
      <c r="E497" s="0" t="n">
        <f aca="false">Raw_Data!AM497</f>
        <v>3</v>
      </c>
      <c r="F497" s="0" t="n">
        <f aca="false">Raw_Data!AN497</f>
        <v>3</v>
      </c>
      <c r="G497" s="0" t="n">
        <f aca="false">Raw_Data!AO497</f>
        <v>3</v>
      </c>
      <c r="H497" s="0" t="n">
        <f aca="false">SUM(B497:G497)</f>
        <v>18</v>
      </c>
      <c r="I497" s="0" t="n">
        <f aca="false">H497-B497</f>
        <v>16</v>
      </c>
      <c r="J497" s="0" t="n">
        <f aca="false">H497-C497</f>
        <v>15</v>
      </c>
      <c r="K497" s="0" t="n">
        <f aca="false">H497-D497</f>
        <v>14</v>
      </c>
      <c r="L497" s="0" t="n">
        <f aca="false">H497-E497</f>
        <v>15</v>
      </c>
      <c r="M497" s="0" t="n">
        <f aca="false">H497-F497</f>
        <v>15</v>
      </c>
      <c r="N497" s="0" t="n">
        <f aca="false">H497-G497</f>
        <v>15</v>
      </c>
      <c r="O497" s="0" t="n">
        <f aca="false">B497+D497+F497</f>
        <v>9</v>
      </c>
      <c r="P497" s="0" t="n">
        <f aca="false">C497+E497+G497</f>
        <v>9</v>
      </c>
    </row>
    <row r="498" customFormat="false" ht="15" hidden="false" customHeight="false" outlineLevel="0" collapsed="false">
      <c r="A498" s="0" t="n">
        <v>498</v>
      </c>
      <c r="B498" s="0" t="n">
        <f aca="false">Raw_Data!AJ498</f>
        <v>4</v>
      </c>
      <c r="C498" s="0" t="n">
        <f aca="false">Raw_Data!AK498</f>
        <v>3</v>
      </c>
      <c r="D498" s="0" t="n">
        <f aca="false">Raw_Data!AL498</f>
        <v>3</v>
      </c>
      <c r="E498" s="0" t="n">
        <f aca="false">Raw_Data!AM498</f>
        <v>3</v>
      </c>
      <c r="F498" s="0" t="n">
        <f aca="false">Raw_Data!AN498</f>
        <v>3</v>
      </c>
      <c r="G498" s="0" t="n">
        <f aca="false">Raw_Data!AO498</f>
        <v>3</v>
      </c>
      <c r="H498" s="0" t="n">
        <f aca="false">SUM(B498:G498)</f>
        <v>19</v>
      </c>
      <c r="I498" s="0" t="n">
        <f aca="false">H498-B498</f>
        <v>15</v>
      </c>
      <c r="J498" s="0" t="n">
        <f aca="false">H498-C498</f>
        <v>16</v>
      </c>
      <c r="K498" s="0" t="n">
        <f aca="false">H498-D498</f>
        <v>16</v>
      </c>
      <c r="L498" s="0" t="n">
        <f aca="false">H498-E498</f>
        <v>16</v>
      </c>
      <c r="M498" s="0" t="n">
        <f aca="false">H498-F498</f>
        <v>16</v>
      </c>
      <c r="N498" s="0" t="n">
        <f aca="false">H498-G498</f>
        <v>16</v>
      </c>
      <c r="O498" s="0" t="n">
        <f aca="false">B498+D498+F498</f>
        <v>10</v>
      </c>
      <c r="P498" s="0" t="n">
        <f aca="false">C498+E498+G498</f>
        <v>9</v>
      </c>
    </row>
    <row r="499" customFormat="false" ht="15" hidden="false" customHeight="false" outlineLevel="0" collapsed="false">
      <c r="A499" s="0" t="n">
        <v>499</v>
      </c>
      <c r="B499" s="0" t="n">
        <f aca="false">Raw_Data!AJ499</f>
        <v>5</v>
      </c>
      <c r="C499" s="0" t="n">
        <f aca="false">Raw_Data!AK499</f>
        <v>2</v>
      </c>
      <c r="D499" s="0" t="n">
        <f aca="false">Raw_Data!AL499</f>
        <v>4</v>
      </c>
      <c r="E499" s="0" t="n">
        <f aca="false">Raw_Data!AM499</f>
        <v>3</v>
      </c>
      <c r="F499" s="0" t="n">
        <f aca="false">Raw_Data!AN499</f>
        <v>3</v>
      </c>
      <c r="G499" s="0" t="n">
        <f aca="false">Raw_Data!AO499</f>
        <v>3</v>
      </c>
      <c r="H499" s="0" t="n">
        <f aca="false">SUM(B499:G499)</f>
        <v>20</v>
      </c>
      <c r="I499" s="0" t="n">
        <f aca="false">H499-B499</f>
        <v>15</v>
      </c>
      <c r="J499" s="0" t="n">
        <f aca="false">H499-C499</f>
        <v>18</v>
      </c>
      <c r="K499" s="0" t="n">
        <f aca="false">H499-D499</f>
        <v>16</v>
      </c>
      <c r="L499" s="0" t="n">
        <f aca="false">H499-E499</f>
        <v>17</v>
      </c>
      <c r="M499" s="0" t="n">
        <f aca="false">H499-F499</f>
        <v>17</v>
      </c>
      <c r="N499" s="0" t="n">
        <f aca="false">H499-G499</f>
        <v>17</v>
      </c>
      <c r="O499" s="0" t="n">
        <f aca="false">B499+D499+F499</f>
        <v>12</v>
      </c>
      <c r="P499" s="0" t="n">
        <f aca="false">C499+E499+G499</f>
        <v>8</v>
      </c>
    </row>
    <row r="500" customFormat="false" ht="15" hidden="false" customHeight="false" outlineLevel="0" collapsed="false">
      <c r="A500" s="0" t="n">
        <v>500</v>
      </c>
      <c r="B500" s="0" t="n">
        <f aca="false">Raw_Data!AJ500</f>
        <v>2</v>
      </c>
      <c r="C500" s="0" t="n">
        <f aca="false">Raw_Data!AK500</f>
        <v>2</v>
      </c>
      <c r="D500" s="0" t="n">
        <f aca="false">Raw_Data!AL500</f>
        <v>5</v>
      </c>
      <c r="E500" s="0" t="n">
        <f aca="false">Raw_Data!AM500</f>
        <v>4</v>
      </c>
      <c r="F500" s="0" t="n">
        <f aca="false">Raw_Data!AN500</f>
        <v>2</v>
      </c>
      <c r="G500" s="0" t="n">
        <f aca="false">Raw_Data!AO500</f>
        <v>4</v>
      </c>
      <c r="H500" s="0" t="n">
        <f aca="false">SUM(B500:G500)</f>
        <v>19</v>
      </c>
      <c r="I500" s="0" t="n">
        <f aca="false">H500-B500</f>
        <v>17</v>
      </c>
      <c r="J500" s="0" t="n">
        <f aca="false">H500-C500</f>
        <v>17</v>
      </c>
      <c r="K500" s="0" t="n">
        <f aca="false">H500-D500</f>
        <v>14</v>
      </c>
      <c r="L500" s="0" t="n">
        <f aca="false">H500-E500</f>
        <v>15</v>
      </c>
      <c r="M500" s="0" t="n">
        <f aca="false">H500-F500</f>
        <v>17</v>
      </c>
      <c r="N500" s="0" t="n">
        <f aca="false">H500-G500</f>
        <v>15</v>
      </c>
      <c r="O500" s="0" t="n">
        <f aca="false">B500+D500+F500</f>
        <v>9</v>
      </c>
      <c r="P500" s="0" t="n">
        <f aca="false">C500+E500+G500</f>
        <v>10</v>
      </c>
    </row>
    <row r="501" customFormat="false" ht="15" hidden="false" customHeight="false" outlineLevel="0" collapsed="false">
      <c r="A501" s="0" t="n">
        <v>501</v>
      </c>
      <c r="B501" s="0" t="n">
        <f aca="false">Raw_Data!AJ501</f>
        <v>4</v>
      </c>
      <c r="C501" s="0" t="n">
        <f aca="false">Raw_Data!AK501</f>
        <v>2</v>
      </c>
      <c r="D501" s="0" t="n">
        <f aca="false">Raw_Data!AL501</f>
        <v>4</v>
      </c>
      <c r="E501" s="0" t="n">
        <f aca="false">Raw_Data!AM501</f>
        <v>3</v>
      </c>
      <c r="F501" s="0" t="n">
        <f aca="false">Raw_Data!AN501</f>
        <v>4</v>
      </c>
      <c r="G501" s="0" t="n">
        <f aca="false">Raw_Data!AO501</f>
        <v>3</v>
      </c>
      <c r="H501" s="0" t="n">
        <f aca="false">SUM(B501:G501)</f>
        <v>20</v>
      </c>
      <c r="I501" s="0" t="n">
        <f aca="false">H501-B501</f>
        <v>16</v>
      </c>
      <c r="J501" s="0" t="n">
        <f aca="false">H501-C501</f>
        <v>18</v>
      </c>
      <c r="K501" s="0" t="n">
        <f aca="false">H501-D501</f>
        <v>16</v>
      </c>
      <c r="L501" s="0" t="n">
        <f aca="false">H501-E501</f>
        <v>17</v>
      </c>
      <c r="M501" s="0" t="n">
        <f aca="false">H501-F501</f>
        <v>16</v>
      </c>
      <c r="N501" s="0" t="n">
        <f aca="false">H501-G501</f>
        <v>17</v>
      </c>
      <c r="O501" s="0" t="n">
        <f aca="false">B501+D501+F501</f>
        <v>12</v>
      </c>
      <c r="P501" s="0" t="n">
        <f aca="false">C501+E501+G501</f>
        <v>8</v>
      </c>
    </row>
    <row r="502" customFormat="false" ht="15" hidden="false" customHeight="false" outlineLevel="0" collapsed="false">
      <c r="A502" s="0" t="n">
        <v>502</v>
      </c>
      <c r="B502" s="0" t="n">
        <f aca="false">Raw_Data!AJ502</f>
        <v>5</v>
      </c>
      <c r="C502" s="0" t="n">
        <f aca="false">Raw_Data!AK502</f>
        <v>5</v>
      </c>
      <c r="D502" s="0" t="n">
        <f aca="false">Raw_Data!AL502</f>
        <v>5</v>
      </c>
      <c r="E502" s="0" t="n">
        <f aca="false">Raw_Data!AM502</f>
        <v>4</v>
      </c>
      <c r="F502" s="0" t="n">
        <f aca="false">Raw_Data!AN502</f>
        <v>3</v>
      </c>
      <c r="G502" s="0" t="n">
        <f aca="false">Raw_Data!AO502</f>
        <v>5</v>
      </c>
      <c r="H502" s="0" t="n">
        <f aca="false">SUM(B502:G502)</f>
        <v>27</v>
      </c>
      <c r="I502" s="0" t="n">
        <f aca="false">H502-B502</f>
        <v>22</v>
      </c>
      <c r="J502" s="0" t="n">
        <f aca="false">H502-C502</f>
        <v>22</v>
      </c>
      <c r="K502" s="0" t="n">
        <f aca="false">H502-D502</f>
        <v>22</v>
      </c>
      <c r="L502" s="0" t="n">
        <f aca="false">H502-E502</f>
        <v>23</v>
      </c>
      <c r="M502" s="0" t="n">
        <f aca="false">H502-F502</f>
        <v>24</v>
      </c>
      <c r="N502" s="0" t="n">
        <f aca="false">H502-G502</f>
        <v>22</v>
      </c>
      <c r="O502" s="0" t="n">
        <f aca="false">B502+D502+F502</f>
        <v>13</v>
      </c>
      <c r="P502" s="0" t="n">
        <f aca="false">C502+E502+G502</f>
        <v>14</v>
      </c>
    </row>
    <row r="503" customFormat="false" ht="15" hidden="false" customHeight="false" outlineLevel="0" collapsed="false">
      <c r="A503" s="0" t="n">
        <v>503</v>
      </c>
      <c r="B503" s="0" t="n">
        <f aca="false">Raw_Data!AJ503</f>
        <v>2</v>
      </c>
      <c r="C503" s="0" t="n">
        <f aca="false">Raw_Data!AK503</f>
        <v>4</v>
      </c>
      <c r="D503" s="0" t="n">
        <f aca="false">Raw_Data!AL503</f>
        <v>5</v>
      </c>
      <c r="E503" s="0" t="n">
        <f aca="false">Raw_Data!AM503</f>
        <v>2</v>
      </c>
      <c r="F503" s="0" t="n">
        <f aca="false">Raw_Data!AN503</f>
        <v>2</v>
      </c>
      <c r="G503" s="0" t="n">
        <f aca="false">Raw_Data!AO503</f>
        <v>4</v>
      </c>
      <c r="H503" s="0" t="n">
        <f aca="false">SUM(B503:G503)</f>
        <v>19</v>
      </c>
      <c r="I503" s="0" t="n">
        <f aca="false">H503-B503</f>
        <v>17</v>
      </c>
      <c r="J503" s="0" t="n">
        <f aca="false">H503-C503</f>
        <v>15</v>
      </c>
      <c r="K503" s="0" t="n">
        <f aca="false">H503-D503</f>
        <v>14</v>
      </c>
      <c r="L503" s="0" t="n">
        <f aca="false">H503-E503</f>
        <v>17</v>
      </c>
      <c r="M503" s="0" t="n">
        <f aca="false">H503-F503</f>
        <v>17</v>
      </c>
      <c r="N503" s="0" t="n">
        <f aca="false">H503-G503</f>
        <v>15</v>
      </c>
      <c r="O503" s="0" t="n">
        <f aca="false">B503+D503+F503</f>
        <v>9</v>
      </c>
      <c r="P503" s="0" t="n">
        <f aca="false">C503+E503+G503</f>
        <v>10</v>
      </c>
    </row>
    <row r="504" customFormat="false" ht="15" hidden="false" customHeight="false" outlineLevel="0" collapsed="false">
      <c r="A504" s="0" t="n">
        <v>504</v>
      </c>
      <c r="B504" s="0" t="n">
        <f aca="false">Raw_Data!AJ504</f>
        <v>5</v>
      </c>
      <c r="C504" s="0" t="n">
        <f aca="false">Raw_Data!AK504</f>
        <v>3</v>
      </c>
      <c r="D504" s="0" t="n">
        <f aca="false">Raw_Data!AL504</f>
        <v>4</v>
      </c>
      <c r="E504" s="0" t="n">
        <f aca="false">Raw_Data!AM504</f>
        <v>3</v>
      </c>
      <c r="F504" s="0" t="n">
        <f aca="false">Raw_Data!AN504</f>
        <v>3</v>
      </c>
      <c r="G504" s="0" t="n">
        <f aca="false">Raw_Data!AO504</f>
        <v>3</v>
      </c>
      <c r="H504" s="0" t="n">
        <f aca="false">SUM(B504:G504)</f>
        <v>21</v>
      </c>
      <c r="I504" s="0" t="n">
        <f aca="false">H504-B504</f>
        <v>16</v>
      </c>
      <c r="J504" s="0" t="n">
        <f aca="false">H504-C504</f>
        <v>18</v>
      </c>
      <c r="K504" s="0" t="n">
        <f aca="false">H504-D504</f>
        <v>17</v>
      </c>
      <c r="L504" s="0" t="n">
        <f aca="false">H504-E504</f>
        <v>18</v>
      </c>
      <c r="M504" s="0" t="n">
        <f aca="false">H504-F504</f>
        <v>18</v>
      </c>
      <c r="N504" s="0" t="n">
        <f aca="false">H504-G504</f>
        <v>18</v>
      </c>
      <c r="O504" s="0" t="n">
        <f aca="false">B504+D504+F504</f>
        <v>12</v>
      </c>
      <c r="P504" s="0" t="n">
        <f aca="false">C504+E504+G504</f>
        <v>9</v>
      </c>
    </row>
    <row r="505" customFormat="false" ht="15" hidden="false" customHeight="false" outlineLevel="0" collapsed="false">
      <c r="A505" s="0" t="n">
        <v>505</v>
      </c>
      <c r="B505" s="0" t="n">
        <f aca="false">Raw_Data!AJ505</f>
        <v>4</v>
      </c>
      <c r="C505" s="0" t="n">
        <f aca="false">Raw_Data!AK505</f>
        <v>3</v>
      </c>
      <c r="D505" s="0" t="n">
        <f aca="false">Raw_Data!AL505</f>
        <v>4</v>
      </c>
      <c r="E505" s="0" t="n">
        <f aca="false">Raw_Data!AM505</f>
        <v>4</v>
      </c>
      <c r="F505" s="0" t="n">
        <f aca="false">Raw_Data!AN505</f>
        <v>4</v>
      </c>
      <c r="G505" s="0" t="n">
        <f aca="false">Raw_Data!AO505</f>
        <v>3</v>
      </c>
      <c r="H505" s="0" t="n">
        <f aca="false">SUM(B505:G505)</f>
        <v>22</v>
      </c>
      <c r="I505" s="0" t="n">
        <f aca="false">H505-B505</f>
        <v>18</v>
      </c>
      <c r="J505" s="0" t="n">
        <f aca="false">H505-C505</f>
        <v>19</v>
      </c>
      <c r="K505" s="0" t="n">
        <f aca="false">H505-D505</f>
        <v>18</v>
      </c>
      <c r="L505" s="0" t="n">
        <f aca="false">H505-E505</f>
        <v>18</v>
      </c>
      <c r="M505" s="0" t="n">
        <f aca="false">H505-F505</f>
        <v>18</v>
      </c>
      <c r="N505" s="0" t="n">
        <f aca="false">H505-G505</f>
        <v>19</v>
      </c>
      <c r="O505" s="0" t="n">
        <f aca="false">B505+D505+F505</f>
        <v>12</v>
      </c>
      <c r="P505" s="0" t="n">
        <f aca="false">C505+E505+G505</f>
        <v>10</v>
      </c>
    </row>
    <row r="506" customFormat="false" ht="15" hidden="false" customHeight="false" outlineLevel="0" collapsed="false">
      <c r="A506" s="0" t="n">
        <v>506</v>
      </c>
      <c r="B506" s="0" t="n">
        <f aca="false">Raw_Data!AJ506</f>
        <v>3</v>
      </c>
      <c r="C506" s="0" t="n">
        <f aca="false">Raw_Data!AK506</f>
        <v>2</v>
      </c>
      <c r="D506" s="0" t="n">
        <f aca="false">Raw_Data!AL506</f>
        <v>5</v>
      </c>
      <c r="E506" s="0" t="n">
        <f aca="false">Raw_Data!AM506</f>
        <v>5</v>
      </c>
      <c r="F506" s="0" t="n">
        <f aca="false">Raw_Data!AN506</f>
        <v>2</v>
      </c>
      <c r="G506" s="0" t="n">
        <f aca="false">Raw_Data!AO506</f>
        <v>2</v>
      </c>
      <c r="H506" s="0" t="n">
        <f aca="false">SUM(B506:G506)</f>
        <v>19</v>
      </c>
      <c r="I506" s="0" t="n">
        <f aca="false">H506-B506</f>
        <v>16</v>
      </c>
      <c r="J506" s="0" t="n">
        <f aca="false">H506-C506</f>
        <v>17</v>
      </c>
      <c r="K506" s="0" t="n">
        <f aca="false">H506-D506</f>
        <v>14</v>
      </c>
      <c r="L506" s="0" t="n">
        <f aca="false">H506-E506</f>
        <v>14</v>
      </c>
      <c r="M506" s="0" t="n">
        <f aca="false">H506-F506</f>
        <v>17</v>
      </c>
      <c r="N506" s="0" t="n">
        <f aca="false">H506-G506</f>
        <v>17</v>
      </c>
      <c r="O506" s="0" t="n">
        <f aca="false">B506+D506+F506</f>
        <v>10</v>
      </c>
      <c r="P506" s="0" t="n">
        <f aca="false">C506+E506+G506</f>
        <v>9</v>
      </c>
    </row>
    <row r="507" customFormat="false" ht="15" hidden="false" customHeight="false" outlineLevel="0" collapsed="false">
      <c r="A507" s="0" t="n">
        <v>507</v>
      </c>
      <c r="B507" s="0" t="n">
        <f aca="false">Raw_Data!AJ507</f>
        <v>2</v>
      </c>
      <c r="C507" s="0" t="n">
        <f aca="false">Raw_Data!AK507</f>
        <v>3</v>
      </c>
      <c r="D507" s="0" t="n">
        <f aca="false">Raw_Data!AL507</f>
        <v>4</v>
      </c>
      <c r="E507" s="0" t="n">
        <f aca="false">Raw_Data!AM507</f>
        <v>3</v>
      </c>
      <c r="F507" s="0" t="n">
        <f aca="false">Raw_Data!AN507</f>
        <v>3</v>
      </c>
      <c r="G507" s="0" t="n">
        <f aca="false">Raw_Data!AO507</f>
        <v>3</v>
      </c>
      <c r="H507" s="0" t="n">
        <f aca="false">SUM(B507:G507)</f>
        <v>18</v>
      </c>
      <c r="I507" s="0" t="n">
        <f aca="false">H507-B507</f>
        <v>16</v>
      </c>
      <c r="J507" s="0" t="n">
        <f aca="false">H507-C507</f>
        <v>15</v>
      </c>
      <c r="K507" s="0" t="n">
        <f aca="false">H507-D507</f>
        <v>14</v>
      </c>
      <c r="L507" s="0" t="n">
        <f aca="false">H507-E507</f>
        <v>15</v>
      </c>
      <c r="M507" s="0" t="n">
        <f aca="false">H507-F507</f>
        <v>15</v>
      </c>
      <c r="N507" s="0" t="n">
        <f aca="false">H507-G507</f>
        <v>15</v>
      </c>
      <c r="O507" s="0" t="n">
        <f aca="false">B507+D507+F507</f>
        <v>9</v>
      </c>
      <c r="P507" s="0" t="n">
        <f aca="false">C507+E507+G507</f>
        <v>9</v>
      </c>
    </row>
    <row r="508" customFormat="false" ht="15" hidden="false" customHeight="false" outlineLevel="0" collapsed="false">
      <c r="A508" s="0" t="n">
        <v>508</v>
      </c>
      <c r="B508" s="0" t="n">
        <f aca="false">Raw_Data!AJ508</f>
        <v>4</v>
      </c>
      <c r="C508" s="0" t="n">
        <f aca="false">Raw_Data!AK508</f>
        <v>4</v>
      </c>
      <c r="D508" s="0" t="n">
        <f aca="false">Raw_Data!AL508</f>
        <v>4</v>
      </c>
      <c r="E508" s="0" t="n">
        <f aca="false">Raw_Data!AM508</f>
        <v>4</v>
      </c>
      <c r="F508" s="0" t="n">
        <f aca="false">Raw_Data!AN508</f>
        <v>4</v>
      </c>
      <c r="G508" s="0" t="n">
        <f aca="false">Raw_Data!AO508</f>
        <v>4</v>
      </c>
      <c r="H508" s="0" t="n">
        <f aca="false">SUM(B508:G508)</f>
        <v>24</v>
      </c>
      <c r="I508" s="0" t="n">
        <f aca="false">H508-B508</f>
        <v>20</v>
      </c>
      <c r="J508" s="0" t="n">
        <f aca="false">H508-C508</f>
        <v>20</v>
      </c>
      <c r="K508" s="0" t="n">
        <f aca="false">H508-D508</f>
        <v>20</v>
      </c>
      <c r="L508" s="0" t="n">
        <f aca="false">H508-E508</f>
        <v>20</v>
      </c>
      <c r="M508" s="0" t="n">
        <f aca="false">H508-F508</f>
        <v>20</v>
      </c>
      <c r="N508" s="0" t="n">
        <f aca="false">H508-G508</f>
        <v>20</v>
      </c>
      <c r="O508" s="0" t="n">
        <f aca="false">B508+D508+F508</f>
        <v>12</v>
      </c>
      <c r="P508" s="0" t="n">
        <f aca="false">C508+E508+G508</f>
        <v>12</v>
      </c>
    </row>
    <row r="509" customFormat="false" ht="15" hidden="false" customHeight="false" outlineLevel="0" collapsed="false">
      <c r="A509" s="0" t="n">
        <v>509</v>
      </c>
      <c r="B509" s="0" t="n">
        <f aca="false">Raw_Data!AJ509</f>
        <v>4</v>
      </c>
      <c r="C509" s="0" t="n">
        <f aca="false">Raw_Data!AK509</f>
        <v>3</v>
      </c>
      <c r="D509" s="0" t="n">
        <f aca="false">Raw_Data!AL509</f>
        <v>4</v>
      </c>
      <c r="E509" s="0" t="n">
        <f aca="false">Raw_Data!AM509</f>
        <v>3</v>
      </c>
      <c r="F509" s="0" t="n">
        <f aca="false">Raw_Data!AN509</f>
        <v>2</v>
      </c>
      <c r="G509" s="0" t="n">
        <f aca="false">Raw_Data!AO509</f>
        <v>3</v>
      </c>
      <c r="H509" s="0" t="n">
        <f aca="false">SUM(B509:G509)</f>
        <v>19</v>
      </c>
      <c r="I509" s="0" t="n">
        <f aca="false">H509-B509</f>
        <v>15</v>
      </c>
      <c r="J509" s="0" t="n">
        <f aca="false">H509-C509</f>
        <v>16</v>
      </c>
      <c r="K509" s="0" t="n">
        <f aca="false">H509-D509</f>
        <v>15</v>
      </c>
      <c r="L509" s="0" t="n">
        <f aca="false">H509-E509</f>
        <v>16</v>
      </c>
      <c r="M509" s="0" t="n">
        <f aca="false">H509-F509</f>
        <v>17</v>
      </c>
      <c r="N509" s="0" t="n">
        <f aca="false">H509-G509</f>
        <v>16</v>
      </c>
      <c r="O509" s="0" t="n">
        <f aca="false">B509+D509+F509</f>
        <v>10</v>
      </c>
      <c r="P509" s="0" t="n">
        <f aca="false">C509+E509+G509</f>
        <v>9</v>
      </c>
    </row>
    <row r="510" customFormat="false" ht="15" hidden="false" customHeight="false" outlineLevel="0" collapsed="false">
      <c r="A510" s="0" t="n">
        <v>510</v>
      </c>
      <c r="B510" s="0" t="n">
        <f aca="false">Raw_Data!AJ510</f>
        <v>4</v>
      </c>
      <c r="C510" s="0" t="n">
        <f aca="false">Raw_Data!AK510</f>
        <v>3</v>
      </c>
      <c r="D510" s="0" t="n">
        <f aca="false">Raw_Data!AL510</f>
        <v>3</v>
      </c>
      <c r="E510" s="0" t="n">
        <f aca="false">Raw_Data!AM510</f>
        <v>4</v>
      </c>
      <c r="F510" s="0" t="n">
        <f aca="false">Raw_Data!AN510</f>
        <v>3</v>
      </c>
      <c r="G510" s="0" t="n">
        <f aca="false">Raw_Data!AO510</f>
        <v>3</v>
      </c>
      <c r="H510" s="0" t="n">
        <f aca="false">SUM(B510:G510)</f>
        <v>20</v>
      </c>
      <c r="I510" s="0" t="n">
        <f aca="false">H510-B510</f>
        <v>16</v>
      </c>
      <c r="J510" s="0" t="n">
        <f aca="false">H510-C510</f>
        <v>17</v>
      </c>
      <c r="K510" s="0" t="n">
        <f aca="false">H510-D510</f>
        <v>17</v>
      </c>
      <c r="L510" s="0" t="n">
        <f aca="false">H510-E510</f>
        <v>16</v>
      </c>
      <c r="M510" s="0" t="n">
        <f aca="false">H510-F510</f>
        <v>17</v>
      </c>
      <c r="N510" s="0" t="n">
        <f aca="false">H510-G510</f>
        <v>17</v>
      </c>
      <c r="O510" s="0" t="n">
        <f aca="false">B510+D510+F510</f>
        <v>10</v>
      </c>
      <c r="P510" s="0" t="n">
        <f aca="false">C510+E510+G510</f>
        <v>10</v>
      </c>
    </row>
    <row r="511" customFormat="false" ht="15" hidden="false" customHeight="false" outlineLevel="0" collapsed="false">
      <c r="A511" s="0" t="n">
        <v>511</v>
      </c>
      <c r="B511" s="0" t="n">
        <f aca="false">Raw_Data!AJ511</f>
        <v>5</v>
      </c>
      <c r="C511" s="0" t="n">
        <f aca="false">Raw_Data!AK511</f>
        <v>2</v>
      </c>
      <c r="D511" s="0" t="n">
        <f aca="false">Raw_Data!AL511</f>
        <v>4</v>
      </c>
      <c r="E511" s="0" t="n">
        <f aca="false">Raw_Data!AM511</f>
        <v>4</v>
      </c>
      <c r="F511" s="0" t="n">
        <f aca="false">Raw_Data!AN511</f>
        <v>4</v>
      </c>
      <c r="G511" s="0" t="n">
        <f aca="false">Raw_Data!AO511</f>
        <v>3</v>
      </c>
      <c r="H511" s="0" t="n">
        <f aca="false">SUM(B511:G511)</f>
        <v>22</v>
      </c>
      <c r="I511" s="0" t="n">
        <f aca="false">H511-B511</f>
        <v>17</v>
      </c>
      <c r="J511" s="0" t="n">
        <f aca="false">H511-C511</f>
        <v>20</v>
      </c>
      <c r="K511" s="0" t="n">
        <f aca="false">H511-D511</f>
        <v>18</v>
      </c>
      <c r="L511" s="0" t="n">
        <f aca="false">H511-E511</f>
        <v>18</v>
      </c>
      <c r="M511" s="0" t="n">
        <f aca="false">H511-F511</f>
        <v>18</v>
      </c>
      <c r="N511" s="0" t="n">
        <f aca="false">H511-G511</f>
        <v>19</v>
      </c>
      <c r="O511" s="0" t="n">
        <f aca="false">B511+D511+F511</f>
        <v>13</v>
      </c>
      <c r="P511" s="0" t="n">
        <f aca="false">C511+E511+G511</f>
        <v>9</v>
      </c>
    </row>
    <row r="513" customFormat="false" ht="15" hidden="false" customHeight="false" outlineLevel="0" collapsed="false">
      <c r="A513" s="11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1"/>
  </cols>
  <sheetData>
    <row r="1" customFormat="false" ht="35.05" hidden="false" customHeight="false" outlineLevel="0" collapsed="false">
      <c r="A1" s="6" t="s">
        <v>140</v>
      </c>
      <c r="B1" s="6" t="s">
        <v>38</v>
      </c>
      <c r="C1" s="6" t="s">
        <v>40</v>
      </c>
      <c r="D1" s="6" t="s">
        <v>42</v>
      </c>
      <c r="E1" s="6" t="s">
        <v>44</v>
      </c>
      <c r="F1" s="6" t="s">
        <v>46</v>
      </c>
      <c r="G1" s="6" t="s">
        <v>48</v>
      </c>
      <c r="H1" s="6" t="s">
        <v>154</v>
      </c>
      <c r="I1" s="6" t="s">
        <v>155</v>
      </c>
      <c r="J1" s="6" t="s">
        <v>156</v>
      </c>
      <c r="K1" s="6" t="s">
        <v>157</v>
      </c>
      <c r="L1" s="6" t="s">
        <v>158</v>
      </c>
      <c r="M1" s="6" t="s">
        <v>159</v>
      </c>
      <c r="N1" s="6" t="s">
        <v>160</v>
      </c>
      <c r="O1" s="6" t="s">
        <v>161</v>
      </c>
      <c r="P1" s="6" t="s">
        <v>162</v>
      </c>
    </row>
    <row r="2" customFormat="false" ht="15" hidden="false" customHeight="false" outlineLevel="0" collapsed="false">
      <c r="A2" s="0" t="n">
        <v>2</v>
      </c>
      <c r="B2" s="0" t="n">
        <f aca="false">Raw_Data!AJ2</f>
        <v>4</v>
      </c>
      <c r="C2" s="0" t="n">
        <f aca="false">Raw_Data!AK2</f>
        <v>5</v>
      </c>
      <c r="D2" s="0" t="n">
        <f aca="false">Raw_Data!AL2</f>
        <v>4</v>
      </c>
      <c r="E2" s="0" t="n">
        <f aca="false">Raw_Data!AM2</f>
        <v>4</v>
      </c>
      <c r="F2" s="0" t="n">
        <f aca="false">Raw_Data!AN2</f>
        <v>4</v>
      </c>
      <c r="G2" s="0" t="n">
        <f aca="false">Raw_Data!AO2</f>
        <v>4</v>
      </c>
      <c r="H2" s="0" t="n">
        <f aca="false">SUM(B2:G2)</f>
        <v>25</v>
      </c>
      <c r="I2" s="0" t="n">
        <f aca="false">H2-B2</f>
        <v>21</v>
      </c>
      <c r="J2" s="0" t="n">
        <f aca="false">H2-C2</f>
        <v>20</v>
      </c>
      <c r="K2" s="0" t="n">
        <f aca="false">H2-D2</f>
        <v>21</v>
      </c>
      <c r="L2" s="0" t="n">
        <f aca="false">H2-E2</f>
        <v>21</v>
      </c>
      <c r="M2" s="0" t="n">
        <f aca="false">H2-F2</f>
        <v>21</v>
      </c>
      <c r="N2" s="0" t="n">
        <f aca="false">H2-G2</f>
        <v>21</v>
      </c>
      <c r="O2" s="0" t="n">
        <f aca="false">B2+D2+F2</f>
        <v>12</v>
      </c>
      <c r="P2" s="0" t="n">
        <f aca="false">C2+E2+G2</f>
        <v>13</v>
      </c>
    </row>
    <row r="3" customFormat="false" ht="15" hidden="false" customHeight="false" outlineLevel="0" collapsed="false">
      <c r="A3" s="0" t="n">
        <v>3</v>
      </c>
      <c r="B3" s="0" t="n">
        <f aca="false">Raw_Data!AJ3</f>
        <v>4</v>
      </c>
      <c r="C3" s="0" t="n">
        <f aca="false">Raw_Data!AK3</f>
        <v>1</v>
      </c>
      <c r="D3" s="0" t="n">
        <f aca="false">Raw_Data!AL3</f>
        <v>5</v>
      </c>
      <c r="E3" s="0" t="n">
        <f aca="false">Raw_Data!AM3</f>
        <v>3</v>
      </c>
      <c r="F3" s="0" t="n">
        <f aca="false">Raw_Data!AN3</f>
        <v>2</v>
      </c>
      <c r="G3" s="0" t="n">
        <f aca="false">Raw_Data!AO3</f>
        <v>3</v>
      </c>
      <c r="H3" s="0" t="n">
        <f aca="false">SUM(B3:G3)</f>
        <v>18</v>
      </c>
      <c r="I3" s="0" t="n">
        <f aca="false">H3-B3</f>
        <v>14</v>
      </c>
      <c r="J3" s="0" t="n">
        <f aca="false">H3-C3</f>
        <v>17</v>
      </c>
      <c r="K3" s="0" t="n">
        <f aca="false">H3-D3</f>
        <v>13</v>
      </c>
      <c r="L3" s="0" t="n">
        <f aca="false">H3-E3</f>
        <v>15</v>
      </c>
      <c r="M3" s="0" t="n">
        <f aca="false">H3-F3</f>
        <v>16</v>
      </c>
      <c r="N3" s="0" t="n">
        <f aca="false">H3-G3</f>
        <v>15</v>
      </c>
      <c r="O3" s="0" t="n">
        <f aca="false">B3+D3+F3</f>
        <v>11</v>
      </c>
      <c r="P3" s="0" t="n">
        <f aca="false">C3+E3+G3</f>
        <v>7</v>
      </c>
    </row>
    <row r="4" customFormat="false" ht="15" hidden="false" customHeight="false" outlineLevel="0" collapsed="false">
      <c r="A4" s="0" t="n">
        <v>4</v>
      </c>
      <c r="B4" s="0" t="n">
        <f aca="false">Raw_Data!AJ4</f>
        <v>4</v>
      </c>
      <c r="C4" s="0" t="n">
        <f aca="false">Raw_Data!AK4</f>
        <v>3</v>
      </c>
      <c r="D4" s="0" t="n">
        <f aca="false">Raw_Data!AL4</f>
        <v>4</v>
      </c>
      <c r="E4" s="0" t="n">
        <f aca="false">Raw_Data!AM4</f>
        <v>4</v>
      </c>
      <c r="F4" s="0" t="n">
        <f aca="false">Raw_Data!AN4</f>
        <v>3</v>
      </c>
      <c r="G4" s="0" t="n">
        <f aca="false">Raw_Data!AO4</f>
        <v>3</v>
      </c>
      <c r="H4" s="0" t="n">
        <f aca="false">SUM(B4:G4)</f>
        <v>21</v>
      </c>
      <c r="I4" s="0" t="n">
        <f aca="false">H4-B4</f>
        <v>17</v>
      </c>
      <c r="J4" s="0" t="n">
        <f aca="false">H4-C4</f>
        <v>18</v>
      </c>
      <c r="K4" s="0" t="n">
        <f aca="false">H4-D4</f>
        <v>17</v>
      </c>
      <c r="L4" s="0" t="n">
        <f aca="false">H4-E4</f>
        <v>17</v>
      </c>
      <c r="M4" s="0" t="n">
        <f aca="false">H4-F4</f>
        <v>18</v>
      </c>
      <c r="N4" s="0" t="n">
        <f aca="false">H4-G4</f>
        <v>18</v>
      </c>
      <c r="O4" s="0" t="n">
        <f aca="false">B4+D4+F4</f>
        <v>11</v>
      </c>
      <c r="P4" s="0" t="n">
        <f aca="false">C4+E4+G4</f>
        <v>10</v>
      </c>
    </row>
    <row r="5" customFormat="false" ht="15" hidden="false" customHeight="false" outlineLevel="0" collapsed="false">
      <c r="A5" s="0" t="n">
        <v>5</v>
      </c>
      <c r="B5" s="0" t="n">
        <f aca="false">Raw_Data!AJ5</f>
        <v>4</v>
      </c>
      <c r="C5" s="0" t="n">
        <f aca="false">Raw_Data!AK5</f>
        <v>3</v>
      </c>
      <c r="D5" s="0" t="n">
        <f aca="false">Raw_Data!AL5</f>
        <v>4</v>
      </c>
      <c r="E5" s="0" t="n">
        <f aca="false">Raw_Data!AM5</f>
        <v>3</v>
      </c>
      <c r="F5" s="0" t="n">
        <f aca="false">Raw_Data!AN5</f>
        <v>2</v>
      </c>
      <c r="G5" s="0" t="n">
        <f aca="false">Raw_Data!AO5</f>
        <v>2</v>
      </c>
      <c r="H5" s="0" t="n">
        <f aca="false">SUM(B5:G5)</f>
        <v>18</v>
      </c>
      <c r="I5" s="0" t="n">
        <f aca="false">H5-B5</f>
        <v>14</v>
      </c>
      <c r="J5" s="0" t="n">
        <f aca="false">H5-C5</f>
        <v>15</v>
      </c>
      <c r="K5" s="0" t="n">
        <f aca="false">H5-D5</f>
        <v>14</v>
      </c>
      <c r="L5" s="0" t="n">
        <f aca="false">H5-E5</f>
        <v>15</v>
      </c>
      <c r="M5" s="0" t="n">
        <f aca="false">H5-F5</f>
        <v>16</v>
      </c>
      <c r="N5" s="0" t="n">
        <f aca="false">H5-G5</f>
        <v>16</v>
      </c>
      <c r="O5" s="0" t="n">
        <f aca="false">B5+D5+F5</f>
        <v>10</v>
      </c>
      <c r="P5" s="0" t="n">
        <f aca="false">C5+E5+G5</f>
        <v>8</v>
      </c>
    </row>
    <row r="6" customFormat="false" ht="15" hidden="false" customHeight="false" outlineLevel="0" collapsed="false">
      <c r="A6" s="0" t="n">
        <v>6</v>
      </c>
      <c r="B6" s="0" t="n">
        <f aca="false">Raw_Data!AJ6</f>
        <v>3</v>
      </c>
      <c r="C6" s="0" t="n">
        <f aca="false">Raw_Data!AK6</f>
        <v>5</v>
      </c>
      <c r="D6" s="0" t="n">
        <f aca="false">Raw_Data!AL6</f>
        <v>5</v>
      </c>
      <c r="E6" s="0" t="n">
        <f aca="false">Raw_Data!AM6</f>
        <v>4</v>
      </c>
      <c r="F6" s="0" t="n">
        <f aca="false">Raw_Data!AN6</f>
        <v>4</v>
      </c>
      <c r="G6" s="0" t="n">
        <f aca="false">Raw_Data!AO6</f>
        <v>4</v>
      </c>
      <c r="H6" s="0" t="n">
        <f aca="false">SUM(B6:G6)</f>
        <v>25</v>
      </c>
      <c r="I6" s="0" t="n">
        <f aca="false">H6-B6</f>
        <v>22</v>
      </c>
      <c r="J6" s="0" t="n">
        <f aca="false">H6-C6</f>
        <v>20</v>
      </c>
      <c r="K6" s="0" t="n">
        <f aca="false">H6-D6</f>
        <v>20</v>
      </c>
      <c r="L6" s="0" t="n">
        <f aca="false">H6-E6</f>
        <v>21</v>
      </c>
      <c r="M6" s="0" t="n">
        <f aca="false">H6-F6</f>
        <v>21</v>
      </c>
      <c r="N6" s="0" t="n">
        <f aca="false">H6-G6</f>
        <v>21</v>
      </c>
      <c r="O6" s="0" t="n">
        <f aca="false">B6+D6+F6</f>
        <v>12</v>
      </c>
      <c r="P6" s="0" t="n">
        <f aca="false">C6+E6+G6</f>
        <v>13</v>
      </c>
    </row>
    <row r="7" customFormat="false" ht="15" hidden="false" customHeight="false" outlineLevel="0" collapsed="false">
      <c r="A7" s="0" t="n">
        <v>7</v>
      </c>
      <c r="B7" s="0" t="n">
        <f aca="false">Raw_Data!AJ7</f>
        <v>3</v>
      </c>
      <c r="C7" s="0" t="n">
        <f aca="false">Raw_Data!AK7</f>
        <v>5</v>
      </c>
      <c r="D7" s="0" t="n">
        <f aca="false">Raw_Data!AL7</f>
        <v>3</v>
      </c>
      <c r="E7" s="0" t="n">
        <f aca="false">Raw_Data!AM7</f>
        <v>3</v>
      </c>
      <c r="F7" s="0" t="n">
        <f aca="false">Raw_Data!AN7</f>
        <v>4</v>
      </c>
      <c r="G7" s="0" t="n">
        <f aca="false">Raw_Data!AO7</f>
        <v>3</v>
      </c>
      <c r="H7" s="0" t="n">
        <f aca="false">SUM(B7:G7)</f>
        <v>21</v>
      </c>
      <c r="I7" s="0" t="n">
        <f aca="false">H7-B7</f>
        <v>18</v>
      </c>
      <c r="J7" s="0" t="n">
        <f aca="false">H7-C7</f>
        <v>16</v>
      </c>
      <c r="K7" s="0" t="n">
        <f aca="false">H7-D7</f>
        <v>18</v>
      </c>
      <c r="L7" s="0" t="n">
        <f aca="false">H7-E7</f>
        <v>18</v>
      </c>
      <c r="M7" s="0" t="n">
        <f aca="false">H7-F7</f>
        <v>17</v>
      </c>
      <c r="N7" s="0" t="n">
        <f aca="false">H7-G7</f>
        <v>18</v>
      </c>
      <c r="O7" s="0" t="n">
        <f aca="false">B7+D7+F7</f>
        <v>10</v>
      </c>
      <c r="P7" s="0" t="n">
        <f aca="false">C7+E7+G7</f>
        <v>11</v>
      </c>
    </row>
    <row r="8" customFormat="false" ht="15" hidden="false" customHeight="false" outlineLevel="0" collapsed="false">
      <c r="A8" s="0" t="n">
        <v>8</v>
      </c>
      <c r="B8" s="0" t="n">
        <f aca="false">Raw_Data!AJ8</f>
        <v>4</v>
      </c>
      <c r="C8" s="0" t="n">
        <f aca="false">Raw_Data!AK8</f>
        <v>2</v>
      </c>
      <c r="D8" s="0" t="n">
        <f aca="false">Raw_Data!AL8</f>
        <v>5</v>
      </c>
      <c r="E8" s="0" t="n">
        <f aca="false">Raw_Data!AM8</f>
        <v>3</v>
      </c>
      <c r="F8" s="0" t="n">
        <f aca="false">Raw_Data!AN8</f>
        <v>3</v>
      </c>
      <c r="G8" s="0" t="n">
        <f aca="false">Raw_Data!AO8</f>
        <v>3</v>
      </c>
      <c r="H8" s="0" t="n">
        <f aca="false">SUM(B8:G8)</f>
        <v>20</v>
      </c>
      <c r="I8" s="0" t="n">
        <f aca="false">H8-B8</f>
        <v>16</v>
      </c>
      <c r="J8" s="0" t="n">
        <f aca="false">H8-C8</f>
        <v>18</v>
      </c>
      <c r="K8" s="0" t="n">
        <f aca="false">H8-D8</f>
        <v>15</v>
      </c>
      <c r="L8" s="0" t="n">
        <f aca="false">H8-E8</f>
        <v>17</v>
      </c>
      <c r="M8" s="0" t="n">
        <f aca="false">H8-F8</f>
        <v>17</v>
      </c>
      <c r="N8" s="0" t="n">
        <f aca="false">H8-G8</f>
        <v>17</v>
      </c>
      <c r="O8" s="0" t="n">
        <f aca="false">B8+D8+F8</f>
        <v>12</v>
      </c>
      <c r="P8" s="0" t="n">
        <f aca="false">C8+E8+G8</f>
        <v>8</v>
      </c>
    </row>
    <row r="9" customFormat="false" ht="15" hidden="false" customHeight="false" outlineLevel="0" collapsed="false">
      <c r="A9" s="0" t="n">
        <v>9</v>
      </c>
      <c r="B9" s="0" t="n">
        <f aca="false">Raw_Data!AJ9</f>
        <v>3</v>
      </c>
      <c r="C9" s="0" t="n">
        <f aca="false">Raw_Data!AK9</f>
        <v>4</v>
      </c>
      <c r="D9" s="0" t="n">
        <f aca="false">Raw_Data!AL9</f>
        <v>4</v>
      </c>
      <c r="E9" s="0" t="n">
        <f aca="false">Raw_Data!AM9</f>
        <v>4</v>
      </c>
      <c r="F9" s="0" t="n">
        <f aca="false">Raw_Data!AN9</f>
        <v>2</v>
      </c>
      <c r="G9" s="0" t="n">
        <f aca="false">Raw_Data!AO9</f>
        <v>4</v>
      </c>
      <c r="H9" s="0" t="n">
        <f aca="false">SUM(B9:G9)</f>
        <v>21</v>
      </c>
      <c r="I9" s="0" t="n">
        <f aca="false">H9-B9</f>
        <v>18</v>
      </c>
      <c r="J9" s="0" t="n">
        <f aca="false">H9-C9</f>
        <v>17</v>
      </c>
      <c r="K9" s="0" t="n">
        <f aca="false">H9-D9</f>
        <v>17</v>
      </c>
      <c r="L9" s="0" t="n">
        <f aca="false">H9-E9</f>
        <v>17</v>
      </c>
      <c r="M9" s="0" t="n">
        <f aca="false">H9-F9</f>
        <v>19</v>
      </c>
      <c r="N9" s="0" t="n">
        <f aca="false">H9-G9</f>
        <v>17</v>
      </c>
      <c r="O9" s="0" t="n">
        <f aca="false">B9+D9+F9</f>
        <v>9</v>
      </c>
      <c r="P9" s="0" t="n">
        <f aca="false">C9+E9+G9</f>
        <v>12</v>
      </c>
    </row>
    <row r="10" customFormat="false" ht="15" hidden="false" customHeight="false" outlineLevel="0" collapsed="false">
      <c r="A10" s="0" t="n">
        <v>10</v>
      </c>
      <c r="B10" s="0" t="n">
        <f aca="false">Raw_Data!AJ10</f>
        <v>4</v>
      </c>
      <c r="C10" s="0" t="n">
        <f aca="false">Raw_Data!AK10</f>
        <v>5</v>
      </c>
      <c r="D10" s="0" t="n">
        <f aca="false">Raw_Data!AL10</f>
        <v>4</v>
      </c>
      <c r="E10" s="0" t="n">
        <f aca="false">Raw_Data!AM10</f>
        <v>4</v>
      </c>
      <c r="F10" s="0" t="n">
        <f aca="false">Raw_Data!AN10</f>
        <v>3</v>
      </c>
      <c r="G10" s="0" t="n">
        <f aca="false">Raw_Data!AO10</f>
        <v>3</v>
      </c>
      <c r="H10" s="0" t="n">
        <f aca="false">SUM(B10:G10)</f>
        <v>23</v>
      </c>
      <c r="I10" s="0" t="n">
        <f aca="false">H10-B10</f>
        <v>19</v>
      </c>
      <c r="J10" s="0" t="n">
        <f aca="false">H10-C10</f>
        <v>18</v>
      </c>
      <c r="K10" s="0" t="n">
        <f aca="false">H10-D10</f>
        <v>19</v>
      </c>
      <c r="L10" s="0" t="n">
        <f aca="false">H10-E10</f>
        <v>19</v>
      </c>
      <c r="M10" s="0" t="n">
        <f aca="false">H10-F10</f>
        <v>20</v>
      </c>
      <c r="N10" s="0" t="n">
        <f aca="false">H10-G10</f>
        <v>20</v>
      </c>
      <c r="O10" s="0" t="n">
        <f aca="false">B10+D10+F10</f>
        <v>11</v>
      </c>
      <c r="P10" s="0" t="n">
        <f aca="false">C10+E10+G10</f>
        <v>12</v>
      </c>
    </row>
    <row r="11" customFormat="false" ht="15" hidden="false" customHeight="false" outlineLevel="0" collapsed="false">
      <c r="A11" s="0" t="n">
        <v>11</v>
      </c>
      <c r="B11" s="0" t="n">
        <f aca="false">Raw_Data!AJ11</f>
        <v>4</v>
      </c>
      <c r="C11" s="0" t="n">
        <f aca="false">Raw_Data!AK11</f>
        <v>3</v>
      </c>
      <c r="D11" s="0" t="n">
        <f aca="false">Raw_Data!AL11</f>
        <v>3</v>
      </c>
      <c r="E11" s="0" t="n">
        <f aca="false">Raw_Data!AM11</f>
        <v>3</v>
      </c>
      <c r="F11" s="0" t="n">
        <f aca="false">Raw_Data!AN11</f>
        <v>3</v>
      </c>
      <c r="G11" s="0" t="n">
        <f aca="false">Raw_Data!AO11</f>
        <v>3</v>
      </c>
      <c r="H11" s="0" t="n">
        <f aca="false">SUM(B11:G11)</f>
        <v>19</v>
      </c>
      <c r="I11" s="0" t="n">
        <f aca="false">H11-B11</f>
        <v>15</v>
      </c>
      <c r="J11" s="0" t="n">
        <f aca="false">H11-C11</f>
        <v>16</v>
      </c>
      <c r="K11" s="0" t="n">
        <f aca="false">H11-D11</f>
        <v>16</v>
      </c>
      <c r="L11" s="0" t="n">
        <f aca="false">H11-E11</f>
        <v>16</v>
      </c>
      <c r="M11" s="0" t="n">
        <f aca="false">H11-F11</f>
        <v>16</v>
      </c>
      <c r="N11" s="0" t="n">
        <f aca="false">H11-G11</f>
        <v>16</v>
      </c>
      <c r="O11" s="0" t="n">
        <f aca="false">B11+D11+F11</f>
        <v>10</v>
      </c>
      <c r="P11" s="0" t="n">
        <f aca="false">C11+E11+G11</f>
        <v>9</v>
      </c>
    </row>
    <row r="12" customFormat="false" ht="15" hidden="false" customHeight="false" outlineLevel="0" collapsed="false">
      <c r="A12" s="0" t="n">
        <v>12</v>
      </c>
      <c r="B12" s="0" t="n">
        <f aca="false">Raw_Data!AJ12</f>
        <v>4</v>
      </c>
      <c r="C12" s="0" t="n">
        <f aca="false">Raw_Data!AK12</f>
        <v>4</v>
      </c>
      <c r="D12" s="0" t="n">
        <f aca="false">Raw_Data!AL12</f>
        <v>5</v>
      </c>
      <c r="E12" s="0" t="n">
        <f aca="false">Raw_Data!AM12</f>
        <v>4</v>
      </c>
      <c r="F12" s="0" t="n">
        <f aca="false">Raw_Data!AN12</f>
        <v>3</v>
      </c>
      <c r="G12" s="0" t="n">
        <f aca="false">Raw_Data!AO12</f>
        <v>2</v>
      </c>
      <c r="H12" s="0" t="n">
        <f aca="false">SUM(B12:G12)</f>
        <v>22</v>
      </c>
      <c r="I12" s="0" t="n">
        <f aca="false">H12-B12</f>
        <v>18</v>
      </c>
      <c r="J12" s="0" t="n">
        <f aca="false">H12-C12</f>
        <v>18</v>
      </c>
      <c r="K12" s="0" t="n">
        <f aca="false">H12-D12</f>
        <v>17</v>
      </c>
      <c r="L12" s="0" t="n">
        <f aca="false">H12-E12</f>
        <v>18</v>
      </c>
      <c r="M12" s="0" t="n">
        <f aca="false">H12-F12</f>
        <v>19</v>
      </c>
      <c r="N12" s="0" t="n">
        <f aca="false">H12-G12</f>
        <v>20</v>
      </c>
      <c r="O12" s="0" t="n">
        <f aca="false">B12+D12+F12</f>
        <v>12</v>
      </c>
      <c r="P12" s="0" t="n">
        <f aca="false">C12+E12+G12</f>
        <v>10</v>
      </c>
    </row>
    <row r="13" customFormat="false" ht="15" hidden="false" customHeight="false" outlineLevel="0" collapsed="false">
      <c r="A13" s="0" t="n">
        <v>13</v>
      </c>
      <c r="B13" s="0" t="n">
        <f aca="false">Raw_Data!AJ13</f>
        <v>2</v>
      </c>
      <c r="C13" s="0" t="n">
        <f aca="false">Raw_Data!AK13</f>
        <v>4</v>
      </c>
      <c r="D13" s="0" t="n">
        <f aca="false">Raw_Data!AL13</f>
        <v>5</v>
      </c>
      <c r="E13" s="0" t="n">
        <f aca="false">Raw_Data!AM13</f>
        <v>2</v>
      </c>
      <c r="F13" s="0" t="n">
        <f aca="false">Raw_Data!AN13</f>
        <v>1</v>
      </c>
      <c r="G13" s="0" t="n">
        <f aca="false">Raw_Data!AO13</f>
        <v>2</v>
      </c>
      <c r="H13" s="0" t="n">
        <f aca="false">SUM(B13:G13)</f>
        <v>16</v>
      </c>
      <c r="I13" s="0" t="n">
        <f aca="false">H13-B13</f>
        <v>14</v>
      </c>
      <c r="J13" s="0" t="n">
        <f aca="false">H13-C13</f>
        <v>12</v>
      </c>
      <c r="K13" s="0" t="n">
        <f aca="false">H13-D13</f>
        <v>11</v>
      </c>
      <c r="L13" s="0" t="n">
        <f aca="false">H13-E13</f>
        <v>14</v>
      </c>
      <c r="M13" s="0" t="n">
        <f aca="false">H13-F13</f>
        <v>15</v>
      </c>
      <c r="N13" s="0" t="n">
        <f aca="false">H13-G13</f>
        <v>14</v>
      </c>
      <c r="O13" s="0" t="n">
        <f aca="false">B13+D13+F13</f>
        <v>8</v>
      </c>
      <c r="P13" s="0" t="n">
        <f aca="false">C13+E13+G13</f>
        <v>8</v>
      </c>
    </row>
    <row r="14" customFormat="false" ht="15" hidden="false" customHeight="false" outlineLevel="0" collapsed="false">
      <c r="A14" s="0" t="n">
        <v>14</v>
      </c>
      <c r="B14" s="0" t="n">
        <f aca="false">Raw_Data!AJ14</f>
        <v>3</v>
      </c>
      <c r="C14" s="0" t="n">
        <f aca="false">Raw_Data!AK14</f>
        <v>4</v>
      </c>
      <c r="D14" s="0" t="n">
        <f aca="false">Raw_Data!AL14</f>
        <v>4</v>
      </c>
      <c r="E14" s="0" t="n">
        <f aca="false">Raw_Data!AM14</f>
        <v>3</v>
      </c>
      <c r="F14" s="0" t="n">
        <f aca="false">Raw_Data!AN14</f>
        <v>4</v>
      </c>
      <c r="G14" s="0" t="n">
        <f aca="false">Raw_Data!AO14</f>
        <v>3</v>
      </c>
      <c r="H14" s="0" t="n">
        <f aca="false">SUM(B14:G14)</f>
        <v>21</v>
      </c>
      <c r="I14" s="0" t="n">
        <f aca="false">H14-B14</f>
        <v>18</v>
      </c>
      <c r="J14" s="0" t="n">
        <f aca="false">H14-C14</f>
        <v>17</v>
      </c>
      <c r="K14" s="0" t="n">
        <f aca="false">H14-D14</f>
        <v>17</v>
      </c>
      <c r="L14" s="0" t="n">
        <f aca="false">H14-E14</f>
        <v>18</v>
      </c>
      <c r="M14" s="0" t="n">
        <f aca="false">H14-F14</f>
        <v>17</v>
      </c>
      <c r="N14" s="0" t="n">
        <f aca="false">H14-G14</f>
        <v>18</v>
      </c>
      <c r="O14" s="0" t="n">
        <f aca="false">B14+D14+F14</f>
        <v>11</v>
      </c>
      <c r="P14" s="0" t="n">
        <f aca="false">C14+E14+G14</f>
        <v>10</v>
      </c>
    </row>
    <row r="15" customFormat="false" ht="15" hidden="false" customHeight="false" outlineLevel="0" collapsed="false">
      <c r="A15" s="0" t="n">
        <v>15</v>
      </c>
      <c r="B15" s="0" t="n">
        <f aca="false">Raw_Data!AJ15</f>
        <v>5</v>
      </c>
      <c r="C15" s="0" t="n">
        <f aca="false">Raw_Data!AK15</f>
        <v>3</v>
      </c>
      <c r="D15" s="0" t="n">
        <f aca="false">Raw_Data!AL15</f>
        <v>5</v>
      </c>
      <c r="E15" s="0" t="n">
        <f aca="false">Raw_Data!AM15</f>
        <v>4</v>
      </c>
      <c r="F15" s="0" t="n">
        <f aca="false">Raw_Data!AN15</f>
        <v>4</v>
      </c>
      <c r="G15" s="0" t="n">
        <f aca="false">Raw_Data!AO15</f>
        <v>4</v>
      </c>
      <c r="H15" s="0" t="n">
        <f aca="false">SUM(B15:G15)</f>
        <v>25</v>
      </c>
      <c r="I15" s="0" t="n">
        <f aca="false">H15-B15</f>
        <v>20</v>
      </c>
      <c r="J15" s="0" t="n">
        <f aca="false">H15-C15</f>
        <v>22</v>
      </c>
      <c r="K15" s="0" t="n">
        <f aca="false">H15-D15</f>
        <v>20</v>
      </c>
      <c r="L15" s="0" t="n">
        <f aca="false">H15-E15</f>
        <v>21</v>
      </c>
      <c r="M15" s="0" t="n">
        <f aca="false">H15-F15</f>
        <v>21</v>
      </c>
      <c r="N15" s="0" t="n">
        <f aca="false">H15-G15</f>
        <v>21</v>
      </c>
      <c r="O15" s="0" t="n">
        <f aca="false">B15+D15+F15</f>
        <v>14</v>
      </c>
      <c r="P15" s="0" t="n">
        <f aca="false">C15+E15+G15</f>
        <v>11</v>
      </c>
    </row>
    <row r="16" customFormat="false" ht="15" hidden="false" customHeight="false" outlineLevel="0" collapsed="false">
      <c r="A16" s="0" t="n">
        <v>16</v>
      </c>
      <c r="B16" s="0" t="n">
        <f aca="false">Raw_Data!AJ16</f>
        <v>4</v>
      </c>
      <c r="C16" s="0" t="n">
        <f aca="false">Raw_Data!AK16</f>
        <v>4</v>
      </c>
      <c r="D16" s="0" t="n">
        <f aca="false">Raw_Data!AL16</f>
        <v>4</v>
      </c>
      <c r="E16" s="0" t="n">
        <f aca="false">Raw_Data!AM16</f>
        <v>3</v>
      </c>
      <c r="F16" s="0" t="n">
        <f aca="false">Raw_Data!AN16</f>
        <v>3</v>
      </c>
      <c r="G16" s="0" t="n">
        <f aca="false">Raw_Data!AO16</f>
        <v>3</v>
      </c>
      <c r="H16" s="0" t="n">
        <f aca="false">SUM(B16:G16)</f>
        <v>21</v>
      </c>
      <c r="I16" s="0" t="n">
        <f aca="false">H16-B16</f>
        <v>17</v>
      </c>
      <c r="J16" s="0" t="n">
        <f aca="false">H16-C16</f>
        <v>17</v>
      </c>
      <c r="K16" s="0" t="n">
        <f aca="false">H16-D16</f>
        <v>17</v>
      </c>
      <c r="L16" s="0" t="n">
        <f aca="false">H16-E16</f>
        <v>18</v>
      </c>
      <c r="M16" s="0" t="n">
        <f aca="false">H16-F16</f>
        <v>18</v>
      </c>
      <c r="N16" s="0" t="n">
        <f aca="false">H16-G16</f>
        <v>18</v>
      </c>
      <c r="O16" s="0" t="n">
        <f aca="false">B16+D16+F16</f>
        <v>11</v>
      </c>
      <c r="P16" s="0" t="n">
        <f aca="false">C16+E16+G16</f>
        <v>10</v>
      </c>
    </row>
    <row r="17" customFormat="false" ht="15" hidden="false" customHeight="false" outlineLevel="0" collapsed="false">
      <c r="A17" s="0" t="n">
        <v>17</v>
      </c>
      <c r="B17" s="0" t="n">
        <f aca="false">Raw_Data!AJ17</f>
        <v>5</v>
      </c>
      <c r="C17" s="0" t="n">
        <f aca="false">Raw_Data!AK17</f>
        <v>4</v>
      </c>
      <c r="D17" s="0" t="n">
        <f aca="false">Raw_Data!AL17</f>
        <v>4</v>
      </c>
      <c r="E17" s="0" t="n">
        <f aca="false">Raw_Data!AM17</f>
        <v>4</v>
      </c>
      <c r="F17" s="0" t="n">
        <f aca="false">Raw_Data!AN17</f>
        <v>4</v>
      </c>
      <c r="G17" s="0" t="n">
        <f aca="false">Raw_Data!AO17</f>
        <v>3</v>
      </c>
      <c r="H17" s="0" t="n">
        <f aca="false">SUM(B17:G17)</f>
        <v>24</v>
      </c>
      <c r="I17" s="0" t="n">
        <f aca="false">H17-B17</f>
        <v>19</v>
      </c>
      <c r="J17" s="0" t="n">
        <f aca="false">H17-C17</f>
        <v>20</v>
      </c>
      <c r="K17" s="0" t="n">
        <f aca="false">H17-D17</f>
        <v>20</v>
      </c>
      <c r="L17" s="0" t="n">
        <f aca="false">H17-E17</f>
        <v>20</v>
      </c>
      <c r="M17" s="0" t="n">
        <f aca="false">H17-F17</f>
        <v>20</v>
      </c>
      <c r="N17" s="0" t="n">
        <f aca="false">H17-G17</f>
        <v>21</v>
      </c>
      <c r="O17" s="0" t="n">
        <f aca="false">B17+D17+F17</f>
        <v>13</v>
      </c>
      <c r="P17" s="0" t="n">
        <f aca="false">C17+E17+G17</f>
        <v>11</v>
      </c>
    </row>
    <row r="18" customFormat="false" ht="15" hidden="false" customHeight="false" outlineLevel="0" collapsed="false">
      <c r="A18" s="0" t="n">
        <v>18</v>
      </c>
      <c r="B18" s="0" t="n">
        <f aca="false">Raw_Data!AJ18</f>
        <v>1</v>
      </c>
      <c r="C18" s="0" t="n">
        <f aca="false">Raw_Data!AK18</f>
        <v>2</v>
      </c>
      <c r="D18" s="0" t="n">
        <f aca="false">Raw_Data!AL18</f>
        <v>4</v>
      </c>
      <c r="E18" s="0" t="n">
        <f aca="false">Raw_Data!AM18</f>
        <v>4</v>
      </c>
      <c r="F18" s="0" t="n">
        <f aca="false">Raw_Data!AN18</f>
        <v>3</v>
      </c>
      <c r="G18" s="0" t="n">
        <f aca="false">Raw_Data!AO18</f>
        <v>3</v>
      </c>
      <c r="H18" s="0" t="n">
        <f aca="false">SUM(B18:G18)</f>
        <v>17</v>
      </c>
      <c r="I18" s="0" t="n">
        <f aca="false">H18-B18</f>
        <v>16</v>
      </c>
      <c r="J18" s="0" t="n">
        <f aca="false">H18-C18</f>
        <v>15</v>
      </c>
      <c r="K18" s="0" t="n">
        <f aca="false">H18-D18</f>
        <v>13</v>
      </c>
      <c r="L18" s="0" t="n">
        <f aca="false">H18-E18</f>
        <v>13</v>
      </c>
      <c r="M18" s="0" t="n">
        <f aca="false">H18-F18</f>
        <v>14</v>
      </c>
      <c r="N18" s="0" t="n">
        <f aca="false">H18-G18</f>
        <v>14</v>
      </c>
      <c r="O18" s="0" t="n">
        <f aca="false">B18+D18+F18</f>
        <v>8</v>
      </c>
      <c r="P18" s="0" t="n">
        <f aca="false">C18+E18+G18</f>
        <v>9</v>
      </c>
    </row>
    <row r="19" customFormat="false" ht="15" hidden="false" customHeight="false" outlineLevel="0" collapsed="false">
      <c r="A19" s="0" t="n">
        <v>19</v>
      </c>
      <c r="B19" s="0" t="n">
        <f aca="false">Raw_Data!AJ19</f>
        <v>5</v>
      </c>
      <c r="C19" s="0" t="n">
        <f aca="false">Raw_Data!AK19</f>
        <v>2</v>
      </c>
      <c r="D19" s="0" t="n">
        <f aca="false">Raw_Data!AL19</f>
        <v>5</v>
      </c>
      <c r="E19" s="0" t="n">
        <f aca="false">Raw_Data!AM19</f>
        <v>3</v>
      </c>
      <c r="F19" s="0" t="n">
        <f aca="false">Raw_Data!AN19</f>
        <v>3</v>
      </c>
      <c r="G19" s="0" t="n">
        <f aca="false">Raw_Data!AO19</f>
        <v>4</v>
      </c>
      <c r="H19" s="0" t="n">
        <f aca="false">SUM(B19:G19)</f>
        <v>22</v>
      </c>
      <c r="I19" s="0" t="n">
        <f aca="false">H19-B19</f>
        <v>17</v>
      </c>
      <c r="J19" s="0" t="n">
        <f aca="false">H19-C19</f>
        <v>20</v>
      </c>
      <c r="K19" s="0" t="n">
        <f aca="false">H19-D19</f>
        <v>17</v>
      </c>
      <c r="L19" s="0" t="n">
        <f aca="false">H19-E19</f>
        <v>19</v>
      </c>
      <c r="M19" s="0" t="n">
        <f aca="false">H19-F19</f>
        <v>19</v>
      </c>
      <c r="N19" s="0" t="n">
        <f aca="false">H19-G19</f>
        <v>18</v>
      </c>
      <c r="O19" s="0" t="n">
        <f aca="false">B19+D19+F19</f>
        <v>13</v>
      </c>
      <c r="P19" s="0" t="n">
        <f aca="false">C19+E19+G19</f>
        <v>9</v>
      </c>
    </row>
    <row r="20" customFormat="false" ht="15" hidden="false" customHeight="false" outlineLevel="0" collapsed="false">
      <c r="A20" s="0" t="n">
        <v>20</v>
      </c>
      <c r="B20" s="0" t="n">
        <f aca="false">Raw_Data!AJ20</f>
        <v>4</v>
      </c>
      <c r="C20" s="0" t="n">
        <f aca="false">Raw_Data!AK20</f>
        <v>4</v>
      </c>
      <c r="D20" s="0" t="n">
        <f aca="false">Raw_Data!AL20</f>
        <v>2</v>
      </c>
      <c r="E20" s="0" t="n">
        <f aca="false">Raw_Data!AM20</f>
        <v>3</v>
      </c>
      <c r="F20" s="0" t="n">
        <f aca="false">Raw_Data!AN20</f>
        <v>3</v>
      </c>
      <c r="G20" s="0" t="n">
        <f aca="false">Raw_Data!AO20</f>
        <v>3</v>
      </c>
      <c r="H20" s="0" t="n">
        <f aca="false">SUM(B20:G20)</f>
        <v>19</v>
      </c>
      <c r="I20" s="0" t="n">
        <f aca="false">H20-B20</f>
        <v>15</v>
      </c>
      <c r="J20" s="0" t="n">
        <f aca="false">H20-C20</f>
        <v>15</v>
      </c>
      <c r="K20" s="0" t="n">
        <f aca="false">H20-D20</f>
        <v>17</v>
      </c>
      <c r="L20" s="0" t="n">
        <f aca="false">H20-E20</f>
        <v>16</v>
      </c>
      <c r="M20" s="0" t="n">
        <f aca="false">H20-F20</f>
        <v>16</v>
      </c>
      <c r="N20" s="0" t="n">
        <f aca="false">H20-G20</f>
        <v>16</v>
      </c>
      <c r="O20" s="0" t="n">
        <f aca="false">B20+D20+F20</f>
        <v>9</v>
      </c>
      <c r="P20" s="0" t="n">
        <f aca="false">C20+E20+G20</f>
        <v>10</v>
      </c>
    </row>
    <row r="21" customFormat="false" ht="15" hidden="false" customHeight="false" outlineLevel="0" collapsed="false">
      <c r="A21" s="0" t="n">
        <v>21</v>
      </c>
      <c r="B21" s="0" t="n">
        <f aca="false">Raw_Data!AJ21</f>
        <v>5</v>
      </c>
      <c r="C21" s="0" t="n">
        <f aca="false">Raw_Data!AK21</f>
        <v>3</v>
      </c>
      <c r="D21" s="0" t="n">
        <f aca="false">Raw_Data!AL21</f>
        <v>5</v>
      </c>
      <c r="E21" s="0" t="n">
        <f aca="false">Raw_Data!AM21</f>
        <v>5</v>
      </c>
      <c r="F21" s="0" t="n">
        <f aca="false">Raw_Data!AN21</f>
        <v>1</v>
      </c>
      <c r="G21" s="0" t="n">
        <f aca="false">Raw_Data!AO21</f>
        <v>2</v>
      </c>
      <c r="H21" s="0" t="n">
        <f aca="false">SUM(B21:G21)</f>
        <v>21</v>
      </c>
      <c r="I21" s="0" t="n">
        <f aca="false">H21-B21</f>
        <v>16</v>
      </c>
      <c r="J21" s="0" t="n">
        <f aca="false">H21-C21</f>
        <v>18</v>
      </c>
      <c r="K21" s="0" t="n">
        <f aca="false">H21-D21</f>
        <v>16</v>
      </c>
      <c r="L21" s="0" t="n">
        <f aca="false">H21-E21</f>
        <v>16</v>
      </c>
      <c r="M21" s="0" t="n">
        <f aca="false">H21-F21</f>
        <v>20</v>
      </c>
      <c r="N21" s="0" t="n">
        <f aca="false">H21-G21</f>
        <v>19</v>
      </c>
      <c r="O21" s="0" t="n">
        <f aca="false">B21+D21+F21</f>
        <v>11</v>
      </c>
      <c r="P21" s="0" t="n">
        <f aca="false">C21+E21+G21</f>
        <v>10</v>
      </c>
    </row>
    <row r="22" customFormat="false" ht="15" hidden="false" customHeight="false" outlineLevel="0" collapsed="false">
      <c r="A22" s="0" t="n">
        <v>22</v>
      </c>
      <c r="B22" s="0" t="n">
        <f aca="false">Raw_Data!AJ22</f>
        <v>4</v>
      </c>
      <c r="C22" s="0" t="n">
        <f aca="false">Raw_Data!AK22</f>
        <v>4</v>
      </c>
      <c r="D22" s="0" t="n">
        <f aca="false">Raw_Data!AL22</f>
        <v>5</v>
      </c>
      <c r="E22" s="0" t="n">
        <f aca="false">Raw_Data!AM22</f>
        <v>4</v>
      </c>
      <c r="F22" s="0" t="n">
        <f aca="false">Raw_Data!AN22</f>
        <v>3</v>
      </c>
      <c r="G22" s="0" t="n">
        <f aca="false">Raw_Data!AO22</f>
        <v>5</v>
      </c>
      <c r="H22" s="0" t="n">
        <f aca="false">SUM(B22:G22)</f>
        <v>25</v>
      </c>
      <c r="I22" s="0" t="n">
        <f aca="false">H22-B22</f>
        <v>21</v>
      </c>
      <c r="J22" s="0" t="n">
        <f aca="false">H22-C22</f>
        <v>21</v>
      </c>
      <c r="K22" s="0" t="n">
        <f aca="false">H22-D22</f>
        <v>20</v>
      </c>
      <c r="L22" s="0" t="n">
        <f aca="false">H22-E22</f>
        <v>21</v>
      </c>
      <c r="M22" s="0" t="n">
        <f aca="false">H22-F22</f>
        <v>22</v>
      </c>
      <c r="N22" s="0" t="n">
        <f aca="false">H22-G22</f>
        <v>20</v>
      </c>
      <c r="O22" s="0" t="n">
        <f aca="false">B22+D22+F22</f>
        <v>12</v>
      </c>
      <c r="P22" s="0" t="n">
        <f aca="false">C22+E22+G22</f>
        <v>13</v>
      </c>
    </row>
    <row r="23" customFormat="false" ht="15" hidden="false" customHeight="false" outlineLevel="0" collapsed="false">
      <c r="A23" s="0" t="n">
        <v>23</v>
      </c>
      <c r="B23" s="0" t="n">
        <f aca="false">Raw_Data!AJ23</f>
        <v>3</v>
      </c>
      <c r="C23" s="0" t="n">
        <f aca="false">Raw_Data!AK23</f>
        <v>3</v>
      </c>
      <c r="D23" s="0" t="n">
        <f aca="false">Raw_Data!AL23</f>
        <v>4</v>
      </c>
      <c r="E23" s="0" t="n">
        <f aca="false">Raw_Data!AM23</f>
        <v>3</v>
      </c>
      <c r="F23" s="0" t="n">
        <f aca="false">Raw_Data!AN23</f>
        <v>2</v>
      </c>
      <c r="G23" s="0" t="n">
        <f aca="false">Raw_Data!AO23</f>
        <v>3</v>
      </c>
      <c r="H23" s="0" t="n">
        <f aca="false">SUM(B23:G23)</f>
        <v>18</v>
      </c>
      <c r="I23" s="0" t="n">
        <f aca="false">H23-B23</f>
        <v>15</v>
      </c>
      <c r="J23" s="0" t="n">
        <f aca="false">H23-C23</f>
        <v>15</v>
      </c>
      <c r="K23" s="0" t="n">
        <f aca="false">H23-D23</f>
        <v>14</v>
      </c>
      <c r="L23" s="0" t="n">
        <f aca="false">H23-E23</f>
        <v>15</v>
      </c>
      <c r="M23" s="0" t="n">
        <f aca="false">H23-F23</f>
        <v>16</v>
      </c>
      <c r="N23" s="0" t="n">
        <f aca="false">H23-G23</f>
        <v>15</v>
      </c>
      <c r="O23" s="0" t="n">
        <f aca="false">B23+D23+F23</f>
        <v>9</v>
      </c>
      <c r="P23" s="0" t="n">
        <f aca="false">C23+E23+G23</f>
        <v>9</v>
      </c>
    </row>
    <row r="24" customFormat="false" ht="15" hidden="false" customHeight="false" outlineLevel="0" collapsed="false">
      <c r="A24" s="0" t="n">
        <v>24</v>
      </c>
      <c r="B24" s="0" t="n">
        <f aca="false">Raw_Data!AJ24</f>
        <v>3</v>
      </c>
      <c r="C24" s="0" t="n">
        <f aca="false">Raw_Data!AK24</f>
        <v>3</v>
      </c>
      <c r="D24" s="0" t="n">
        <f aca="false">Raw_Data!AL24</f>
        <v>4</v>
      </c>
      <c r="E24" s="0" t="n">
        <f aca="false">Raw_Data!AM24</f>
        <v>3</v>
      </c>
      <c r="F24" s="0" t="n">
        <f aca="false">Raw_Data!AN24</f>
        <v>3</v>
      </c>
      <c r="G24" s="0" t="n">
        <f aca="false">Raw_Data!AO24</f>
        <v>2</v>
      </c>
      <c r="H24" s="0" t="n">
        <f aca="false">SUM(B24:G24)</f>
        <v>18</v>
      </c>
      <c r="I24" s="0" t="n">
        <f aca="false">H24-B24</f>
        <v>15</v>
      </c>
      <c r="J24" s="0" t="n">
        <f aca="false">H24-C24</f>
        <v>15</v>
      </c>
      <c r="K24" s="0" t="n">
        <f aca="false">H24-D24</f>
        <v>14</v>
      </c>
      <c r="L24" s="0" t="n">
        <f aca="false">H24-E24</f>
        <v>15</v>
      </c>
      <c r="M24" s="0" t="n">
        <f aca="false">H24-F24</f>
        <v>15</v>
      </c>
      <c r="N24" s="0" t="n">
        <f aca="false">H24-G24</f>
        <v>16</v>
      </c>
      <c r="O24" s="0" t="n">
        <f aca="false">B24+D24+F24</f>
        <v>10</v>
      </c>
      <c r="P24" s="0" t="n">
        <f aca="false">C24+E24+G24</f>
        <v>8</v>
      </c>
    </row>
    <row r="25" customFormat="false" ht="15" hidden="false" customHeight="false" outlineLevel="0" collapsed="false">
      <c r="A25" s="0" t="n">
        <v>25</v>
      </c>
      <c r="B25" s="0" t="n">
        <f aca="false">Raw_Data!AJ25</f>
        <v>4</v>
      </c>
      <c r="C25" s="0" t="n">
        <f aca="false">Raw_Data!AK25</f>
        <v>4</v>
      </c>
      <c r="D25" s="0" t="n">
        <f aca="false">Raw_Data!AL25</f>
        <v>5</v>
      </c>
      <c r="E25" s="0" t="n">
        <f aca="false">Raw_Data!AM25</f>
        <v>3</v>
      </c>
      <c r="F25" s="0" t="n">
        <f aca="false">Raw_Data!AN25</f>
        <v>3</v>
      </c>
      <c r="G25" s="0" t="n">
        <f aca="false">Raw_Data!AO25</f>
        <v>2</v>
      </c>
      <c r="H25" s="0" t="n">
        <f aca="false">SUM(B25:G25)</f>
        <v>21</v>
      </c>
      <c r="I25" s="0" t="n">
        <f aca="false">H25-B25</f>
        <v>17</v>
      </c>
      <c r="J25" s="0" t="n">
        <f aca="false">H25-C25</f>
        <v>17</v>
      </c>
      <c r="K25" s="0" t="n">
        <f aca="false">H25-D25</f>
        <v>16</v>
      </c>
      <c r="L25" s="0" t="n">
        <f aca="false">H25-E25</f>
        <v>18</v>
      </c>
      <c r="M25" s="0" t="n">
        <f aca="false">H25-F25</f>
        <v>18</v>
      </c>
      <c r="N25" s="0" t="n">
        <f aca="false">H25-G25</f>
        <v>19</v>
      </c>
      <c r="O25" s="0" t="n">
        <f aca="false">B25+D25+F25</f>
        <v>12</v>
      </c>
      <c r="P25" s="0" t="n">
        <f aca="false">C25+E25+G25</f>
        <v>9</v>
      </c>
    </row>
    <row r="26" customFormat="false" ht="15" hidden="false" customHeight="false" outlineLevel="0" collapsed="false">
      <c r="A26" s="0" t="n">
        <v>26</v>
      </c>
      <c r="B26" s="0" t="n">
        <f aca="false">Raw_Data!AJ26</f>
        <v>4</v>
      </c>
      <c r="C26" s="0" t="n">
        <f aca="false">Raw_Data!AK26</f>
        <v>4</v>
      </c>
      <c r="D26" s="0" t="n">
        <f aca="false">Raw_Data!AL26</f>
        <v>5</v>
      </c>
      <c r="E26" s="0" t="n">
        <f aca="false">Raw_Data!AM26</f>
        <v>4</v>
      </c>
      <c r="F26" s="0" t="n">
        <f aca="false">Raw_Data!AN26</f>
        <v>3</v>
      </c>
      <c r="G26" s="0" t="n">
        <f aca="false">Raw_Data!AO26</f>
        <v>4</v>
      </c>
      <c r="H26" s="0" t="n">
        <f aca="false">SUM(B26:G26)</f>
        <v>24</v>
      </c>
      <c r="I26" s="0" t="n">
        <f aca="false">H26-B26</f>
        <v>20</v>
      </c>
      <c r="J26" s="0" t="n">
        <f aca="false">H26-C26</f>
        <v>20</v>
      </c>
      <c r="K26" s="0" t="n">
        <f aca="false">H26-D26</f>
        <v>19</v>
      </c>
      <c r="L26" s="0" t="n">
        <f aca="false">H26-E26</f>
        <v>20</v>
      </c>
      <c r="M26" s="0" t="n">
        <f aca="false">H26-F26</f>
        <v>21</v>
      </c>
      <c r="N26" s="0" t="n">
        <f aca="false">H26-G26</f>
        <v>20</v>
      </c>
      <c r="O26" s="0" t="n">
        <f aca="false">B26+D26+F26</f>
        <v>12</v>
      </c>
      <c r="P26" s="0" t="n">
        <f aca="false">C26+E26+G26</f>
        <v>12</v>
      </c>
    </row>
    <row r="27" customFormat="false" ht="15" hidden="false" customHeight="false" outlineLevel="0" collapsed="false">
      <c r="A27" s="0" t="n">
        <v>27</v>
      </c>
      <c r="B27" s="0" t="n">
        <f aca="false">Raw_Data!AJ27</f>
        <v>4</v>
      </c>
      <c r="C27" s="0" t="n">
        <f aca="false">Raw_Data!AK27</f>
        <v>4</v>
      </c>
      <c r="D27" s="0" t="n">
        <f aca="false">Raw_Data!AL27</f>
        <v>5</v>
      </c>
      <c r="E27" s="0" t="n">
        <f aca="false">Raw_Data!AM27</f>
        <v>5</v>
      </c>
      <c r="F27" s="0" t="n">
        <f aca="false">Raw_Data!AN27</f>
        <v>3</v>
      </c>
      <c r="G27" s="0" t="n">
        <f aca="false">Raw_Data!AO27</f>
        <v>3</v>
      </c>
      <c r="H27" s="0" t="n">
        <f aca="false">SUM(B27:G27)</f>
        <v>24</v>
      </c>
      <c r="I27" s="0" t="n">
        <f aca="false">H27-B27</f>
        <v>20</v>
      </c>
      <c r="J27" s="0" t="n">
        <f aca="false">H27-C27</f>
        <v>20</v>
      </c>
      <c r="K27" s="0" t="n">
        <f aca="false">H27-D27</f>
        <v>19</v>
      </c>
      <c r="L27" s="0" t="n">
        <f aca="false">H27-E27</f>
        <v>19</v>
      </c>
      <c r="M27" s="0" t="n">
        <f aca="false">H27-F27</f>
        <v>21</v>
      </c>
      <c r="N27" s="0" t="n">
        <f aca="false">H27-G27</f>
        <v>21</v>
      </c>
      <c r="O27" s="0" t="n">
        <f aca="false">B27+D27+F27</f>
        <v>12</v>
      </c>
      <c r="P27" s="0" t="n">
        <f aca="false">C27+E27+G27</f>
        <v>12</v>
      </c>
    </row>
    <row r="28" customFormat="false" ht="15" hidden="false" customHeight="false" outlineLevel="0" collapsed="false">
      <c r="A28" s="0" t="n">
        <v>28</v>
      </c>
      <c r="B28" s="0" t="n">
        <f aca="false">Raw_Data!AJ28</f>
        <v>2</v>
      </c>
      <c r="C28" s="0" t="n">
        <f aca="false">Raw_Data!AK28</f>
        <v>2</v>
      </c>
      <c r="D28" s="0" t="n">
        <f aca="false">Raw_Data!AL28</f>
        <v>4</v>
      </c>
      <c r="E28" s="0" t="n">
        <f aca="false">Raw_Data!AM28</f>
        <v>4</v>
      </c>
      <c r="F28" s="0" t="n">
        <f aca="false">Raw_Data!AN28</f>
        <v>2</v>
      </c>
      <c r="G28" s="0" t="n">
        <f aca="false">Raw_Data!AO28</f>
        <v>3</v>
      </c>
      <c r="H28" s="0" t="n">
        <f aca="false">SUM(B28:G28)</f>
        <v>17</v>
      </c>
      <c r="I28" s="0" t="n">
        <f aca="false">H28-B28</f>
        <v>15</v>
      </c>
      <c r="J28" s="0" t="n">
        <f aca="false">H28-C28</f>
        <v>15</v>
      </c>
      <c r="K28" s="0" t="n">
        <f aca="false">H28-D28</f>
        <v>13</v>
      </c>
      <c r="L28" s="0" t="n">
        <f aca="false">H28-E28</f>
        <v>13</v>
      </c>
      <c r="M28" s="0" t="n">
        <f aca="false">H28-F28</f>
        <v>15</v>
      </c>
      <c r="N28" s="0" t="n">
        <f aca="false">H28-G28</f>
        <v>14</v>
      </c>
      <c r="O28" s="0" t="n">
        <f aca="false">B28+D28+F28</f>
        <v>8</v>
      </c>
      <c r="P28" s="0" t="n">
        <f aca="false">C28+E28+G28</f>
        <v>9</v>
      </c>
    </row>
    <row r="29" customFormat="false" ht="15" hidden="false" customHeight="false" outlineLevel="0" collapsed="false">
      <c r="A29" s="0" t="n">
        <v>29</v>
      </c>
      <c r="B29" s="0" t="n">
        <f aca="false">Raw_Data!AJ29</f>
        <v>4</v>
      </c>
      <c r="C29" s="0" t="n">
        <f aca="false">Raw_Data!AK29</f>
        <v>2</v>
      </c>
      <c r="D29" s="0" t="n">
        <f aca="false">Raw_Data!AL29</f>
        <v>5</v>
      </c>
      <c r="E29" s="0" t="n">
        <f aca="false">Raw_Data!AM29</f>
        <v>4</v>
      </c>
      <c r="F29" s="0" t="n">
        <f aca="false">Raw_Data!AN29</f>
        <v>3</v>
      </c>
      <c r="G29" s="0" t="n">
        <f aca="false">Raw_Data!AO29</f>
        <v>2</v>
      </c>
      <c r="H29" s="0" t="n">
        <f aca="false">SUM(B29:G29)</f>
        <v>20</v>
      </c>
      <c r="I29" s="0" t="n">
        <f aca="false">H29-B29</f>
        <v>16</v>
      </c>
      <c r="J29" s="0" t="n">
        <f aca="false">H29-C29</f>
        <v>18</v>
      </c>
      <c r="K29" s="0" t="n">
        <f aca="false">H29-D29</f>
        <v>15</v>
      </c>
      <c r="L29" s="0" t="n">
        <f aca="false">H29-E29</f>
        <v>16</v>
      </c>
      <c r="M29" s="0" t="n">
        <f aca="false">H29-F29</f>
        <v>17</v>
      </c>
      <c r="N29" s="0" t="n">
        <f aca="false">H29-G29</f>
        <v>18</v>
      </c>
      <c r="O29" s="0" t="n">
        <f aca="false">B29+D29+F29</f>
        <v>12</v>
      </c>
      <c r="P29" s="0" t="n">
        <f aca="false">C29+E29+G29</f>
        <v>8</v>
      </c>
    </row>
    <row r="30" customFormat="false" ht="15" hidden="false" customHeight="false" outlineLevel="0" collapsed="false">
      <c r="A30" s="0" t="n">
        <v>30</v>
      </c>
      <c r="B30" s="0" t="n">
        <f aca="false">Raw_Data!AJ30</f>
        <v>4</v>
      </c>
      <c r="C30" s="0" t="n">
        <f aca="false">Raw_Data!AK30</f>
        <v>2</v>
      </c>
      <c r="D30" s="0" t="n">
        <f aca="false">Raw_Data!AL30</f>
        <v>4</v>
      </c>
      <c r="E30" s="0" t="n">
        <f aca="false">Raw_Data!AM30</f>
        <v>4</v>
      </c>
      <c r="F30" s="0" t="n">
        <f aca="false">Raw_Data!AN30</f>
        <v>3</v>
      </c>
      <c r="G30" s="0" t="n">
        <f aca="false">Raw_Data!AO30</f>
        <v>3</v>
      </c>
      <c r="H30" s="0" t="n">
        <f aca="false">SUM(B30:G30)</f>
        <v>20</v>
      </c>
      <c r="I30" s="0" t="n">
        <f aca="false">H30-B30</f>
        <v>16</v>
      </c>
      <c r="J30" s="0" t="n">
        <f aca="false">H30-C30</f>
        <v>18</v>
      </c>
      <c r="K30" s="0" t="n">
        <f aca="false">H30-D30</f>
        <v>16</v>
      </c>
      <c r="L30" s="0" t="n">
        <f aca="false">H30-E30</f>
        <v>16</v>
      </c>
      <c r="M30" s="0" t="n">
        <f aca="false">H30-F30</f>
        <v>17</v>
      </c>
      <c r="N30" s="0" t="n">
        <f aca="false">H30-G30</f>
        <v>17</v>
      </c>
      <c r="O30" s="0" t="n">
        <f aca="false">B30+D30+F30</f>
        <v>11</v>
      </c>
      <c r="P30" s="0" t="n">
        <f aca="false">C30+E30+G30</f>
        <v>9</v>
      </c>
    </row>
    <row r="31" customFormat="false" ht="15" hidden="false" customHeight="false" outlineLevel="0" collapsed="false">
      <c r="A31" s="0" t="n">
        <v>31</v>
      </c>
      <c r="B31" s="0" t="n">
        <f aca="false">Raw_Data!AJ31</f>
        <v>4</v>
      </c>
      <c r="C31" s="0" t="n">
        <f aca="false">Raw_Data!AK31</f>
        <v>3</v>
      </c>
      <c r="D31" s="0" t="n">
        <f aca="false">Raw_Data!AL31</f>
        <v>4</v>
      </c>
      <c r="E31" s="0" t="n">
        <f aca="false">Raw_Data!AM31</f>
        <v>3</v>
      </c>
      <c r="F31" s="0" t="n">
        <f aca="false">Raw_Data!AN31</f>
        <v>3</v>
      </c>
      <c r="G31" s="0" t="n">
        <f aca="false">Raw_Data!AO31</f>
        <v>3</v>
      </c>
      <c r="H31" s="0" t="n">
        <f aca="false">SUM(B31:G31)</f>
        <v>20</v>
      </c>
      <c r="I31" s="0" t="n">
        <f aca="false">H31-B31</f>
        <v>16</v>
      </c>
      <c r="J31" s="0" t="n">
        <f aca="false">H31-C31</f>
        <v>17</v>
      </c>
      <c r="K31" s="0" t="n">
        <f aca="false">H31-D31</f>
        <v>16</v>
      </c>
      <c r="L31" s="0" t="n">
        <f aca="false">H31-E31</f>
        <v>17</v>
      </c>
      <c r="M31" s="0" t="n">
        <f aca="false">H31-F31</f>
        <v>17</v>
      </c>
      <c r="N31" s="0" t="n">
        <f aca="false">H31-G31</f>
        <v>17</v>
      </c>
      <c r="O31" s="0" t="n">
        <f aca="false">B31+D31+F31</f>
        <v>11</v>
      </c>
      <c r="P31" s="0" t="n">
        <f aca="false">C31+E31+G31</f>
        <v>9</v>
      </c>
    </row>
    <row r="32" customFormat="false" ht="15" hidden="false" customHeight="false" outlineLevel="0" collapsed="false">
      <c r="A32" s="0" t="n">
        <v>32</v>
      </c>
      <c r="B32" s="0" t="n">
        <f aca="false">Raw_Data!AJ32</f>
        <v>4</v>
      </c>
      <c r="C32" s="0" t="n">
        <f aca="false">Raw_Data!AK32</f>
        <v>4</v>
      </c>
      <c r="D32" s="0" t="n">
        <f aca="false">Raw_Data!AL32</f>
        <v>4</v>
      </c>
      <c r="E32" s="0" t="n">
        <f aca="false">Raw_Data!AM32</f>
        <v>4</v>
      </c>
      <c r="F32" s="0" t="n">
        <f aca="false">Raw_Data!AN32</f>
        <v>3</v>
      </c>
      <c r="G32" s="0" t="n">
        <f aca="false">Raw_Data!AO32</f>
        <v>4</v>
      </c>
      <c r="H32" s="0" t="n">
        <f aca="false">SUM(B32:G32)</f>
        <v>23</v>
      </c>
      <c r="I32" s="0" t="n">
        <f aca="false">H32-B32</f>
        <v>19</v>
      </c>
      <c r="J32" s="0" t="n">
        <f aca="false">H32-C32</f>
        <v>19</v>
      </c>
      <c r="K32" s="0" t="n">
        <f aca="false">H32-D32</f>
        <v>19</v>
      </c>
      <c r="L32" s="0" t="n">
        <f aca="false">H32-E32</f>
        <v>19</v>
      </c>
      <c r="M32" s="0" t="n">
        <f aca="false">H32-F32</f>
        <v>20</v>
      </c>
      <c r="N32" s="0" t="n">
        <f aca="false">H32-G32</f>
        <v>19</v>
      </c>
      <c r="O32" s="0" t="n">
        <f aca="false">B32+D32+F32</f>
        <v>11</v>
      </c>
      <c r="P32" s="0" t="n">
        <f aca="false">C32+E32+G32</f>
        <v>12</v>
      </c>
    </row>
    <row r="33" customFormat="false" ht="15" hidden="false" customHeight="false" outlineLevel="0" collapsed="false">
      <c r="A33" s="0" t="n">
        <v>33</v>
      </c>
      <c r="B33" s="0" t="n">
        <f aca="false">Raw_Data!AJ33</f>
        <v>3</v>
      </c>
      <c r="C33" s="0" t="n">
        <f aca="false">Raw_Data!AK33</f>
        <v>3</v>
      </c>
      <c r="D33" s="0" t="n">
        <f aca="false">Raw_Data!AL33</f>
        <v>5</v>
      </c>
      <c r="E33" s="0" t="n">
        <f aca="false">Raw_Data!AM33</f>
        <v>2</v>
      </c>
      <c r="F33" s="0" t="n">
        <f aca="false">Raw_Data!AN33</f>
        <v>1</v>
      </c>
      <c r="G33" s="0" t="n">
        <f aca="false">Raw_Data!AO33</f>
        <v>1</v>
      </c>
      <c r="H33" s="0" t="n">
        <f aca="false">SUM(B33:G33)</f>
        <v>15</v>
      </c>
      <c r="I33" s="0" t="n">
        <f aca="false">H33-B33</f>
        <v>12</v>
      </c>
      <c r="J33" s="0" t="n">
        <f aca="false">H33-C33</f>
        <v>12</v>
      </c>
      <c r="K33" s="0" t="n">
        <f aca="false">H33-D33</f>
        <v>10</v>
      </c>
      <c r="L33" s="0" t="n">
        <f aca="false">H33-E33</f>
        <v>13</v>
      </c>
      <c r="M33" s="0" t="n">
        <f aca="false">H33-F33</f>
        <v>14</v>
      </c>
      <c r="N33" s="0" t="n">
        <f aca="false">H33-G33</f>
        <v>14</v>
      </c>
      <c r="O33" s="0" t="n">
        <f aca="false">B33+D33+F33</f>
        <v>9</v>
      </c>
      <c r="P33" s="0" t="n">
        <f aca="false">C33+E33+G33</f>
        <v>6</v>
      </c>
    </row>
    <row r="34" customFormat="false" ht="15" hidden="false" customHeight="false" outlineLevel="0" collapsed="false">
      <c r="A34" s="0" t="n">
        <v>34</v>
      </c>
      <c r="B34" s="0" t="n">
        <f aca="false">Raw_Data!AJ34</f>
        <v>5</v>
      </c>
      <c r="C34" s="0" t="n">
        <f aca="false">Raw_Data!AK34</f>
        <v>5</v>
      </c>
      <c r="D34" s="0" t="n">
        <f aca="false">Raw_Data!AL34</f>
        <v>5</v>
      </c>
      <c r="E34" s="0" t="n">
        <f aca="false">Raw_Data!AM34</f>
        <v>4</v>
      </c>
      <c r="F34" s="0" t="n">
        <f aca="false">Raw_Data!AN34</f>
        <v>4</v>
      </c>
      <c r="G34" s="0" t="n">
        <f aca="false">Raw_Data!AO34</f>
        <v>4</v>
      </c>
      <c r="H34" s="0" t="n">
        <f aca="false">SUM(B34:G34)</f>
        <v>27</v>
      </c>
      <c r="I34" s="0" t="n">
        <f aca="false">H34-B34</f>
        <v>22</v>
      </c>
      <c r="J34" s="0" t="n">
        <f aca="false">H34-C34</f>
        <v>22</v>
      </c>
      <c r="K34" s="0" t="n">
        <f aca="false">H34-D34</f>
        <v>22</v>
      </c>
      <c r="L34" s="0" t="n">
        <f aca="false">H34-E34</f>
        <v>23</v>
      </c>
      <c r="M34" s="0" t="n">
        <f aca="false">H34-F34</f>
        <v>23</v>
      </c>
      <c r="N34" s="0" t="n">
        <f aca="false">H34-G34</f>
        <v>23</v>
      </c>
      <c r="O34" s="0" t="n">
        <f aca="false">B34+D34+F34</f>
        <v>14</v>
      </c>
      <c r="P34" s="0" t="n">
        <f aca="false">C34+E34+G34</f>
        <v>13</v>
      </c>
    </row>
    <row r="35" customFormat="false" ht="15" hidden="false" customHeight="false" outlineLevel="0" collapsed="false">
      <c r="A35" s="0" t="n">
        <v>35</v>
      </c>
      <c r="B35" s="0" t="n">
        <f aca="false">Raw_Data!AJ35</f>
        <v>4</v>
      </c>
      <c r="C35" s="0" t="n">
        <f aca="false">Raw_Data!AK35</f>
        <v>2</v>
      </c>
      <c r="D35" s="0" t="n">
        <f aca="false">Raw_Data!AL35</f>
        <v>2</v>
      </c>
      <c r="E35" s="0" t="n">
        <f aca="false">Raw_Data!AM35</f>
        <v>3</v>
      </c>
      <c r="F35" s="0" t="n">
        <f aca="false">Raw_Data!AN35</f>
        <v>3</v>
      </c>
      <c r="G35" s="0" t="n">
        <f aca="false">Raw_Data!AO35</f>
        <v>2</v>
      </c>
      <c r="H35" s="0" t="n">
        <f aca="false">SUM(B35:G35)</f>
        <v>16</v>
      </c>
      <c r="I35" s="0" t="n">
        <f aca="false">H35-B35</f>
        <v>12</v>
      </c>
      <c r="J35" s="0" t="n">
        <f aca="false">H35-C35</f>
        <v>14</v>
      </c>
      <c r="K35" s="0" t="n">
        <f aca="false">H35-D35</f>
        <v>14</v>
      </c>
      <c r="L35" s="0" t="n">
        <f aca="false">H35-E35</f>
        <v>13</v>
      </c>
      <c r="M35" s="0" t="n">
        <f aca="false">H35-F35</f>
        <v>13</v>
      </c>
      <c r="N35" s="0" t="n">
        <f aca="false">H35-G35</f>
        <v>14</v>
      </c>
      <c r="O35" s="0" t="n">
        <f aca="false">B35+D35+F35</f>
        <v>9</v>
      </c>
      <c r="P35" s="0" t="n">
        <f aca="false">C35+E35+G35</f>
        <v>7</v>
      </c>
    </row>
    <row r="36" customFormat="false" ht="15" hidden="false" customHeight="false" outlineLevel="0" collapsed="false">
      <c r="A36" s="0" t="n">
        <v>36</v>
      </c>
      <c r="B36" s="0" t="n">
        <f aca="false">Raw_Data!AJ36</f>
        <v>5</v>
      </c>
      <c r="C36" s="0" t="n">
        <f aca="false">Raw_Data!AK36</f>
        <v>4</v>
      </c>
      <c r="D36" s="0" t="n">
        <f aca="false">Raw_Data!AL36</f>
        <v>3</v>
      </c>
      <c r="E36" s="0" t="n">
        <f aca="false">Raw_Data!AM36</f>
        <v>4</v>
      </c>
      <c r="F36" s="0" t="n">
        <f aca="false">Raw_Data!AN36</f>
        <v>3</v>
      </c>
      <c r="G36" s="0" t="n">
        <f aca="false">Raw_Data!AO36</f>
        <v>3</v>
      </c>
      <c r="H36" s="0" t="n">
        <f aca="false">SUM(B36:G36)</f>
        <v>22</v>
      </c>
      <c r="I36" s="0" t="n">
        <f aca="false">H36-B36</f>
        <v>17</v>
      </c>
      <c r="J36" s="0" t="n">
        <f aca="false">H36-C36</f>
        <v>18</v>
      </c>
      <c r="K36" s="0" t="n">
        <f aca="false">H36-D36</f>
        <v>19</v>
      </c>
      <c r="L36" s="0" t="n">
        <f aca="false">H36-E36</f>
        <v>18</v>
      </c>
      <c r="M36" s="0" t="n">
        <f aca="false">H36-F36</f>
        <v>19</v>
      </c>
      <c r="N36" s="0" t="n">
        <f aca="false">H36-G36</f>
        <v>19</v>
      </c>
      <c r="O36" s="0" t="n">
        <f aca="false">B36+D36+F36</f>
        <v>11</v>
      </c>
      <c r="P36" s="0" t="n">
        <f aca="false">C36+E36+G36</f>
        <v>11</v>
      </c>
    </row>
    <row r="37" customFormat="false" ht="15" hidden="false" customHeight="false" outlineLevel="0" collapsed="false">
      <c r="A37" s="0" t="n">
        <v>37</v>
      </c>
      <c r="B37" s="0" t="n">
        <f aca="false">Raw_Data!AJ37</f>
        <v>4</v>
      </c>
      <c r="C37" s="0" t="n">
        <f aca="false">Raw_Data!AK37</f>
        <v>5</v>
      </c>
      <c r="D37" s="0" t="n">
        <f aca="false">Raw_Data!AL37</f>
        <v>5</v>
      </c>
      <c r="E37" s="0" t="n">
        <f aca="false">Raw_Data!AM37</f>
        <v>2</v>
      </c>
      <c r="F37" s="0" t="n">
        <f aca="false">Raw_Data!AN37</f>
        <v>3</v>
      </c>
      <c r="G37" s="0" t="n">
        <f aca="false">Raw_Data!AO37</f>
        <v>3</v>
      </c>
      <c r="H37" s="0" t="n">
        <f aca="false">SUM(B37:G37)</f>
        <v>22</v>
      </c>
      <c r="I37" s="0" t="n">
        <f aca="false">H37-B37</f>
        <v>18</v>
      </c>
      <c r="J37" s="0" t="n">
        <f aca="false">H37-C37</f>
        <v>17</v>
      </c>
      <c r="K37" s="0" t="n">
        <f aca="false">H37-D37</f>
        <v>17</v>
      </c>
      <c r="L37" s="0" t="n">
        <f aca="false">H37-E37</f>
        <v>20</v>
      </c>
      <c r="M37" s="0" t="n">
        <f aca="false">H37-F37</f>
        <v>19</v>
      </c>
      <c r="N37" s="0" t="n">
        <f aca="false">H37-G37</f>
        <v>19</v>
      </c>
      <c r="O37" s="0" t="n">
        <f aca="false">B37+D37+F37</f>
        <v>12</v>
      </c>
      <c r="P37" s="0" t="n">
        <f aca="false">C37+E37+G37</f>
        <v>10</v>
      </c>
    </row>
    <row r="38" customFormat="false" ht="15" hidden="false" customHeight="false" outlineLevel="0" collapsed="false">
      <c r="A38" s="0" t="n">
        <v>38</v>
      </c>
      <c r="B38" s="0" t="n">
        <f aca="false">Raw_Data!AJ38</f>
        <v>5</v>
      </c>
      <c r="C38" s="0" t="n">
        <f aca="false">Raw_Data!AK38</f>
        <v>5</v>
      </c>
      <c r="D38" s="0" t="n">
        <f aca="false">Raw_Data!AL38</f>
        <v>5</v>
      </c>
      <c r="E38" s="0" t="n">
        <f aca="false">Raw_Data!AM38</f>
        <v>5</v>
      </c>
      <c r="F38" s="0" t="n">
        <f aca="false">Raw_Data!AN38</f>
        <v>1</v>
      </c>
      <c r="G38" s="0" t="n">
        <f aca="false">Raw_Data!AO38</f>
        <v>5</v>
      </c>
      <c r="H38" s="0" t="n">
        <f aca="false">SUM(B38:G38)</f>
        <v>26</v>
      </c>
      <c r="I38" s="0" t="n">
        <f aca="false">H38-B38</f>
        <v>21</v>
      </c>
      <c r="J38" s="0" t="n">
        <f aca="false">H38-C38</f>
        <v>21</v>
      </c>
      <c r="K38" s="0" t="n">
        <f aca="false">H38-D38</f>
        <v>21</v>
      </c>
      <c r="L38" s="0" t="n">
        <f aca="false">H38-E38</f>
        <v>21</v>
      </c>
      <c r="M38" s="0" t="n">
        <f aca="false">H38-F38</f>
        <v>25</v>
      </c>
      <c r="N38" s="0" t="n">
        <f aca="false">H38-G38</f>
        <v>21</v>
      </c>
      <c r="O38" s="0" t="n">
        <f aca="false">B38+D38+F38</f>
        <v>11</v>
      </c>
      <c r="P38" s="0" t="n">
        <f aca="false">C38+E38+G38</f>
        <v>15</v>
      </c>
    </row>
    <row r="39" customFormat="false" ht="15" hidden="false" customHeight="false" outlineLevel="0" collapsed="false">
      <c r="A39" s="0" t="n">
        <v>39</v>
      </c>
      <c r="B39" s="0" t="n">
        <f aca="false">Raw_Data!AJ39</f>
        <v>5</v>
      </c>
      <c r="C39" s="0" t="n">
        <f aca="false">Raw_Data!AK39</f>
        <v>3</v>
      </c>
      <c r="D39" s="0" t="n">
        <f aca="false">Raw_Data!AL39</f>
        <v>4</v>
      </c>
      <c r="E39" s="0" t="n">
        <f aca="false">Raw_Data!AM39</f>
        <v>4</v>
      </c>
      <c r="F39" s="0" t="n">
        <f aca="false">Raw_Data!AN39</f>
        <v>3</v>
      </c>
      <c r="G39" s="0" t="n">
        <f aca="false">Raw_Data!AO39</f>
        <v>3</v>
      </c>
      <c r="H39" s="0" t="n">
        <f aca="false">SUM(B39:G39)</f>
        <v>22</v>
      </c>
      <c r="I39" s="0" t="n">
        <f aca="false">H39-B39</f>
        <v>17</v>
      </c>
      <c r="J39" s="0" t="n">
        <f aca="false">H39-C39</f>
        <v>19</v>
      </c>
      <c r="K39" s="0" t="n">
        <f aca="false">H39-D39</f>
        <v>18</v>
      </c>
      <c r="L39" s="0" t="n">
        <f aca="false">H39-E39</f>
        <v>18</v>
      </c>
      <c r="M39" s="0" t="n">
        <f aca="false">H39-F39</f>
        <v>19</v>
      </c>
      <c r="N39" s="0" t="n">
        <f aca="false">H39-G39</f>
        <v>19</v>
      </c>
      <c r="O39" s="0" t="n">
        <f aca="false">B39+D39+F39</f>
        <v>12</v>
      </c>
      <c r="P39" s="0" t="n">
        <f aca="false">C39+E39+G39</f>
        <v>10</v>
      </c>
    </row>
    <row r="40" customFormat="false" ht="15" hidden="false" customHeight="false" outlineLevel="0" collapsed="false">
      <c r="A40" s="0" t="n">
        <v>40</v>
      </c>
      <c r="B40" s="0" t="n">
        <f aca="false">Raw_Data!AJ40</f>
        <v>1</v>
      </c>
      <c r="C40" s="0" t="n">
        <f aca="false">Raw_Data!AK40</f>
        <v>1</v>
      </c>
      <c r="D40" s="0" t="n">
        <f aca="false">Raw_Data!AL40</f>
        <v>5</v>
      </c>
      <c r="E40" s="0" t="n">
        <f aca="false">Raw_Data!AM40</f>
        <v>1</v>
      </c>
      <c r="F40" s="0" t="n">
        <f aca="false">Raw_Data!AN40</f>
        <v>3</v>
      </c>
      <c r="G40" s="0" t="n">
        <f aca="false">Raw_Data!AO40</f>
        <v>5</v>
      </c>
      <c r="H40" s="0" t="n">
        <f aca="false">SUM(B40:G40)</f>
        <v>16</v>
      </c>
      <c r="I40" s="0" t="n">
        <f aca="false">H40-B40</f>
        <v>15</v>
      </c>
      <c r="J40" s="0" t="n">
        <f aca="false">H40-C40</f>
        <v>15</v>
      </c>
      <c r="K40" s="0" t="n">
        <f aca="false">H40-D40</f>
        <v>11</v>
      </c>
      <c r="L40" s="0" t="n">
        <f aca="false">H40-E40</f>
        <v>15</v>
      </c>
      <c r="M40" s="0" t="n">
        <f aca="false">H40-F40</f>
        <v>13</v>
      </c>
      <c r="N40" s="0" t="n">
        <f aca="false">H40-G40</f>
        <v>11</v>
      </c>
      <c r="O40" s="0" t="n">
        <f aca="false">B40+D40+F40</f>
        <v>9</v>
      </c>
      <c r="P40" s="0" t="n">
        <f aca="false">C40+E40+G40</f>
        <v>7</v>
      </c>
    </row>
    <row r="41" customFormat="false" ht="15" hidden="false" customHeight="false" outlineLevel="0" collapsed="false">
      <c r="A41" s="0" t="n">
        <v>41</v>
      </c>
      <c r="B41" s="0" t="n">
        <f aca="false">Raw_Data!AJ41</f>
        <v>4</v>
      </c>
      <c r="C41" s="0" t="n">
        <f aca="false">Raw_Data!AK41</f>
        <v>4</v>
      </c>
      <c r="D41" s="0" t="n">
        <f aca="false">Raw_Data!AL41</f>
        <v>4</v>
      </c>
      <c r="E41" s="0" t="n">
        <f aca="false">Raw_Data!AM41</f>
        <v>3</v>
      </c>
      <c r="F41" s="0" t="n">
        <f aca="false">Raw_Data!AN41</f>
        <v>3</v>
      </c>
      <c r="G41" s="0" t="n">
        <f aca="false">Raw_Data!AO41</f>
        <v>4</v>
      </c>
      <c r="H41" s="0" t="n">
        <f aca="false">SUM(B41:G41)</f>
        <v>22</v>
      </c>
      <c r="I41" s="0" t="n">
        <f aca="false">H41-B41</f>
        <v>18</v>
      </c>
      <c r="J41" s="0" t="n">
        <f aca="false">H41-C41</f>
        <v>18</v>
      </c>
      <c r="K41" s="0" t="n">
        <f aca="false">H41-D41</f>
        <v>18</v>
      </c>
      <c r="L41" s="0" t="n">
        <f aca="false">H41-E41</f>
        <v>19</v>
      </c>
      <c r="M41" s="0" t="n">
        <f aca="false">H41-F41</f>
        <v>19</v>
      </c>
      <c r="N41" s="0" t="n">
        <f aca="false">H41-G41</f>
        <v>18</v>
      </c>
      <c r="O41" s="0" t="n">
        <f aca="false">B41+D41+F41</f>
        <v>11</v>
      </c>
      <c r="P41" s="0" t="n">
        <f aca="false">C41+E41+G41</f>
        <v>11</v>
      </c>
    </row>
    <row r="42" customFormat="false" ht="15" hidden="false" customHeight="false" outlineLevel="0" collapsed="false">
      <c r="A42" s="0" t="n">
        <v>42</v>
      </c>
      <c r="B42" s="0" t="n">
        <f aca="false">Raw_Data!AJ42</f>
        <v>5</v>
      </c>
      <c r="C42" s="0" t="n">
        <f aca="false">Raw_Data!AK42</f>
        <v>4</v>
      </c>
      <c r="D42" s="0" t="n">
        <f aca="false">Raw_Data!AL42</f>
        <v>5</v>
      </c>
      <c r="E42" s="0" t="n">
        <f aca="false">Raw_Data!AM42</f>
        <v>5</v>
      </c>
      <c r="F42" s="0" t="n">
        <f aca="false">Raw_Data!AN42</f>
        <v>2</v>
      </c>
      <c r="G42" s="0" t="n">
        <f aca="false">Raw_Data!AO42</f>
        <v>2</v>
      </c>
      <c r="H42" s="0" t="n">
        <f aca="false">SUM(B42:G42)</f>
        <v>23</v>
      </c>
      <c r="I42" s="0" t="n">
        <f aca="false">H42-B42</f>
        <v>18</v>
      </c>
      <c r="J42" s="0" t="n">
        <f aca="false">H42-C42</f>
        <v>19</v>
      </c>
      <c r="K42" s="0" t="n">
        <f aca="false">H42-D42</f>
        <v>18</v>
      </c>
      <c r="L42" s="0" t="n">
        <f aca="false">H42-E42</f>
        <v>18</v>
      </c>
      <c r="M42" s="0" t="n">
        <f aca="false">H42-F42</f>
        <v>21</v>
      </c>
      <c r="N42" s="0" t="n">
        <f aca="false">H42-G42</f>
        <v>21</v>
      </c>
      <c r="O42" s="0" t="n">
        <f aca="false">B42+D42+F42</f>
        <v>12</v>
      </c>
      <c r="P42" s="0" t="n">
        <f aca="false">C42+E42+G42</f>
        <v>11</v>
      </c>
    </row>
    <row r="43" customFormat="false" ht="15" hidden="false" customHeight="false" outlineLevel="0" collapsed="false">
      <c r="A43" s="0" t="n">
        <v>43</v>
      </c>
      <c r="B43" s="0" t="n">
        <f aca="false">Raw_Data!AJ43</f>
        <v>4</v>
      </c>
      <c r="C43" s="0" t="n">
        <f aca="false">Raw_Data!AK43</f>
        <v>2</v>
      </c>
      <c r="D43" s="0" t="n">
        <f aca="false">Raw_Data!AL43</f>
        <v>5</v>
      </c>
      <c r="E43" s="0" t="n">
        <f aca="false">Raw_Data!AM43</f>
        <v>3</v>
      </c>
      <c r="F43" s="0" t="n">
        <f aca="false">Raw_Data!AN43</f>
        <v>1</v>
      </c>
      <c r="G43" s="0" t="n">
        <f aca="false">Raw_Data!AO43</f>
        <v>3</v>
      </c>
      <c r="H43" s="0" t="n">
        <f aca="false">SUM(B43:G43)</f>
        <v>18</v>
      </c>
      <c r="I43" s="0" t="n">
        <f aca="false">H43-B43</f>
        <v>14</v>
      </c>
      <c r="J43" s="0" t="n">
        <f aca="false">H43-C43</f>
        <v>16</v>
      </c>
      <c r="K43" s="0" t="n">
        <f aca="false">H43-D43</f>
        <v>13</v>
      </c>
      <c r="L43" s="0" t="n">
        <f aca="false">H43-E43</f>
        <v>15</v>
      </c>
      <c r="M43" s="0" t="n">
        <f aca="false">H43-F43</f>
        <v>17</v>
      </c>
      <c r="N43" s="0" t="n">
        <f aca="false">H43-G43</f>
        <v>15</v>
      </c>
      <c r="O43" s="0" t="n">
        <f aca="false">B43+D43+F43</f>
        <v>10</v>
      </c>
      <c r="P43" s="0" t="n">
        <f aca="false">C43+E43+G43</f>
        <v>8</v>
      </c>
    </row>
    <row r="44" customFormat="false" ht="15" hidden="false" customHeight="false" outlineLevel="0" collapsed="false">
      <c r="A44" s="0" t="n">
        <v>44</v>
      </c>
      <c r="B44" s="0" t="n">
        <f aca="false">Raw_Data!AJ44</f>
        <v>4</v>
      </c>
      <c r="C44" s="0" t="n">
        <f aca="false">Raw_Data!AK44</f>
        <v>3</v>
      </c>
      <c r="D44" s="0" t="n">
        <f aca="false">Raw_Data!AL44</f>
        <v>4</v>
      </c>
      <c r="E44" s="0" t="n">
        <f aca="false">Raw_Data!AM44</f>
        <v>3</v>
      </c>
      <c r="F44" s="0" t="n">
        <f aca="false">Raw_Data!AN44</f>
        <v>3</v>
      </c>
      <c r="G44" s="0" t="n">
        <f aca="false">Raw_Data!AO44</f>
        <v>4</v>
      </c>
      <c r="H44" s="0" t="n">
        <f aca="false">SUM(B44:G44)</f>
        <v>21</v>
      </c>
      <c r="I44" s="0" t="n">
        <f aca="false">H44-B44</f>
        <v>17</v>
      </c>
      <c r="J44" s="0" t="n">
        <f aca="false">H44-C44</f>
        <v>18</v>
      </c>
      <c r="K44" s="0" t="n">
        <f aca="false">H44-D44</f>
        <v>17</v>
      </c>
      <c r="L44" s="0" t="n">
        <f aca="false">H44-E44</f>
        <v>18</v>
      </c>
      <c r="M44" s="0" t="n">
        <f aca="false">H44-F44</f>
        <v>18</v>
      </c>
      <c r="N44" s="0" t="n">
        <f aca="false">H44-G44</f>
        <v>17</v>
      </c>
      <c r="O44" s="0" t="n">
        <f aca="false">B44+D44+F44</f>
        <v>11</v>
      </c>
      <c r="P44" s="0" t="n">
        <f aca="false">C44+E44+G44</f>
        <v>10</v>
      </c>
    </row>
    <row r="45" customFormat="false" ht="15" hidden="false" customHeight="false" outlineLevel="0" collapsed="false">
      <c r="A45" s="0" t="n">
        <v>45</v>
      </c>
      <c r="B45" s="0" t="n">
        <f aca="false">Raw_Data!AJ45</f>
        <v>4</v>
      </c>
      <c r="C45" s="0" t="n">
        <f aca="false">Raw_Data!AK45</f>
        <v>3</v>
      </c>
      <c r="D45" s="0" t="n">
        <f aca="false">Raw_Data!AL45</f>
        <v>4</v>
      </c>
      <c r="E45" s="0" t="n">
        <f aca="false">Raw_Data!AM45</f>
        <v>3</v>
      </c>
      <c r="F45" s="0" t="n">
        <f aca="false">Raw_Data!AN45</f>
        <v>5</v>
      </c>
      <c r="G45" s="0" t="n">
        <f aca="false">Raw_Data!AO45</f>
        <v>4</v>
      </c>
      <c r="H45" s="0" t="n">
        <f aca="false">SUM(B45:G45)</f>
        <v>23</v>
      </c>
      <c r="I45" s="0" t="n">
        <f aca="false">H45-B45</f>
        <v>19</v>
      </c>
      <c r="J45" s="0" t="n">
        <f aca="false">H45-C45</f>
        <v>20</v>
      </c>
      <c r="K45" s="0" t="n">
        <f aca="false">H45-D45</f>
        <v>19</v>
      </c>
      <c r="L45" s="0" t="n">
        <f aca="false">H45-E45</f>
        <v>20</v>
      </c>
      <c r="M45" s="0" t="n">
        <f aca="false">H45-F45</f>
        <v>18</v>
      </c>
      <c r="N45" s="0" t="n">
        <f aca="false">H45-G45</f>
        <v>19</v>
      </c>
      <c r="O45" s="0" t="n">
        <f aca="false">B45+D45+F45</f>
        <v>13</v>
      </c>
      <c r="P45" s="0" t="n">
        <f aca="false">C45+E45+G45</f>
        <v>10</v>
      </c>
    </row>
    <row r="46" customFormat="false" ht="15" hidden="false" customHeight="false" outlineLevel="0" collapsed="false">
      <c r="A46" s="0" t="n">
        <v>46</v>
      </c>
      <c r="B46" s="0" t="n">
        <f aca="false">Raw_Data!AJ46</f>
        <v>4</v>
      </c>
      <c r="C46" s="0" t="n">
        <f aca="false">Raw_Data!AK46</f>
        <v>4</v>
      </c>
      <c r="D46" s="0" t="n">
        <f aca="false">Raw_Data!AL46</f>
        <v>3</v>
      </c>
      <c r="E46" s="0" t="n">
        <f aca="false">Raw_Data!AM46</f>
        <v>2</v>
      </c>
      <c r="F46" s="0" t="n">
        <f aca="false">Raw_Data!AN46</f>
        <v>3</v>
      </c>
      <c r="G46" s="0" t="n">
        <f aca="false">Raw_Data!AO46</f>
        <v>3</v>
      </c>
      <c r="H46" s="0" t="n">
        <f aca="false">SUM(B46:G46)</f>
        <v>19</v>
      </c>
      <c r="I46" s="0" t="n">
        <f aca="false">H46-B46</f>
        <v>15</v>
      </c>
      <c r="J46" s="0" t="n">
        <f aca="false">H46-C46</f>
        <v>15</v>
      </c>
      <c r="K46" s="0" t="n">
        <f aca="false">H46-D46</f>
        <v>16</v>
      </c>
      <c r="L46" s="0" t="n">
        <f aca="false">H46-E46</f>
        <v>17</v>
      </c>
      <c r="M46" s="0" t="n">
        <f aca="false">H46-F46</f>
        <v>16</v>
      </c>
      <c r="N46" s="0" t="n">
        <f aca="false">H46-G46</f>
        <v>16</v>
      </c>
      <c r="O46" s="0" t="n">
        <f aca="false">B46+D46+F46</f>
        <v>10</v>
      </c>
      <c r="P46" s="0" t="n">
        <f aca="false">C46+E46+G46</f>
        <v>9</v>
      </c>
    </row>
    <row r="47" customFormat="false" ht="15" hidden="false" customHeight="false" outlineLevel="0" collapsed="false">
      <c r="A47" s="0" t="n">
        <v>47</v>
      </c>
      <c r="B47" s="0" t="n">
        <f aca="false">Raw_Data!AJ47</f>
        <v>4</v>
      </c>
      <c r="C47" s="0" t="n">
        <f aca="false">Raw_Data!AK47</f>
        <v>4</v>
      </c>
      <c r="D47" s="0" t="n">
        <f aca="false">Raw_Data!AL47</f>
        <v>4</v>
      </c>
      <c r="E47" s="0" t="n">
        <f aca="false">Raw_Data!AM47</f>
        <v>3</v>
      </c>
      <c r="F47" s="0" t="n">
        <f aca="false">Raw_Data!AN47</f>
        <v>3</v>
      </c>
      <c r="G47" s="0" t="n">
        <f aca="false">Raw_Data!AO47</f>
        <v>2</v>
      </c>
      <c r="H47" s="0" t="n">
        <f aca="false">SUM(B47:G47)</f>
        <v>20</v>
      </c>
      <c r="I47" s="0" t="n">
        <f aca="false">H47-B47</f>
        <v>16</v>
      </c>
      <c r="J47" s="0" t="n">
        <f aca="false">H47-C47</f>
        <v>16</v>
      </c>
      <c r="K47" s="0" t="n">
        <f aca="false">H47-D47</f>
        <v>16</v>
      </c>
      <c r="L47" s="0" t="n">
        <f aca="false">H47-E47</f>
        <v>17</v>
      </c>
      <c r="M47" s="0" t="n">
        <f aca="false">H47-F47</f>
        <v>17</v>
      </c>
      <c r="N47" s="0" t="n">
        <f aca="false">H47-G47</f>
        <v>18</v>
      </c>
      <c r="O47" s="0" t="n">
        <f aca="false">B47+D47+F47</f>
        <v>11</v>
      </c>
      <c r="P47" s="0" t="n">
        <f aca="false">C47+E47+G47</f>
        <v>9</v>
      </c>
    </row>
    <row r="48" customFormat="false" ht="15" hidden="false" customHeight="false" outlineLevel="0" collapsed="false">
      <c r="A48" s="0" t="n">
        <v>48</v>
      </c>
      <c r="B48" s="0" t="n">
        <f aca="false">Raw_Data!AJ48</f>
        <v>4</v>
      </c>
      <c r="C48" s="0" t="n">
        <f aca="false">Raw_Data!AK48</f>
        <v>4</v>
      </c>
      <c r="D48" s="0" t="n">
        <f aca="false">Raw_Data!AL48</f>
        <v>5</v>
      </c>
      <c r="E48" s="0" t="n">
        <f aca="false">Raw_Data!AM48</f>
        <v>2</v>
      </c>
      <c r="F48" s="0" t="n">
        <f aca="false">Raw_Data!AN48</f>
        <v>2</v>
      </c>
      <c r="G48" s="0" t="n">
        <f aca="false">Raw_Data!AO48</f>
        <v>2</v>
      </c>
      <c r="H48" s="0" t="n">
        <f aca="false">SUM(B48:G48)</f>
        <v>19</v>
      </c>
      <c r="I48" s="0" t="n">
        <f aca="false">H48-B48</f>
        <v>15</v>
      </c>
      <c r="J48" s="0" t="n">
        <f aca="false">H48-C48</f>
        <v>15</v>
      </c>
      <c r="K48" s="0" t="n">
        <f aca="false">H48-D48</f>
        <v>14</v>
      </c>
      <c r="L48" s="0" t="n">
        <f aca="false">H48-E48</f>
        <v>17</v>
      </c>
      <c r="M48" s="0" t="n">
        <f aca="false">H48-F48</f>
        <v>17</v>
      </c>
      <c r="N48" s="0" t="n">
        <f aca="false">H48-G48</f>
        <v>17</v>
      </c>
      <c r="O48" s="0" t="n">
        <f aca="false">B48+D48+F48</f>
        <v>11</v>
      </c>
      <c r="P48" s="0" t="n">
        <f aca="false">C48+E48+G48</f>
        <v>8</v>
      </c>
    </row>
    <row r="49" customFormat="false" ht="15" hidden="false" customHeight="false" outlineLevel="0" collapsed="false">
      <c r="A49" s="0" t="n">
        <v>49</v>
      </c>
      <c r="B49" s="0" t="n">
        <f aca="false">Raw_Data!AJ49</f>
        <v>4</v>
      </c>
      <c r="C49" s="0" t="n">
        <f aca="false">Raw_Data!AK49</f>
        <v>3</v>
      </c>
      <c r="D49" s="0" t="n">
        <f aca="false">Raw_Data!AL49</f>
        <v>4</v>
      </c>
      <c r="E49" s="0" t="n">
        <f aca="false">Raw_Data!AM49</f>
        <v>4</v>
      </c>
      <c r="F49" s="0" t="n">
        <f aca="false">Raw_Data!AN49</f>
        <v>4</v>
      </c>
      <c r="G49" s="0" t="n">
        <f aca="false">Raw_Data!AO49</f>
        <v>4</v>
      </c>
      <c r="H49" s="0" t="n">
        <f aca="false">SUM(B49:G49)</f>
        <v>23</v>
      </c>
      <c r="I49" s="0" t="n">
        <f aca="false">H49-B49</f>
        <v>19</v>
      </c>
      <c r="J49" s="0" t="n">
        <f aca="false">H49-C49</f>
        <v>20</v>
      </c>
      <c r="K49" s="0" t="n">
        <f aca="false">H49-D49</f>
        <v>19</v>
      </c>
      <c r="L49" s="0" t="n">
        <f aca="false">H49-E49</f>
        <v>19</v>
      </c>
      <c r="M49" s="0" t="n">
        <f aca="false">H49-F49</f>
        <v>19</v>
      </c>
      <c r="N49" s="0" t="n">
        <f aca="false">H49-G49</f>
        <v>19</v>
      </c>
      <c r="O49" s="0" t="n">
        <f aca="false">B49+D49+F49</f>
        <v>12</v>
      </c>
      <c r="P49" s="0" t="n">
        <f aca="false">C49+E49+G49</f>
        <v>11</v>
      </c>
    </row>
    <row r="50" customFormat="false" ht="15" hidden="false" customHeight="false" outlineLevel="0" collapsed="false">
      <c r="A50" s="0" t="n">
        <v>50</v>
      </c>
      <c r="B50" s="0" t="n">
        <f aca="false">Raw_Data!AJ50</f>
        <v>4</v>
      </c>
      <c r="C50" s="0" t="n">
        <f aca="false">Raw_Data!AK50</f>
        <v>2</v>
      </c>
      <c r="D50" s="0" t="n">
        <f aca="false">Raw_Data!AL50</f>
        <v>3</v>
      </c>
      <c r="E50" s="0" t="n">
        <f aca="false">Raw_Data!AM50</f>
        <v>3</v>
      </c>
      <c r="F50" s="0" t="n">
        <f aca="false">Raw_Data!AN50</f>
        <v>2</v>
      </c>
      <c r="G50" s="0" t="n">
        <f aca="false">Raw_Data!AO50</f>
        <v>3</v>
      </c>
      <c r="H50" s="0" t="n">
        <f aca="false">SUM(B50:G50)</f>
        <v>17</v>
      </c>
      <c r="I50" s="0" t="n">
        <f aca="false">H50-B50</f>
        <v>13</v>
      </c>
      <c r="J50" s="0" t="n">
        <f aca="false">H50-C50</f>
        <v>15</v>
      </c>
      <c r="K50" s="0" t="n">
        <f aca="false">H50-D50</f>
        <v>14</v>
      </c>
      <c r="L50" s="0" t="n">
        <f aca="false">H50-E50</f>
        <v>14</v>
      </c>
      <c r="M50" s="0" t="n">
        <f aca="false">H50-F50</f>
        <v>15</v>
      </c>
      <c r="N50" s="0" t="n">
        <f aca="false">H50-G50</f>
        <v>14</v>
      </c>
      <c r="O50" s="0" t="n">
        <f aca="false">B50+D50+F50</f>
        <v>9</v>
      </c>
      <c r="P50" s="0" t="n">
        <f aca="false">C50+E50+G50</f>
        <v>8</v>
      </c>
    </row>
    <row r="51" customFormat="false" ht="15" hidden="false" customHeight="false" outlineLevel="0" collapsed="false">
      <c r="A51" s="0" t="n">
        <v>51</v>
      </c>
      <c r="B51" s="0" t="n">
        <f aca="false">Raw_Data!AJ51</f>
        <v>5</v>
      </c>
      <c r="C51" s="0" t="n">
        <f aca="false">Raw_Data!AK51</f>
        <v>2</v>
      </c>
      <c r="D51" s="0" t="n">
        <f aca="false">Raw_Data!AL51</f>
        <v>5</v>
      </c>
      <c r="E51" s="0" t="n">
        <f aca="false">Raw_Data!AM51</f>
        <v>3</v>
      </c>
      <c r="F51" s="0" t="n">
        <f aca="false">Raw_Data!AN51</f>
        <v>3</v>
      </c>
      <c r="G51" s="0" t="n">
        <f aca="false">Raw_Data!AO51</f>
        <v>3</v>
      </c>
      <c r="H51" s="0" t="n">
        <f aca="false">SUM(B51:G51)</f>
        <v>21</v>
      </c>
      <c r="I51" s="0" t="n">
        <f aca="false">H51-B51</f>
        <v>16</v>
      </c>
      <c r="J51" s="0" t="n">
        <f aca="false">H51-C51</f>
        <v>19</v>
      </c>
      <c r="K51" s="0" t="n">
        <f aca="false">H51-D51</f>
        <v>16</v>
      </c>
      <c r="L51" s="0" t="n">
        <f aca="false">H51-E51</f>
        <v>18</v>
      </c>
      <c r="M51" s="0" t="n">
        <f aca="false">H51-F51</f>
        <v>18</v>
      </c>
      <c r="N51" s="0" t="n">
        <f aca="false">H51-G51</f>
        <v>18</v>
      </c>
      <c r="O51" s="0" t="n">
        <f aca="false">B51+D51+F51</f>
        <v>13</v>
      </c>
      <c r="P51" s="0" t="n">
        <f aca="false">C51+E51+G51</f>
        <v>8</v>
      </c>
    </row>
    <row r="52" customFormat="false" ht="15" hidden="false" customHeight="false" outlineLevel="0" collapsed="false">
      <c r="A52" s="0" t="n">
        <v>52</v>
      </c>
      <c r="B52" s="0" t="n">
        <f aca="false">Raw_Data!AJ52</f>
        <v>2</v>
      </c>
      <c r="C52" s="0" t="n">
        <f aca="false">Raw_Data!AK52</f>
        <v>1</v>
      </c>
      <c r="D52" s="0" t="n">
        <f aca="false">Raw_Data!AL52</f>
        <v>4</v>
      </c>
      <c r="E52" s="0" t="n">
        <f aca="false">Raw_Data!AM52</f>
        <v>2</v>
      </c>
      <c r="F52" s="0" t="n">
        <f aca="false">Raw_Data!AN52</f>
        <v>2</v>
      </c>
      <c r="G52" s="0" t="n">
        <f aca="false">Raw_Data!AO52</f>
        <v>1</v>
      </c>
      <c r="H52" s="0" t="n">
        <f aca="false">SUM(B52:G52)</f>
        <v>12</v>
      </c>
      <c r="I52" s="0" t="n">
        <f aca="false">H52-B52</f>
        <v>10</v>
      </c>
      <c r="J52" s="0" t="n">
        <f aca="false">H52-C52</f>
        <v>11</v>
      </c>
      <c r="K52" s="0" t="n">
        <f aca="false">H52-D52</f>
        <v>8</v>
      </c>
      <c r="L52" s="0" t="n">
        <f aca="false">H52-E52</f>
        <v>10</v>
      </c>
      <c r="M52" s="0" t="n">
        <f aca="false">H52-F52</f>
        <v>10</v>
      </c>
      <c r="N52" s="0" t="n">
        <f aca="false">H52-G52</f>
        <v>11</v>
      </c>
      <c r="O52" s="0" t="n">
        <f aca="false">B52+D52+F52</f>
        <v>8</v>
      </c>
      <c r="P52" s="0" t="n">
        <f aca="false">C52+E52+G52</f>
        <v>4</v>
      </c>
    </row>
    <row r="53" customFormat="false" ht="15" hidden="false" customHeight="false" outlineLevel="0" collapsed="false">
      <c r="A53" s="0" t="n">
        <v>53</v>
      </c>
      <c r="B53" s="0" t="n">
        <f aca="false">Raw_Data!AJ53</f>
        <v>5</v>
      </c>
      <c r="C53" s="0" t="n">
        <f aca="false">Raw_Data!AK53</f>
        <v>2</v>
      </c>
      <c r="D53" s="0" t="n">
        <f aca="false">Raw_Data!AL53</f>
        <v>5</v>
      </c>
      <c r="E53" s="0" t="n">
        <f aca="false">Raw_Data!AM53</f>
        <v>4</v>
      </c>
      <c r="F53" s="0" t="n">
        <f aca="false">Raw_Data!AN53</f>
        <v>2</v>
      </c>
      <c r="G53" s="0" t="n">
        <f aca="false">Raw_Data!AO53</f>
        <v>3</v>
      </c>
      <c r="H53" s="0" t="n">
        <f aca="false">SUM(B53:G53)</f>
        <v>21</v>
      </c>
      <c r="I53" s="0" t="n">
        <f aca="false">H53-B53</f>
        <v>16</v>
      </c>
      <c r="J53" s="0" t="n">
        <f aca="false">H53-C53</f>
        <v>19</v>
      </c>
      <c r="K53" s="0" t="n">
        <f aca="false">H53-D53</f>
        <v>16</v>
      </c>
      <c r="L53" s="0" t="n">
        <f aca="false">H53-E53</f>
        <v>17</v>
      </c>
      <c r="M53" s="0" t="n">
        <f aca="false">H53-F53</f>
        <v>19</v>
      </c>
      <c r="N53" s="0" t="n">
        <f aca="false">H53-G53</f>
        <v>18</v>
      </c>
      <c r="O53" s="0" t="n">
        <f aca="false">B53+D53+F53</f>
        <v>12</v>
      </c>
      <c r="P53" s="0" t="n">
        <f aca="false">C53+E53+G53</f>
        <v>9</v>
      </c>
    </row>
    <row r="54" customFormat="false" ht="15" hidden="false" customHeight="false" outlineLevel="0" collapsed="false">
      <c r="A54" s="0" t="n">
        <v>54</v>
      </c>
      <c r="B54" s="0" t="n">
        <f aca="false">Raw_Data!AJ54</f>
        <v>4</v>
      </c>
      <c r="C54" s="0" t="n">
        <f aca="false">Raw_Data!AK54</f>
        <v>2</v>
      </c>
      <c r="D54" s="0" t="n">
        <f aca="false">Raw_Data!AL54</f>
        <v>4</v>
      </c>
      <c r="E54" s="0" t="n">
        <f aca="false">Raw_Data!AM54</f>
        <v>3</v>
      </c>
      <c r="F54" s="0" t="n">
        <f aca="false">Raw_Data!AN54</f>
        <v>3</v>
      </c>
      <c r="G54" s="0" t="n">
        <f aca="false">Raw_Data!AO54</f>
        <v>3</v>
      </c>
      <c r="H54" s="0" t="n">
        <f aca="false">SUM(B54:G54)</f>
        <v>19</v>
      </c>
      <c r="I54" s="0" t="n">
        <f aca="false">H54-B54</f>
        <v>15</v>
      </c>
      <c r="J54" s="0" t="n">
        <f aca="false">H54-C54</f>
        <v>17</v>
      </c>
      <c r="K54" s="0" t="n">
        <f aca="false">H54-D54</f>
        <v>15</v>
      </c>
      <c r="L54" s="0" t="n">
        <f aca="false">H54-E54</f>
        <v>16</v>
      </c>
      <c r="M54" s="0" t="n">
        <f aca="false">H54-F54</f>
        <v>16</v>
      </c>
      <c r="N54" s="0" t="n">
        <f aca="false">H54-G54</f>
        <v>16</v>
      </c>
      <c r="O54" s="0" t="n">
        <f aca="false">B54+D54+F54</f>
        <v>11</v>
      </c>
      <c r="P54" s="0" t="n">
        <f aca="false">C54+E54+G54</f>
        <v>8</v>
      </c>
    </row>
    <row r="55" customFormat="false" ht="15" hidden="false" customHeight="false" outlineLevel="0" collapsed="false">
      <c r="A55" s="0" t="n">
        <v>55</v>
      </c>
      <c r="B55" s="0" t="n">
        <f aca="false">Raw_Data!AJ55</f>
        <v>4</v>
      </c>
      <c r="C55" s="0" t="n">
        <f aca="false">Raw_Data!AK55</f>
        <v>3</v>
      </c>
      <c r="D55" s="0" t="n">
        <f aca="false">Raw_Data!AL55</f>
        <v>4</v>
      </c>
      <c r="E55" s="0" t="n">
        <f aca="false">Raw_Data!AM55</f>
        <v>4</v>
      </c>
      <c r="F55" s="0" t="n">
        <f aca="false">Raw_Data!AN55</f>
        <v>4</v>
      </c>
      <c r="G55" s="0" t="n">
        <f aca="false">Raw_Data!AO55</f>
        <v>4</v>
      </c>
      <c r="H55" s="0" t="n">
        <f aca="false">SUM(B55:G55)</f>
        <v>23</v>
      </c>
      <c r="I55" s="0" t="n">
        <f aca="false">H55-B55</f>
        <v>19</v>
      </c>
      <c r="J55" s="0" t="n">
        <f aca="false">H55-C55</f>
        <v>20</v>
      </c>
      <c r="K55" s="0" t="n">
        <f aca="false">H55-D55</f>
        <v>19</v>
      </c>
      <c r="L55" s="0" t="n">
        <f aca="false">H55-E55</f>
        <v>19</v>
      </c>
      <c r="M55" s="0" t="n">
        <f aca="false">H55-F55</f>
        <v>19</v>
      </c>
      <c r="N55" s="0" t="n">
        <f aca="false">H55-G55</f>
        <v>19</v>
      </c>
      <c r="O55" s="0" t="n">
        <f aca="false">B55+D55+F55</f>
        <v>12</v>
      </c>
      <c r="P55" s="0" t="n">
        <f aca="false">C55+E55+G55</f>
        <v>11</v>
      </c>
    </row>
    <row r="56" customFormat="false" ht="15" hidden="false" customHeight="false" outlineLevel="0" collapsed="false">
      <c r="A56" s="0" t="n">
        <v>56</v>
      </c>
      <c r="B56" s="0" t="n">
        <f aca="false">Raw_Data!AJ56</f>
        <v>4</v>
      </c>
      <c r="C56" s="0" t="n">
        <f aca="false">Raw_Data!AK56</f>
        <v>4</v>
      </c>
      <c r="D56" s="0" t="n">
        <f aca="false">Raw_Data!AL56</f>
        <v>4</v>
      </c>
      <c r="E56" s="0" t="n">
        <f aca="false">Raw_Data!AM56</f>
        <v>3</v>
      </c>
      <c r="F56" s="0" t="n">
        <f aca="false">Raw_Data!AN56</f>
        <v>2</v>
      </c>
      <c r="G56" s="0" t="n">
        <f aca="false">Raw_Data!AO56</f>
        <v>3</v>
      </c>
      <c r="H56" s="0" t="n">
        <f aca="false">SUM(B56:G56)</f>
        <v>20</v>
      </c>
      <c r="I56" s="0" t="n">
        <f aca="false">H56-B56</f>
        <v>16</v>
      </c>
      <c r="J56" s="0" t="n">
        <f aca="false">H56-C56</f>
        <v>16</v>
      </c>
      <c r="K56" s="0" t="n">
        <f aca="false">H56-D56</f>
        <v>16</v>
      </c>
      <c r="L56" s="0" t="n">
        <f aca="false">H56-E56</f>
        <v>17</v>
      </c>
      <c r="M56" s="0" t="n">
        <f aca="false">H56-F56</f>
        <v>18</v>
      </c>
      <c r="N56" s="0" t="n">
        <f aca="false">H56-G56</f>
        <v>17</v>
      </c>
      <c r="O56" s="0" t="n">
        <f aca="false">B56+D56+F56</f>
        <v>10</v>
      </c>
      <c r="P56" s="0" t="n">
        <f aca="false">C56+E56+G56</f>
        <v>10</v>
      </c>
    </row>
    <row r="57" customFormat="false" ht="15" hidden="false" customHeight="false" outlineLevel="0" collapsed="false">
      <c r="A57" s="0" t="n">
        <v>57</v>
      </c>
      <c r="B57" s="0" t="n">
        <f aca="false">Raw_Data!AJ57</f>
        <v>4</v>
      </c>
      <c r="C57" s="0" t="n">
        <f aca="false">Raw_Data!AK57</f>
        <v>3</v>
      </c>
      <c r="D57" s="0" t="n">
        <f aca="false">Raw_Data!AL57</f>
        <v>5</v>
      </c>
      <c r="E57" s="0" t="n">
        <f aca="false">Raw_Data!AM57</f>
        <v>4</v>
      </c>
      <c r="F57" s="0" t="n">
        <f aca="false">Raw_Data!AN57</f>
        <v>2</v>
      </c>
      <c r="G57" s="0" t="n">
        <f aca="false">Raw_Data!AO57</f>
        <v>3</v>
      </c>
      <c r="H57" s="0" t="n">
        <f aca="false">SUM(B57:G57)</f>
        <v>21</v>
      </c>
      <c r="I57" s="0" t="n">
        <f aca="false">H57-B57</f>
        <v>17</v>
      </c>
      <c r="J57" s="0" t="n">
        <f aca="false">H57-C57</f>
        <v>18</v>
      </c>
      <c r="K57" s="0" t="n">
        <f aca="false">H57-D57</f>
        <v>16</v>
      </c>
      <c r="L57" s="0" t="n">
        <f aca="false">H57-E57</f>
        <v>17</v>
      </c>
      <c r="M57" s="0" t="n">
        <f aca="false">H57-F57</f>
        <v>19</v>
      </c>
      <c r="N57" s="0" t="n">
        <f aca="false">H57-G57</f>
        <v>18</v>
      </c>
      <c r="O57" s="0" t="n">
        <f aca="false">B57+D57+F57</f>
        <v>11</v>
      </c>
      <c r="P57" s="0" t="n">
        <f aca="false">C57+E57+G57</f>
        <v>10</v>
      </c>
    </row>
    <row r="58" customFormat="false" ht="15" hidden="false" customHeight="false" outlineLevel="0" collapsed="false">
      <c r="A58" s="0" t="n">
        <v>58</v>
      </c>
      <c r="B58" s="0" t="n">
        <f aca="false">Raw_Data!AJ58</f>
        <v>4</v>
      </c>
      <c r="C58" s="0" t="n">
        <f aca="false">Raw_Data!AK58</f>
        <v>1</v>
      </c>
      <c r="D58" s="0" t="n">
        <f aca="false">Raw_Data!AL58</f>
        <v>5</v>
      </c>
      <c r="E58" s="0" t="n">
        <f aca="false">Raw_Data!AM58</f>
        <v>3</v>
      </c>
      <c r="F58" s="0" t="n">
        <f aca="false">Raw_Data!AN58</f>
        <v>3</v>
      </c>
      <c r="G58" s="0" t="n">
        <f aca="false">Raw_Data!AO58</f>
        <v>5</v>
      </c>
      <c r="H58" s="0" t="n">
        <f aca="false">SUM(B58:G58)</f>
        <v>21</v>
      </c>
      <c r="I58" s="0" t="n">
        <f aca="false">H58-B58</f>
        <v>17</v>
      </c>
      <c r="J58" s="0" t="n">
        <f aca="false">H58-C58</f>
        <v>20</v>
      </c>
      <c r="K58" s="0" t="n">
        <f aca="false">H58-D58</f>
        <v>16</v>
      </c>
      <c r="L58" s="0" t="n">
        <f aca="false">H58-E58</f>
        <v>18</v>
      </c>
      <c r="M58" s="0" t="n">
        <f aca="false">H58-F58</f>
        <v>18</v>
      </c>
      <c r="N58" s="0" t="n">
        <f aca="false">H58-G58</f>
        <v>16</v>
      </c>
      <c r="O58" s="0" t="n">
        <f aca="false">B58+D58+F58</f>
        <v>12</v>
      </c>
      <c r="P58" s="0" t="n">
        <f aca="false">C58+E58+G58</f>
        <v>9</v>
      </c>
    </row>
    <row r="59" customFormat="false" ht="15" hidden="false" customHeight="false" outlineLevel="0" collapsed="false">
      <c r="A59" s="0" t="n">
        <v>59</v>
      </c>
      <c r="B59" s="0" t="n">
        <f aca="false">Raw_Data!AJ59</f>
        <v>5</v>
      </c>
      <c r="C59" s="0" t="n">
        <f aca="false">Raw_Data!AK59</f>
        <v>5</v>
      </c>
      <c r="D59" s="0" t="n">
        <f aca="false">Raw_Data!AL59</f>
        <v>4</v>
      </c>
      <c r="E59" s="0" t="n">
        <f aca="false">Raw_Data!AM59</f>
        <v>3</v>
      </c>
      <c r="F59" s="0" t="n">
        <f aca="false">Raw_Data!AN59</f>
        <v>2</v>
      </c>
      <c r="G59" s="0" t="n">
        <f aca="false">Raw_Data!AO59</f>
        <v>4</v>
      </c>
      <c r="H59" s="0" t="n">
        <f aca="false">SUM(B59:G59)</f>
        <v>23</v>
      </c>
      <c r="I59" s="0" t="n">
        <f aca="false">H59-B59</f>
        <v>18</v>
      </c>
      <c r="J59" s="0" t="n">
        <f aca="false">H59-C59</f>
        <v>18</v>
      </c>
      <c r="K59" s="0" t="n">
        <f aca="false">H59-D59</f>
        <v>19</v>
      </c>
      <c r="L59" s="0" t="n">
        <f aca="false">H59-E59</f>
        <v>20</v>
      </c>
      <c r="M59" s="0" t="n">
        <f aca="false">H59-F59</f>
        <v>21</v>
      </c>
      <c r="N59" s="0" t="n">
        <f aca="false">H59-G59</f>
        <v>19</v>
      </c>
      <c r="O59" s="0" t="n">
        <f aca="false">B59+D59+F59</f>
        <v>11</v>
      </c>
      <c r="P59" s="0" t="n">
        <f aca="false">C59+E59+G59</f>
        <v>12</v>
      </c>
    </row>
    <row r="60" customFormat="false" ht="15" hidden="false" customHeight="false" outlineLevel="0" collapsed="false">
      <c r="A60" s="0" t="n">
        <v>60</v>
      </c>
      <c r="B60" s="0" t="n">
        <f aca="false">Raw_Data!AJ60</f>
        <v>5</v>
      </c>
      <c r="C60" s="0" t="n">
        <f aca="false">Raw_Data!AK60</f>
        <v>4</v>
      </c>
      <c r="D60" s="0" t="n">
        <f aca="false">Raw_Data!AL60</f>
        <v>5</v>
      </c>
      <c r="E60" s="0" t="n">
        <f aca="false">Raw_Data!AM60</f>
        <v>5</v>
      </c>
      <c r="F60" s="0" t="n">
        <f aca="false">Raw_Data!AN60</f>
        <v>2</v>
      </c>
      <c r="G60" s="0" t="n">
        <f aca="false">Raw_Data!AO60</f>
        <v>4</v>
      </c>
      <c r="H60" s="0" t="n">
        <f aca="false">SUM(B60:G60)</f>
        <v>25</v>
      </c>
      <c r="I60" s="0" t="n">
        <f aca="false">H60-B60</f>
        <v>20</v>
      </c>
      <c r="J60" s="0" t="n">
        <f aca="false">H60-C60</f>
        <v>21</v>
      </c>
      <c r="K60" s="0" t="n">
        <f aca="false">H60-D60</f>
        <v>20</v>
      </c>
      <c r="L60" s="0" t="n">
        <f aca="false">H60-E60</f>
        <v>20</v>
      </c>
      <c r="M60" s="0" t="n">
        <f aca="false">H60-F60</f>
        <v>23</v>
      </c>
      <c r="N60" s="0" t="n">
        <f aca="false">H60-G60</f>
        <v>21</v>
      </c>
      <c r="O60" s="0" t="n">
        <f aca="false">B60+D60+F60</f>
        <v>12</v>
      </c>
      <c r="P60" s="0" t="n">
        <f aca="false">C60+E60+G60</f>
        <v>13</v>
      </c>
    </row>
    <row r="61" customFormat="false" ht="15" hidden="false" customHeight="false" outlineLevel="0" collapsed="false">
      <c r="A61" s="0" t="n">
        <v>61</v>
      </c>
      <c r="B61" s="0" t="n">
        <f aca="false">Raw_Data!AJ61</f>
        <v>5</v>
      </c>
      <c r="C61" s="0" t="n">
        <f aca="false">Raw_Data!AK61</f>
        <v>3</v>
      </c>
      <c r="D61" s="0" t="n">
        <f aca="false">Raw_Data!AL61</f>
        <v>5</v>
      </c>
      <c r="E61" s="0" t="n">
        <f aca="false">Raw_Data!AM61</f>
        <v>5</v>
      </c>
      <c r="F61" s="0" t="n">
        <f aca="false">Raw_Data!AN61</f>
        <v>3</v>
      </c>
      <c r="G61" s="0" t="n">
        <f aca="false">Raw_Data!AO61</f>
        <v>3</v>
      </c>
      <c r="H61" s="0" t="n">
        <f aca="false">SUM(B61:G61)</f>
        <v>24</v>
      </c>
      <c r="I61" s="0" t="n">
        <f aca="false">H61-B61</f>
        <v>19</v>
      </c>
      <c r="J61" s="0" t="n">
        <f aca="false">H61-C61</f>
        <v>21</v>
      </c>
      <c r="K61" s="0" t="n">
        <f aca="false">H61-D61</f>
        <v>19</v>
      </c>
      <c r="L61" s="0" t="n">
        <f aca="false">H61-E61</f>
        <v>19</v>
      </c>
      <c r="M61" s="0" t="n">
        <f aca="false">H61-F61</f>
        <v>21</v>
      </c>
      <c r="N61" s="0" t="n">
        <f aca="false">H61-G61</f>
        <v>21</v>
      </c>
      <c r="O61" s="0" t="n">
        <f aca="false">B61+D61+F61</f>
        <v>13</v>
      </c>
      <c r="P61" s="0" t="n">
        <f aca="false">C61+E61+G61</f>
        <v>11</v>
      </c>
    </row>
    <row r="62" customFormat="false" ht="15" hidden="false" customHeight="false" outlineLevel="0" collapsed="false">
      <c r="A62" s="0" t="n">
        <v>62</v>
      </c>
      <c r="B62" s="0" t="n">
        <f aca="false">Raw_Data!AJ62</f>
        <v>3</v>
      </c>
      <c r="C62" s="0" t="n">
        <f aca="false">Raw_Data!AK62</f>
        <v>3</v>
      </c>
      <c r="D62" s="0" t="n">
        <f aca="false">Raw_Data!AL62</f>
        <v>4</v>
      </c>
      <c r="E62" s="0" t="n">
        <f aca="false">Raw_Data!AM62</f>
        <v>3</v>
      </c>
      <c r="F62" s="0" t="n">
        <f aca="false">Raw_Data!AN62</f>
        <v>3</v>
      </c>
      <c r="G62" s="0" t="n">
        <f aca="false">Raw_Data!AO62</f>
        <v>4</v>
      </c>
      <c r="H62" s="0" t="n">
        <f aca="false">SUM(B62:G62)</f>
        <v>20</v>
      </c>
      <c r="I62" s="0" t="n">
        <f aca="false">H62-B62</f>
        <v>17</v>
      </c>
      <c r="J62" s="0" t="n">
        <f aca="false">H62-C62</f>
        <v>17</v>
      </c>
      <c r="K62" s="0" t="n">
        <f aca="false">H62-D62</f>
        <v>16</v>
      </c>
      <c r="L62" s="0" t="n">
        <f aca="false">H62-E62</f>
        <v>17</v>
      </c>
      <c r="M62" s="0" t="n">
        <f aca="false">H62-F62</f>
        <v>17</v>
      </c>
      <c r="N62" s="0" t="n">
        <f aca="false">H62-G62</f>
        <v>16</v>
      </c>
      <c r="O62" s="0" t="n">
        <f aca="false">B62+D62+F62</f>
        <v>10</v>
      </c>
      <c r="P62" s="0" t="n">
        <f aca="false">C62+E62+G62</f>
        <v>10</v>
      </c>
    </row>
    <row r="63" customFormat="false" ht="15" hidden="false" customHeight="false" outlineLevel="0" collapsed="false">
      <c r="A63" s="0" t="n">
        <v>63</v>
      </c>
      <c r="B63" s="0" t="n">
        <f aca="false">Raw_Data!AJ63</f>
        <v>4</v>
      </c>
      <c r="C63" s="0" t="n">
        <f aca="false">Raw_Data!AK63</f>
        <v>4</v>
      </c>
      <c r="D63" s="0" t="n">
        <f aca="false">Raw_Data!AL63</f>
        <v>3</v>
      </c>
      <c r="E63" s="0" t="n">
        <f aca="false">Raw_Data!AM63</f>
        <v>2</v>
      </c>
      <c r="F63" s="0" t="n">
        <f aca="false">Raw_Data!AN63</f>
        <v>2</v>
      </c>
      <c r="G63" s="0" t="n">
        <f aca="false">Raw_Data!AO63</f>
        <v>2</v>
      </c>
      <c r="H63" s="0" t="n">
        <f aca="false">SUM(B63:G63)</f>
        <v>17</v>
      </c>
      <c r="I63" s="0" t="n">
        <f aca="false">H63-B63</f>
        <v>13</v>
      </c>
      <c r="J63" s="0" t="n">
        <f aca="false">H63-C63</f>
        <v>13</v>
      </c>
      <c r="K63" s="0" t="n">
        <f aca="false">H63-D63</f>
        <v>14</v>
      </c>
      <c r="L63" s="0" t="n">
        <f aca="false">H63-E63</f>
        <v>15</v>
      </c>
      <c r="M63" s="0" t="n">
        <f aca="false">H63-F63</f>
        <v>15</v>
      </c>
      <c r="N63" s="0" t="n">
        <f aca="false">H63-G63</f>
        <v>15</v>
      </c>
      <c r="O63" s="0" t="n">
        <f aca="false">B63+D63+F63</f>
        <v>9</v>
      </c>
      <c r="P63" s="0" t="n">
        <f aca="false">C63+E63+G63</f>
        <v>8</v>
      </c>
    </row>
    <row r="64" customFormat="false" ht="15" hidden="false" customHeight="false" outlineLevel="0" collapsed="false">
      <c r="A64" s="0" t="n">
        <v>64</v>
      </c>
      <c r="B64" s="0" t="n">
        <f aca="false">Raw_Data!AJ64</f>
        <v>5</v>
      </c>
      <c r="C64" s="0" t="n">
        <f aca="false">Raw_Data!AK64</f>
        <v>3</v>
      </c>
      <c r="D64" s="0" t="n">
        <f aca="false">Raw_Data!AL64</f>
        <v>4</v>
      </c>
      <c r="E64" s="0" t="n">
        <f aca="false">Raw_Data!AM64</f>
        <v>4</v>
      </c>
      <c r="F64" s="0" t="n">
        <f aca="false">Raw_Data!AN64</f>
        <v>4</v>
      </c>
      <c r="G64" s="0" t="n">
        <f aca="false">Raw_Data!AO64</f>
        <v>4</v>
      </c>
      <c r="H64" s="0" t="n">
        <f aca="false">SUM(B64:G64)</f>
        <v>24</v>
      </c>
      <c r="I64" s="0" t="n">
        <f aca="false">H64-B64</f>
        <v>19</v>
      </c>
      <c r="J64" s="0" t="n">
        <f aca="false">H64-C64</f>
        <v>21</v>
      </c>
      <c r="K64" s="0" t="n">
        <f aca="false">H64-D64</f>
        <v>20</v>
      </c>
      <c r="L64" s="0" t="n">
        <f aca="false">H64-E64</f>
        <v>20</v>
      </c>
      <c r="M64" s="0" t="n">
        <f aca="false">H64-F64</f>
        <v>20</v>
      </c>
      <c r="N64" s="0" t="n">
        <f aca="false">H64-G64</f>
        <v>20</v>
      </c>
      <c r="O64" s="0" t="n">
        <f aca="false">B64+D64+F64</f>
        <v>13</v>
      </c>
      <c r="P64" s="0" t="n">
        <f aca="false">C64+E64+G64</f>
        <v>11</v>
      </c>
    </row>
    <row r="65" customFormat="false" ht="15" hidden="false" customHeight="false" outlineLevel="0" collapsed="false">
      <c r="A65" s="0" t="n">
        <v>65</v>
      </c>
      <c r="B65" s="0" t="n">
        <f aca="false">Raw_Data!AJ65</f>
        <v>4</v>
      </c>
      <c r="C65" s="0" t="n">
        <f aca="false">Raw_Data!AK65</f>
        <v>2</v>
      </c>
      <c r="D65" s="0" t="n">
        <f aca="false">Raw_Data!AL65</f>
        <v>5</v>
      </c>
      <c r="E65" s="0" t="n">
        <f aca="false">Raw_Data!AM65</f>
        <v>3</v>
      </c>
      <c r="F65" s="0" t="n">
        <f aca="false">Raw_Data!AN65</f>
        <v>2</v>
      </c>
      <c r="G65" s="0" t="n">
        <f aca="false">Raw_Data!AO65</f>
        <v>2</v>
      </c>
      <c r="H65" s="0" t="n">
        <f aca="false">SUM(B65:G65)</f>
        <v>18</v>
      </c>
      <c r="I65" s="0" t="n">
        <f aca="false">H65-B65</f>
        <v>14</v>
      </c>
      <c r="J65" s="0" t="n">
        <f aca="false">H65-C65</f>
        <v>16</v>
      </c>
      <c r="K65" s="0" t="n">
        <f aca="false">H65-D65</f>
        <v>13</v>
      </c>
      <c r="L65" s="0" t="n">
        <f aca="false">H65-E65</f>
        <v>15</v>
      </c>
      <c r="M65" s="0" t="n">
        <f aca="false">H65-F65</f>
        <v>16</v>
      </c>
      <c r="N65" s="0" t="n">
        <f aca="false">H65-G65</f>
        <v>16</v>
      </c>
      <c r="O65" s="0" t="n">
        <f aca="false">B65+D65+F65</f>
        <v>11</v>
      </c>
      <c r="P65" s="0" t="n">
        <f aca="false">C65+E65+G65</f>
        <v>7</v>
      </c>
    </row>
    <row r="66" customFormat="false" ht="15" hidden="false" customHeight="false" outlineLevel="0" collapsed="false">
      <c r="A66" s="0" t="n">
        <v>66</v>
      </c>
      <c r="B66" s="0" t="n">
        <f aca="false">Raw_Data!AJ66</f>
        <v>2</v>
      </c>
      <c r="C66" s="0" t="n">
        <f aca="false">Raw_Data!AK66</f>
        <v>3</v>
      </c>
      <c r="D66" s="0" t="n">
        <f aca="false">Raw_Data!AL66</f>
        <v>3</v>
      </c>
      <c r="E66" s="0" t="n">
        <f aca="false">Raw_Data!AM66</f>
        <v>3</v>
      </c>
      <c r="F66" s="0" t="n">
        <f aca="false">Raw_Data!AN66</f>
        <v>2</v>
      </c>
      <c r="G66" s="0" t="n">
        <f aca="false">Raw_Data!AO66</f>
        <v>2</v>
      </c>
      <c r="H66" s="0" t="n">
        <f aca="false">SUM(B66:G66)</f>
        <v>15</v>
      </c>
      <c r="I66" s="0" t="n">
        <f aca="false">H66-B66</f>
        <v>13</v>
      </c>
      <c r="J66" s="0" t="n">
        <f aca="false">H66-C66</f>
        <v>12</v>
      </c>
      <c r="K66" s="0" t="n">
        <f aca="false">H66-D66</f>
        <v>12</v>
      </c>
      <c r="L66" s="0" t="n">
        <f aca="false">H66-E66</f>
        <v>12</v>
      </c>
      <c r="M66" s="0" t="n">
        <f aca="false">H66-F66</f>
        <v>13</v>
      </c>
      <c r="N66" s="0" t="n">
        <f aca="false">H66-G66</f>
        <v>13</v>
      </c>
      <c r="O66" s="0" t="n">
        <f aca="false">B66+D66+F66</f>
        <v>7</v>
      </c>
      <c r="P66" s="0" t="n">
        <f aca="false">C66+E66+G66</f>
        <v>8</v>
      </c>
    </row>
    <row r="67" customFormat="false" ht="15" hidden="false" customHeight="false" outlineLevel="0" collapsed="false">
      <c r="A67" s="0" t="n">
        <v>67</v>
      </c>
      <c r="B67" s="0" t="n">
        <f aca="false">Raw_Data!AJ67</f>
        <v>5</v>
      </c>
      <c r="C67" s="0" t="n">
        <f aca="false">Raw_Data!AK67</f>
        <v>2</v>
      </c>
      <c r="D67" s="0" t="n">
        <f aca="false">Raw_Data!AL67</f>
        <v>4</v>
      </c>
      <c r="E67" s="0" t="n">
        <f aca="false">Raw_Data!AM67</f>
        <v>4</v>
      </c>
      <c r="F67" s="0" t="n">
        <f aca="false">Raw_Data!AN67</f>
        <v>3</v>
      </c>
      <c r="G67" s="0" t="n">
        <f aca="false">Raw_Data!AO67</f>
        <v>2</v>
      </c>
      <c r="H67" s="0" t="n">
        <f aca="false">SUM(B67:G67)</f>
        <v>20</v>
      </c>
      <c r="I67" s="0" t="n">
        <f aca="false">H67-B67</f>
        <v>15</v>
      </c>
      <c r="J67" s="0" t="n">
        <f aca="false">H67-C67</f>
        <v>18</v>
      </c>
      <c r="K67" s="0" t="n">
        <f aca="false">H67-D67</f>
        <v>16</v>
      </c>
      <c r="L67" s="0" t="n">
        <f aca="false">H67-E67</f>
        <v>16</v>
      </c>
      <c r="M67" s="0" t="n">
        <f aca="false">H67-F67</f>
        <v>17</v>
      </c>
      <c r="N67" s="0" t="n">
        <f aca="false">H67-G67</f>
        <v>18</v>
      </c>
      <c r="O67" s="0" t="n">
        <f aca="false">B67+D67+F67</f>
        <v>12</v>
      </c>
      <c r="P67" s="0" t="n">
        <f aca="false">C67+E67+G67</f>
        <v>8</v>
      </c>
    </row>
    <row r="68" customFormat="false" ht="15" hidden="false" customHeight="false" outlineLevel="0" collapsed="false">
      <c r="A68" s="0" t="n">
        <v>68</v>
      </c>
      <c r="B68" s="0" t="n">
        <f aca="false">Raw_Data!AJ68</f>
        <v>3</v>
      </c>
      <c r="C68" s="0" t="n">
        <f aca="false">Raw_Data!AK68</f>
        <v>4</v>
      </c>
      <c r="D68" s="0" t="n">
        <f aca="false">Raw_Data!AL68</f>
        <v>4</v>
      </c>
      <c r="E68" s="0" t="n">
        <f aca="false">Raw_Data!AM68</f>
        <v>4</v>
      </c>
      <c r="F68" s="0" t="n">
        <f aca="false">Raw_Data!AN68</f>
        <v>4</v>
      </c>
      <c r="G68" s="0" t="n">
        <f aca="false">Raw_Data!AO68</f>
        <v>3</v>
      </c>
      <c r="H68" s="0" t="n">
        <f aca="false">SUM(B68:G68)</f>
        <v>22</v>
      </c>
      <c r="I68" s="0" t="n">
        <f aca="false">H68-B68</f>
        <v>19</v>
      </c>
      <c r="J68" s="0" t="n">
        <f aca="false">H68-C68</f>
        <v>18</v>
      </c>
      <c r="K68" s="0" t="n">
        <f aca="false">H68-D68</f>
        <v>18</v>
      </c>
      <c r="L68" s="0" t="n">
        <f aca="false">H68-E68</f>
        <v>18</v>
      </c>
      <c r="M68" s="0" t="n">
        <f aca="false">H68-F68</f>
        <v>18</v>
      </c>
      <c r="N68" s="0" t="n">
        <f aca="false">H68-G68</f>
        <v>19</v>
      </c>
      <c r="O68" s="0" t="n">
        <f aca="false">B68+D68+F68</f>
        <v>11</v>
      </c>
      <c r="P68" s="0" t="n">
        <f aca="false">C68+E68+G68</f>
        <v>11</v>
      </c>
    </row>
    <row r="69" customFormat="false" ht="15" hidden="false" customHeight="false" outlineLevel="0" collapsed="false">
      <c r="A69" s="0" t="n">
        <v>69</v>
      </c>
      <c r="B69" s="0" t="n">
        <f aca="false">Raw_Data!AJ69</f>
        <v>4</v>
      </c>
      <c r="C69" s="0" t="n">
        <f aca="false">Raw_Data!AK69</f>
        <v>4</v>
      </c>
      <c r="D69" s="0" t="n">
        <f aca="false">Raw_Data!AL69</f>
        <v>4</v>
      </c>
      <c r="E69" s="0" t="n">
        <f aca="false">Raw_Data!AM69</f>
        <v>2</v>
      </c>
      <c r="F69" s="0" t="n">
        <f aca="false">Raw_Data!AN69</f>
        <v>2</v>
      </c>
      <c r="G69" s="0" t="n">
        <f aca="false">Raw_Data!AO69</f>
        <v>3</v>
      </c>
      <c r="H69" s="0" t="n">
        <f aca="false">SUM(B69:G69)</f>
        <v>19</v>
      </c>
      <c r="I69" s="0" t="n">
        <f aca="false">H69-B69</f>
        <v>15</v>
      </c>
      <c r="J69" s="0" t="n">
        <f aca="false">H69-C69</f>
        <v>15</v>
      </c>
      <c r="K69" s="0" t="n">
        <f aca="false">H69-D69</f>
        <v>15</v>
      </c>
      <c r="L69" s="0" t="n">
        <f aca="false">H69-E69</f>
        <v>17</v>
      </c>
      <c r="M69" s="0" t="n">
        <f aca="false">H69-F69</f>
        <v>17</v>
      </c>
      <c r="N69" s="0" t="n">
        <f aca="false">H69-G69</f>
        <v>16</v>
      </c>
      <c r="O69" s="0" t="n">
        <f aca="false">B69+D69+F69</f>
        <v>10</v>
      </c>
      <c r="P69" s="0" t="n">
        <f aca="false">C69+E69+G69</f>
        <v>9</v>
      </c>
    </row>
    <row r="70" customFormat="false" ht="15" hidden="false" customHeight="false" outlineLevel="0" collapsed="false">
      <c r="A70" s="0" t="n">
        <v>70</v>
      </c>
      <c r="B70" s="0" t="n">
        <f aca="false">Raw_Data!AJ70</f>
        <v>4</v>
      </c>
      <c r="C70" s="0" t="n">
        <f aca="false">Raw_Data!AK70</f>
        <v>4</v>
      </c>
      <c r="D70" s="0" t="n">
        <f aca="false">Raw_Data!AL70</f>
        <v>5</v>
      </c>
      <c r="E70" s="0" t="n">
        <f aca="false">Raw_Data!AM70</f>
        <v>4</v>
      </c>
      <c r="F70" s="0" t="n">
        <f aca="false">Raw_Data!AN70</f>
        <v>3</v>
      </c>
      <c r="G70" s="0" t="n">
        <f aca="false">Raw_Data!AO70</f>
        <v>4</v>
      </c>
      <c r="H70" s="0" t="n">
        <f aca="false">SUM(B70:G70)</f>
        <v>24</v>
      </c>
      <c r="I70" s="0" t="n">
        <f aca="false">H70-B70</f>
        <v>20</v>
      </c>
      <c r="J70" s="0" t="n">
        <f aca="false">H70-C70</f>
        <v>20</v>
      </c>
      <c r="K70" s="0" t="n">
        <f aca="false">H70-D70</f>
        <v>19</v>
      </c>
      <c r="L70" s="0" t="n">
        <f aca="false">H70-E70</f>
        <v>20</v>
      </c>
      <c r="M70" s="0" t="n">
        <f aca="false">H70-F70</f>
        <v>21</v>
      </c>
      <c r="N70" s="0" t="n">
        <f aca="false">H70-G70</f>
        <v>20</v>
      </c>
      <c r="O70" s="0" t="n">
        <f aca="false">B70+D70+F70</f>
        <v>12</v>
      </c>
      <c r="P70" s="0" t="n">
        <f aca="false">C70+E70+G70</f>
        <v>12</v>
      </c>
    </row>
    <row r="71" customFormat="false" ht="15" hidden="false" customHeight="false" outlineLevel="0" collapsed="false">
      <c r="A71" s="0" t="n">
        <v>71</v>
      </c>
      <c r="B71" s="0" t="n">
        <f aca="false">Raw_Data!AJ71</f>
        <v>4</v>
      </c>
      <c r="C71" s="0" t="n">
        <f aca="false">Raw_Data!AK71</f>
        <v>2</v>
      </c>
      <c r="D71" s="0" t="n">
        <f aca="false">Raw_Data!AL71</f>
        <v>3</v>
      </c>
      <c r="E71" s="0" t="n">
        <f aca="false">Raw_Data!AM71</f>
        <v>3</v>
      </c>
      <c r="F71" s="0" t="n">
        <f aca="false">Raw_Data!AN71</f>
        <v>3</v>
      </c>
      <c r="G71" s="0" t="n">
        <f aca="false">Raw_Data!AO71</f>
        <v>4</v>
      </c>
      <c r="H71" s="0" t="n">
        <f aca="false">SUM(B71:G71)</f>
        <v>19</v>
      </c>
      <c r="I71" s="0" t="n">
        <f aca="false">H71-B71</f>
        <v>15</v>
      </c>
      <c r="J71" s="0" t="n">
        <f aca="false">H71-C71</f>
        <v>17</v>
      </c>
      <c r="K71" s="0" t="n">
        <f aca="false">H71-D71</f>
        <v>16</v>
      </c>
      <c r="L71" s="0" t="n">
        <f aca="false">H71-E71</f>
        <v>16</v>
      </c>
      <c r="M71" s="0" t="n">
        <f aca="false">H71-F71</f>
        <v>16</v>
      </c>
      <c r="N71" s="0" t="n">
        <f aca="false">H71-G71</f>
        <v>15</v>
      </c>
      <c r="O71" s="0" t="n">
        <f aca="false">B71+D71+F71</f>
        <v>10</v>
      </c>
      <c r="P71" s="0" t="n">
        <f aca="false">C71+E71+G71</f>
        <v>9</v>
      </c>
    </row>
    <row r="72" customFormat="false" ht="15" hidden="false" customHeight="false" outlineLevel="0" collapsed="false">
      <c r="A72" s="0" t="n">
        <v>72</v>
      </c>
      <c r="B72" s="0" t="n">
        <f aca="false">Raw_Data!AJ72</f>
        <v>4</v>
      </c>
      <c r="C72" s="0" t="n">
        <f aca="false">Raw_Data!AK72</f>
        <v>5</v>
      </c>
      <c r="D72" s="0" t="n">
        <f aca="false">Raw_Data!AL72</f>
        <v>4</v>
      </c>
      <c r="E72" s="0" t="n">
        <f aca="false">Raw_Data!AM72</f>
        <v>4</v>
      </c>
      <c r="F72" s="0" t="n">
        <f aca="false">Raw_Data!AN72</f>
        <v>3</v>
      </c>
      <c r="G72" s="0" t="n">
        <f aca="false">Raw_Data!AO72</f>
        <v>3</v>
      </c>
      <c r="H72" s="0" t="n">
        <f aca="false">SUM(B72:G72)</f>
        <v>23</v>
      </c>
      <c r="I72" s="0" t="n">
        <f aca="false">H72-B72</f>
        <v>19</v>
      </c>
      <c r="J72" s="0" t="n">
        <f aca="false">H72-C72</f>
        <v>18</v>
      </c>
      <c r="K72" s="0" t="n">
        <f aca="false">H72-D72</f>
        <v>19</v>
      </c>
      <c r="L72" s="0" t="n">
        <f aca="false">H72-E72</f>
        <v>19</v>
      </c>
      <c r="M72" s="0" t="n">
        <f aca="false">H72-F72</f>
        <v>20</v>
      </c>
      <c r="N72" s="0" t="n">
        <f aca="false">H72-G72</f>
        <v>20</v>
      </c>
      <c r="O72" s="0" t="n">
        <f aca="false">B72+D72+F72</f>
        <v>11</v>
      </c>
      <c r="P72" s="0" t="n">
        <f aca="false">C72+E72+G72</f>
        <v>12</v>
      </c>
    </row>
    <row r="73" customFormat="false" ht="15" hidden="false" customHeight="false" outlineLevel="0" collapsed="false">
      <c r="A73" s="0" t="n">
        <v>73</v>
      </c>
      <c r="B73" s="0" t="n">
        <f aca="false">Raw_Data!AJ73</f>
        <v>5</v>
      </c>
      <c r="C73" s="0" t="n">
        <f aca="false">Raw_Data!AK73</f>
        <v>4</v>
      </c>
      <c r="D73" s="0" t="n">
        <f aca="false">Raw_Data!AL73</f>
        <v>4</v>
      </c>
      <c r="E73" s="0" t="n">
        <f aca="false">Raw_Data!AM73</f>
        <v>4</v>
      </c>
      <c r="F73" s="0" t="n">
        <f aca="false">Raw_Data!AN73</f>
        <v>2</v>
      </c>
      <c r="G73" s="0" t="n">
        <f aca="false">Raw_Data!AO73</f>
        <v>2</v>
      </c>
      <c r="H73" s="0" t="n">
        <f aca="false">SUM(B73:G73)</f>
        <v>21</v>
      </c>
      <c r="I73" s="0" t="n">
        <f aca="false">H73-B73</f>
        <v>16</v>
      </c>
      <c r="J73" s="0" t="n">
        <f aca="false">H73-C73</f>
        <v>17</v>
      </c>
      <c r="K73" s="0" t="n">
        <f aca="false">H73-D73</f>
        <v>17</v>
      </c>
      <c r="L73" s="0" t="n">
        <f aca="false">H73-E73</f>
        <v>17</v>
      </c>
      <c r="M73" s="0" t="n">
        <f aca="false">H73-F73</f>
        <v>19</v>
      </c>
      <c r="N73" s="0" t="n">
        <f aca="false">H73-G73</f>
        <v>19</v>
      </c>
      <c r="O73" s="0" t="n">
        <f aca="false">B73+D73+F73</f>
        <v>11</v>
      </c>
      <c r="P73" s="0" t="n">
        <f aca="false">C73+E73+G73</f>
        <v>10</v>
      </c>
    </row>
    <row r="74" customFormat="false" ht="15" hidden="false" customHeight="false" outlineLevel="0" collapsed="false">
      <c r="A74" s="0" t="n">
        <v>74</v>
      </c>
      <c r="B74" s="0" t="n">
        <f aca="false">Raw_Data!AJ74</f>
        <v>5</v>
      </c>
      <c r="C74" s="0" t="n">
        <f aca="false">Raw_Data!AK74</f>
        <v>4</v>
      </c>
      <c r="D74" s="0" t="n">
        <f aca="false">Raw_Data!AL74</f>
        <v>5</v>
      </c>
      <c r="E74" s="0" t="n">
        <f aca="false">Raw_Data!AM74</f>
        <v>4</v>
      </c>
      <c r="F74" s="0" t="n">
        <f aca="false">Raw_Data!AN74</f>
        <v>3</v>
      </c>
      <c r="G74" s="0" t="n">
        <f aca="false">Raw_Data!AO74</f>
        <v>3</v>
      </c>
      <c r="H74" s="0" t="n">
        <f aca="false">SUM(B74:G74)</f>
        <v>24</v>
      </c>
      <c r="I74" s="0" t="n">
        <f aca="false">H74-B74</f>
        <v>19</v>
      </c>
      <c r="J74" s="0" t="n">
        <f aca="false">H74-C74</f>
        <v>20</v>
      </c>
      <c r="K74" s="0" t="n">
        <f aca="false">H74-D74</f>
        <v>19</v>
      </c>
      <c r="L74" s="0" t="n">
        <f aca="false">H74-E74</f>
        <v>20</v>
      </c>
      <c r="M74" s="0" t="n">
        <f aca="false">H74-F74</f>
        <v>21</v>
      </c>
      <c r="N74" s="0" t="n">
        <f aca="false">H74-G74</f>
        <v>21</v>
      </c>
      <c r="O74" s="0" t="n">
        <f aca="false">B74+D74+F74</f>
        <v>13</v>
      </c>
      <c r="P74" s="0" t="n">
        <f aca="false">C74+E74+G74</f>
        <v>11</v>
      </c>
    </row>
    <row r="75" customFormat="false" ht="15" hidden="false" customHeight="false" outlineLevel="0" collapsed="false">
      <c r="A75" s="0" t="n">
        <v>75</v>
      </c>
      <c r="B75" s="0" t="n">
        <f aca="false">Raw_Data!AJ75</f>
        <v>2</v>
      </c>
      <c r="C75" s="0" t="n">
        <f aca="false">Raw_Data!AK75</f>
        <v>2</v>
      </c>
      <c r="D75" s="0" t="n">
        <f aca="false">Raw_Data!AL75</f>
        <v>4</v>
      </c>
      <c r="E75" s="0" t="n">
        <f aca="false">Raw_Data!AM75</f>
        <v>2</v>
      </c>
      <c r="F75" s="0" t="n">
        <f aca="false">Raw_Data!AN75</f>
        <v>3</v>
      </c>
      <c r="G75" s="0" t="n">
        <f aca="false">Raw_Data!AO75</f>
        <v>4</v>
      </c>
      <c r="H75" s="0" t="n">
        <f aca="false">SUM(B75:G75)</f>
        <v>17</v>
      </c>
      <c r="I75" s="0" t="n">
        <f aca="false">H75-B75</f>
        <v>15</v>
      </c>
      <c r="J75" s="0" t="n">
        <f aca="false">H75-C75</f>
        <v>15</v>
      </c>
      <c r="K75" s="0" t="n">
        <f aca="false">H75-D75</f>
        <v>13</v>
      </c>
      <c r="L75" s="0" t="n">
        <f aca="false">H75-E75</f>
        <v>15</v>
      </c>
      <c r="M75" s="0" t="n">
        <f aca="false">H75-F75</f>
        <v>14</v>
      </c>
      <c r="N75" s="0" t="n">
        <f aca="false">H75-G75</f>
        <v>13</v>
      </c>
      <c r="O75" s="0" t="n">
        <f aca="false">B75+D75+F75</f>
        <v>9</v>
      </c>
      <c r="P75" s="0" t="n">
        <f aca="false">C75+E75+G75</f>
        <v>8</v>
      </c>
    </row>
    <row r="76" customFormat="false" ht="15" hidden="false" customHeight="false" outlineLevel="0" collapsed="false">
      <c r="A76" s="0" t="n">
        <v>76</v>
      </c>
      <c r="B76" s="0" t="n">
        <f aca="false">Raw_Data!AJ76</f>
        <v>3</v>
      </c>
      <c r="C76" s="0" t="n">
        <f aca="false">Raw_Data!AK76</f>
        <v>5</v>
      </c>
      <c r="D76" s="0" t="n">
        <f aca="false">Raw_Data!AL76</f>
        <v>5</v>
      </c>
      <c r="E76" s="0" t="n">
        <f aca="false">Raw_Data!AM76</f>
        <v>4</v>
      </c>
      <c r="F76" s="0" t="n">
        <f aca="false">Raw_Data!AN76</f>
        <v>2</v>
      </c>
      <c r="G76" s="0" t="n">
        <f aca="false">Raw_Data!AO76</f>
        <v>2</v>
      </c>
      <c r="H76" s="0" t="n">
        <f aca="false">SUM(B76:G76)</f>
        <v>21</v>
      </c>
      <c r="I76" s="0" t="n">
        <f aca="false">H76-B76</f>
        <v>18</v>
      </c>
      <c r="J76" s="0" t="n">
        <f aca="false">H76-C76</f>
        <v>16</v>
      </c>
      <c r="K76" s="0" t="n">
        <f aca="false">H76-D76</f>
        <v>16</v>
      </c>
      <c r="L76" s="0" t="n">
        <f aca="false">H76-E76</f>
        <v>17</v>
      </c>
      <c r="M76" s="0" t="n">
        <f aca="false">H76-F76</f>
        <v>19</v>
      </c>
      <c r="N76" s="0" t="n">
        <f aca="false">H76-G76</f>
        <v>19</v>
      </c>
      <c r="O76" s="0" t="n">
        <f aca="false">B76+D76+F76</f>
        <v>10</v>
      </c>
      <c r="P76" s="0" t="n">
        <f aca="false">C76+E76+G76</f>
        <v>11</v>
      </c>
    </row>
    <row r="77" customFormat="false" ht="15" hidden="false" customHeight="false" outlineLevel="0" collapsed="false">
      <c r="A77" s="0" t="n">
        <v>77</v>
      </c>
      <c r="B77" s="0" t="n">
        <f aca="false">Raw_Data!AJ77</f>
        <v>5</v>
      </c>
      <c r="C77" s="0" t="n">
        <f aca="false">Raw_Data!AK77</f>
        <v>4</v>
      </c>
      <c r="D77" s="0" t="n">
        <f aca="false">Raw_Data!AL77</f>
        <v>4</v>
      </c>
      <c r="E77" s="0" t="n">
        <f aca="false">Raw_Data!AM77</f>
        <v>5</v>
      </c>
      <c r="F77" s="0" t="n">
        <f aca="false">Raw_Data!AN77</f>
        <v>3</v>
      </c>
      <c r="G77" s="0" t="n">
        <f aca="false">Raw_Data!AO77</f>
        <v>3</v>
      </c>
      <c r="H77" s="0" t="n">
        <f aca="false">SUM(B77:G77)</f>
        <v>24</v>
      </c>
      <c r="I77" s="0" t="n">
        <f aca="false">H77-B77</f>
        <v>19</v>
      </c>
      <c r="J77" s="0" t="n">
        <f aca="false">H77-C77</f>
        <v>20</v>
      </c>
      <c r="K77" s="0" t="n">
        <f aca="false">H77-D77</f>
        <v>20</v>
      </c>
      <c r="L77" s="0" t="n">
        <f aca="false">H77-E77</f>
        <v>19</v>
      </c>
      <c r="M77" s="0" t="n">
        <f aca="false">H77-F77</f>
        <v>21</v>
      </c>
      <c r="N77" s="0" t="n">
        <f aca="false">H77-G77</f>
        <v>21</v>
      </c>
      <c r="O77" s="0" t="n">
        <f aca="false">B77+D77+F77</f>
        <v>12</v>
      </c>
      <c r="P77" s="0" t="n">
        <f aca="false">C77+E77+G77</f>
        <v>12</v>
      </c>
    </row>
    <row r="78" customFormat="false" ht="15" hidden="false" customHeight="false" outlineLevel="0" collapsed="false">
      <c r="A78" s="0" t="n">
        <v>78</v>
      </c>
      <c r="B78" s="0" t="n">
        <f aca="false">Raw_Data!AJ78</f>
        <v>4</v>
      </c>
      <c r="C78" s="0" t="n">
        <f aca="false">Raw_Data!AK78</f>
        <v>3</v>
      </c>
      <c r="D78" s="0" t="n">
        <f aca="false">Raw_Data!AL78</f>
        <v>5</v>
      </c>
      <c r="E78" s="0" t="n">
        <f aca="false">Raw_Data!AM78</f>
        <v>4</v>
      </c>
      <c r="F78" s="0" t="n">
        <f aca="false">Raw_Data!AN78</f>
        <v>1</v>
      </c>
      <c r="G78" s="0" t="n">
        <f aca="false">Raw_Data!AO78</f>
        <v>2</v>
      </c>
      <c r="H78" s="0" t="n">
        <f aca="false">SUM(B78:G78)</f>
        <v>19</v>
      </c>
      <c r="I78" s="0" t="n">
        <f aca="false">H78-B78</f>
        <v>15</v>
      </c>
      <c r="J78" s="0" t="n">
        <f aca="false">H78-C78</f>
        <v>16</v>
      </c>
      <c r="K78" s="0" t="n">
        <f aca="false">H78-D78</f>
        <v>14</v>
      </c>
      <c r="L78" s="0" t="n">
        <f aca="false">H78-E78</f>
        <v>15</v>
      </c>
      <c r="M78" s="0" t="n">
        <f aca="false">H78-F78</f>
        <v>18</v>
      </c>
      <c r="N78" s="0" t="n">
        <f aca="false">H78-G78</f>
        <v>17</v>
      </c>
      <c r="O78" s="0" t="n">
        <f aca="false">B78+D78+F78</f>
        <v>10</v>
      </c>
      <c r="P78" s="0" t="n">
        <f aca="false">C78+E78+G78</f>
        <v>9</v>
      </c>
    </row>
    <row r="79" customFormat="false" ht="15" hidden="false" customHeight="false" outlineLevel="0" collapsed="false">
      <c r="A79" s="0" t="n">
        <v>79</v>
      </c>
      <c r="B79" s="0" t="n">
        <f aca="false">Raw_Data!AJ79</f>
        <v>5</v>
      </c>
      <c r="C79" s="0" t="n">
        <f aca="false">Raw_Data!AK79</f>
        <v>3</v>
      </c>
      <c r="D79" s="0" t="n">
        <f aca="false">Raw_Data!AL79</f>
        <v>5</v>
      </c>
      <c r="E79" s="0" t="n">
        <f aca="false">Raw_Data!AM79</f>
        <v>5</v>
      </c>
      <c r="F79" s="0" t="n">
        <f aca="false">Raw_Data!AN79</f>
        <v>3</v>
      </c>
      <c r="G79" s="0" t="n">
        <f aca="false">Raw_Data!AO79</f>
        <v>3</v>
      </c>
      <c r="H79" s="0" t="n">
        <f aca="false">SUM(B79:G79)</f>
        <v>24</v>
      </c>
      <c r="I79" s="0" t="n">
        <f aca="false">H79-B79</f>
        <v>19</v>
      </c>
      <c r="J79" s="0" t="n">
        <f aca="false">H79-C79</f>
        <v>21</v>
      </c>
      <c r="K79" s="0" t="n">
        <f aca="false">H79-D79</f>
        <v>19</v>
      </c>
      <c r="L79" s="0" t="n">
        <f aca="false">H79-E79</f>
        <v>19</v>
      </c>
      <c r="M79" s="0" t="n">
        <f aca="false">H79-F79</f>
        <v>21</v>
      </c>
      <c r="N79" s="0" t="n">
        <f aca="false">H79-G79</f>
        <v>21</v>
      </c>
      <c r="O79" s="0" t="n">
        <f aca="false">B79+D79+F79</f>
        <v>13</v>
      </c>
      <c r="P79" s="0" t="n">
        <f aca="false">C79+E79+G79</f>
        <v>11</v>
      </c>
    </row>
    <row r="80" customFormat="false" ht="15" hidden="false" customHeight="false" outlineLevel="0" collapsed="false">
      <c r="A80" s="0" t="n">
        <v>80</v>
      </c>
      <c r="B80" s="0" t="n">
        <f aca="false">Raw_Data!AJ80</f>
        <v>2</v>
      </c>
      <c r="C80" s="0" t="n">
        <f aca="false">Raw_Data!AK80</f>
        <v>2</v>
      </c>
      <c r="D80" s="0" t="n">
        <f aca="false">Raw_Data!AL80</f>
        <v>5</v>
      </c>
      <c r="E80" s="0" t="n">
        <f aca="false">Raw_Data!AM80</f>
        <v>4</v>
      </c>
      <c r="F80" s="0" t="n">
        <f aca="false">Raw_Data!AN80</f>
        <v>1</v>
      </c>
      <c r="G80" s="0" t="n">
        <f aca="false">Raw_Data!AO80</f>
        <v>2</v>
      </c>
      <c r="H80" s="0" t="n">
        <f aca="false">SUM(B80:G80)</f>
        <v>16</v>
      </c>
      <c r="I80" s="0" t="n">
        <f aca="false">H80-B80</f>
        <v>14</v>
      </c>
      <c r="J80" s="0" t="n">
        <f aca="false">H80-C80</f>
        <v>14</v>
      </c>
      <c r="K80" s="0" t="n">
        <f aca="false">H80-D80</f>
        <v>11</v>
      </c>
      <c r="L80" s="0" t="n">
        <f aca="false">H80-E80</f>
        <v>12</v>
      </c>
      <c r="M80" s="0" t="n">
        <f aca="false">H80-F80</f>
        <v>15</v>
      </c>
      <c r="N80" s="0" t="n">
        <f aca="false">H80-G80</f>
        <v>14</v>
      </c>
      <c r="O80" s="0" t="n">
        <f aca="false">B80+D80+F80</f>
        <v>8</v>
      </c>
      <c r="P80" s="0" t="n">
        <f aca="false">C80+E80+G80</f>
        <v>8</v>
      </c>
    </row>
    <row r="81" customFormat="false" ht="15" hidden="false" customHeight="false" outlineLevel="0" collapsed="false">
      <c r="A81" s="0" t="n">
        <v>81</v>
      </c>
      <c r="B81" s="0" t="n">
        <f aca="false">Raw_Data!AJ81</f>
        <v>5</v>
      </c>
      <c r="C81" s="0" t="n">
        <f aca="false">Raw_Data!AK81</f>
        <v>4</v>
      </c>
      <c r="D81" s="0" t="n">
        <f aca="false">Raw_Data!AL81</f>
        <v>4</v>
      </c>
      <c r="E81" s="0" t="n">
        <f aca="false">Raw_Data!AM81</f>
        <v>2</v>
      </c>
      <c r="F81" s="0" t="n">
        <f aca="false">Raw_Data!AN81</f>
        <v>2</v>
      </c>
      <c r="G81" s="0" t="n">
        <f aca="false">Raw_Data!AO81</f>
        <v>3</v>
      </c>
      <c r="H81" s="0" t="n">
        <f aca="false">SUM(B81:G81)</f>
        <v>20</v>
      </c>
      <c r="I81" s="0" t="n">
        <f aca="false">H81-B81</f>
        <v>15</v>
      </c>
      <c r="J81" s="0" t="n">
        <f aca="false">H81-C81</f>
        <v>16</v>
      </c>
      <c r="K81" s="0" t="n">
        <f aca="false">H81-D81</f>
        <v>16</v>
      </c>
      <c r="L81" s="0" t="n">
        <f aca="false">H81-E81</f>
        <v>18</v>
      </c>
      <c r="M81" s="0" t="n">
        <f aca="false">H81-F81</f>
        <v>18</v>
      </c>
      <c r="N81" s="0" t="n">
        <f aca="false">H81-G81</f>
        <v>17</v>
      </c>
      <c r="O81" s="0" t="n">
        <f aca="false">B81+D81+F81</f>
        <v>11</v>
      </c>
      <c r="P81" s="0" t="n">
        <f aca="false">C81+E81+G81</f>
        <v>9</v>
      </c>
    </row>
    <row r="82" customFormat="false" ht="15" hidden="false" customHeight="false" outlineLevel="0" collapsed="false">
      <c r="A82" s="0" t="n">
        <v>82</v>
      </c>
      <c r="B82" s="0" t="n">
        <f aca="false">Raw_Data!AJ82</f>
        <v>3</v>
      </c>
      <c r="C82" s="0" t="n">
        <f aca="false">Raw_Data!AK82</f>
        <v>4</v>
      </c>
      <c r="D82" s="0" t="n">
        <f aca="false">Raw_Data!AL82</f>
        <v>3</v>
      </c>
      <c r="E82" s="0" t="n">
        <f aca="false">Raw_Data!AM82</f>
        <v>3</v>
      </c>
      <c r="F82" s="0" t="n">
        <f aca="false">Raw_Data!AN82</f>
        <v>3</v>
      </c>
      <c r="G82" s="0" t="n">
        <f aca="false">Raw_Data!AO82</f>
        <v>3</v>
      </c>
      <c r="H82" s="0" t="n">
        <f aca="false">SUM(B82:G82)</f>
        <v>19</v>
      </c>
      <c r="I82" s="0" t="n">
        <f aca="false">H82-B82</f>
        <v>16</v>
      </c>
      <c r="J82" s="0" t="n">
        <f aca="false">H82-C82</f>
        <v>15</v>
      </c>
      <c r="K82" s="0" t="n">
        <f aca="false">H82-D82</f>
        <v>16</v>
      </c>
      <c r="L82" s="0" t="n">
        <f aca="false">H82-E82</f>
        <v>16</v>
      </c>
      <c r="M82" s="0" t="n">
        <f aca="false">H82-F82</f>
        <v>16</v>
      </c>
      <c r="N82" s="0" t="n">
        <f aca="false">H82-G82</f>
        <v>16</v>
      </c>
      <c r="O82" s="0" t="n">
        <f aca="false">B82+D82+F82</f>
        <v>9</v>
      </c>
      <c r="P82" s="0" t="n">
        <f aca="false">C82+E82+G82</f>
        <v>10</v>
      </c>
    </row>
    <row r="83" customFormat="false" ht="15" hidden="false" customHeight="false" outlineLevel="0" collapsed="false">
      <c r="A83" s="0" t="n">
        <v>83</v>
      </c>
      <c r="B83" s="0" t="n">
        <f aca="false">Raw_Data!AJ83</f>
        <v>5</v>
      </c>
      <c r="C83" s="0" t="n">
        <f aca="false">Raw_Data!AK83</f>
        <v>2</v>
      </c>
      <c r="D83" s="0" t="n">
        <f aca="false">Raw_Data!AL83</f>
        <v>5</v>
      </c>
      <c r="E83" s="0" t="n">
        <f aca="false">Raw_Data!AM83</f>
        <v>4</v>
      </c>
      <c r="F83" s="0" t="n">
        <f aca="false">Raw_Data!AN83</f>
        <v>4</v>
      </c>
      <c r="G83" s="0" t="n">
        <f aca="false">Raw_Data!AO83</f>
        <v>3</v>
      </c>
      <c r="H83" s="0" t="n">
        <f aca="false">SUM(B83:G83)</f>
        <v>23</v>
      </c>
      <c r="I83" s="0" t="n">
        <f aca="false">H83-B83</f>
        <v>18</v>
      </c>
      <c r="J83" s="0" t="n">
        <f aca="false">H83-C83</f>
        <v>21</v>
      </c>
      <c r="K83" s="0" t="n">
        <f aca="false">H83-D83</f>
        <v>18</v>
      </c>
      <c r="L83" s="0" t="n">
        <f aca="false">H83-E83</f>
        <v>19</v>
      </c>
      <c r="M83" s="0" t="n">
        <f aca="false">H83-F83</f>
        <v>19</v>
      </c>
      <c r="N83" s="0" t="n">
        <f aca="false">H83-G83</f>
        <v>20</v>
      </c>
      <c r="O83" s="0" t="n">
        <f aca="false">B83+D83+F83</f>
        <v>14</v>
      </c>
      <c r="P83" s="0" t="n">
        <f aca="false">C83+E83+G83</f>
        <v>9</v>
      </c>
    </row>
    <row r="84" customFormat="false" ht="15" hidden="false" customHeight="false" outlineLevel="0" collapsed="false">
      <c r="A84" s="0" t="n">
        <v>84</v>
      </c>
      <c r="B84" s="0" t="n">
        <f aca="false">Raw_Data!AJ84</f>
        <v>4</v>
      </c>
      <c r="C84" s="0" t="n">
        <f aca="false">Raw_Data!AK84</f>
        <v>3</v>
      </c>
      <c r="D84" s="0" t="n">
        <f aca="false">Raw_Data!AL84</f>
        <v>4</v>
      </c>
      <c r="E84" s="0" t="n">
        <f aca="false">Raw_Data!AM84</f>
        <v>3</v>
      </c>
      <c r="F84" s="0" t="n">
        <f aca="false">Raw_Data!AN84</f>
        <v>4</v>
      </c>
      <c r="G84" s="0" t="n">
        <f aca="false">Raw_Data!AO84</f>
        <v>3</v>
      </c>
      <c r="H84" s="0" t="n">
        <f aca="false">SUM(B84:G84)</f>
        <v>21</v>
      </c>
      <c r="I84" s="0" t="n">
        <f aca="false">H84-B84</f>
        <v>17</v>
      </c>
      <c r="J84" s="0" t="n">
        <f aca="false">H84-C84</f>
        <v>18</v>
      </c>
      <c r="K84" s="0" t="n">
        <f aca="false">H84-D84</f>
        <v>17</v>
      </c>
      <c r="L84" s="0" t="n">
        <f aca="false">H84-E84</f>
        <v>18</v>
      </c>
      <c r="M84" s="0" t="n">
        <f aca="false">H84-F84</f>
        <v>17</v>
      </c>
      <c r="N84" s="0" t="n">
        <f aca="false">H84-G84</f>
        <v>18</v>
      </c>
      <c r="O84" s="0" t="n">
        <f aca="false">B84+D84+F84</f>
        <v>12</v>
      </c>
      <c r="P84" s="0" t="n">
        <f aca="false">C84+E84+G84</f>
        <v>9</v>
      </c>
    </row>
    <row r="85" customFormat="false" ht="15" hidden="false" customHeight="false" outlineLevel="0" collapsed="false">
      <c r="A85" s="0" t="n">
        <v>85</v>
      </c>
      <c r="B85" s="0" t="n">
        <f aca="false">Raw_Data!AJ85</f>
        <v>4</v>
      </c>
      <c r="C85" s="0" t="n">
        <f aca="false">Raw_Data!AK85</f>
        <v>4</v>
      </c>
      <c r="D85" s="0" t="n">
        <f aca="false">Raw_Data!AL85</f>
        <v>5</v>
      </c>
      <c r="E85" s="0" t="n">
        <f aca="false">Raw_Data!AM85</f>
        <v>3</v>
      </c>
      <c r="F85" s="0" t="n">
        <f aca="false">Raw_Data!AN85</f>
        <v>3</v>
      </c>
      <c r="G85" s="0" t="n">
        <f aca="false">Raw_Data!AO85</f>
        <v>3</v>
      </c>
      <c r="H85" s="0" t="n">
        <f aca="false">SUM(B85:G85)</f>
        <v>22</v>
      </c>
      <c r="I85" s="0" t="n">
        <f aca="false">H85-B85</f>
        <v>18</v>
      </c>
      <c r="J85" s="0" t="n">
        <f aca="false">H85-C85</f>
        <v>18</v>
      </c>
      <c r="K85" s="0" t="n">
        <f aca="false">H85-D85</f>
        <v>17</v>
      </c>
      <c r="L85" s="0" t="n">
        <f aca="false">H85-E85</f>
        <v>19</v>
      </c>
      <c r="M85" s="0" t="n">
        <f aca="false">H85-F85</f>
        <v>19</v>
      </c>
      <c r="N85" s="0" t="n">
        <f aca="false">H85-G85</f>
        <v>19</v>
      </c>
      <c r="O85" s="0" t="n">
        <f aca="false">B85+D85+F85</f>
        <v>12</v>
      </c>
      <c r="P85" s="0" t="n">
        <f aca="false">C85+E85+G85</f>
        <v>10</v>
      </c>
    </row>
    <row r="86" customFormat="false" ht="15" hidden="false" customHeight="false" outlineLevel="0" collapsed="false">
      <c r="A86" s="0" t="n">
        <v>86</v>
      </c>
      <c r="B86" s="0" t="n">
        <f aca="false">Raw_Data!AJ86</f>
        <v>3</v>
      </c>
      <c r="C86" s="0" t="n">
        <f aca="false">Raw_Data!AK86</f>
        <v>3</v>
      </c>
      <c r="D86" s="0" t="n">
        <f aca="false">Raw_Data!AL86</f>
        <v>5</v>
      </c>
      <c r="E86" s="0" t="n">
        <f aca="false">Raw_Data!AM86</f>
        <v>4</v>
      </c>
      <c r="F86" s="0" t="n">
        <f aca="false">Raw_Data!AN86</f>
        <v>2</v>
      </c>
      <c r="G86" s="0" t="n">
        <f aca="false">Raw_Data!AO86</f>
        <v>2</v>
      </c>
      <c r="H86" s="0" t="n">
        <f aca="false">SUM(B86:G86)</f>
        <v>19</v>
      </c>
      <c r="I86" s="0" t="n">
        <f aca="false">H86-B86</f>
        <v>16</v>
      </c>
      <c r="J86" s="0" t="n">
        <f aca="false">H86-C86</f>
        <v>16</v>
      </c>
      <c r="K86" s="0" t="n">
        <f aca="false">H86-D86</f>
        <v>14</v>
      </c>
      <c r="L86" s="0" t="n">
        <f aca="false">H86-E86</f>
        <v>15</v>
      </c>
      <c r="M86" s="0" t="n">
        <f aca="false">H86-F86</f>
        <v>17</v>
      </c>
      <c r="N86" s="0" t="n">
        <f aca="false">H86-G86</f>
        <v>17</v>
      </c>
      <c r="O86" s="0" t="n">
        <f aca="false">B86+D86+F86</f>
        <v>10</v>
      </c>
      <c r="P86" s="0" t="n">
        <f aca="false">C86+E86+G86</f>
        <v>9</v>
      </c>
    </row>
    <row r="87" customFormat="false" ht="15" hidden="false" customHeight="false" outlineLevel="0" collapsed="false">
      <c r="A87" s="0" t="n">
        <v>87</v>
      </c>
      <c r="B87" s="0" t="n">
        <f aca="false">Raw_Data!AJ87</f>
        <v>5</v>
      </c>
      <c r="C87" s="0" t="n">
        <f aca="false">Raw_Data!AK87</f>
        <v>5</v>
      </c>
      <c r="D87" s="0" t="n">
        <f aca="false">Raw_Data!AL87</f>
        <v>5</v>
      </c>
      <c r="E87" s="0" t="n">
        <f aca="false">Raw_Data!AM87</f>
        <v>5</v>
      </c>
      <c r="F87" s="0" t="n">
        <f aca="false">Raw_Data!AN87</f>
        <v>3</v>
      </c>
      <c r="G87" s="0" t="n">
        <f aca="false">Raw_Data!AO87</f>
        <v>4</v>
      </c>
      <c r="H87" s="0" t="n">
        <f aca="false">SUM(B87:G87)</f>
        <v>27</v>
      </c>
      <c r="I87" s="0" t="n">
        <f aca="false">H87-B87</f>
        <v>22</v>
      </c>
      <c r="J87" s="0" t="n">
        <f aca="false">H87-C87</f>
        <v>22</v>
      </c>
      <c r="K87" s="0" t="n">
        <f aca="false">H87-D87</f>
        <v>22</v>
      </c>
      <c r="L87" s="0" t="n">
        <f aca="false">H87-E87</f>
        <v>22</v>
      </c>
      <c r="M87" s="0" t="n">
        <f aca="false">H87-F87</f>
        <v>24</v>
      </c>
      <c r="N87" s="0" t="n">
        <f aca="false">H87-G87</f>
        <v>23</v>
      </c>
      <c r="O87" s="0" t="n">
        <f aca="false">B87+D87+F87</f>
        <v>13</v>
      </c>
      <c r="P87" s="0" t="n">
        <f aca="false">C87+E87+G87</f>
        <v>14</v>
      </c>
    </row>
    <row r="88" customFormat="false" ht="15" hidden="false" customHeight="false" outlineLevel="0" collapsed="false">
      <c r="A88" s="0" t="n">
        <v>88</v>
      </c>
      <c r="B88" s="0" t="n">
        <f aca="false">Raw_Data!AJ88</f>
        <v>4</v>
      </c>
      <c r="C88" s="0" t="n">
        <f aca="false">Raw_Data!AK88</f>
        <v>3</v>
      </c>
      <c r="D88" s="0" t="n">
        <f aca="false">Raw_Data!AL88</f>
        <v>4</v>
      </c>
      <c r="E88" s="0" t="n">
        <f aca="false">Raw_Data!AM88</f>
        <v>4</v>
      </c>
      <c r="F88" s="0" t="n">
        <f aca="false">Raw_Data!AN88</f>
        <v>2</v>
      </c>
      <c r="G88" s="0" t="n">
        <f aca="false">Raw_Data!AO88</f>
        <v>2</v>
      </c>
      <c r="H88" s="0" t="n">
        <f aca="false">SUM(B88:G88)</f>
        <v>19</v>
      </c>
      <c r="I88" s="0" t="n">
        <f aca="false">H88-B88</f>
        <v>15</v>
      </c>
      <c r="J88" s="0" t="n">
        <f aca="false">H88-C88</f>
        <v>16</v>
      </c>
      <c r="K88" s="0" t="n">
        <f aca="false">H88-D88</f>
        <v>15</v>
      </c>
      <c r="L88" s="0" t="n">
        <f aca="false">H88-E88</f>
        <v>15</v>
      </c>
      <c r="M88" s="0" t="n">
        <f aca="false">H88-F88</f>
        <v>17</v>
      </c>
      <c r="N88" s="0" t="n">
        <f aca="false">H88-G88</f>
        <v>17</v>
      </c>
      <c r="O88" s="0" t="n">
        <f aca="false">B88+D88+F88</f>
        <v>10</v>
      </c>
      <c r="P88" s="0" t="n">
        <f aca="false">C88+E88+G88</f>
        <v>9</v>
      </c>
    </row>
    <row r="89" customFormat="false" ht="15" hidden="false" customHeight="false" outlineLevel="0" collapsed="false">
      <c r="A89" s="0" t="n">
        <v>89</v>
      </c>
      <c r="B89" s="0" t="n">
        <f aca="false">Raw_Data!AJ89</f>
        <v>2</v>
      </c>
      <c r="C89" s="0" t="n">
        <f aca="false">Raw_Data!AK89</f>
        <v>2</v>
      </c>
      <c r="D89" s="0" t="n">
        <f aca="false">Raw_Data!AL89</f>
        <v>4</v>
      </c>
      <c r="E89" s="0" t="n">
        <f aca="false">Raw_Data!AM89</f>
        <v>3</v>
      </c>
      <c r="F89" s="0" t="n">
        <f aca="false">Raw_Data!AN89</f>
        <v>4</v>
      </c>
      <c r="G89" s="0" t="n">
        <f aca="false">Raw_Data!AO89</f>
        <v>4</v>
      </c>
      <c r="H89" s="0" t="n">
        <f aca="false">SUM(B89:G89)</f>
        <v>19</v>
      </c>
      <c r="I89" s="0" t="n">
        <f aca="false">H89-B89</f>
        <v>17</v>
      </c>
      <c r="J89" s="0" t="n">
        <f aca="false">H89-C89</f>
        <v>17</v>
      </c>
      <c r="K89" s="0" t="n">
        <f aca="false">H89-D89</f>
        <v>15</v>
      </c>
      <c r="L89" s="0" t="n">
        <f aca="false">H89-E89</f>
        <v>16</v>
      </c>
      <c r="M89" s="0" t="n">
        <f aca="false">H89-F89</f>
        <v>15</v>
      </c>
      <c r="N89" s="0" t="n">
        <f aca="false">H89-G89</f>
        <v>15</v>
      </c>
      <c r="O89" s="0" t="n">
        <f aca="false">B89+D89+F89</f>
        <v>10</v>
      </c>
      <c r="P89" s="0" t="n">
        <f aca="false">C89+E89+G89</f>
        <v>9</v>
      </c>
    </row>
    <row r="90" customFormat="false" ht="15" hidden="false" customHeight="false" outlineLevel="0" collapsed="false">
      <c r="A90" s="0" t="n">
        <v>90</v>
      </c>
      <c r="B90" s="0" t="n">
        <f aca="false">Raw_Data!AJ90</f>
        <v>2</v>
      </c>
      <c r="C90" s="0" t="n">
        <f aca="false">Raw_Data!AK90</f>
        <v>4</v>
      </c>
      <c r="D90" s="0" t="n">
        <f aca="false">Raw_Data!AL90</f>
        <v>2</v>
      </c>
      <c r="E90" s="0" t="n">
        <f aca="false">Raw_Data!AM90</f>
        <v>2</v>
      </c>
      <c r="F90" s="0" t="n">
        <f aca="false">Raw_Data!AN90</f>
        <v>3</v>
      </c>
      <c r="G90" s="0" t="n">
        <f aca="false">Raw_Data!AO90</f>
        <v>4</v>
      </c>
      <c r="H90" s="0" t="n">
        <f aca="false">SUM(B90:G90)</f>
        <v>17</v>
      </c>
      <c r="I90" s="0" t="n">
        <f aca="false">H90-B90</f>
        <v>15</v>
      </c>
      <c r="J90" s="0" t="n">
        <f aca="false">H90-C90</f>
        <v>13</v>
      </c>
      <c r="K90" s="0" t="n">
        <f aca="false">H90-D90</f>
        <v>15</v>
      </c>
      <c r="L90" s="0" t="n">
        <f aca="false">H90-E90</f>
        <v>15</v>
      </c>
      <c r="M90" s="0" t="n">
        <f aca="false">H90-F90</f>
        <v>14</v>
      </c>
      <c r="N90" s="0" t="n">
        <f aca="false">H90-G90</f>
        <v>13</v>
      </c>
      <c r="O90" s="0" t="n">
        <f aca="false">B90+D90+F90</f>
        <v>7</v>
      </c>
      <c r="P90" s="0" t="n">
        <f aca="false">C90+E90+G90</f>
        <v>10</v>
      </c>
    </row>
    <row r="91" customFormat="false" ht="15" hidden="false" customHeight="false" outlineLevel="0" collapsed="false">
      <c r="A91" s="0" t="n">
        <v>91</v>
      </c>
      <c r="B91" s="0" t="n">
        <f aca="false">Raw_Data!AJ91</f>
        <v>1</v>
      </c>
      <c r="C91" s="0" t="n">
        <f aca="false">Raw_Data!AK91</f>
        <v>2</v>
      </c>
      <c r="D91" s="0" t="n">
        <f aca="false">Raw_Data!AL91</f>
        <v>4</v>
      </c>
      <c r="E91" s="0" t="n">
        <f aca="false">Raw_Data!AM91</f>
        <v>3</v>
      </c>
      <c r="F91" s="0" t="n">
        <f aca="false">Raw_Data!AN91</f>
        <v>3</v>
      </c>
      <c r="G91" s="0" t="n">
        <f aca="false">Raw_Data!AO91</f>
        <v>3</v>
      </c>
      <c r="H91" s="0" t="n">
        <f aca="false">SUM(B91:G91)</f>
        <v>16</v>
      </c>
      <c r="I91" s="0" t="n">
        <f aca="false">H91-B91</f>
        <v>15</v>
      </c>
      <c r="J91" s="0" t="n">
        <f aca="false">H91-C91</f>
        <v>14</v>
      </c>
      <c r="K91" s="0" t="n">
        <f aca="false">H91-D91</f>
        <v>12</v>
      </c>
      <c r="L91" s="0" t="n">
        <f aca="false">H91-E91</f>
        <v>13</v>
      </c>
      <c r="M91" s="0" t="n">
        <f aca="false">H91-F91</f>
        <v>13</v>
      </c>
      <c r="N91" s="0" t="n">
        <f aca="false">H91-G91</f>
        <v>13</v>
      </c>
      <c r="O91" s="0" t="n">
        <f aca="false">B91+D91+F91</f>
        <v>8</v>
      </c>
      <c r="P91" s="0" t="n">
        <f aca="false">C91+E91+G91</f>
        <v>8</v>
      </c>
    </row>
    <row r="92" customFormat="false" ht="15" hidden="false" customHeight="false" outlineLevel="0" collapsed="false">
      <c r="A92" s="0" t="n">
        <v>92</v>
      </c>
      <c r="B92" s="0" t="n">
        <f aca="false">Raw_Data!AJ92</f>
        <v>4</v>
      </c>
      <c r="C92" s="0" t="n">
        <f aca="false">Raw_Data!AK92</f>
        <v>2</v>
      </c>
      <c r="D92" s="0" t="n">
        <f aca="false">Raw_Data!AL92</f>
        <v>4</v>
      </c>
      <c r="E92" s="0" t="n">
        <f aca="false">Raw_Data!AM92</f>
        <v>3</v>
      </c>
      <c r="F92" s="0" t="n">
        <f aca="false">Raw_Data!AN92</f>
        <v>4</v>
      </c>
      <c r="G92" s="0" t="n">
        <f aca="false">Raw_Data!AO92</f>
        <v>3</v>
      </c>
      <c r="H92" s="0" t="n">
        <f aca="false">SUM(B92:G92)</f>
        <v>20</v>
      </c>
      <c r="I92" s="0" t="n">
        <f aca="false">H92-B92</f>
        <v>16</v>
      </c>
      <c r="J92" s="0" t="n">
        <f aca="false">H92-C92</f>
        <v>18</v>
      </c>
      <c r="K92" s="0" t="n">
        <f aca="false">H92-D92</f>
        <v>16</v>
      </c>
      <c r="L92" s="0" t="n">
        <f aca="false">H92-E92</f>
        <v>17</v>
      </c>
      <c r="M92" s="0" t="n">
        <f aca="false">H92-F92</f>
        <v>16</v>
      </c>
      <c r="N92" s="0" t="n">
        <f aca="false">H92-G92</f>
        <v>17</v>
      </c>
      <c r="O92" s="0" t="n">
        <f aca="false">B92+D92+F92</f>
        <v>12</v>
      </c>
      <c r="P92" s="0" t="n">
        <f aca="false">C92+E92+G92</f>
        <v>8</v>
      </c>
    </row>
    <row r="93" customFormat="false" ht="15" hidden="false" customHeight="false" outlineLevel="0" collapsed="false">
      <c r="A93" s="0" t="n">
        <v>93</v>
      </c>
      <c r="B93" s="0" t="n">
        <f aca="false">Raw_Data!AJ93</f>
        <v>2</v>
      </c>
      <c r="C93" s="0" t="n">
        <f aca="false">Raw_Data!AK93</f>
        <v>4</v>
      </c>
      <c r="D93" s="0" t="n">
        <f aca="false">Raw_Data!AL93</f>
        <v>2</v>
      </c>
      <c r="E93" s="0" t="n">
        <f aca="false">Raw_Data!AM93</f>
        <v>4</v>
      </c>
      <c r="F93" s="0" t="n">
        <f aca="false">Raw_Data!AN93</f>
        <v>4</v>
      </c>
      <c r="G93" s="0" t="n">
        <f aca="false">Raw_Data!AO93</f>
        <v>5</v>
      </c>
      <c r="H93" s="0" t="n">
        <f aca="false">SUM(B93:G93)</f>
        <v>21</v>
      </c>
      <c r="I93" s="0" t="n">
        <f aca="false">H93-B93</f>
        <v>19</v>
      </c>
      <c r="J93" s="0" t="n">
        <f aca="false">H93-C93</f>
        <v>17</v>
      </c>
      <c r="K93" s="0" t="n">
        <f aca="false">H93-D93</f>
        <v>19</v>
      </c>
      <c r="L93" s="0" t="n">
        <f aca="false">H93-E93</f>
        <v>17</v>
      </c>
      <c r="M93" s="0" t="n">
        <f aca="false">H93-F93</f>
        <v>17</v>
      </c>
      <c r="N93" s="0" t="n">
        <f aca="false">H93-G93</f>
        <v>16</v>
      </c>
      <c r="O93" s="0" t="n">
        <f aca="false">B93+D93+F93</f>
        <v>8</v>
      </c>
      <c r="P93" s="0" t="n">
        <f aca="false">C93+E93+G93</f>
        <v>13</v>
      </c>
    </row>
    <row r="94" customFormat="false" ht="15" hidden="false" customHeight="false" outlineLevel="0" collapsed="false">
      <c r="A94" s="0" t="n">
        <v>94</v>
      </c>
      <c r="B94" s="0" t="n">
        <f aca="false">Raw_Data!AJ94</f>
        <v>2</v>
      </c>
      <c r="C94" s="0" t="n">
        <f aca="false">Raw_Data!AK94</f>
        <v>3</v>
      </c>
      <c r="D94" s="0" t="n">
        <f aca="false">Raw_Data!AL94</f>
        <v>2</v>
      </c>
      <c r="E94" s="0" t="n">
        <f aca="false">Raw_Data!AM94</f>
        <v>3</v>
      </c>
      <c r="F94" s="0" t="n">
        <f aca="false">Raw_Data!AN94</f>
        <v>4</v>
      </c>
      <c r="G94" s="0" t="n">
        <f aca="false">Raw_Data!AO94</f>
        <v>3</v>
      </c>
      <c r="H94" s="0" t="n">
        <f aca="false">SUM(B94:G94)</f>
        <v>17</v>
      </c>
      <c r="I94" s="0" t="n">
        <f aca="false">H94-B94</f>
        <v>15</v>
      </c>
      <c r="J94" s="0" t="n">
        <f aca="false">H94-C94</f>
        <v>14</v>
      </c>
      <c r="K94" s="0" t="n">
        <f aca="false">H94-D94</f>
        <v>15</v>
      </c>
      <c r="L94" s="0" t="n">
        <f aca="false">H94-E94</f>
        <v>14</v>
      </c>
      <c r="M94" s="0" t="n">
        <f aca="false">H94-F94</f>
        <v>13</v>
      </c>
      <c r="N94" s="0" t="n">
        <f aca="false">H94-G94</f>
        <v>14</v>
      </c>
      <c r="O94" s="0" t="n">
        <f aca="false">B94+D94+F94</f>
        <v>8</v>
      </c>
      <c r="P94" s="0" t="n">
        <f aca="false">C94+E94+G94</f>
        <v>9</v>
      </c>
    </row>
    <row r="95" customFormat="false" ht="15" hidden="false" customHeight="false" outlineLevel="0" collapsed="false">
      <c r="A95" s="0" t="n">
        <v>95</v>
      </c>
      <c r="B95" s="0" t="n">
        <f aca="false">Raw_Data!AJ95</f>
        <v>4</v>
      </c>
      <c r="C95" s="0" t="n">
        <f aca="false">Raw_Data!AK95</f>
        <v>3</v>
      </c>
      <c r="D95" s="0" t="n">
        <f aca="false">Raw_Data!AL95</f>
        <v>3</v>
      </c>
      <c r="E95" s="0" t="n">
        <f aca="false">Raw_Data!AM95</f>
        <v>3</v>
      </c>
      <c r="F95" s="0" t="n">
        <f aca="false">Raw_Data!AN95</f>
        <v>3</v>
      </c>
      <c r="G95" s="0" t="n">
        <f aca="false">Raw_Data!AO95</f>
        <v>3</v>
      </c>
      <c r="H95" s="0" t="n">
        <f aca="false">SUM(B95:G95)</f>
        <v>19</v>
      </c>
      <c r="I95" s="0" t="n">
        <f aca="false">H95-B95</f>
        <v>15</v>
      </c>
      <c r="J95" s="0" t="n">
        <f aca="false">H95-C95</f>
        <v>16</v>
      </c>
      <c r="K95" s="0" t="n">
        <f aca="false">H95-D95</f>
        <v>16</v>
      </c>
      <c r="L95" s="0" t="n">
        <f aca="false">H95-E95</f>
        <v>16</v>
      </c>
      <c r="M95" s="0" t="n">
        <f aca="false">H95-F95</f>
        <v>16</v>
      </c>
      <c r="N95" s="0" t="n">
        <f aca="false">H95-G95</f>
        <v>16</v>
      </c>
      <c r="O95" s="0" t="n">
        <f aca="false">B95+D95+F95</f>
        <v>10</v>
      </c>
      <c r="P95" s="0" t="n">
        <f aca="false">C95+E95+G95</f>
        <v>9</v>
      </c>
    </row>
    <row r="96" customFormat="false" ht="15" hidden="false" customHeight="false" outlineLevel="0" collapsed="false">
      <c r="A96" s="0" t="n">
        <v>96</v>
      </c>
      <c r="B96" s="0" t="n">
        <f aca="false">Raw_Data!AJ96</f>
        <v>3</v>
      </c>
      <c r="C96" s="0" t="n">
        <f aca="false">Raw_Data!AK96</f>
        <v>4</v>
      </c>
      <c r="D96" s="0" t="n">
        <f aca="false">Raw_Data!AL96</f>
        <v>5</v>
      </c>
      <c r="E96" s="0" t="n">
        <f aca="false">Raw_Data!AM96</f>
        <v>3</v>
      </c>
      <c r="F96" s="0" t="n">
        <f aca="false">Raw_Data!AN96</f>
        <v>3</v>
      </c>
      <c r="G96" s="0" t="n">
        <f aca="false">Raw_Data!AO96</f>
        <v>3</v>
      </c>
      <c r="H96" s="0" t="n">
        <f aca="false">SUM(B96:G96)</f>
        <v>21</v>
      </c>
      <c r="I96" s="0" t="n">
        <f aca="false">H96-B96</f>
        <v>18</v>
      </c>
      <c r="J96" s="0" t="n">
        <f aca="false">H96-C96</f>
        <v>17</v>
      </c>
      <c r="K96" s="0" t="n">
        <f aca="false">H96-D96</f>
        <v>16</v>
      </c>
      <c r="L96" s="0" t="n">
        <f aca="false">H96-E96</f>
        <v>18</v>
      </c>
      <c r="M96" s="0" t="n">
        <f aca="false">H96-F96</f>
        <v>18</v>
      </c>
      <c r="N96" s="0" t="n">
        <f aca="false">H96-G96</f>
        <v>18</v>
      </c>
      <c r="O96" s="0" t="n">
        <f aca="false">B96+D96+F96</f>
        <v>11</v>
      </c>
      <c r="P96" s="0" t="n">
        <f aca="false">C96+E96+G96</f>
        <v>10</v>
      </c>
    </row>
    <row r="97" customFormat="false" ht="15" hidden="false" customHeight="false" outlineLevel="0" collapsed="false">
      <c r="A97" s="0" t="n">
        <v>97</v>
      </c>
      <c r="B97" s="0" t="n">
        <f aca="false">Raw_Data!AJ97</f>
        <v>5</v>
      </c>
      <c r="C97" s="0" t="n">
        <f aca="false">Raw_Data!AK97</f>
        <v>3</v>
      </c>
      <c r="D97" s="0" t="n">
        <f aca="false">Raw_Data!AL97</f>
        <v>5</v>
      </c>
      <c r="E97" s="0" t="n">
        <f aca="false">Raw_Data!AM97</f>
        <v>4</v>
      </c>
      <c r="F97" s="0" t="n">
        <f aca="false">Raw_Data!AN97</f>
        <v>4</v>
      </c>
      <c r="G97" s="0" t="n">
        <f aca="false">Raw_Data!AO97</f>
        <v>4</v>
      </c>
      <c r="H97" s="0" t="n">
        <f aca="false">SUM(B97:G97)</f>
        <v>25</v>
      </c>
      <c r="I97" s="0" t="n">
        <f aca="false">H97-B97</f>
        <v>20</v>
      </c>
      <c r="J97" s="0" t="n">
        <f aca="false">H97-C97</f>
        <v>22</v>
      </c>
      <c r="K97" s="0" t="n">
        <f aca="false">H97-D97</f>
        <v>20</v>
      </c>
      <c r="L97" s="0" t="n">
        <f aca="false">H97-E97</f>
        <v>21</v>
      </c>
      <c r="M97" s="0" t="n">
        <f aca="false">H97-F97</f>
        <v>21</v>
      </c>
      <c r="N97" s="0" t="n">
        <f aca="false">H97-G97</f>
        <v>21</v>
      </c>
      <c r="O97" s="0" t="n">
        <f aca="false">B97+D97+F97</f>
        <v>14</v>
      </c>
      <c r="P97" s="0" t="n">
        <f aca="false">C97+E97+G97</f>
        <v>11</v>
      </c>
    </row>
    <row r="98" customFormat="false" ht="15" hidden="false" customHeight="false" outlineLevel="0" collapsed="false">
      <c r="A98" s="0" t="n">
        <v>98</v>
      </c>
      <c r="B98" s="0" t="n">
        <f aca="false">Raw_Data!AJ98</f>
        <v>5</v>
      </c>
      <c r="C98" s="0" t="n">
        <f aca="false">Raw_Data!AK98</f>
        <v>3</v>
      </c>
      <c r="D98" s="0" t="n">
        <f aca="false">Raw_Data!AL98</f>
        <v>3</v>
      </c>
      <c r="E98" s="0" t="n">
        <f aca="false">Raw_Data!AM98</f>
        <v>3</v>
      </c>
      <c r="F98" s="0" t="n">
        <f aca="false">Raw_Data!AN98</f>
        <v>4</v>
      </c>
      <c r="G98" s="0" t="n">
        <f aca="false">Raw_Data!AO98</f>
        <v>3</v>
      </c>
      <c r="H98" s="0" t="n">
        <f aca="false">SUM(B98:G98)</f>
        <v>21</v>
      </c>
      <c r="I98" s="0" t="n">
        <f aca="false">H98-B98</f>
        <v>16</v>
      </c>
      <c r="J98" s="0" t="n">
        <f aca="false">H98-C98</f>
        <v>18</v>
      </c>
      <c r="K98" s="0" t="n">
        <f aca="false">H98-D98</f>
        <v>18</v>
      </c>
      <c r="L98" s="0" t="n">
        <f aca="false">H98-E98</f>
        <v>18</v>
      </c>
      <c r="M98" s="0" t="n">
        <f aca="false">H98-F98</f>
        <v>17</v>
      </c>
      <c r="N98" s="0" t="n">
        <f aca="false">H98-G98</f>
        <v>18</v>
      </c>
      <c r="O98" s="0" t="n">
        <f aca="false">B98+D98+F98</f>
        <v>12</v>
      </c>
      <c r="P98" s="0" t="n">
        <f aca="false">C98+E98+G98</f>
        <v>9</v>
      </c>
    </row>
    <row r="99" customFormat="false" ht="15" hidden="false" customHeight="false" outlineLevel="0" collapsed="false">
      <c r="A99" s="0" t="n">
        <v>99</v>
      </c>
      <c r="B99" s="0" t="n">
        <f aca="false">Raw_Data!AJ99</f>
        <v>4</v>
      </c>
      <c r="C99" s="0" t="n">
        <f aca="false">Raw_Data!AK99</f>
        <v>4</v>
      </c>
      <c r="D99" s="0" t="n">
        <f aca="false">Raw_Data!AL99</f>
        <v>4</v>
      </c>
      <c r="E99" s="0" t="n">
        <f aca="false">Raw_Data!AM99</f>
        <v>2</v>
      </c>
      <c r="F99" s="0" t="n">
        <f aca="false">Raw_Data!AN99</f>
        <v>3</v>
      </c>
      <c r="G99" s="0" t="n">
        <f aca="false">Raw_Data!AO99</f>
        <v>3</v>
      </c>
      <c r="H99" s="0" t="n">
        <f aca="false">SUM(B99:G99)</f>
        <v>20</v>
      </c>
      <c r="I99" s="0" t="n">
        <f aca="false">H99-B99</f>
        <v>16</v>
      </c>
      <c r="J99" s="0" t="n">
        <f aca="false">H99-C99</f>
        <v>16</v>
      </c>
      <c r="K99" s="0" t="n">
        <f aca="false">H99-D99</f>
        <v>16</v>
      </c>
      <c r="L99" s="0" t="n">
        <f aca="false">H99-E99</f>
        <v>18</v>
      </c>
      <c r="M99" s="0" t="n">
        <f aca="false">H99-F99</f>
        <v>17</v>
      </c>
      <c r="N99" s="0" t="n">
        <f aca="false">H99-G99</f>
        <v>17</v>
      </c>
      <c r="O99" s="0" t="n">
        <f aca="false">B99+D99+F99</f>
        <v>11</v>
      </c>
      <c r="P99" s="0" t="n">
        <f aca="false">C99+E99+G99</f>
        <v>9</v>
      </c>
    </row>
    <row r="100" customFormat="false" ht="15" hidden="false" customHeight="false" outlineLevel="0" collapsed="false">
      <c r="A100" s="0" t="n">
        <v>100</v>
      </c>
      <c r="B100" s="0" t="n">
        <f aca="false">Raw_Data!AJ100</f>
        <v>5</v>
      </c>
      <c r="C100" s="0" t="n">
        <f aca="false">Raw_Data!AK100</f>
        <v>4</v>
      </c>
      <c r="D100" s="0" t="n">
        <f aca="false">Raw_Data!AL100</f>
        <v>5</v>
      </c>
      <c r="E100" s="0" t="n">
        <f aca="false">Raw_Data!AM100</f>
        <v>5</v>
      </c>
      <c r="F100" s="0" t="n">
        <f aca="false">Raw_Data!AN100</f>
        <v>5</v>
      </c>
      <c r="G100" s="0" t="n">
        <f aca="false">Raw_Data!AO100</f>
        <v>3</v>
      </c>
      <c r="H100" s="0" t="n">
        <f aca="false">SUM(B100:G100)</f>
        <v>27</v>
      </c>
      <c r="I100" s="0" t="n">
        <f aca="false">H100-B100</f>
        <v>22</v>
      </c>
      <c r="J100" s="0" t="n">
        <f aca="false">H100-C100</f>
        <v>23</v>
      </c>
      <c r="K100" s="0" t="n">
        <f aca="false">H100-D100</f>
        <v>22</v>
      </c>
      <c r="L100" s="0" t="n">
        <f aca="false">H100-E100</f>
        <v>22</v>
      </c>
      <c r="M100" s="0" t="n">
        <f aca="false">H100-F100</f>
        <v>22</v>
      </c>
      <c r="N100" s="0" t="n">
        <f aca="false">H100-G100</f>
        <v>24</v>
      </c>
      <c r="O100" s="0" t="n">
        <f aca="false">B100+D100+F100</f>
        <v>15</v>
      </c>
      <c r="P100" s="0" t="n">
        <f aca="false">C100+E100+G100</f>
        <v>12</v>
      </c>
    </row>
    <row r="101" customFormat="false" ht="15" hidden="false" customHeight="false" outlineLevel="0" collapsed="false">
      <c r="A101" s="0" t="n">
        <v>101</v>
      </c>
      <c r="B101" s="0" t="n">
        <f aca="false">Raw_Data!AJ101</f>
        <v>4</v>
      </c>
      <c r="C101" s="0" t="n">
        <f aca="false">Raw_Data!AK101</f>
        <v>3</v>
      </c>
      <c r="D101" s="0" t="n">
        <f aca="false">Raw_Data!AL101</f>
        <v>4</v>
      </c>
      <c r="E101" s="0" t="n">
        <f aca="false">Raw_Data!AM101</f>
        <v>4</v>
      </c>
      <c r="F101" s="0" t="n">
        <f aca="false">Raw_Data!AN101</f>
        <v>2</v>
      </c>
      <c r="G101" s="0" t="n">
        <f aca="false">Raw_Data!AO101</f>
        <v>3</v>
      </c>
      <c r="H101" s="0" t="n">
        <f aca="false">SUM(B101:G101)</f>
        <v>20</v>
      </c>
      <c r="I101" s="0" t="n">
        <f aca="false">H101-B101</f>
        <v>16</v>
      </c>
      <c r="J101" s="0" t="n">
        <f aca="false">H101-C101</f>
        <v>17</v>
      </c>
      <c r="K101" s="0" t="n">
        <f aca="false">H101-D101</f>
        <v>16</v>
      </c>
      <c r="L101" s="0" t="n">
        <f aca="false">H101-E101</f>
        <v>16</v>
      </c>
      <c r="M101" s="0" t="n">
        <f aca="false">H101-F101</f>
        <v>18</v>
      </c>
      <c r="N101" s="0" t="n">
        <f aca="false">H101-G101</f>
        <v>17</v>
      </c>
      <c r="O101" s="0" t="n">
        <f aca="false">B101+D101+F101</f>
        <v>10</v>
      </c>
      <c r="P101" s="0" t="n">
        <f aca="false">C101+E101+G101</f>
        <v>10</v>
      </c>
    </row>
    <row r="102" customFormat="false" ht="15" hidden="false" customHeight="false" outlineLevel="0" collapsed="false">
      <c r="A102" s="0" t="n">
        <v>102</v>
      </c>
      <c r="B102" s="0" t="n">
        <f aca="false">Raw_Data!AJ102</f>
        <v>5</v>
      </c>
      <c r="C102" s="0" t="n">
        <f aca="false">Raw_Data!AK102</f>
        <v>3</v>
      </c>
      <c r="D102" s="0" t="n">
        <f aca="false">Raw_Data!AL102</f>
        <v>5</v>
      </c>
      <c r="E102" s="0" t="n">
        <f aca="false">Raw_Data!AM102</f>
        <v>4</v>
      </c>
      <c r="F102" s="0" t="n">
        <f aca="false">Raw_Data!AN102</f>
        <v>4</v>
      </c>
      <c r="G102" s="0" t="n">
        <f aca="false">Raw_Data!AO102</f>
        <v>4</v>
      </c>
      <c r="H102" s="0" t="n">
        <f aca="false">SUM(B102:G102)</f>
        <v>25</v>
      </c>
      <c r="I102" s="0" t="n">
        <f aca="false">H102-B102</f>
        <v>20</v>
      </c>
      <c r="J102" s="0" t="n">
        <f aca="false">H102-C102</f>
        <v>22</v>
      </c>
      <c r="K102" s="0" t="n">
        <f aca="false">H102-D102</f>
        <v>20</v>
      </c>
      <c r="L102" s="0" t="n">
        <f aca="false">H102-E102</f>
        <v>21</v>
      </c>
      <c r="M102" s="0" t="n">
        <f aca="false">H102-F102</f>
        <v>21</v>
      </c>
      <c r="N102" s="0" t="n">
        <f aca="false">H102-G102</f>
        <v>21</v>
      </c>
      <c r="O102" s="0" t="n">
        <f aca="false">B102+D102+F102</f>
        <v>14</v>
      </c>
      <c r="P102" s="0" t="n">
        <f aca="false">C102+E102+G102</f>
        <v>11</v>
      </c>
    </row>
    <row r="103" customFormat="false" ht="15" hidden="false" customHeight="false" outlineLevel="0" collapsed="false">
      <c r="A103" s="0" t="n">
        <v>103</v>
      </c>
      <c r="B103" s="0" t="n">
        <f aca="false">Raw_Data!AJ103</f>
        <v>5</v>
      </c>
      <c r="C103" s="0" t="n">
        <f aca="false">Raw_Data!AK103</f>
        <v>5</v>
      </c>
      <c r="D103" s="0" t="n">
        <f aca="false">Raw_Data!AL103</f>
        <v>5</v>
      </c>
      <c r="E103" s="0" t="n">
        <f aca="false">Raw_Data!AM103</f>
        <v>5</v>
      </c>
      <c r="F103" s="0" t="n">
        <f aca="false">Raw_Data!AN103</f>
        <v>3</v>
      </c>
      <c r="G103" s="0" t="n">
        <f aca="false">Raw_Data!AO103</f>
        <v>4</v>
      </c>
      <c r="H103" s="0" t="n">
        <f aca="false">SUM(B103:G103)</f>
        <v>27</v>
      </c>
      <c r="I103" s="0" t="n">
        <f aca="false">H103-B103</f>
        <v>22</v>
      </c>
      <c r="J103" s="0" t="n">
        <f aca="false">H103-C103</f>
        <v>22</v>
      </c>
      <c r="K103" s="0" t="n">
        <f aca="false">H103-D103</f>
        <v>22</v>
      </c>
      <c r="L103" s="0" t="n">
        <f aca="false">H103-E103</f>
        <v>22</v>
      </c>
      <c r="M103" s="0" t="n">
        <f aca="false">H103-F103</f>
        <v>24</v>
      </c>
      <c r="N103" s="0" t="n">
        <f aca="false">H103-G103</f>
        <v>23</v>
      </c>
      <c r="O103" s="0" t="n">
        <f aca="false">B103+D103+F103</f>
        <v>13</v>
      </c>
      <c r="P103" s="0" t="n">
        <f aca="false">C103+E103+G103</f>
        <v>14</v>
      </c>
    </row>
    <row r="104" customFormat="false" ht="15" hidden="false" customHeight="false" outlineLevel="0" collapsed="false">
      <c r="A104" s="0" t="n">
        <v>104</v>
      </c>
      <c r="B104" s="0" t="n">
        <f aca="false">Raw_Data!AJ104</f>
        <v>4</v>
      </c>
      <c r="C104" s="0" t="n">
        <f aca="false">Raw_Data!AK104</f>
        <v>3</v>
      </c>
      <c r="D104" s="0" t="n">
        <f aca="false">Raw_Data!AL104</f>
        <v>3</v>
      </c>
      <c r="E104" s="0" t="n">
        <f aca="false">Raw_Data!AM104</f>
        <v>3</v>
      </c>
      <c r="F104" s="0" t="n">
        <f aca="false">Raw_Data!AN104</f>
        <v>2</v>
      </c>
      <c r="G104" s="0" t="n">
        <f aca="false">Raw_Data!AO104</f>
        <v>4</v>
      </c>
      <c r="H104" s="0" t="n">
        <f aca="false">SUM(B104:G104)</f>
        <v>19</v>
      </c>
      <c r="I104" s="0" t="n">
        <f aca="false">H104-B104</f>
        <v>15</v>
      </c>
      <c r="J104" s="0" t="n">
        <f aca="false">H104-C104</f>
        <v>16</v>
      </c>
      <c r="K104" s="0" t="n">
        <f aca="false">H104-D104</f>
        <v>16</v>
      </c>
      <c r="L104" s="0" t="n">
        <f aca="false">H104-E104</f>
        <v>16</v>
      </c>
      <c r="M104" s="0" t="n">
        <f aca="false">H104-F104</f>
        <v>17</v>
      </c>
      <c r="N104" s="0" t="n">
        <f aca="false">H104-G104</f>
        <v>15</v>
      </c>
      <c r="O104" s="0" t="n">
        <f aca="false">B104+D104+F104</f>
        <v>9</v>
      </c>
      <c r="P104" s="0" t="n">
        <f aca="false">C104+E104+G104</f>
        <v>10</v>
      </c>
    </row>
    <row r="105" customFormat="false" ht="15" hidden="false" customHeight="false" outlineLevel="0" collapsed="false">
      <c r="A105" s="0" t="n">
        <v>105</v>
      </c>
      <c r="B105" s="0" t="n">
        <f aca="false">Raw_Data!AJ105</f>
        <v>4</v>
      </c>
      <c r="C105" s="0" t="n">
        <f aca="false">Raw_Data!AK105</f>
        <v>2</v>
      </c>
      <c r="D105" s="0" t="n">
        <f aca="false">Raw_Data!AL105</f>
        <v>5</v>
      </c>
      <c r="E105" s="0" t="n">
        <f aca="false">Raw_Data!AM105</f>
        <v>4</v>
      </c>
      <c r="F105" s="0" t="n">
        <f aca="false">Raw_Data!AN105</f>
        <v>2</v>
      </c>
      <c r="G105" s="0" t="n">
        <f aca="false">Raw_Data!AO105</f>
        <v>3</v>
      </c>
      <c r="H105" s="0" t="n">
        <f aca="false">SUM(B105:G105)</f>
        <v>20</v>
      </c>
      <c r="I105" s="0" t="n">
        <f aca="false">H105-B105</f>
        <v>16</v>
      </c>
      <c r="J105" s="0" t="n">
        <f aca="false">H105-C105</f>
        <v>18</v>
      </c>
      <c r="K105" s="0" t="n">
        <f aca="false">H105-D105</f>
        <v>15</v>
      </c>
      <c r="L105" s="0" t="n">
        <f aca="false">H105-E105</f>
        <v>16</v>
      </c>
      <c r="M105" s="0" t="n">
        <f aca="false">H105-F105</f>
        <v>18</v>
      </c>
      <c r="N105" s="0" t="n">
        <f aca="false">H105-G105</f>
        <v>17</v>
      </c>
      <c r="O105" s="0" t="n">
        <f aca="false">B105+D105+F105</f>
        <v>11</v>
      </c>
      <c r="P105" s="0" t="n">
        <f aca="false">C105+E105+G105</f>
        <v>9</v>
      </c>
    </row>
    <row r="106" customFormat="false" ht="15" hidden="false" customHeight="false" outlineLevel="0" collapsed="false">
      <c r="A106" s="0" t="n">
        <v>106</v>
      </c>
      <c r="B106" s="0" t="n">
        <f aca="false">Raw_Data!AJ106</f>
        <v>2</v>
      </c>
      <c r="C106" s="0" t="n">
        <f aca="false">Raw_Data!AK106</f>
        <v>2</v>
      </c>
      <c r="D106" s="0" t="n">
        <f aca="false">Raw_Data!AL106</f>
        <v>4</v>
      </c>
      <c r="E106" s="0" t="n">
        <f aca="false">Raw_Data!AM106</f>
        <v>2</v>
      </c>
      <c r="F106" s="0" t="n">
        <f aca="false">Raw_Data!AN106</f>
        <v>4</v>
      </c>
      <c r="G106" s="0" t="n">
        <f aca="false">Raw_Data!AO106</f>
        <v>1</v>
      </c>
      <c r="H106" s="0" t="n">
        <f aca="false">SUM(B106:G106)</f>
        <v>15</v>
      </c>
      <c r="I106" s="0" t="n">
        <f aca="false">H106-B106</f>
        <v>13</v>
      </c>
      <c r="J106" s="0" t="n">
        <f aca="false">H106-C106</f>
        <v>13</v>
      </c>
      <c r="K106" s="0" t="n">
        <f aca="false">H106-D106</f>
        <v>11</v>
      </c>
      <c r="L106" s="0" t="n">
        <f aca="false">H106-E106</f>
        <v>13</v>
      </c>
      <c r="M106" s="0" t="n">
        <f aca="false">H106-F106</f>
        <v>11</v>
      </c>
      <c r="N106" s="0" t="n">
        <f aca="false">H106-G106</f>
        <v>14</v>
      </c>
      <c r="O106" s="0" t="n">
        <f aca="false">B106+D106+F106</f>
        <v>10</v>
      </c>
      <c r="P106" s="0" t="n">
        <f aca="false">C106+E106+G106</f>
        <v>5</v>
      </c>
    </row>
    <row r="107" customFormat="false" ht="15" hidden="false" customHeight="false" outlineLevel="0" collapsed="false">
      <c r="A107" s="0" t="n">
        <v>107</v>
      </c>
      <c r="B107" s="0" t="n">
        <f aca="false">Raw_Data!AJ107</f>
        <v>5</v>
      </c>
      <c r="C107" s="0" t="n">
        <f aca="false">Raw_Data!AK107</f>
        <v>2</v>
      </c>
      <c r="D107" s="0" t="n">
        <f aca="false">Raw_Data!AL107</f>
        <v>5</v>
      </c>
      <c r="E107" s="0" t="n">
        <f aca="false">Raw_Data!AM107</f>
        <v>3</v>
      </c>
      <c r="F107" s="0" t="n">
        <f aca="false">Raw_Data!AN107</f>
        <v>4</v>
      </c>
      <c r="G107" s="0" t="n">
        <f aca="false">Raw_Data!AO107</f>
        <v>1</v>
      </c>
      <c r="H107" s="0" t="n">
        <f aca="false">SUM(B107:G107)</f>
        <v>20</v>
      </c>
      <c r="I107" s="0" t="n">
        <f aca="false">H107-B107</f>
        <v>15</v>
      </c>
      <c r="J107" s="0" t="n">
        <f aca="false">H107-C107</f>
        <v>18</v>
      </c>
      <c r="K107" s="0" t="n">
        <f aca="false">H107-D107</f>
        <v>15</v>
      </c>
      <c r="L107" s="0" t="n">
        <f aca="false">H107-E107</f>
        <v>17</v>
      </c>
      <c r="M107" s="0" t="n">
        <f aca="false">H107-F107</f>
        <v>16</v>
      </c>
      <c r="N107" s="0" t="n">
        <f aca="false">H107-G107</f>
        <v>19</v>
      </c>
      <c r="O107" s="0" t="n">
        <f aca="false">B107+D107+F107</f>
        <v>14</v>
      </c>
      <c r="P107" s="0" t="n">
        <f aca="false">C107+E107+G107</f>
        <v>6</v>
      </c>
    </row>
    <row r="108" customFormat="false" ht="15" hidden="false" customHeight="false" outlineLevel="0" collapsed="false">
      <c r="A108" s="0" t="n">
        <v>108</v>
      </c>
      <c r="B108" s="0" t="n">
        <f aca="false">Raw_Data!AJ108</f>
        <v>4</v>
      </c>
      <c r="C108" s="0" t="n">
        <f aca="false">Raw_Data!AK108</f>
        <v>3</v>
      </c>
      <c r="D108" s="0" t="n">
        <f aca="false">Raw_Data!AL108</f>
        <v>3</v>
      </c>
      <c r="E108" s="0" t="n">
        <f aca="false">Raw_Data!AM108</f>
        <v>3</v>
      </c>
      <c r="F108" s="0" t="n">
        <f aca="false">Raw_Data!AN108</f>
        <v>3</v>
      </c>
      <c r="G108" s="0" t="n">
        <f aca="false">Raw_Data!AO108</f>
        <v>3</v>
      </c>
      <c r="H108" s="0" t="n">
        <f aca="false">SUM(B108:G108)</f>
        <v>19</v>
      </c>
      <c r="I108" s="0" t="n">
        <f aca="false">H108-B108</f>
        <v>15</v>
      </c>
      <c r="J108" s="0" t="n">
        <f aca="false">H108-C108</f>
        <v>16</v>
      </c>
      <c r="K108" s="0" t="n">
        <f aca="false">H108-D108</f>
        <v>16</v>
      </c>
      <c r="L108" s="0" t="n">
        <f aca="false">H108-E108</f>
        <v>16</v>
      </c>
      <c r="M108" s="0" t="n">
        <f aca="false">H108-F108</f>
        <v>16</v>
      </c>
      <c r="N108" s="0" t="n">
        <f aca="false">H108-G108</f>
        <v>16</v>
      </c>
      <c r="O108" s="0" t="n">
        <f aca="false">B108+D108+F108</f>
        <v>10</v>
      </c>
      <c r="P108" s="0" t="n">
        <f aca="false">C108+E108+G108</f>
        <v>9</v>
      </c>
    </row>
    <row r="109" customFormat="false" ht="15" hidden="false" customHeight="false" outlineLevel="0" collapsed="false">
      <c r="A109" s="0" t="n">
        <v>109</v>
      </c>
      <c r="B109" s="0" t="n">
        <f aca="false">Raw_Data!AJ109</f>
        <v>3</v>
      </c>
      <c r="C109" s="0" t="n">
        <f aca="false">Raw_Data!AK109</f>
        <v>3</v>
      </c>
      <c r="D109" s="0" t="n">
        <f aca="false">Raw_Data!AL109</f>
        <v>3</v>
      </c>
      <c r="E109" s="0" t="n">
        <f aca="false">Raw_Data!AM109</f>
        <v>2</v>
      </c>
      <c r="F109" s="0" t="n">
        <f aca="false">Raw_Data!AN109</f>
        <v>2</v>
      </c>
      <c r="G109" s="0" t="n">
        <f aca="false">Raw_Data!AO109</f>
        <v>2</v>
      </c>
      <c r="H109" s="0" t="n">
        <f aca="false">SUM(B109:G109)</f>
        <v>15</v>
      </c>
      <c r="I109" s="0" t="n">
        <f aca="false">H109-B109</f>
        <v>12</v>
      </c>
      <c r="J109" s="0" t="n">
        <f aca="false">H109-C109</f>
        <v>12</v>
      </c>
      <c r="K109" s="0" t="n">
        <f aca="false">H109-D109</f>
        <v>12</v>
      </c>
      <c r="L109" s="0" t="n">
        <f aca="false">H109-E109</f>
        <v>13</v>
      </c>
      <c r="M109" s="0" t="n">
        <f aca="false">H109-F109</f>
        <v>13</v>
      </c>
      <c r="N109" s="0" t="n">
        <f aca="false">H109-G109</f>
        <v>13</v>
      </c>
      <c r="O109" s="0" t="n">
        <f aca="false">B109+D109+F109</f>
        <v>8</v>
      </c>
      <c r="P109" s="0" t="n">
        <f aca="false">C109+E109+G109</f>
        <v>7</v>
      </c>
    </row>
    <row r="110" customFormat="false" ht="15" hidden="false" customHeight="false" outlineLevel="0" collapsed="false">
      <c r="A110" s="0" t="n">
        <v>110</v>
      </c>
      <c r="B110" s="0" t="n">
        <f aca="false">Raw_Data!AJ110</f>
        <v>3</v>
      </c>
      <c r="C110" s="0" t="n">
        <f aca="false">Raw_Data!AK110</f>
        <v>2</v>
      </c>
      <c r="D110" s="0" t="n">
        <f aca="false">Raw_Data!AL110</f>
        <v>2</v>
      </c>
      <c r="E110" s="0" t="n">
        <f aca="false">Raw_Data!AM110</f>
        <v>3</v>
      </c>
      <c r="F110" s="0" t="n">
        <f aca="false">Raw_Data!AN110</f>
        <v>2</v>
      </c>
      <c r="G110" s="0" t="n">
        <f aca="false">Raw_Data!AO110</f>
        <v>2</v>
      </c>
      <c r="H110" s="0" t="n">
        <f aca="false">SUM(B110:G110)</f>
        <v>14</v>
      </c>
      <c r="I110" s="0" t="n">
        <f aca="false">H110-B110</f>
        <v>11</v>
      </c>
      <c r="J110" s="0" t="n">
        <f aca="false">H110-C110</f>
        <v>12</v>
      </c>
      <c r="K110" s="0" t="n">
        <f aca="false">H110-D110</f>
        <v>12</v>
      </c>
      <c r="L110" s="0" t="n">
        <f aca="false">H110-E110</f>
        <v>11</v>
      </c>
      <c r="M110" s="0" t="n">
        <f aca="false">H110-F110</f>
        <v>12</v>
      </c>
      <c r="N110" s="0" t="n">
        <f aca="false">H110-G110</f>
        <v>12</v>
      </c>
      <c r="O110" s="0" t="n">
        <f aca="false">B110+D110+F110</f>
        <v>7</v>
      </c>
      <c r="P110" s="0" t="n">
        <f aca="false">C110+E110+G110</f>
        <v>7</v>
      </c>
    </row>
    <row r="111" customFormat="false" ht="15" hidden="false" customHeight="false" outlineLevel="0" collapsed="false">
      <c r="A111" s="0" t="n">
        <v>111</v>
      </c>
      <c r="B111" s="0" t="n">
        <f aca="false">Raw_Data!AJ111</f>
        <v>5</v>
      </c>
      <c r="C111" s="0" t="n">
        <f aca="false">Raw_Data!AK111</f>
        <v>3</v>
      </c>
      <c r="D111" s="0" t="n">
        <f aca="false">Raw_Data!AL111</f>
        <v>5</v>
      </c>
      <c r="E111" s="0" t="n">
        <f aca="false">Raw_Data!AM111</f>
        <v>4</v>
      </c>
      <c r="F111" s="0" t="n">
        <f aca="false">Raw_Data!AN111</f>
        <v>2</v>
      </c>
      <c r="G111" s="0" t="n">
        <f aca="false">Raw_Data!AO111</f>
        <v>4</v>
      </c>
      <c r="H111" s="0" t="n">
        <f aca="false">SUM(B111:G111)</f>
        <v>23</v>
      </c>
      <c r="I111" s="0" t="n">
        <f aca="false">H111-B111</f>
        <v>18</v>
      </c>
      <c r="J111" s="0" t="n">
        <f aca="false">H111-C111</f>
        <v>20</v>
      </c>
      <c r="K111" s="0" t="n">
        <f aca="false">H111-D111</f>
        <v>18</v>
      </c>
      <c r="L111" s="0" t="n">
        <f aca="false">H111-E111</f>
        <v>19</v>
      </c>
      <c r="M111" s="0" t="n">
        <f aca="false">H111-F111</f>
        <v>21</v>
      </c>
      <c r="N111" s="0" t="n">
        <f aca="false">H111-G111</f>
        <v>19</v>
      </c>
      <c r="O111" s="0" t="n">
        <f aca="false">B111+D111+F111</f>
        <v>12</v>
      </c>
      <c r="P111" s="0" t="n">
        <f aca="false">C111+E111+G111</f>
        <v>11</v>
      </c>
    </row>
    <row r="112" customFormat="false" ht="15" hidden="false" customHeight="false" outlineLevel="0" collapsed="false">
      <c r="A112" s="0" t="n">
        <v>112</v>
      </c>
      <c r="B112" s="0" t="n">
        <f aca="false">Raw_Data!AJ112</f>
        <v>4</v>
      </c>
      <c r="C112" s="0" t="n">
        <f aca="false">Raw_Data!AK112</f>
        <v>4</v>
      </c>
      <c r="D112" s="0" t="n">
        <f aca="false">Raw_Data!AL112</f>
        <v>4</v>
      </c>
      <c r="E112" s="0" t="n">
        <f aca="false">Raw_Data!AM112</f>
        <v>4</v>
      </c>
      <c r="F112" s="0" t="n">
        <f aca="false">Raw_Data!AN112</f>
        <v>2</v>
      </c>
      <c r="G112" s="0" t="n">
        <f aca="false">Raw_Data!AO112</f>
        <v>3</v>
      </c>
      <c r="H112" s="0" t="n">
        <f aca="false">SUM(B112:G112)</f>
        <v>21</v>
      </c>
      <c r="I112" s="0" t="n">
        <f aca="false">H112-B112</f>
        <v>17</v>
      </c>
      <c r="J112" s="0" t="n">
        <f aca="false">H112-C112</f>
        <v>17</v>
      </c>
      <c r="K112" s="0" t="n">
        <f aca="false">H112-D112</f>
        <v>17</v>
      </c>
      <c r="L112" s="0" t="n">
        <f aca="false">H112-E112</f>
        <v>17</v>
      </c>
      <c r="M112" s="0" t="n">
        <f aca="false">H112-F112</f>
        <v>19</v>
      </c>
      <c r="N112" s="0" t="n">
        <f aca="false">H112-G112</f>
        <v>18</v>
      </c>
      <c r="O112" s="0" t="n">
        <f aca="false">B112+D112+F112</f>
        <v>10</v>
      </c>
      <c r="P112" s="0" t="n">
        <f aca="false">C112+E112+G112</f>
        <v>11</v>
      </c>
    </row>
    <row r="113" customFormat="false" ht="15" hidden="false" customHeight="false" outlineLevel="0" collapsed="false">
      <c r="A113" s="0" t="n">
        <v>113</v>
      </c>
      <c r="B113" s="0" t="n">
        <f aca="false">Raw_Data!AJ113</f>
        <v>2</v>
      </c>
      <c r="C113" s="0" t="n">
        <f aca="false">Raw_Data!AK113</f>
        <v>5</v>
      </c>
      <c r="D113" s="0" t="n">
        <f aca="false">Raw_Data!AL113</f>
        <v>3</v>
      </c>
      <c r="E113" s="0" t="n">
        <f aca="false">Raw_Data!AM113</f>
        <v>2</v>
      </c>
      <c r="F113" s="0" t="n">
        <f aca="false">Raw_Data!AN113</f>
        <v>2</v>
      </c>
      <c r="G113" s="0" t="n">
        <f aca="false">Raw_Data!AO113</f>
        <v>5</v>
      </c>
      <c r="H113" s="0" t="n">
        <f aca="false">SUM(B113:G113)</f>
        <v>19</v>
      </c>
      <c r="I113" s="0" t="n">
        <f aca="false">H113-B113</f>
        <v>17</v>
      </c>
      <c r="J113" s="0" t="n">
        <f aca="false">H113-C113</f>
        <v>14</v>
      </c>
      <c r="K113" s="0" t="n">
        <f aca="false">H113-D113</f>
        <v>16</v>
      </c>
      <c r="L113" s="0" t="n">
        <f aca="false">H113-E113</f>
        <v>17</v>
      </c>
      <c r="M113" s="0" t="n">
        <f aca="false">H113-F113</f>
        <v>17</v>
      </c>
      <c r="N113" s="0" t="n">
        <f aca="false">H113-G113</f>
        <v>14</v>
      </c>
      <c r="O113" s="0" t="n">
        <f aca="false">B113+D113+F113</f>
        <v>7</v>
      </c>
      <c r="P113" s="0" t="n">
        <f aca="false">C113+E113+G113</f>
        <v>12</v>
      </c>
    </row>
    <row r="114" customFormat="false" ht="15" hidden="false" customHeight="false" outlineLevel="0" collapsed="false">
      <c r="A114" s="0" t="n">
        <v>114</v>
      </c>
      <c r="B114" s="0" t="n">
        <f aca="false">Raw_Data!AJ114</f>
        <v>3</v>
      </c>
      <c r="C114" s="0" t="n">
        <f aca="false">Raw_Data!AK114</f>
        <v>4</v>
      </c>
      <c r="D114" s="0" t="n">
        <f aca="false">Raw_Data!AL114</f>
        <v>3</v>
      </c>
      <c r="E114" s="0" t="n">
        <f aca="false">Raw_Data!AM114</f>
        <v>3</v>
      </c>
      <c r="F114" s="0" t="n">
        <f aca="false">Raw_Data!AN114</f>
        <v>4</v>
      </c>
      <c r="G114" s="0" t="n">
        <f aca="false">Raw_Data!AO114</f>
        <v>2</v>
      </c>
      <c r="H114" s="0" t="n">
        <f aca="false">SUM(B114:G114)</f>
        <v>19</v>
      </c>
      <c r="I114" s="0" t="n">
        <f aca="false">H114-B114</f>
        <v>16</v>
      </c>
      <c r="J114" s="0" t="n">
        <f aca="false">H114-C114</f>
        <v>15</v>
      </c>
      <c r="K114" s="0" t="n">
        <f aca="false">H114-D114</f>
        <v>16</v>
      </c>
      <c r="L114" s="0" t="n">
        <f aca="false">H114-E114</f>
        <v>16</v>
      </c>
      <c r="M114" s="0" t="n">
        <f aca="false">H114-F114</f>
        <v>15</v>
      </c>
      <c r="N114" s="0" t="n">
        <f aca="false">H114-G114</f>
        <v>17</v>
      </c>
      <c r="O114" s="0" t="n">
        <f aca="false">B114+D114+F114</f>
        <v>10</v>
      </c>
      <c r="P114" s="0" t="n">
        <f aca="false">C114+E114+G114</f>
        <v>9</v>
      </c>
    </row>
    <row r="115" customFormat="false" ht="15" hidden="false" customHeight="false" outlineLevel="0" collapsed="false">
      <c r="A115" s="0" t="n">
        <v>115</v>
      </c>
      <c r="B115" s="0" t="n">
        <f aca="false">Raw_Data!AJ115</f>
        <v>4</v>
      </c>
      <c r="C115" s="0" t="n">
        <f aca="false">Raw_Data!AK115</f>
        <v>4</v>
      </c>
      <c r="D115" s="0" t="n">
        <f aca="false">Raw_Data!AL115</f>
        <v>4</v>
      </c>
      <c r="E115" s="0" t="n">
        <f aca="false">Raw_Data!AM115</f>
        <v>3</v>
      </c>
      <c r="F115" s="0" t="n">
        <f aca="false">Raw_Data!AN115</f>
        <v>4</v>
      </c>
      <c r="G115" s="0" t="n">
        <f aca="false">Raw_Data!AO115</f>
        <v>2</v>
      </c>
      <c r="H115" s="0" t="n">
        <f aca="false">SUM(B115:G115)</f>
        <v>21</v>
      </c>
      <c r="I115" s="0" t="n">
        <f aca="false">H115-B115</f>
        <v>17</v>
      </c>
      <c r="J115" s="0" t="n">
        <f aca="false">H115-C115</f>
        <v>17</v>
      </c>
      <c r="K115" s="0" t="n">
        <f aca="false">H115-D115</f>
        <v>17</v>
      </c>
      <c r="L115" s="0" t="n">
        <f aca="false">H115-E115</f>
        <v>18</v>
      </c>
      <c r="M115" s="0" t="n">
        <f aca="false">H115-F115</f>
        <v>17</v>
      </c>
      <c r="N115" s="0" t="n">
        <f aca="false">H115-G115</f>
        <v>19</v>
      </c>
      <c r="O115" s="0" t="n">
        <f aca="false">B115+D115+F115</f>
        <v>12</v>
      </c>
      <c r="P115" s="0" t="n">
        <f aca="false">C115+E115+G115</f>
        <v>9</v>
      </c>
    </row>
    <row r="116" customFormat="false" ht="15" hidden="false" customHeight="false" outlineLevel="0" collapsed="false">
      <c r="A116" s="0" t="n">
        <v>116</v>
      </c>
      <c r="B116" s="0" t="n">
        <f aca="false">Raw_Data!AJ116</f>
        <v>4</v>
      </c>
      <c r="C116" s="0" t="n">
        <f aca="false">Raw_Data!AK116</f>
        <v>4</v>
      </c>
      <c r="D116" s="0" t="n">
        <f aca="false">Raw_Data!AL116</f>
        <v>2</v>
      </c>
      <c r="E116" s="0" t="n">
        <f aca="false">Raw_Data!AM116</f>
        <v>3</v>
      </c>
      <c r="F116" s="0" t="n">
        <f aca="false">Raw_Data!AN116</f>
        <v>3</v>
      </c>
      <c r="G116" s="0" t="n">
        <f aca="false">Raw_Data!AO116</f>
        <v>3</v>
      </c>
      <c r="H116" s="0" t="n">
        <f aca="false">SUM(B116:G116)</f>
        <v>19</v>
      </c>
      <c r="I116" s="0" t="n">
        <f aca="false">H116-B116</f>
        <v>15</v>
      </c>
      <c r="J116" s="0" t="n">
        <f aca="false">H116-C116</f>
        <v>15</v>
      </c>
      <c r="K116" s="0" t="n">
        <f aca="false">H116-D116</f>
        <v>17</v>
      </c>
      <c r="L116" s="0" t="n">
        <f aca="false">H116-E116</f>
        <v>16</v>
      </c>
      <c r="M116" s="0" t="n">
        <f aca="false">H116-F116</f>
        <v>16</v>
      </c>
      <c r="N116" s="0" t="n">
        <f aca="false">H116-G116</f>
        <v>16</v>
      </c>
      <c r="O116" s="0" t="n">
        <f aca="false">B116+D116+F116</f>
        <v>9</v>
      </c>
      <c r="P116" s="0" t="n">
        <f aca="false">C116+E116+G116</f>
        <v>10</v>
      </c>
    </row>
    <row r="117" customFormat="false" ht="15" hidden="false" customHeight="false" outlineLevel="0" collapsed="false">
      <c r="A117" s="0" t="n">
        <v>117</v>
      </c>
      <c r="B117" s="0" t="n">
        <f aca="false">Raw_Data!AJ117</f>
        <v>4</v>
      </c>
      <c r="C117" s="0" t="n">
        <f aca="false">Raw_Data!AK117</f>
        <v>4</v>
      </c>
      <c r="D117" s="0" t="n">
        <f aca="false">Raw_Data!AL117</f>
        <v>4</v>
      </c>
      <c r="E117" s="0" t="n">
        <f aca="false">Raw_Data!AM117</f>
        <v>3</v>
      </c>
      <c r="F117" s="0" t="n">
        <f aca="false">Raw_Data!AN117</f>
        <v>4</v>
      </c>
      <c r="G117" s="0" t="n">
        <f aca="false">Raw_Data!AO117</f>
        <v>4</v>
      </c>
      <c r="H117" s="0" t="n">
        <f aca="false">SUM(B117:G117)</f>
        <v>23</v>
      </c>
      <c r="I117" s="0" t="n">
        <f aca="false">H117-B117</f>
        <v>19</v>
      </c>
      <c r="J117" s="0" t="n">
        <f aca="false">H117-C117</f>
        <v>19</v>
      </c>
      <c r="K117" s="0" t="n">
        <f aca="false">H117-D117</f>
        <v>19</v>
      </c>
      <c r="L117" s="0" t="n">
        <f aca="false">H117-E117</f>
        <v>20</v>
      </c>
      <c r="M117" s="0" t="n">
        <f aca="false">H117-F117</f>
        <v>19</v>
      </c>
      <c r="N117" s="0" t="n">
        <f aca="false">H117-G117</f>
        <v>19</v>
      </c>
      <c r="O117" s="0" t="n">
        <f aca="false">B117+D117+F117</f>
        <v>12</v>
      </c>
      <c r="P117" s="0" t="n">
        <f aca="false">C117+E117+G117</f>
        <v>11</v>
      </c>
    </row>
    <row r="118" customFormat="false" ht="15" hidden="false" customHeight="false" outlineLevel="0" collapsed="false">
      <c r="A118" s="0" t="n">
        <v>118</v>
      </c>
      <c r="B118" s="0" t="n">
        <f aca="false">Raw_Data!AJ118</f>
        <v>4</v>
      </c>
      <c r="C118" s="0" t="n">
        <f aca="false">Raw_Data!AK118</f>
        <v>3</v>
      </c>
      <c r="D118" s="0" t="n">
        <f aca="false">Raw_Data!AL118</f>
        <v>4</v>
      </c>
      <c r="E118" s="0" t="n">
        <f aca="false">Raw_Data!AM118</f>
        <v>3</v>
      </c>
      <c r="F118" s="0" t="n">
        <f aca="false">Raw_Data!AN118</f>
        <v>4</v>
      </c>
      <c r="G118" s="0" t="n">
        <f aca="false">Raw_Data!AO118</f>
        <v>3</v>
      </c>
      <c r="H118" s="0" t="n">
        <f aca="false">SUM(B118:G118)</f>
        <v>21</v>
      </c>
      <c r="I118" s="0" t="n">
        <f aca="false">H118-B118</f>
        <v>17</v>
      </c>
      <c r="J118" s="0" t="n">
        <f aca="false">H118-C118</f>
        <v>18</v>
      </c>
      <c r="K118" s="0" t="n">
        <f aca="false">H118-D118</f>
        <v>17</v>
      </c>
      <c r="L118" s="0" t="n">
        <f aca="false">H118-E118</f>
        <v>18</v>
      </c>
      <c r="M118" s="0" t="n">
        <f aca="false">H118-F118</f>
        <v>17</v>
      </c>
      <c r="N118" s="0" t="n">
        <f aca="false">H118-G118</f>
        <v>18</v>
      </c>
      <c r="O118" s="0" t="n">
        <f aca="false">B118+D118+F118</f>
        <v>12</v>
      </c>
      <c r="P118" s="0" t="n">
        <f aca="false">C118+E118+G118</f>
        <v>9</v>
      </c>
    </row>
    <row r="119" customFormat="false" ht="15" hidden="false" customHeight="false" outlineLevel="0" collapsed="false">
      <c r="A119" s="0" t="n">
        <v>119</v>
      </c>
      <c r="B119" s="0" t="n">
        <f aca="false">Raw_Data!AJ119</f>
        <v>2</v>
      </c>
      <c r="C119" s="0" t="n">
        <f aca="false">Raw_Data!AK119</f>
        <v>3</v>
      </c>
      <c r="D119" s="0" t="n">
        <f aca="false">Raw_Data!AL119</f>
        <v>4</v>
      </c>
      <c r="E119" s="0" t="n">
        <f aca="false">Raw_Data!AM119</f>
        <v>3</v>
      </c>
      <c r="F119" s="0" t="n">
        <f aca="false">Raw_Data!AN119</f>
        <v>4</v>
      </c>
      <c r="G119" s="0" t="n">
        <f aca="false">Raw_Data!AO119</f>
        <v>2</v>
      </c>
      <c r="H119" s="0" t="n">
        <f aca="false">SUM(B119:G119)</f>
        <v>18</v>
      </c>
      <c r="I119" s="0" t="n">
        <f aca="false">H119-B119</f>
        <v>16</v>
      </c>
      <c r="J119" s="0" t="n">
        <f aca="false">H119-C119</f>
        <v>15</v>
      </c>
      <c r="K119" s="0" t="n">
        <f aca="false">H119-D119</f>
        <v>14</v>
      </c>
      <c r="L119" s="0" t="n">
        <f aca="false">H119-E119</f>
        <v>15</v>
      </c>
      <c r="M119" s="0" t="n">
        <f aca="false">H119-F119</f>
        <v>14</v>
      </c>
      <c r="N119" s="0" t="n">
        <f aca="false">H119-G119</f>
        <v>16</v>
      </c>
      <c r="O119" s="0" t="n">
        <f aca="false">B119+D119+F119</f>
        <v>10</v>
      </c>
      <c r="P119" s="0" t="n">
        <f aca="false">C119+E119+G119</f>
        <v>8</v>
      </c>
    </row>
    <row r="120" customFormat="false" ht="15" hidden="false" customHeight="false" outlineLevel="0" collapsed="false">
      <c r="A120" s="0" t="n">
        <v>120</v>
      </c>
      <c r="B120" s="0" t="n">
        <f aca="false">Raw_Data!AJ120</f>
        <v>2</v>
      </c>
      <c r="C120" s="0" t="n">
        <f aca="false">Raw_Data!AK120</f>
        <v>4</v>
      </c>
      <c r="D120" s="0" t="n">
        <f aca="false">Raw_Data!AL120</f>
        <v>2</v>
      </c>
      <c r="E120" s="0" t="n">
        <f aca="false">Raw_Data!AM120</f>
        <v>4</v>
      </c>
      <c r="F120" s="0" t="n">
        <f aca="false">Raw_Data!AN120</f>
        <v>3</v>
      </c>
      <c r="G120" s="0" t="n">
        <f aca="false">Raw_Data!AO120</f>
        <v>3</v>
      </c>
      <c r="H120" s="0" t="n">
        <f aca="false">SUM(B120:G120)</f>
        <v>18</v>
      </c>
      <c r="I120" s="0" t="n">
        <f aca="false">H120-B120</f>
        <v>16</v>
      </c>
      <c r="J120" s="0" t="n">
        <f aca="false">H120-C120</f>
        <v>14</v>
      </c>
      <c r="K120" s="0" t="n">
        <f aca="false">H120-D120</f>
        <v>16</v>
      </c>
      <c r="L120" s="0" t="n">
        <f aca="false">H120-E120</f>
        <v>14</v>
      </c>
      <c r="M120" s="0" t="n">
        <f aca="false">H120-F120</f>
        <v>15</v>
      </c>
      <c r="N120" s="0" t="n">
        <f aca="false">H120-G120</f>
        <v>15</v>
      </c>
      <c r="O120" s="0" t="n">
        <f aca="false">B120+D120+F120</f>
        <v>7</v>
      </c>
      <c r="P120" s="0" t="n">
        <f aca="false">C120+E120+G120</f>
        <v>11</v>
      </c>
    </row>
    <row r="121" customFormat="false" ht="15" hidden="false" customHeight="false" outlineLevel="0" collapsed="false">
      <c r="A121" s="0" t="n">
        <v>121</v>
      </c>
      <c r="B121" s="0" t="n">
        <f aca="false">Raw_Data!AJ121</f>
        <v>3</v>
      </c>
      <c r="C121" s="0" t="n">
        <f aca="false">Raw_Data!AK121</f>
        <v>2</v>
      </c>
      <c r="D121" s="0" t="n">
        <f aca="false">Raw_Data!AL121</f>
        <v>3</v>
      </c>
      <c r="E121" s="0" t="n">
        <f aca="false">Raw_Data!AM121</f>
        <v>3</v>
      </c>
      <c r="F121" s="0" t="n">
        <f aca="false">Raw_Data!AN121</f>
        <v>1</v>
      </c>
      <c r="G121" s="0" t="n">
        <f aca="false">Raw_Data!AO121</f>
        <v>3</v>
      </c>
      <c r="H121" s="0" t="n">
        <f aca="false">SUM(B121:G121)</f>
        <v>15</v>
      </c>
      <c r="I121" s="0" t="n">
        <f aca="false">H121-B121</f>
        <v>12</v>
      </c>
      <c r="J121" s="0" t="n">
        <f aca="false">H121-C121</f>
        <v>13</v>
      </c>
      <c r="K121" s="0" t="n">
        <f aca="false">H121-D121</f>
        <v>12</v>
      </c>
      <c r="L121" s="0" t="n">
        <f aca="false">H121-E121</f>
        <v>12</v>
      </c>
      <c r="M121" s="0" t="n">
        <f aca="false">H121-F121</f>
        <v>14</v>
      </c>
      <c r="N121" s="0" t="n">
        <f aca="false">H121-G121</f>
        <v>12</v>
      </c>
      <c r="O121" s="0" t="n">
        <f aca="false">B121+D121+F121</f>
        <v>7</v>
      </c>
      <c r="P121" s="0" t="n">
        <f aca="false">C121+E121+G121</f>
        <v>8</v>
      </c>
    </row>
    <row r="122" customFormat="false" ht="15" hidden="false" customHeight="false" outlineLevel="0" collapsed="false">
      <c r="A122" s="0" t="n">
        <v>122</v>
      </c>
      <c r="B122" s="0" t="n">
        <f aca="false">Raw_Data!AJ122</f>
        <v>2</v>
      </c>
      <c r="C122" s="0" t="n">
        <f aca="false">Raw_Data!AK122</f>
        <v>2</v>
      </c>
      <c r="D122" s="0" t="n">
        <f aca="false">Raw_Data!AL122</f>
        <v>4</v>
      </c>
      <c r="E122" s="0" t="n">
        <f aca="false">Raw_Data!AM122</f>
        <v>3</v>
      </c>
      <c r="F122" s="0" t="n">
        <f aca="false">Raw_Data!AN122</f>
        <v>2</v>
      </c>
      <c r="G122" s="0" t="n">
        <f aca="false">Raw_Data!AO122</f>
        <v>3</v>
      </c>
      <c r="H122" s="0" t="n">
        <f aca="false">SUM(B122:G122)</f>
        <v>16</v>
      </c>
      <c r="I122" s="0" t="n">
        <f aca="false">H122-B122</f>
        <v>14</v>
      </c>
      <c r="J122" s="0" t="n">
        <f aca="false">H122-C122</f>
        <v>14</v>
      </c>
      <c r="K122" s="0" t="n">
        <f aca="false">H122-D122</f>
        <v>12</v>
      </c>
      <c r="L122" s="0" t="n">
        <f aca="false">H122-E122</f>
        <v>13</v>
      </c>
      <c r="M122" s="0" t="n">
        <f aca="false">H122-F122</f>
        <v>14</v>
      </c>
      <c r="N122" s="0" t="n">
        <f aca="false">H122-G122</f>
        <v>13</v>
      </c>
      <c r="O122" s="0" t="n">
        <f aca="false">B122+D122+F122</f>
        <v>8</v>
      </c>
      <c r="P122" s="0" t="n">
        <f aca="false">C122+E122+G122</f>
        <v>8</v>
      </c>
    </row>
    <row r="123" customFormat="false" ht="15" hidden="false" customHeight="false" outlineLevel="0" collapsed="false">
      <c r="A123" s="0" t="n">
        <v>123</v>
      </c>
      <c r="B123" s="0" t="n">
        <f aca="false">Raw_Data!AJ123</f>
        <v>5</v>
      </c>
      <c r="C123" s="0" t="n">
        <f aca="false">Raw_Data!AK123</f>
        <v>1</v>
      </c>
      <c r="D123" s="0" t="n">
        <f aca="false">Raw_Data!AL123</f>
        <v>4</v>
      </c>
      <c r="E123" s="0" t="n">
        <f aca="false">Raw_Data!AM123</f>
        <v>3</v>
      </c>
      <c r="F123" s="0" t="n">
        <f aca="false">Raw_Data!AN123</f>
        <v>2</v>
      </c>
      <c r="G123" s="0" t="n">
        <f aca="false">Raw_Data!AO123</f>
        <v>2</v>
      </c>
      <c r="H123" s="0" t="n">
        <f aca="false">SUM(B123:G123)</f>
        <v>17</v>
      </c>
      <c r="I123" s="0" t="n">
        <f aca="false">H123-B123</f>
        <v>12</v>
      </c>
      <c r="J123" s="0" t="n">
        <f aca="false">H123-C123</f>
        <v>16</v>
      </c>
      <c r="K123" s="0" t="n">
        <f aca="false">H123-D123</f>
        <v>13</v>
      </c>
      <c r="L123" s="0" t="n">
        <f aca="false">H123-E123</f>
        <v>14</v>
      </c>
      <c r="M123" s="0" t="n">
        <f aca="false">H123-F123</f>
        <v>15</v>
      </c>
      <c r="N123" s="0" t="n">
        <f aca="false">H123-G123</f>
        <v>15</v>
      </c>
      <c r="O123" s="0" t="n">
        <f aca="false">B123+D123+F123</f>
        <v>11</v>
      </c>
      <c r="P123" s="0" t="n">
        <f aca="false">C123+E123+G123</f>
        <v>6</v>
      </c>
    </row>
    <row r="124" customFormat="false" ht="15" hidden="false" customHeight="false" outlineLevel="0" collapsed="false">
      <c r="A124" s="0" t="n">
        <v>124</v>
      </c>
      <c r="B124" s="0" t="n">
        <f aca="false">Raw_Data!AJ124</f>
        <v>5</v>
      </c>
      <c r="C124" s="0" t="n">
        <f aca="false">Raw_Data!AK124</f>
        <v>4</v>
      </c>
      <c r="D124" s="0" t="n">
        <f aca="false">Raw_Data!AL124</f>
        <v>5</v>
      </c>
      <c r="E124" s="0" t="n">
        <f aca="false">Raw_Data!AM124</f>
        <v>5</v>
      </c>
      <c r="F124" s="0" t="n">
        <f aca="false">Raw_Data!AN124</f>
        <v>2</v>
      </c>
      <c r="G124" s="0" t="n">
        <f aca="false">Raw_Data!AO124</f>
        <v>4</v>
      </c>
      <c r="H124" s="0" t="n">
        <f aca="false">SUM(B124:G124)</f>
        <v>25</v>
      </c>
      <c r="I124" s="0" t="n">
        <f aca="false">H124-B124</f>
        <v>20</v>
      </c>
      <c r="J124" s="0" t="n">
        <f aca="false">H124-C124</f>
        <v>21</v>
      </c>
      <c r="K124" s="0" t="n">
        <f aca="false">H124-D124</f>
        <v>20</v>
      </c>
      <c r="L124" s="0" t="n">
        <f aca="false">H124-E124</f>
        <v>20</v>
      </c>
      <c r="M124" s="0" t="n">
        <f aca="false">H124-F124</f>
        <v>23</v>
      </c>
      <c r="N124" s="0" t="n">
        <f aca="false">H124-G124</f>
        <v>21</v>
      </c>
      <c r="O124" s="0" t="n">
        <f aca="false">B124+D124+F124</f>
        <v>12</v>
      </c>
      <c r="P124" s="0" t="n">
        <f aca="false">C124+E124+G124</f>
        <v>13</v>
      </c>
    </row>
    <row r="125" customFormat="false" ht="15" hidden="false" customHeight="false" outlineLevel="0" collapsed="false">
      <c r="A125" s="0" t="n">
        <v>125</v>
      </c>
      <c r="B125" s="0" t="n">
        <f aca="false">Raw_Data!AJ125</f>
        <v>4</v>
      </c>
      <c r="C125" s="0" t="n">
        <f aca="false">Raw_Data!AK125</f>
        <v>3</v>
      </c>
      <c r="D125" s="0" t="n">
        <f aca="false">Raw_Data!AL125</f>
        <v>4</v>
      </c>
      <c r="E125" s="0" t="n">
        <f aca="false">Raw_Data!AM125</f>
        <v>3</v>
      </c>
      <c r="F125" s="0" t="n">
        <f aca="false">Raw_Data!AN125</f>
        <v>3</v>
      </c>
      <c r="G125" s="0" t="n">
        <f aca="false">Raw_Data!AO125</f>
        <v>3</v>
      </c>
      <c r="H125" s="0" t="n">
        <f aca="false">SUM(B125:G125)</f>
        <v>20</v>
      </c>
      <c r="I125" s="0" t="n">
        <f aca="false">H125-B125</f>
        <v>16</v>
      </c>
      <c r="J125" s="0" t="n">
        <f aca="false">H125-C125</f>
        <v>17</v>
      </c>
      <c r="K125" s="0" t="n">
        <f aca="false">H125-D125</f>
        <v>16</v>
      </c>
      <c r="L125" s="0" t="n">
        <f aca="false">H125-E125</f>
        <v>17</v>
      </c>
      <c r="M125" s="0" t="n">
        <f aca="false">H125-F125</f>
        <v>17</v>
      </c>
      <c r="N125" s="0" t="n">
        <f aca="false">H125-G125</f>
        <v>17</v>
      </c>
      <c r="O125" s="0" t="n">
        <f aca="false">B125+D125+F125</f>
        <v>11</v>
      </c>
      <c r="P125" s="0" t="n">
        <f aca="false">C125+E125+G125</f>
        <v>9</v>
      </c>
    </row>
    <row r="126" customFormat="false" ht="15" hidden="false" customHeight="false" outlineLevel="0" collapsed="false">
      <c r="A126" s="0" t="n">
        <v>126</v>
      </c>
      <c r="B126" s="0" t="n">
        <f aca="false">Raw_Data!AJ126</f>
        <v>5</v>
      </c>
      <c r="C126" s="0" t="n">
        <f aca="false">Raw_Data!AK126</f>
        <v>3</v>
      </c>
      <c r="D126" s="0" t="n">
        <f aca="false">Raw_Data!AL126</f>
        <v>3</v>
      </c>
      <c r="E126" s="0" t="n">
        <f aca="false">Raw_Data!AM126</f>
        <v>3</v>
      </c>
      <c r="F126" s="0" t="n">
        <f aca="false">Raw_Data!AN126</f>
        <v>3</v>
      </c>
      <c r="G126" s="0" t="n">
        <f aca="false">Raw_Data!AO126</f>
        <v>2</v>
      </c>
      <c r="H126" s="0" t="n">
        <f aca="false">SUM(B126:G126)</f>
        <v>19</v>
      </c>
      <c r="I126" s="0" t="n">
        <f aca="false">H126-B126</f>
        <v>14</v>
      </c>
      <c r="J126" s="0" t="n">
        <f aca="false">H126-C126</f>
        <v>16</v>
      </c>
      <c r="K126" s="0" t="n">
        <f aca="false">H126-D126</f>
        <v>16</v>
      </c>
      <c r="L126" s="0" t="n">
        <f aca="false">H126-E126</f>
        <v>16</v>
      </c>
      <c r="M126" s="0" t="n">
        <f aca="false">H126-F126</f>
        <v>16</v>
      </c>
      <c r="N126" s="0" t="n">
        <f aca="false">H126-G126</f>
        <v>17</v>
      </c>
      <c r="O126" s="0" t="n">
        <f aca="false">B126+D126+F126</f>
        <v>11</v>
      </c>
      <c r="P126" s="0" t="n">
        <f aca="false">C126+E126+G126</f>
        <v>8</v>
      </c>
    </row>
    <row r="127" customFormat="false" ht="15" hidden="false" customHeight="false" outlineLevel="0" collapsed="false">
      <c r="A127" s="0" t="n">
        <v>127</v>
      </c>
      <c r="B127" s="0" t="n">
        <f aca="false">Raw_Data!AJ127</f>
        <v>4</v>
      </c>
      <c r="C127" s="0" t="n">
        <f aca="false">Raw_Data!AK127</f>
        <v>3</v>
      </c>
      <c r="D127" s="0" t="n">
        <f aca="false">Raw_Data!AL127</f>
        <v>5</v>
      </c>
      <c r="E127" s="0" t="n">
        <f aca="false">Raw_Data!AM127</f>
        <v>4</v>
      </c>
      <c r="F127" s="0" t="n">
        <f aca="false">Raw_Data!AN127</f>
        <v>4</v>
      </c>
      <c r="G127" s="0" t="n">
        <f aca="false">Raw_Data!AO127</f>
        <v>2</v>
      </c>
      <c r="H127" s="0" t="n">
        <f aca="false">SUM(B127:G127)</f>
        <v>22</v>
      </c>
      <c r="I127" s="0" t="n">
        <f aca="false">H127-B127</f>
        <v>18</v>
      </c>
      <c r="J127" s="0" t="n">
        <f aca="false">H127-C127</f>
        <v>19</v>
      </c>
      <c r="K127" s="0" t="n">
        <f aca="false">H127-D127</f>
        <v>17</v>
      </c>
      <c r="L127" s="0" t="n">
        <f aca="false">H127-E127</f>
        <v>18</v>
      </c>
      <c r="M127" s="0" t="n">
        <f aca="false">H127-F127</f>
        <v>18</v>
      </c>
      <c r="N127" s="0" t="n">
        <f aca="false">H127-G127</f>
        <v>20</v>
      </c>
      <c r="O127" s="0" t="n">
        <f aca="false">B127+D127+F127</f>
        <v>13</v>
      </c>
      <c r="P127" s="0" t="n">
        <f aca="false">C127+E127+G127</f>
        <v>9</v>
      </c>
    </row>
    <row r="128" customFormat="false" ht="15" hidden="false" customHeight="false" outlineLevel="0" collapsed="false">
      <c r="A128" s="0" t="n">
        <v>128</v>
      </c>
      <c r="B128" s="0" t="n">
        <f aca="false">Raw_Data!AJ128</f>
        <v>5</v>
      </c>
      <c r="C128" s="0" t="n">
        <f aca="false">Raw_Data!AK128</f>
        <v>4</v>
      </c>
      <c r="D128" s="0" t="n">
        <f aca="false">Raw_Data!AL128</f>
        <v>5</v>
      </c>
      <c r="E128" s="0" t="n">
        <f aca="false">Raw_Data!AM128</f>
        <v>4</v>
      </c>
      <c r="F128" s="0" t="n">
        <f aca="false">Raw_Data!AN128</f>
        <v>4</v>
      </c>
      <c r="G128" s="0" t="n">
        <f aca="false">Raw_Data!AO128</f>
        <v>4</v>
      </c>
      <c r="H128" s="0" t="n">
        <f aca="false">SUM(B128:G128)</f>
        <v>26</v>
      </c>
      <c r="I128" s="0" t="n">
        <f aca="false">H128-B128</f>
        <v>21</v>
      </c>
      <c r="J128" s="0" t="n">
        <f aca="false">H128-C128</f>
        <v>22</v>
      </c>
      <c r="K128" s="0" t="n">
        <f aca="false">H128-D128</f>
        <v>21</v>
      </c>
      <c r="L128" s="0" t="n">
        <f aca="false">H128-E128</f>
        <v>22</v>
      </c>
      <c r="M128" s="0" t="n">
        <f aca="false">H128-F128</f>
        <v>22</v>
      </c>
      <c r="N128" s="0" t="n">
        <f aca="false">H128-G128</f>
        <v>22</v>
      </c>
      <c r="O128" s="0" t="n">
        <f aca="false">B128+D128+F128</f>
        <v>14</v>
      </c>
      <c r="P128" s="0" t="n">
        <f aca="false">C128+E128+G128</f>
        <v>12</v>
      </c>
    </row>
    <row r="129" customFormat="false" ht="15" hidden="false" customHeight="false" outlineLevel="0" collapsed="false">
      <c r="A129" s="0" t="n">
        <v>129</v>
      </c>
      <c r="B129" s="0" t="n">
        <f aca="false">Raw_Data!AJ129</f>
        <v>4</v>
      </c>
      <c r="C129" s="0" t="n">
        <f aca="false">Raw_Data!AK129</f>
        <v>4</v>
      </c>
      <c r="D129" s="0" t="n">
        <f aca="false">Raw_Data!AL129</f>
        <v>4</v>
      </c>
      <c r="E129" s="0" t="n">
        <f aca="false">Raw_Data!AM129</f>
        <v>3</v>
      </c>
      <c r="F129" s="0" t="n">
        <f aca="false">Raw_Data!AN129</f>
        <v>3</v>
      </c>
      <c r="G129" s="0" t="n">
        <f aca="false">Raw_Data!AO129</f>
        <v>2</v>
      </c>
      <c r="H129" s="0" t="n">
        <f aca="false">SUM(B129:G129)</f>
        <v>20</v>
      </c>
      <c r="I129" s="0" t="n">
        <f aca="false">H129-B129</f>
        <v>16</v>
      </c>
      <c r="J129" s="0" t="n">
        <f aca="false">H129-C129</f>
        <v>16</v>
      </c>
      <c r="K129" s="0" t="n">
        <f aca="false">H129-D129</f>
        <v>16</v>
      </c>
      <c r="L129" s="0" t="n">
        <f aca="false">H129-E129</f>
        <v>17</v>
      </c>
      <c r="M129" s="0" t="n">
        <f aca="false">H129-F129</f>
        <v>17</v>
      </c>
      <c r="N129" s="0" t="n">
        <f aca="false">H129-G129</f>
        <v>18</v>
      </c>
      <c r="O129" s="0" t="n">
        <f aca="false">B129+D129+F129</f>
        <v>11</v>
      </c>
      <c r="P129" s="0" t="n">
        <f aca="false">C129+E129+G129</f>
        <v>9</v>
      </c>
    </row>
    <row r="130" customFormat="false" ht="15" hidden="false" customHeight="false" outlineLevel="0" collapsed="false">
      <c r="A130" s="0" t="n">
        <v>130</v>
      </c>
      <c r="B130" s="0" t="n">
        <f aca="false">Raw_Data!AJ130</f>
        <v>4</v>
      </c>
      <c r="C130" s="0" t="n">
        <f aca="false">Raw_Data!AK130</f>
        <v>4</v>
      </c>
      <c r="D130" s="0" t="n">
        <f aca="false">Raw_Data!AL130</f>
        <v>5</v>
      </c>
      <c r="E130" s="0" t="n">
        <f aca="false">Raw_Data!AM130</f>
        <v>3</v>
      </c>
      <c r="F130" s="0" t="n">
        <f aca="false">Raw_Data!AN130</f>
        <v>2</v>
      </c>
      <c r="G130" s="0" t="n">
        <f aca="false">Raw_Data!AO130</f>
        <v>3</v>
      </c>
      <c r="H130" s="0" t="n">
        <f aca="false">SUM(B130:G130)</f>
        <v>21</v>
      </c>
      <c r="I130" s="0" t="n">
        <f aca="false">H130-B130</f>
        <v>17</v>
      </c>
      <c r="J130" s="0" t="n">
        <f aca="false">H130-C130</f>
        <v>17</v>
      </c>
      <c r="K130" s="0" t="n">
        <f aca="false">H130-D130</f>
        <v>16</v>
      </c>
      <c r="L130" s="0" t="n">
        <f aca="false">H130-E130</f>
        <v>18</v>
      </c>
      <c r="M130" s="0" t="n">
        <f aca="false">H130-F130</f>
        <v>19</v>
      </c>
      <c r="N130" s="0" t="n">
        <f aca="false">H130-G130</f>
        <v>18</v>
      </c>
      <c r="O130" s="0" t="n">
        <f aca="false">B130+D130+F130</f>
        <v>11</v>
      </c>
      <c r="P130" s="0" t="n">
        <f aca="false">C130+E130+G130</f>
        <v>10</v>
      </c>
    </row>
    <row r="131" customFormat="false" ht="15" hidden="false" customHeight="false" outlineLevel="0" collapsed="false">
      <c r="A131" s="0" t="n">
        <v>131</v>
      </c>
      <c r="B131" s="0" t="n">
        <f aca="false">Raw_Data!AJ131</f>
        <v>2</v>
      </c>
      <c r="C131" s="0" t="n">
        <f aca="false">Raw_Data!AK131</f>
        <v>2</v>
      </c>
      <c r="D131" s="0" t="n">
        <f aca="false">Raw_Data!AL131</f>
        <v>3</v>
      </c>
      <c r="E131" s="0" t="n">
        <f aca="false">Raw_Data!AM131</f>
        <v>2</v>
      </c>
      <c r="F131" s="0" t="n">
        <f aca="false">Raw_Data!AN131</f>
        <v>2</v>
      </c>
      <c r="G131" s="0" t="n">
        <f aca="false">Raw_Data!AO131</f>
        <v>2</v>
      </c>
      <c r="H131" s="0" t="n">
        <f aca="false">SUM(B131:G131)</f>
        <v>13</v>
      </c>
      <c r="I131" s="0" t="n">
        <f aca="false">H131-B131</f>
        <v>11</v>
      </c>
      <c r="J131" s="0" t="n">
        <f aca="false">H131-C131</f>
        <v>11</v>
      </c>
      <c r="K131" s="0" t="n">
        <f aca="false">H131-D131</f>
        <v>10</v>
      </c>
      <c r="L131" s="0" t="n">
        <f aca="false">H131-E131</f>
        <v>11</v>
      </c>
      <c r="M131" s="0" t="n">
        <f aca="false">H131-F131</f>
        <v>11</v>
      </c>
      <c r="N131" s="0" t="n">
        <f aca="false">H131-G131</f>
        <v>11</v>
      </c>
      <c r="O131" s="0" t="n">
        <f aca="false">B131+D131+F131</f>
        <v>7</v>
      </c>
      <c r="P131" s="0" t="n">
        <f aca="false">C131+E131+G131</f>
        <v>6</v>
      </c>
    </row>
    <row r="132" customFormat="false" ht="15" hidden="false" customHeight="false" outlineLevel="0" collapsed="false">
      <c r="A132" s="0" t="n">
        <v>132</v>
      </c>
      <c r="B132" s="0" t="n">
        <f aca="false">Raw_Data!AJ132</f>
        <v>3</v>
      </c>
      <c r="C132" s="0" t="n">
        <f aca="false">Raw_Data!AK132</f>
        <v>5</v>
      </c>
      <c r="D132" s="0" t="n">
        <f aca="false">Raw_Data!AL132</f>
        <v>5</v>
      </c>
      <c r="E132" s="0" t="n">
        <f aca="false">Raw_Data!AM132</f>
        <v>2</v>
      </c>
      <c r="F132" s="0" t="n">
        <f aca="false">Raw_Data!AN132</f>
        <v>3</v>
      </c>
      <c r="G132" s="0" t="n">
        <f aca="false">Raw_Data!AO132</f>
        <v>2</v>
      </c>
      <c r="H132" s="0" t="n">
        <f aca="false">SUM(B132:G132)</f>
        <v>20</v>
      </c>
      <c r="I132" s="0" t="n">
        <f aca="false">H132-B132</f>
        <v>17</v>
      </c>
      <c r="J132" s="0" t="n">
        <f aca="false">H132-C132</f>
        <v>15</v>
      </c>
      <c r="K132" s="0" t="n">
        <f aca="false">H132-D132</f>
        <v>15</v>
      </c>
      <c r="L132" s="0" t="n">
        <f aca="false">H132-E132</f>
        <v>18</v>
      </c>
      <c r="M132" s="0" t="n">
        <f aca="false">H132-F132</f>
        <v>17</v>
      </c>
      <c r="N132" s="0" t="n">
        <f aca="false">H132-G132</f>
        <v>18</v>
      </c>
      <c r="O132" s="0" t="n">
        <f aca="false">B132+D132+F132</f>
        <v>11</v>
      </c>
      <c r="P132" s="0" t="n">
        <f aca="false">C132+E132+G132</f>
        <v>9</v>
      </c>
    </row>
    <row r="133" customFormat="false" ht="15" hidden="false" customHeight="false" outlineLevel="0" collapsed="false">
      <c r="A133" s="0" t="n">
        <v>133</v>
      </c>
      <c r="B133" s="0" t="n">
        <f aca="false">Raw_Data!AJ133</f>
        <v>2</v>
      </c>
      <c r="C133" s="0" t="n">
        <f aca="false">Raw_Data!AK133</f>
        <v>2</v>
      </c>
      <c r="D133" s="0" t="n">
        <f aca="false">Raw_Data!AL133</f>
        <v>4</v>
      </c>
      <c r="E133" s="0" t="n">
        <f aca="false">Raw_Data!AM133</f>
        <v>3</v>
      </c>
      <c r="F133" s="0" t="n">
        <f aca="false">Raw_Data!AN133</f>
        <v>2</v>
      </c>
      <c r="G133" s="0" t="n">
        <f aca="false">Raw_Data!AO133</f>
        <v>3</v>
      </c>
      <c r="H133" s="0" t="n">
        <f aca="false">SUM(B133:G133)</f>
        <v>16</v>
      </c>
      <c r="I133" s="0" t="n">
        <f aca="false">H133-B133</f>
        <v>14</v>
      </c>
      <c r="J133" s="0" t="n">
        <f aca="false">H133-C133</f>
        <v>14</v>
      </c>
      <c r="K133" s="0" t="n">
        <f aca="false">H133-D133</f>
        <v>12</v>
      </c>
      <c r="L133" s="0" t="n">
        <f aca="false">H133-E133</f>
        <v>13</v>
      </c>
      <c r="M133" s="0" t="n">
        <f aca="false">H133-F133</f>
        <v>14</v>
      </c>
      <c r="N133" s="0" t="n">
        <f aca="false">H133-G133</f>
        <v>13</v>
      </c>
      <c r="O133" s="0" t="n">
        <f aca="false">B133+D133+F133</f>
        <v>8</v>
      </c>
      <c r="P133" s="0" t="n">
        <f aca="false">C133+E133+G133</f>
        <v>8</v>
      </c>
    </row>
    <row r="134" customFormat="false" ht="15" hidden="false" customHeight="false" outlineLevel="0" collapsed="false">
      <c r="A134" s="0" t="n">
        <v>134</v>
      </c>
      <c r="B134" s="0" t="n">
        <f aca="false">Raw_Data!AJ134</f>
        <v>4</v>
      </c>
      <c r="C134" s="0" t="n">
        <f aca="false">Raw_Data!AK134</f>
        <v>3</v>
      </c>
      <c r="D134" s="0" t="n">
        <f aca="false">Raw_Data!AL134</f>
        <v>5</v>
      </c>
      <c r="E134" s="0" t="n">
        <f aca="false">Raw_Data!AM134</f>
        <v>4</v>
      </c>
      <c r="F134" s="0" t="n">
        <f aca="false">Raw_Data!AN134</f>
        <v>2</v>
      </c>
      <c r="G134" s="0" t="n">
        <f aca="false">Raw_Data!AO134</f>
        <v>3</v>
      </c>
      <c r="H134" s="0" t="n">
        <f aca="false">SUM(B134:G134)</f>
        <v>21</v>
      </c>
      <c r="I134" s="0" t="n">
        <f aca="false">H134-B134</f>
        <v>17</v>
      </c>
      <c r="J134" s="0" t="n">
        <f aca="false">H134-C134</f>
        <v>18</v>
      </c>
      <c r="K134" s="0" t="n">
        <f aca="false">H134-D134</f>
        <v>16</v>
      </c>
      <c r="L134" s="0" t="n">
        <f aca="false">H134-E134</f>
        <v>17</v>
      </c>
      <c r="M134" s="0" t="n">
        <f aca="false">H134-F134</f>
        <v>19</v>
      </c>
      <c r="N134" s="0" t="n">
        <f aca="false">H134-G134</f>
        <v>18</v>
      </c>
      <c r="O134" s="0" t="n">
        <f aca="false">B134+D134+F134</f>
        <v>11</v>
      </c>
      <c r="P134" s="0" t="n">
        <f aca="false">C134+E134+G134</f>
        <v>10</v>
      </c>
    </row>
    <row r="135" customFormat="false" ht="15" hidden="false" customHeight="false" outlineLevel="0" collapsed="false">
      <c r="A135" s="0" t="n">
        <v>135</v>
      </c>
      <c r="B135" s="0" t="n">
        <f aca="false">Raw_Data!AJ135</f>
        <v>4</v>
      </c>
      <c r="C135" s="0" t="n">
        <f aca="false">Raw_Data!AK135</f>
        <v>5</v>
      </c>
      <c r="D135" s="0" t="n">
        <f aca="false">Raw_Data!AL135</f>
        <v>5</v>
      </c>
      <c r="E135" s="0" t="n">
        <f aca="false">Raw_Data!AM135</f>
        <v>5</v>
      </c>
      <c r="F135" s="0" t="n">
        <f aca="false">Raw_Data!AN135</f>
        <v>2</v>
      </c>
      <c r="G135" s="0" t="n">
        <f aca="false">Raw_Data!AO135</f>
        <v>3</v>
      </c>
      <c r="H135" s="0" t="n">
        <f aca="false">SUM(B135:G135)</f>
        <v>24</v>
      </c>
      <c r="I135" s="0" t="n">
        <f aca="false">H135-B135</f>
        <v>20</v>
      </c>
      <c r="J135" s="0" t="n">
        <f aca="false">H135-C135</f>
        <v>19</v>
      </c>
      <c r="K135" s="0" t="n">
        <f aca="false">H135-D135</f>
        <v>19</v>
      </c>
      <c r="L135" s="0" t="n">
        <f aca="false">H135-E135</f>
        <v>19</v>
      </c>
      <c r="M135" s="0" t="n">
        <f aca="false">H135-F135</f>
        <v>22</v>
      </c>
      <c r="N135" s="0" t="n">
        <f aca="false">H135-G135</f>
        <v>21</v>
      </c>
      <c r="O135" s="0" t="n">
        <f aca="false">B135+D135+F135</f>
        <v>11</v>
      </c>
      <c r="P135" s="0" t="n">
        <f aca="false">C135+E135+G135</f>
        <v>13</v>
      </c>
    </row>
    <row r="136" customFormat="false" ht="15" hidden="false" customHeight="false" outlineLevel="0" collapsed="false">
      <c r="A136" s="0" t="n">
        <v>136</v>
      </c>
      <c r="B136" s="0" t="n">
        <f aca="false">Raw_Data!AJ136</f>
        <v>4</v>
      </c>
      <c r="C136" s="0" t="n">
        <f aca="false">Raw_Data!AK136</f>
        <v>2</v>
      </c>
      <c r="D136" s="0" t="n">
        <f aca="false">Raw_Data!AL136</f>
        <v>4</v>
      </c>
      <c r="E136" s="0" t="n">
        <f aca="false">Raw_Data!AM136</f>
        <v>3</v>
      </c>
      <c r="F136" s="0" t="n">
        <f aca="false">Raw_Data!AN136</f>
        <v>2</v>
      </c>
      <c r="G136" s="0" t="n">
        <f aca="false">Raw_Data!AO136</f>
        <v>4</v>
      </c>
      <c r="H136" s="0" t="n">
        <f aca="false">SUM(B136:G136)</f>
        <v>19</v>
      </c>
      <c r="I136" s="0" t="n">
        <f aca="false">H136-B136</f>
        <v>15</v>
      </c>
      <c r="J136" s="0" t="n">
        <f aca="false">H136-C136</f>
        <v>17</v>
      </c>
      <c r="K136" s="0" t="n">
        <f aca="false">H136-D136</f>
        <v>15</v>
      </c>
      <c r="L136" s="0" t="n">
        <f aca="false">H136-E136</f>
        <v>16</v>
      </c>
      <c r="M136" s="0" t="n">
        <f aca="false">H136-F136</f>
        <v>17</v>
      </c>
      <c r="N136" s="0" t="n">
        <f aca="false">H136-G136</f>
        <v>15</v>
      </c>
      <c r="O136" s="0" t="n">
        <f aca="false">B136+D136+F136</f>
        <v>10</v>
      </c>
      <c r="P136" s="0" t="n">
        <f aca="false">C136+E136+G136</f>
        <v>9</v>
      </c>
    </row>
    <row r="137" customFormat="false" ht="15" hidden="false" customHeight="false" outlineLevel="0" collapsed="false">
      <c r="A137" s="0" t="n">
        <v>137</v>
      </c>
      <c r="B137" s="0" t="n">
        <f aca="false">Raw_Data!AJ137</f>
        <v>4</v>
      </c>
      <c r="C137" s="0" t="n">
        <f aca="false">Raw_Data!AK137</f>
        <v>2</v>
      </c>
      <c r="D137" s="0" t="n">
        <f aca="false">Raw_Data!AL137</f>
        <v>4</v>
      </c>
      <c r="E137" s="0" t="n">
        <f aca="false">Raw_Data!AM137</f>
        <v>2</v>
      </c>
      <c r="F137" s="0" t="n">
        <f aca="false">Raw_Data!AN137</f>
        <v>2</v>
      </c>
      <c r="G137" s="0" t="n">
        <f aca="false">Raw_Data!AO137</f>
        <v>3</v>
      </c>
      <c r="H137" s="0" t="n">
        <f aca="false">SUM(B137:G137)</f>
        <v>17</v>
      </c>
      <c r="I137" s="0" t="n">
        <f aca="false">H137-B137</f>
        <v>13</v>
      </c>
      <c r="J137" s="0" t="n">
        <f aca="false">H137-C137</f>
        <v>15</v>
      </c>
      <c r="K137" s="0" t="n">
        <f aca="false">H137-D137</f>
        <v>13</v>
      </c>
      <c r="L137" s="0" t="n">
        <f aca="false">H137-E137</f>
        <v>15</v>
      </c>
      <c r="M137" s="0" t="n">
        <f aca="false">H137-F137</f>
        <v>15</v>
      </c>
      <c r="N137" s="0" t="n">
        <f aca="false">H137-G137</f>
        <v>14</v>
      </c>
      <c r="O137" s="0" t="n">
        <f aca="false">B137+D137+F137</f>
        <v>10</v>
      </c>
      <c r="P137" s="0" t="n">
        <f aca="false">C137+E137+G137</f>
        <v>7</v>
      </c>
    </row>
    <row r="138" customFormat="false" ht="15" hidden="false" customHeight="false" outlineLevel="0" collapsed="false">
      <c r="A138" s="0" t="n">
        <v>138</v>
      </c>
      <c r="B138" s="0" t="n">
        <f aca="false">Raw_Data!AJ138</f>
        <v>4</v>
      </c>
      <c r="C138" s="0" t="n">
        <f aca="false">Raw_Data!AK138</f>
        <v>4</v>
      </c>
      <c r="D138" s="0" t="n">
        <f aca="false">Raw_Data!AL138</f>
        <v>3</v>
      </c>
      <c r="E138" s="0" t="n">
        <f aca="false">Raw_Data!AM138</f>
        <v>4</v>
      </c>
      <c r="F138" s="0" t="n">
        <f aca="false">Raw_Data!AN138</f>
        <v>3</v>
      </c>
      <c r="G138" s="0" t="n">
        <f aca="false">Raw_Data!AO138</f>
        <v>2</v>
      </c>
      <c r="H138" s="0" t="n">
        <f aca="false">SUM(B138:G138)</f>
        <v>20</v>
      </c>
      <c r="I138" s="0" t="n">
        <f aca="false">H138-B138</f>
        <v>16</v>
      </c>
      <c r="J138" s="0" t="n">
        <f aca="false">H138-C138</f>
        <v>16</v>
      </c>
      <c r="K138" s="0" t="n">
        <f aca="false">H138-D138</f>
        <v>17</v>
      </c>
      <c r="L138" s="0" t="n">
        <f aca="false">H138-E138</f>
        <v>16</v>
      </c>
      <c r="M138" s="0" t="n">
        <f aca="false">H138-F138</f>
        <v>17</v>
      </c>
      <c r="N138" s="0" t="n">
        <f aca="false">H138-G138</f>
        <v>18</v>
      </c>
      <c r="O138" s="0" t="n">
        <f aca="false">B138+D138+F138</f>
        <v>10</v>
      </c>
      <c r="P138" s="0" t="n">
        <f aca="false">C138+E138+G138</f>
        <v>10</v>
      </c>
    </row>
    <row r="139" customFormat="false" ht="15" hidden="false" customHeight="false" outlineLevel="0" collapsed="false">
      <c r="A139" s="0" t="n">
        <v>139</v>
      </c>
      <c r="B139" s="0" t="n">
        <f aca="false">Raw_Data!AJ139</f>
        <v>4</v>
      </c>
      <c r="C139" s="0" t="n">
        <f aca="false">Raw_Data!AK139</f>
        <v>5</v>
      </c>
      <c r="D139" s="0" t="n">
        <f aca="false">Raw_Data!AL139</f>
        <v>5</v>
      </c>
      <c r="E139" s="0" t="n">
        <f aca="false">Raw_Data!AM139</f>
        <v>4</v>
      </c>
      <c r="F139" s="0" t="n">
        <f aca="false">Raw_Data!AN139</f>
        <v>2</v>
      </c>
      <c r="G139" s="0" t="n">
        <f aca="false">Raw_Data!AO139</f>
        <v>3</v>
      </c>
      <c r="H139" s="0" t="n">
        <f aca="false">SUM(B139:G139)</f>
        <v>23</v>
      </c>
      <c r="I139" s="0" t="n">
        <f aca="false">H139-B139</f>
        <v>19</v>
      </c>
      <c r="J139" s="0" t="n">
        <f aca="false">H139-C139</f>
        <v>18</v>
      </c>
      <c r="K139" s="0" t="n">
        <f aca="false">H139-D139</f>
        <v>18</v>
      </c>
      <c r="L139" s="0" t="n">
        <f aca="false">H139-E139</f>
        <v>19</v>
      </c>
      <c r="M139" s="0" t="n">
        <f aca="false">H139-F139</f>
        <v>21</v>
      </c>
      <c r="N139" s="0" t="n">
        <f aca="false">H139-G139</f>
        <v>20</v>
      </c>
      <c r="O139" s="0" t="n">
        <f aca="false">B139+D139+F139</f>
        <v>11</v>
      </c>
      <c r="P139" s="0" t="n">
        <f aca="false">C139+E139+G139</f>
        <v>12</v>
      </c>
    </row>
    <row r="140" customFormat="false" ht="15" hidden="false" customHeight="false" outlineLevel="0" collapsed="false">
      <c r="A140" s="0" t="n">
        <v>140</v>
      </c>
      <c r="B140" s="0" t="n">
        <f aca="false">Raw_Data!AJ140</f>
        <v>2</v>
      </c>
      <c r="C140" s="0" t="n">
        <f aca="false">Raw_Data!AK140</f>
        <v>2</v>
      </c>
      <c r="D140" s="0" t="n">
        <f aca="false">Raw_Data!AL140</f>
        <v>1</v>
      </c>
      <c r="E140" s="0" t="n">
        <f aca="false">Raw_Data!AM140</f>
        <v>2</v>
      </c>
      <c r="F140" s="0" t="n">
        <f aca="false">Raw_Data!AN140</f>
        <v>2</v>
      </c>
      <c r="G140" s="0" t="n">
        <f aca="false">Raw_Data!AO140</f>
        <v>1</v>
      </c>
      <c r="H140" s="0" t="n">
        <f aca="false">SUM(B140:G140)</f>
        <v>10</v>
      </c>
      <c r="I140" s="0" t="n">
        <f aca="false">H140-B140</f>
        <v>8</v>
      </c>
      <c r="J140" s="0" t="n">
        <f aca="false">H140-C140</f>
        <v>8</v>
      </c>
      <c r="K140" s="0" t="n">
        <f aca="false">H140-D140</f>
        <v>9</v>
      </c>
      <c r="L140" s="0" t="n">
        <f aca="false">H140-E140</f>
        <v>8</v>
      </c>
      <c r="M140" s="0" t="n">
        <f aca="false">H140-F140</f>
        <v>8</v>
      </c>
      <c r="N140" s="0" t="n">
        <f aca="false">H140-G140</f>
        <v>9</v>
      </c>
      <c r="O140" s="0" t="n">
        <f aca="false">B140+D140+F140</f>
        <v>5</v>
      </c>
      <c r="P140" s="0" t="n">
        <f aca="false">C140+E140+G140</f>
        <v>5</v>
      </c>
    </row>
    <row r="141" customFormat="false" ht="15" hidden="false" customHeight="false" outlineLevel="0" collapsed="false">
      <c r="A141" s="0" t="n">
        <v>141</v>
      </c>
      <c r="B141" s="0" t="n">
        <f aca="false">Raw_Data!AJ141</f>
        <v>4</v>
      </c>
      <c r="C141" s="0" t="n">
        <f aca="false">Raw_Data!AK141</f>
        <v>3</v>
      </c>
      <c r="D141" s="0" t="n">
        <f aca="false">Raw_Data!AL141</f>
        <v>4</v>
      </c>
      <c r="E141" s="0" t="n">
        <f aca="false">Raw_Data!AM141</f>
        <v>3</v>
      </c>
      <c r="F141" s="0" t="n">
        <f aca="false">Raw_Data!AN141</f>
        <v>3</v>
      </c>
      <c r="G141" s="0" t="n">
        <f aca="false">Raw_Data!AO141</f>
        <v>3</v>
      </c>
      <c r="H141" s="0" t="n">
        <f aca="false">SUM(B141:G141)</f>
        <v>20</v>
      </c>
      <c r="I141" s="0" t="n">
        <f aca="false">H141-B141</f>
        <v>16</v>
      </c>
      <c r="J141" s="0" t="n">
        <f aca="false">H141-C141</f>
        <v>17</v>
      </c>
      <c r="K141" s="0" t="n">
        <f aca="false">H141-D141</f>
        <v>16</v>
      </c>
      <c r="L141" s="0" t="n">
        <f aca="false">H141-E141</f>
        <v>17</v>
      </c>
      <c r="M141" s="0" t="n">
        <f aca="false">H141-F141</f>
        <v>17</v>
      </c>
      <c r="N141" s="0" t="n">
        <f aca="false">H141-G141</f>
        <v>17</v>
      </c>
      <c r="O141" s="0" t="n">
        <f aca="false">B141+D141+F141</f>
        <v>11</v>
      </c>
      <c r="P141" s="0" t="n">
        <f aca="false">C141+E141+G141</f>
        <v>9</v>
      </c>
    </row>
    <row r="142" customFormat="false" ht="15" hidden="false" customHeight="false" outlineLevel="0" collapsed="false">
      <c r="A142" s="0" t="n">
        <v>143</v>
      </c>
      <c r="B142" s="0" t="n">
        <f aca="false">Raw_Data!AJ143</f>
        <v>4</v>
      </c>
      <c r="C142" s="0" t="n">
        <f aca="false">Raw_Data!AK143</f>
        <v>4</v>
      </c>
      <c r="D142" s="0" t="n">
        <f aca="false">Raw_Data!AL143</f>
        <v>4</v>
      </c>
      <c r="E142" s="0" t="n">
        <f aca="false">Raw_Data!AM143</f>
        <v>2</v>
      </c>
      <c r="F142" s="0" t="n">
        <f aca="false">Raw_Data!AN143</f>
        <v>3</v>
      </c>
      <c r="G142" s="0" t="n">
        <f aca="false">Raw_Data!AO143</f>
        <v>4</v>
      </c>
      <c r="H142" s="0" t="n">
        <f aca="false">SUM(B142:G142)</f>
        <v>21</v>
      </c>
      <c r="I142" s="0" t="n">
        <f aca="false">H142-B142</f>
        <v>17</v>
      </c>
      <c r="J142" s="0" t="n">
        <f aca="false">H142-C142</f>
        <v>17</v>
      </c>
      <c r="K142" s="0" t="n">
        <f aca="false">H142-D142</f>
        <v>17</v>
      </c>
      <c r="L142" s="0" t="n">
        <f aca="false">H142-E142</f>
        <v>19</v>
      </c>
      <c r="M142" s="0" t="n">
        <f aca="false">H142-F142</f>
        <v>18</v>
      </c>
      <c r="N142" s="0" t="n">
        <f aca="false">H142-G142</f>
        <v>17</v>
      </c>
      <c r="O142" s="0" t="n">
        <f aca="false">B142+D142+F142</f>
        <v>11</v>
      </c>
      <c r="P142" s="0" t="n">
        <f aca="false">C142+E142+G142</f>
        <v>10</v>
      </c>
    </row>
    <row r="143" customFormat="false" ht="15" hidden="false" customHeight="false" outlineLevel="0" collapsed="false">
      <c r="A143" s="0" t="n">
        <v>144</v>
      </c>
      <c r="B143" s="0" t="n">
        <f aca="false">Raw_Data!AJ144</f>
        <v>4</v>
      </c>
      <c r="C143" s="0" t="n">
        <f aca="false">Raw_Data!AK144</f>
        <v>3</v>
      </c>
      <c r="D143" s="0" t="n">
        <f aca="false">Raw_Data!AL144</f>
        <v>5</v>
      </c>
      <c r="E143" s="0" t="n">
        <f aca="false">Raw_Data!AM144</f>
        <v>3</v>
      </c>
      <c r="F143" s="0" t="n">
        <f aca="false">Raw_Data!AN144</f>
        <v>3</v>
      </c>
      <c r="G143" s="0" t="n">
        <f aca="false">Raw_Data!AO144</f>
        <v>3</v>
      </c>
      <c r="H143" s="0" t="n">
        <f aca="false">SUM(B143:G143)</f>
        <v>21</v>
      </c>
      <c r="I143" s="0" t="n">
        <f aca="false">H143-B143</f>
        <v>17</v>
      </c>
      <c r="J143" s="0" t="n">
        <f aca="false">H143-C143</f>
        <v>18</v>
      </c>
      <c r="K143" s="0" t="n">
        <f aca="false">H143-D143</f>
        <v>16</v>
      </c>
      <c r="L143" s="0" t="n">
        <f aca="false">H143-E143</f>
        <v>18</v>
      </c>
      <c r="M143" s="0" t="n">
        <f aca="false">H143-F143</f>
        <v>18</v>
      </c>
      <c r="N143" s="0" t="n">
        <f aca="false">H143-G143</f>
        <v>18</v>
      </c>
      <c r="O143" s="0" t="n">
        <f aca="false">B143+D143+F143</f>
        <v>12</v>
      </c>
      <c r="P143" s="0" t="n">
        <f aca="false">C143+E143+G143</f>
        <v>9</v>
      </c>
    </row>
    <row r="144" customFormat="false" ht="15" hidden="false" customHeight="false" outlineLevel="0" collapsed="false">
      <c r="A144" s="0" t="n">
        <v>145</v>
      </c>
      <c r="B144" s="0" t="n">
        <f aca="false">Raw_Data!AJ145</f>
        <v>4</v>
      </c>
      <c r="C144" s="0" t="n">
        <f aca="false">Raw_Data!AK145</f>
        <v>3</v>
      </c>
      <c r="D144" s="0" t="n">
        <f aca="false">Raw_Data!AL145</f>
        <v>4</v>
      </c>
      <c r="E144" s="0" t="n">
        <f aca="false">Raw_Data!AM145</f>
        <v>3</v>
      </c>
      <c r="F144" s="0" t="n">
        <f aca="false">Raw_Data!AN145</f>
        <v>3</v>
      </c>
      <c r="G144" s="0" t="n">
        <f aca="false">Raw_Data!AO145</f>
        <v>3</v>
      </c>
      <c r="H144" s="0" t="n">
        <f aca="false">SUM(B144:G144)</f>
        <v>20</v>
      </c>
      <c r="I144" s="0" t="n">
        <f aca="false">H144-B144</f>
        <v>16</v>
      </c>
      <c r="J144" s="0" t="n">
        <f aca="false">H144-C144</f>
        <v>17</v>
      </c>
      <c r="K144" s="0" t="n">
        <f aca="false">H144-D144</f>
        <v>16</v>
      </c>
      <c r="L144" s="0" t="n">
        <f aca="false">H144-E144</f>
        <v>17</v>
      </c>
      <c r="M144" s="0" t="n">
        <f aca="false">H144-F144</f>
        <v>17</v>
      </c>
      <c r="N144" s="0" t="n">
        <f aca="false">H144-G144</f>
        <v>17</v>
      </c>
      <c r="O144" s="0" t="n">
        <f aca="false">B144+D144+F144</f>
        <v>11</v>
      </c>
      <c r="P144" s="0" t="n">
        <f aca="false">C144+E144+G144</f>
        <v>9</v>
      </c>
    </row>
    <row r="145" customFormat="false" ht="15" hidden="false" customHeight="false" outlineLevel="0" collapsed="false">
      <c r="A145" s="0" t="n">
        <v>146</v>
      </c>
      <c r="B145" s="0" t="n">
        <f aca="false">Raw_Data!AJ146</f>
        <v>2</v>
      </c>
      <c r="C145" s="0" t="n">
        <f aca="false">Raw_Data!AK146</f>
        <v>3</v>
      </c>
      <c r="D145" s="0" t="n">
        <f aca="false">Raw_Data!AL146</f>
        <v>3</v>
      </c>
      <c r="E145" s="0" t="n">
        <f aca="false">Raw_Data!AM146</f>
        <v>3</v>
      </c>
      <c r="F145" s="0" t="n">
        <f aca="false">Raw_Data!AN146</f>
        <v>4</v>
      </c>
      <c r="G145" s="0" t="n">
        <f aca="false">Raw_Data!AO146</f>
        <v>2</v>
      </c>
      <c r="H145" s="0" t="n">
        <f aca="false">SUM(B145:G145)</f>
        <v>17</v>
      </c>
      <c r="I145" s="0" t="n">
        <f aca="false">H145-B145</f>
        <v>15</v>
      </c>
      <c r="J145" s="0" t="n">
        <f aca="false">H145-C145</f>
        <v>14</v>
      </c>
      <c r="K145" s="0" t="n">
        <f aca="false">H145-D145</f>
        <v>14</v>
      </c>
      <c r="L145" s="0" t="n">
        <f aca="false">H145-E145</f>
        <v>14</v>
      </c>
      <c r="M145" s="0" t="n">
        <f aca="false">H145-F145</f>
        <v>13</v>
      </c>
      <c r="N145" s="0" t="n">
        <f aca="false">H145-G145</f>
        <v>15</v>
      </c>
      <c r="O145" s="0" t="n">
        <f aca="false">B145+D145+F145</f>
        <v>9</v>
      </c>
      <c r="P145" s="0" t="n">
        <f aca="false">C145+E145+G145</f>
        <v>8</v>
      </c>
    </row>
    <row r="146" customFormat="false" ht="15" hidden="false" customHeight="false" outlineLevel="0" collapsed="false">
      <c r="A146" s="0" t="n">
        <v>147</v>
      </c>
      <c r="B146" s="0" t="n">
        <f aca="false">Raw_Data!AJ147</f>
        <v>4</v>
      </c>
      <c r="C146" s="0" t="n">
        <f aca="false">Raw_Data!AK147</f>
        <v>3</v>
      </c>
      <c r="D146" s="0" t="n">
        <f aca="false">Raw_Data!AL147</f>
        <v>3</v>
      </c>
      <c r="E146" s="0" t="n">
        <f aca="false">Raw_Data!AM147</f>
        <v>3</v>
      </c>
      <c r="F146" s="0" t="n">
        <f aca="false">Raw_Data!AN147</f>
        <v>3</v>
      </c>
      <c r="G146" s="0" t="n">
        <f aca="false">Raw_Data!AO147</f>
        <v>3</v>
      </c>
      <c r="H146" s="0" t="n">
        <f aca="false">SUM(B146:G146)</f>
        <v>19</v>
      </c>
      <c r="I146" s="0" t="n">
        <f aca="false">H146-B146</f>
        <v>15</v>
      </c>
      <c r="J146" s="0" t="n">
        <f aca="false">H146-C146</f>
        <v>16</v>
      </c>
      <c r="K146" s="0" t="n">
        <f aca="false">H146-D146</f>
        <v>16</v>
      </c>
      <c r="L146" s="0" t="n">
        <f aca="false">H146-E146</f>
        <v>16</v>
      </c>
      <c r="M146" s="0" t="n">
        <f aca="false">H146-F146</f>
        <v>16</v>
      </c>
      <c r="N146" s="0" t="n">
        <f aca="false">H146-G146</f>
        <v>16</v>
      </c>
      <c r="O146" s="0" t="n">
        <f aca="false">B146+D146+F146</f>
        <v>10</v>
      </c>
      <c r="P146" s="0" t="n">
        <f aca="false">C146+E146+G146</f>
        <v>9</v>
      </c>
    </row>
    <row r="147" customFormat="false" ht="15" hidden="false" customHeight="false" outlineLevel="0" collapsed="false">
      <c r="A147" s="0" t="n">
        <v>148</v>
      </c>
      <c r="B147" s="0" t="n">
        <f aca="false">Raw_Data!AJ148</f>
        <v>3</v>
      </c>
      <c r="C147" s="0" t="n">
        <f aca="false">Raw_Data!AK148</f>
        <v>2</v>
      </c>
      <c r="D147" s="0" t="n">
        <f aca="false">Raw_Data!AL148</f>
        <v>3</v>
      </c>
      <c r="E147" s="0" t="n">
        <f aca="false">Raw_Data!AM148</f>
        <v>3</v>
      </c>
      <c r="F147" s="0" t="n">
        <f aca="false">Raw_Data!AN148</f>
        <v>4</v>
      </c>
      <c r="G147" s="0" t="n">
        <f aca="false">Raw_Data!AO148</f>
        <v>3</v>
      </c>
      <c r="H147" s="0" t="n">
        <f aca="false">SUM(B147:G147)</f>
        <v>18</v>
      </c>
      <c r="I147" s="0" t="n">
        <f aca="false">H147-B147</f>
        <v>15</v>
      </c>
      <c r="J147" s="0" t="n">
        <f aca="false">H147-C147</f>
        <v>16</v>
      </c>
      <c r="K147" s="0" t="n">
        <f aca="false">H147-D147</f>
        <v>15</v>
      </c>
      <c r="L147" s="0" t="n">
        <f aca="false">H147-E147</f>
        <v>15</v>
      </c>
      <c r="M147" s="0" t="n">
        <f aca="false">H147-F147</f>
        <v>14</v>
      </c>
      <c r="N147" s="0" t="n">
        <f aca="false">H147-G147</f>
        <v>15</v>
      </c>
      <c r="O147" s="0" t="n">
        <f aca="false">B147+D147+F147</f>
        <v>10</v>
      </c>
      <c r="P147" s="0" t="n">
        <f aca="false">C147+E147+G147</f>
        <v>8</v>
      </c>
    </row>
    <row r="148" customFormat="false" ht="15" hidden="false" customHeight="false" outlineLevel="0" collapsed="false">
      <c r="A148" s="0" t="n">
        <v>149</v>
      </c>
      <c r="B148" s="0" t="n">
        <f aca="false">Raw_Data!AJ149</f>
        <v>2</v>
      </c>
      <c r="C148" s="0" t="n">
        <f aca="false">Raw_Data!AK149</f>
        <v>2</v>
      </c>
      <c r="D148" s="0" t="n">
        <f aca="false">Raw_Data!AL149</f>
        <v>4</v>
      </c>
      <c r="E148" s="0" t="n">
        <f aca="false">Raw_Data!AM149</f>
        <v>4</v>
      </c>
      <c r="F148" s="0" t="n">
        <f aca="false">Raw_Data!AN149</f>
        <v>2</v>
      </c>
      <c r="G148" s="0" t="n">
        <f aca="false">Raw_Data!AO149</f>
        <v>2</v>
      </c>
      <c r="H148" s="0" t="n">
        <f aca="false">SUM(B148:G148)</f>
        <v>16</v>
      </c>
      <c r="I148" s="0" t="n">
        <f aca="false">H148-B148</f>
        <v>14</v>
      </c>
      <c r="J148" s="0" t="n">
        <f aca="false">H148-C148</f>
        <v>14</v>
      </c>
      <c r="K148" s="0" t="n">
        <f aca="false">H148-D148</f>
        <v>12</v>
      </c>
      <c r="L148" s="0" t="n">
        <f aca="false">H148-E148</f>
        <v>12</v>
      </c>
      <c r="M148" s="0" t="n">
        <f aca="false">H148-F148</f>
        <v>14</v>
      </c>
      <c r="N148" s="0" t="n">
        <f aca="false">H148-G148</f>
        <v>14</v>
      </c>
      <c r="O148" s="0" t="n">
        <f aca="false">B148+D148+F148</f>
        <v>8</v>
      </c>
      <c r="P148" s="0" t="n">
        <f aca="false">C148+E148+G148</f>
        <v>8</v>
      </c>
    </row>
    <row r="149" customFormat="false" ht="15" hidden="false" customHeight="false" outlineLevel="0" collapsed="false">
      <c r="A149" s="0" t="n">
        <v>150</v>
      </c>
      <c r="B149" s="0" t="n">
        <f aca="false">Raw_Data!AJ150</f>
        <v>4</v>
      </c>
      <c r="C149" s="0" t="n">
        <f aca="false">Raw_Data!AK150</f>
        <v>3</v>
      </c>
      <c r="D149" s="0" t="n">
        <f aca="false">Raw_Data!AL150</f>
        <v>4</v>
      </c>
      <c r="E149" s="0" t="n">
        <f aca="false">Raw_Data!AM150</f>
        <v>4</v>
      </c>
      <c r="F149" s="0" t="n">
        <f aca="false">Raw_Data!AN150</f>
        <v>3</v>
      </c>
      <c r="G149" s="0" t="n">
        <f aca="false">Raw_Data!AO150</f>
        <v>3</v>
      </c>
      <c r="H149" s="0" t="n">
        <f aca="false">SUM(B149:G149)</f>
        <v>21</v>
      </c>
      <c r="I149" s="0" t="n">
        <f aca="false">H149-B149</f>
        <v>17</v>
      </c>
      <c r="J149" s="0" t="n">
        <f aca="false">H149-C149</f>
        <v>18</v>
      </c>
      <c r="K149" s="0" t="n">
        <f aca="false">H149-D149</f>
        <v>17</v>
      </c>
      <c r="L149" s="0" t="n">
        <f aca="false">H149-E149</f>
        <v>17</v>
      </c>
      <c r="M149" s="0" t="n">
        <f aca="false">H149-F149</f>
        <v>18</v>
      </c>
      <c r="N149" s="0" t="n">
        <f aca="false">H149-G149</f>
        <v>18</v>
      </c>
      <c r="O149" s="0" t="n">
        <f aca="false">B149+D149+F149</f>
        <v>11</v>
      </c>
      <c r="P149" s="0" t="n">
        <f aca="false">C149+E149+G149</f>
        <v>10</v>
      </c>
    </row>
    <row r="150" customFormat="false" ht="15" hidden="false" customHeight="false" outlineLevel="0" collapsed="false">
      <c r="A150" s="0" t="n">
        <v>151</v>
      </c>
      <c r="B150" s="0" t="n">
        <f aca="false">Raw_Data!AJ151</f>
        <v>4</v>
      </c>
      <c r="C150" s="0" t="n">
        <f aca="false">Raw_Data!AK151</f>
        <v>1</v>
      </c>
      <c r="D150" s="0" t="n">
        <f aca="false">Raw_Data!AL151</f>
        <v>4</v>
      </c>
      <c r="E150" s="0" t="n">
        <f aca="false">Raw_Data!AM151</f>
        <v>4</v>
      </c>
      <c r="F150" s="0" t="n">
        <f aca="false">Raw_Data!AN151</f>
        <v>4</v>
      </c>
      <c r="G150" s="0" t="n">
        <f aca="false">Raw_Data!AO151</f>
        <v>2</v>
      </c>
      <c r="H150" s="0" t="n">
        <f aca="false">SUM(B150:G150)</f>
        <v>19</v>
      </c>
      <c r="I150" s="0" t="n">
        <f aca="false">H150-B150</f>
        <v>15</v>
      </c>
      <c r="J150" s="0" t="n">
        <f aca="false">H150-C150</f>
        <v>18</v>
      </c>
      <c r="K150" s="0" t="n">
        <f aca="false">H150-D150</f>
        <v>15</v>
      </c>
      <c r="L150" s="0" t="n">
        <f aca="false">H150-E150</f>
        <v>15</v>
      </c>
      <c r="M150" s="0" t="n">
        <f aca="false">H150-F150</f>
        <v>15</v>
      </c>
      <c r="N150" s="0" t="n">
        <f aca="false">H150-G150</f>
        <v>17</v>
      </c>
      <c r="O150" s="0" t="n">
        <f aca="false">B150+D150+F150</f>
        <v>12</v>
      </c>
      <c r="P150" s="0" t="n">
        <f aca="false">C150+E150+G150</f>
        <v>7</v>
      </c>
    </row>
    <row r="151" customFormat="false" ht="15" hidden="false" customHeight="false" outlineLevel="0" collapsed="false">
      <c r="A151" s="0" t="n">
        <v>152</v>
      </c>
      <c r="B151" s="0" t="n">
        <f aca="false">Raw_Data!AJ152</f>
        <v>3</v>
      </c>
      <c r="C151" s="0" t="n">
        <f aca="false">Raw_Data!AK152</f>
        <v>3</v>
      </c>
      <c r="D151" s="0" t="n">
        <f aca="false">Raw_Data!AL152</f>
        <v>2</v>
      </c>
      <c r="E151" s="0" t="n">
        <f aca="false">Raw_Data!AM152</f>
        <v>4</v>
      </c>
      <c r="F151" s="0" t="n">
        <f aca="false">Raw_Data!AN152</f>
        <v>4</v>
      </c>
      <c r="G151" s="0" t="n">
        <f aca="false">Raw_Data!AO152</f>
        <v>4</v>
      </c>
      <c r="H151" s="0" t="n">
        <f aca="false">SUM(B151:G151)</f>
        <v>20</v>
      </c>
      <c r="I151" s="0" t="n">
        <f aca="false">H151-B151</f>
        <v>17</v>
      </c>
      <c r="J151" s="0" t="n">
        <f aca="false">H151-C151</f>
        <v>17</v>
      </c>
      <c r="K151" s="0" t="n">
        <f aca="false">H151-D151</f>
        <v>18</v>
      </c>
      <c r="L151" s="0" t="n">
        <f aca="false">H151-E151</f>
        <v>16</v>
      </c>
      <c r="M151" s="0" t="n">
        <f aca="false">H151-F151</f>
        <v>16</v>
      </c>
      <c r="N151" s="0" t="n">
        <f aca="false">H151-G151</f>
        <v>16</v>
      </c>
      <c r="O151" s="0" t="n">
        <f aca="false">B151+D151+F151</f>
        <v>9</v>
      </c>
      <c r="P151" s="0" t="n">
        <f aca="false">C151+E151+G151</f>
        <v>11</v>
      </c>
    </row>
    <row r="152" customFormat="false" ht="15" hidden="false" customHeight="false" outlineLevel="0" collapsed="false">
      <c r="A152" s="0" t="n">
        <v>153</v>
      </c>
      <c r="B152" s="0" t="n">
        <f aca="false">Raw_Data!AJ153</f>
        <v>4</v>
      </c>
      <c r="C152" s="0" t="n">
        <f aca="false">Raw_Data!AK153</f>
        <v>3</v>
      </c>
      <c r="D152" s="0" t="n">
        <f aca="false">Raw_Data!AL153</f>
        <v>4</v>
      </c>
      <c r="E152" s="0" t="n">
        <f aca="false">Raw_Data!AM153</f>
        <v>3</v>
      </c>
      <c r="F152" s="0" t="n">
        <f aca="false">Raw_Data!AN153</f>
        <v>3</v>
      </c>
      <c r="G152" s="0" t="n">
        <f aca="false">Raw_Data!AO153</f>
        <v>2</v>
      </c>
      <c r="H152" s="0" t="n">
        <f aca="false">SUM(B152:G152)</f>
        <v>19</v>
      </c>
      <c r="I152" s="0" t="n">
        <f aca="false">H152-B152</f>
        <v>15</v>
      </c>
      <c r="J152" s="0" t="n">
        <f aca="false">H152-C152</f>
        <v>16</v>
      </c>
      <c r="K152" s="0" t="n">
        <f aca="false">H152-D152</f>
        <v>15</v>
      </c>
      <c r="L152" s="0" t="n">
        <f aca="false">H152-E152</f>
        <v>16</v>
      </c>
      <c r="M152" s="0" t="n">
        <f aca="false">H152-F152</f>
        <v>16</v>
      </c>
      <c r="N152" s="0" t="n">
        <f aca="false">H152-G152</f>
        <v>17</v>
      </c>
      <c r="O152" s="0" t="n">
        <f aca="false">B152+D152+F152</f>
        <v>11</v>
      </c>
      <c r="P152" s="0" t="n">
        <f aca="false">C152+E152+G152</f>
        <v>8</v>
      </c>
    </row>
    <row r="153" customFormat="false" ht="15" hidden="false" customHeight="false" outlineLevel="0" collapsed="false">
      <c r="A153" s="0" t="n">
        <v>154</v>
      </c>
      <c r="B153" s="0" t="n">
        <f aca="false">Raw_Data!AJ154</f>
        <v>5</v>
      </c>
      <c r="C153" s="0" t="n">
        <f aca="false">Raw_Data!AK154</f>
        <v>2</v>
      </c>
      <c r="D153" s="0" t="n">
        <f aca="false">Raw_Data!AL154</f>
        <v>3</v>
      </c>
      <c r="E153" s="0" t="n">
        <f aca="false">Raw_Data!AM154</f>
        <v>3</v>
      </c>
      <c r="F153" s="0" t="n">
        <f aca="false">Raw_Data!AN154</f>
        <v>4</v>
      </c>
      <c r="G153" s="0" t="n">
        <f aca="false">Raw_Data!AO154</f>
        <v>3</v>
      </c>
      <c r="H153" s="0" t="n">
        <f aca="false">SUM(B153:G153)</f>
        <v>20</v>
      </c>
      <c r="I153" s="0" t="n">
        <f aca="false">H153-B153</f>
        <v>15</v>
      </c>
      <c r="J153" s="0" t="n">
        <f aca="false">H153-C153</f>
        <v>18</v>
      </c>
      <c r="K153" s="0" t="n">
        <f aca="false">H153-D153</f>
        <v>17</v>
      </c>
      <c r="L153" s="0" t="n">
        <f aca="false">H153-E153</f>
        <v>17</v>
      </c>
      <c r="M153" s="0" t="n">
        <f aca="false">H153-F153</f>
        <v>16</v>
      </c>
      <c r="N153" s="0" t="n">
        <f aca="false">H153-G153</f>
        <v>17</v>
      </c>
      <c r="O153" s="0" t="n">
        <f aca="false">B153+D153+F153</f>
        <v>12</v>
      </c>
      <c r="P153" s="0" t="n">
        <f aca="false">C153+E153+G153</f>
        <v>8</v>
      </c>
    </row>
    <row r="154" customFormat="false" ht="15" hidden="false" customHeight="false" outlineLevel="0" collapsed="false">
      <c r="A154" s="0" t="n">
        <v>155</v>
      </c>
      <c r="B154" s="0" t="n">
        <f aca="false">Raw_Data!AJ155</f>
        <v>4</v>
      </c>
      <c r="C154" s="0" t="n">
        <f aca="false">Raw_Data!AK155</f>
        <v>2</v>
      </c>
      <c r="D154" s="0" t="n">
        <f aca="false">Raw_Data!AL155</f>
        <v>5</v>
      </c>
      <c r="E154" s="0" t="n">
        <f aca="false">Raw_Data!AM155</f>
        <v>3</v>
      </c>
      <c r="F154" s="0" t="n">
        <f aca="false">Raw_Data!AN155</f>
        <v>1</v>
      </c>
      <c r="G154" s="0" t="n">
        <f aca="false">Raw_Data!AO155</f>
        <v>2</v>
      </c>
      <c r="H154" s="0" t="n">
        <f aca="false">SUM(B154:G154)</f>
        <v>17</v>
      </c>
      <c r="I154" s="0" t="n">
        <f aca="false">H154-B154</f>
        <v>13</v>
      </c>
      <c r="J154" s="0" t="n">
        <f aca="false">H154-C154</f>
        <v>15</v>
      </c>
      <c r="K154" s="0" t="n">
        <f aca="false">H154-D154</f>
        <v>12</v>
      </c>
      <c r="L154" s="0" t="n">
        <f aca="false">H154-E154</f>
        <v>14</v>
      </c>
      <c r="M154" s="0" t="n">
        <f aca="false">H154-F154</f>
        <v>16</v>
      </c>
      <c r="N154" s="0" t="n">
        <f aca="false">H154-G154</f>
        <v>15</v>
      </c>
      <c r="O154" s="0" t="n">
        <f aca="false">B154+D154+F154</f>
        <v>10</v>
      </c>
      <c r="P154" s="0" t="n">
        <f aca="false">C154+E154+G154</f>
        <v>7</v>
      </c>
    </row>
    <row r="155" customFormat="false" ht="15" hidden="false" customHeight="false" outlineLevel="0" collapsed="false">
      <c r="A155" s="0" t="n">
        <v>156</v>
      </c>
      <c r="B155" s="0" t="n">
        <f aca="false">Raw_Data!AJ156</f>
        <v>3</v>
      </c>
      <c r="C155" s="0" t="n">
        <f aca="false">Raw_Data!AK156</f>
        <v>3</v>
      </c>
      <c r="D155" s="0" t="n">
        <f aca="false">Raw_Data!AL156</f>
        <v>3</v>
      </c>
      <c r="E155" s="0" t="n">
        <f aca="false">Raw_Data!AM156</f>
        <v>2</v>
      </c>
      <c r="F155" s="0" t="n">
        <f aca="false">Raw_Data!AN156</f>
        <v>3</v>
      </c>
      <c r="G155" s="0" t="n">
        <f aca="false">Raw_Data!AO156</f>
        <v>4</v>
      </c>
      <c r="H155" s="0" t="n">
        <f aca="false">SUM(B155:G155)</f>
        <v>18</v>
      </c>
      <c r="I155" s="0" t="n">
        <f aca="false">H155-B155</f>
        <v>15</v>
      </c>
      <c r="J155" s="0" t="n">
        <f aca="false">H155-C155</f>
        <v>15</v>
      </c>
      <c r="K155" s="0" t="n">
        <f aca="false">H155-D155</f>
        <v>15</v>
      </c>
      <c r="L155" s="0" t="n">
        <f aca="false">H155-E155</f>
        <v>16</v>
      </c>
      <c r="M155" s="0" t="n">
        <f aca="false">H155-F155</f>
        <v>15</v>
      </c>
      <c r="N155" s="0" t="n">
        <f aca="false">H155-G155</f>
        <v>14</v>
      </c>
      <c r="O155" s="0" t="n">
        <f aca="false">B155+D155+F155</f>
        <v>9</v>
      </c>
      <c r="P155" s="0" t="n">
        <f aca="false">C155+E155+G155</f>
        <v>9</v>
      </c>
    </row>
    <row r="156" customFormat="false" ht="15" hidden="false" customHeight="false" outlineLevel="0" collapsed="false">
      <c r="A156" s="0" t="n">
        <v>157</v>
      </c>
      <c r="B156" s="0" t="n">
        <f aca="false">Raw_Data!AJ157</f>
        <v>5</v>
      </c>
      <c r="C156" s="0" t="n">
        <f aca="false">Raw_Data!AK157</f>
        <v>2</v>
      </c>
      <c r="D156" s="0" t="n">
        <f aca="false">Raw_Data!AL157</f>
        <v>4</v>
      </c>
      <c r="E156" s="0" t="n">
        <f aca="false">Raw_Data!AM157</f>
        <v>4</v>
      </c>
      <c r="F156" s="0" t="n">
        <f aca="false">Raw_Data!AN157</f>
        <v>5</v>
      </c>
      <c r="G156" s="0" t="n">
        <f aca="false">Raw_Data!AO157</f>
        <v>4</v>
      </c>
      <c r="H156" s="0" t="n">
        <f aca="false">SUM(B156:G156)</f>
        <v>24</v>
      </c>
      <c r="I156" s="0" t="n">
        <f aca="false">H156-B156</f>
        <v>19</v>
      </c>
      <c r="J156" s="0" t="n">
        <f aca="false">H156-C156</f>
        <v>22</v>
      </c>
      <c r="K156" s="0" t="n">
        <f aca="false">H156-D156</f>
        <v>20</v>
      </c>
      <c r="L156" s="0" t="n">
        <f aca="false">H156-E156</f>
        <v>20</v>
      </c>
      <c r="M156" s="0" t="n">
        <f aca="false">H156-F156</f>
        <v>19</v>
      </c>
      <c r="N156" s="0" t="n">
        <f aca="false">H156-G156</f>
        <v>20</v>
      </c>
      <c r="O156" s="0" t="n">
        <f aca="false">B156+D156+F156</f>
        <v>14</v>
      </c>
      <c r="P156" s="0" t="n">
        <f aca="false">C156+E156+G156</f>
        <v>10</v>
      </c>
    </row>
    <row r="157" customFormat="false" ht="15" hidden="false" customHeight="false" outlineLevel="0" collapsed="false">
      <c r="A157" s="0" t="n">
        <v>158</v>
      </c>
      <c r="B157" s="0" t="n">
        <f aca="false">Raw_Data!AJ158</f>
        <v>3</v>
      </c>
      <c r="C157" s="0" t="n">
        <f aca="false">Raw_Data!AK158</f>
        <v>3</v>
      </c>
      <c r="D157" s="0" t="n">
        <f aca="false">Raw_Data!AL158</f>
        <v>4</v>
      </c>
      <c r="E157" s="0" t="n">
        <f aca="false">Raw_Data!AM158</f>
        <v>3</v>
      </c>
      <c r="F157" s="0" t="n">
        <f aca="false">Raw_Data!AN158</f>
        <v>3</v>
      </c>
      <c r="G157" s="0" t="n">
        <f aca="false">Raw_Data!AO158</f>
        <v>3</v>
      </c>
      <c r="H157" s="0" t="n">
        <f aca="false">SUM(B157:G157)</f>
        <v>19</v>
      </c>
      <c r="I157" s="0" t="n">
        <f aca="false">H157-B157</f>
        <v>16</v>
      </c>
      <c r="J157" s="0" t="n">
        <f aca="false">H157-C157</f>
        <v>16</v>
      </c>
      <c r="K157" s="0" t="n">
        <f aca="false">H157-D157</f>
        <v>15</v>
      </c>
      <c r="L157" s="0" t="n">
        <f aca="false">H157-E157</f>
        <v>16</v>
      </c>
      <c r="M157" s="0" t="n">
        <f aca="false">H157-F157</f>
        <v>16</v>
      </c>
      <c r="N157" s="0" t="n">
        <f aca="false">H157-G157</f>
        <v>16</v>
      </c>
      <c r="O157" s="0" t="n">
        <f aca="false">B157+D157+F157</f>
        <v>10</v>
      </c>
      <c r="P157" s="0" t="n">
        <f aca="false">C157+E157+G157</f>
        <v>9</v>
      </c>
    </row>
    <row r="158" customFormat="false" ht="15" hidden="false" customHeight="false" outlineLevel="0" collapsed="false">
      <c r="A158" s="0" t="n">
        <v>159</v>
      </c>
      <c r="B158" s="0" t="n">
        <f aca="false">Raw_Data!AJ159</f>
        <v>4</v>
      </c>
      <c r="C158" s="0" t="n">
        <f aca="false">Raw_Data!AK159</f>
        <v>4</v>
      </c>
      <c r="D158" s="0" t="n">
        <f aca="false">Raw_Data!AL159</f>
        <v>4</v>
      </c>
      <c r="E158" s="0" t="n">
        <f aca="false">Raw_Data!AM159</f>
        <v>2</v>
      </c>
      <c r="F158" s="0" t="n">
        <f aca="false">Raw_Data!AN159</f>
        <v>2</v>
      </c>
      <c r="G158" s="0" t="n">
        <f aca="false">Raw_Data!AO159</f>
        <v>4</v>
      </c>
      <c r="H158" s="0" t="n">
        <f aca="false">SUM(B158:G158)</f>
        <v>20</v>
      </c>
      <c r="I158" s="0" t="n">
        <f aca="false">H158-B158</f>
        <v>16</v>
      </c>
      <c r="J158" s="0" t="n">
        <f aca="false">H158-C158</f>
        <v>16</v>
      </c>
      <c r="K158" s="0" t="n">
        <f aca="false">H158-D158</f>
        <v>16</v>
      </c>
      <c r="L158" s="0" t="n">
        <f aca="false">H158-E158</f>
        <v>18</v>
      </c>
      <c r="M158" s="0" t="n">
        <f aca="false">H158-F158</f>
        <v>18</v>
      </c>
      <c r="N158" s="0" t="n">
        <f aca="false">H158-G158</f>
        <v>16</v>
      </c>
      <c r="O158" s="0" t="n">
        <f aca="false">B158+D158+F158</f>
        <v>10</v>
      </c>
      <c r="P158" s="0" t="n">
        <f aca="false">C158+E158+G158</f>
        <v>10</v>
      </c>
    </row>
    <row r="159" customFormat="false" ht="15" hidden="false" customHeight="false" outlineLevel="0" collapsed="false">
      <c r="A159" s="0" t="n">
        <v>160</v>
      </c>
      <c r="B159" s="0" t="n">
        <f aca="false">Raw_Data!AJ160</f>
        <v>2</v>
      </c>
      <c r="C159" s="0" t="n">
        <f aca="false">Raw_Data!AK160</f>
        <v>2</v>
      </c>
      <c r="D159" s="0" t="n">
        <f aca="false">Raw_Data!AL160</f>
        <v>4</v>
      </c>
      <c r="E159" s="0" t="n">
        <f aca="false">Raw_Data!AM160</f>
        <v>2</v>
      </c>
      <c r="F159" s="0" t="n">
        <f aca="false">Raw_Data!AN160</f>
        <v>2</v>
      </c>
      <c r="G159" s="0" t="n">
        <f aca="false">Raw_Data!AO160</f>
        <v>2</v>
      </c>
      <c r="H159" s="0" t="n">
        <f aca="false">SUM(B159:G159)</f>
        <v>14</v>
      </c>
      <c r="I159" s="0" t="n">
        <f aca="false">H159-B159</f>
        <v>12</v>
      </c>
      <c r="J159" s="0" t="n">
        <f aca="false">H159-C159</f>
        <v>12</v>
      </c>
      <c r="K159" s="0" t="n">
        <f aca="false">H159-D159</f>
        <v>10</v>
      </c>
      <c r="L159" s="0" t="n">
        <f aca="false">H159-E159</f>
        <v>12</v>
      </c>
      <c r="M159" s="0" t="n">
        <f aca="false">H159-F159</f>
        <v>12</v>
      </c>
      <c r="N159" s="0" t="n">
        <f aca="false">H159-G159</f>
        <v>12</v>
      </c>
      <c r="O159" s="0" t="n">
        <f aca="false">B159+D159+F159</f>
        <v>8</v>
      </c>
      <c r="P159" s="0" t="n">
        <f aca="false">C159+E159+G159</f>
        <v>6</v>
      </c>
    </row>
    <row r="160" customFormat="false" ht="15" hidden="false" customHeight="false" outlineLevel="0" collapsed="false">
      <c r="A160" s="0" t="n">
        <v>161</v>
      </c>
      <c r="B160" s="0" t="n">
        <f aca="false">Raw_Data!AJ161</f>
        <v>4</v>
      </c>
      <c r="C160" s="0" t="n">
        <f aca="false">Raw_Data!AK161</f>
        <v>3</v>
      </c>
      <c r="D160" s="0" t="n">
        <f aca="false">Raw_Data!AL161</f>
        <v>4</v>
      </c>
      <c r="E160" s="0" t="n">
        <f aca="false">Raw_Data!AM161</f>
        <v>3</v>
      </c>
      <c r="F160" s="0" t="n">
        <f aca="false">Raw_Data!AN161</f>
        <v>4</v>
      </c>
      <c r="G160" s="0" t="n">
        <f aca="false">Raw_Data!AO161</f>
        <v>3</v>
      </c>
      <c r="H160" s="0" t="n">
        <f aca="false">SUM(B160:G160)</f>
        <v>21</v>
      </c>
      <c r="I160" s="0" t="n">
        <f aca="false">H160-B160</f>
        <v>17</v>
      </c>
      <c r="J160" s="0" t="n">
        <f aca="false">H160-C160</f>
        <v>18</v>
      </c>
      <c r="K160" s="0" t="n">
        <f aca="false">H160-D160</f>
        <v>17</v>
      </c>
      <c r="L160" s="0" t="n">
        <f aca="false">H160-E160</f>
        <v>18</v>
      </c>
      <c r="M160" s="0" t="n">
        <f aca="false">H160-F160</f>
        <v>17</v>
      </c>
      <c r="N160" s="0" t="n">
        <f aca="false">H160-G160</f>
        <v>18</v>
      </c>
      <c r="O160" s="0" t="n">
        <f aca="false">B160+D160+F160</f>
        <v>12</v>
      </c>
      <c r="P160" s="0" t="n">
        <f aca="false">C160+E160+G160</f>
        <v>9</v>
      </c>
    </row>
    <row r="161" customFormat="false" ht="15" hidden="false" customHeight="false" outlineLevel="0" collapsed="false">
      <c r="A161" s="0" t="n">
        <v>162</v>
      </c>
      <c r="B161" s="0" t="n">
        <f aca="false">Raw_Data!AJ162</f>
        <v>2</v>
      </c>
      <c r="C161" s="0" t="n">
        <f aca="false">Raw_Data!AK162</f>
        <v>2</v>
      </c>
      <c r="D161" s="0" t="n">
        <f aca="false">Raw_Data!AL162</f>
        <v>4</v>
      </c>
      <c r="E161" s="0" t="n">
        <f aca="false">Raw_Data!AM162</f>
        <v>4</v>
      </c>
      <c r="F161" s="0" t="n">
        <f aca="false">Raw_Data!AN162</f>
        <v>2</v>
      </c>
      <c r="G161" s="0" t="n">
        <f aca="false">Raw_Data!AO162</f>
        <v>4</v>
      </c>
      <c r="H161" s="0" t="n">
        <f aca="false">SUM(B161:G161)</f>
        <v>18</v>
      </c>
      <c r="I161" s="0" t="n">
        <f aca="false">H161-B161</f>
        <v>16</v>
      </c>
      <c r="J161" s="0" t="n">
        <f aca="false">H161-C161</f>
        <v>16</v>
      </c>
      <c r="K161" s="0" t="n">
        <f aca="false">H161-D161</f>
        <v>14</v>
      </c>
      <c r="L161" s="0" t="n">
        <f aca="false">H161-E161</f>
        <v>14</v>
      </c>
      <c r="M161" s="0" t="n">
        <f aca="false">H161-F161</f>
        <v>16</v>
      </c>
      <c r="N161" s="0" t="n">
        <f aca="false">H161-G161</f>
        <v>14</v>
      </c>
      <c r="O161" s="0" t="n">
        <f aca="false">B161+D161+F161</f>
        <v>8</v>
      </c>
      <c r="P161" s="0" t="n">
        <f aca="false">C161+E161+G161</f>
        <v>10</v>
      </c>
    </row>
    <row r="162" customFormat="false" ht="15" hidden="false" customHeight="false" outlineLevel="0" collapsed="false">
      <c r="A162" s="0" t="n">
        <v>163</v>
      </c>
      <c r="B162" s="0" t="n">
        <f aca="false">Raw_Data!AJ163</f>
        <v>3</v>
      </c>
      <c r="C162" s="0" t="n">
        <f aca="false">Raw_Data!AK163</f>
        <v>2</v>
      </c>
      <c r="D162" s="0" t="n">
        <f aca="false">Raw_Data!AL163</f>
        <v>3</v>
      </c>
      <c r="E162" s="0" t="n">
        <f aca="false">Raw_Data!AM163</f>
        <v>3</v>
      </c>
      <c r="F162" s="0" t="n">
        <f aca="false">Raw_Data!AN163</f>
        <v>3</v>
      </c>
      <c r="G162" s="0" t="n">
        <f aca="false">Raw_Data!AO163</f>
        <v>3</v>
      </c>
      <c r="H162" s="0" t="n">
        <f aca="false">SUM(B162:G162)</f>
        <v>17</v>
      </c>
      <c r="I162" s="0" t="n">
        <f aca="false">H162-B162</f>
        <v>14</v>
      </c>
      <c r="J162" s="0" t="n">
        <f aca="false">H162-C162</f>
        <v>15</v>
      </c>
      <c r="K162" s="0" t="n">
        <f aca="false">H162-D162</f>
        <v>14</v>
      </c>
      <c r="L162" s="0" t="n">
        <f aca="false">H162-E162</f>
        <v>14</v>
      </c>
      <c r="M162" s="0" t="n">
        <f aca="false">H162-F162</f>
        <v>14</v>
      </c>
      <c r="N162" s="0" t="n">
        <f aca="false">H162-G162</f>
        <v>14</v>
      </c>
      <c r="O162" s="0" t="n">
        <f aca="false">B162+D162+F162</f>
        <v>9</v>
      </c>
      <c r="P162" s="0" t="n">
        <f aca="false">C162+E162+G162</f>
        <v>8</v>
      </c>
    </row>
    <row r="163" customFormat="false" ht="15" hidden="false" customHeight="false" outlineLevel="0" collapsed="false">
      <c r="A163" s="0" t="n">
        <v>164</v>
      </c>
      <c r="B163" s="0" t="n">
        <f aca="false">Raw_Data!AJ164</f>
        <v>3</v>
      </c>
      <c r="C163" s="0" t="n">
        <f aca="false">Raw_Data!AK164</f>
        <v>3</v>
      </c>
      <c r="D163" s="0" t="n">
        <f aca="false">Raw_Data!AL164</f>
        <v>4</v>
      </c>
      <c r="E163" s="0" t="n">
        <f aca="false">Raw_Data!AM164</f>
        <v>2</v>
      </c>
      <c r="F163" s="0" t="n">
        <f aca="false">Raw_Data!AN164</f>
        <v>3</v>
      </c>
      <c r="G163" s="0" t="n">
        <f aca="false">Raw_Data!AO164</f>
        <v>4</v>
      </c>
      <c r="H163" s="0" t="n">
        <f aca="false">SUM(B163:G163)</f>
        <v>19</v>
      </c>
      <c r="I163" s="0" t="n">
        <f aca="false">H163-B163</f>
        <v>16</v>
      </c>
      <c r="J163" s="0" t="n">
        <f aca="false">H163-C163</f>
        <v>16</v>
      </c>
      <c r="K163" s="0" t="n">
        <f aca="false">H163-D163</f>
        <v>15</v>
      </c>
      <c r="L163" s="0" t="n">
        <f aca="false">H163-E163</f>
        <v>17</v>
      </c>
      <c r="M163" s="0" t="n">
        <f aca="false">H163-F163</f>
        <v>16</v>
      </c>
      <c r="N163" s="0" t="n">
        <f aca="false">H163-G163</f>
        <v>15</v>
      </c>
      <c r="O163" s="0" t="n">
        <f aca="false">B163+D163+F163</f>
        <v>10</v>
      </c>
      <c r="P163" s="0" t="n">
        <f aca="false">C163+E163+G163</f>
        <v>9</v>
      </c>
    </row>
    <row r="164" customFormat="false" ht="15" hidden="false" customHeight="false" outlineLevel="0" collapsed="false">
      <c r="A164" s="0" t="n">
        <v>165</v>
      </c>
      <c r="B164" s="0" t="n">
        <f aca="false">Raw_Data!AJ165</f>
        <v>4</v>
      </c>
      <c r="C164" s="0" t="n">
        <f aca="false">Raw_Data!AK165</f>
        <v>4</v>
      </c>
      <c r="D164" s="0" t="n">
        <f aca="false">Raw_Data!AL165</f>
        <v>4</v>
      </c>
      <c r="E164" s="0" t="n">
        <f aca="false">Raw_Data!AM165</f>
        <v>3</v>
      </c>
      <c r="F164" s="0" t="n">
        <f aca="false">Raw_Data!AN165</f>
        <v>5</v>
      </c>
      <c r="G164" s="0" t="n">
        <f aca="false">Raw_Data!AO165</f>
        <v>5</v>
      </c>
      <c r="H164" s="0" t="n">
        <f aca="false">SUM(B164:G164)</f>
        <v>25</v>
      </c>
      <c r="I164" s="0" t="n">
        <f aca="false">H164-B164</f>
        <v>21</v>
      </c>
      <c r="J164" s="0" t="n">
        <f aca="false">H164-C164</f>
        <v>21</v>
      </c>
      <c r="K164" s="0" t="n">
        <f aca="false">H164-D164</f>
        <v>21</v>
      </c>
      <c r="L164" s="0" t="n">
        <f aca="false">H164-E164</f>
        <v>22</v>
      </c>
      <c r="M164" s="0" t="n">
        <f aca="false">H164-F164</f>
        <v>20</v>
      </c>
      <c r="N164" s="0" t="n">
        <f aca="false">H164-G164</f>
        <v>20</v>
      </c>
      <c r="O164" s="0" t="n">
        <f aca="false">B164+D164+F164</f>
        <v>13</v>
      </c>
      <c r="P164" s="0" t="n">
        <f aca="false">C164+E164+G164</f>
        <v>12</v>
      </c>
    </row>
    <row r="165" customFormat="false" ht="15" hidden="false" customHeight="false" outlineLevel="0" collapsed="false">
      <c r="A165" s="0" t="n">
        <v>166</v>
      </c>
      <c r="B165" s="0" t="n">
        <f aca="false">Raw_Data!AJ166</f>
        <v>4</v>
      </c>
      <c r="C165" s="0" t="n">
        <f aca="false">Raw_Data!AK166</f>
        <v>2</v>
      </c>
      <c r="D165" s="0" t="n">
        <f aca="false">Raw_Data!AL166</f>
        <v>5</v>
      </c>
      <c r="E165" s="0" t="n">
        <f aca="false">Raw_Data!AM166</f>
        <v>3</v>
      </c>
      <c r="F165" s="0" t="n">
        <f aca="false">Raw_Data!AN166</f>
        <v>4</v>
      </c>
      <c r="G165" s="0" t="n">
        <f aca="false">Raw_Data!AO166</f>
        <v>3</v>
      </c>
      <c r="H165" s="0" t="n">
        <f aca="false">SUM(B165:G165)</f>
        <v>21</v>
      </c>
      <c r="I165" s="0" t="n">
        <f aca="false">H165-B165</f>
        <v>17</v>
      </c>
      <c r="J165" s="0" t="n">
        <f aca="false">H165-C165</f>
        <v>19</v>
      </c>
      <c r="K165" s="0" t="n">
        <f aca="false">H165-D165</f>
        <v>16</v>
      </c>
      <c r="L165" s="0" t="n">
        <f aca="false">H165-E165</f>
        <v>18</v>
      </c>
      <c r="M165" s="0" t="n">
        <f aca="false">H165-F165</f>
        <v>17</v>
      </c>
      <c r="N165" s="0" t="n">
        <f aca="false">H165-G165</f>
        <v>18</v>
      </c>
      <c r="O165" s="0" t="n">
        <f aca="false">B165+D165+F165</f>
        <v>13</v>
      </c>
      <c r="P165" s="0" t="n">
        <f aca="false">C165+E165+G165</f>
        <v>8</v>
      </c>
    </row>
    <row r="166" customFormat="false" ht="15" hidden="false" customHeight="false" outlineLevel="0" collapsed="false">
      <c r="A166" s="0" t="n">
        <v>167</v>
      </c>
      <c r="B166" s="0" t="n">
        <f aca="false">Raw_Data!AJ167</f>
        <v>4</v>
      </c>
      <c r="C166" s="0" t="n">
        <f aca="false">Raw_Data!AK167</f>
        <v>4</v>
      </c>
      <c r="D166" s="0" t="n">
        <f aca="false">Raw_Data!AL167</f>
        <v>2</v>
      </c>
      <c r="E166" s="0" t="n">
        <f aca="false">Raw_Data!AM167</f>
        <v>3</v>
      </c>
      <c r="F166" s="0" t="n">
        <f aca="false">Raw_Data!AN167</f>
        <v>2</v>
      </c>
      <c r="G166" s="0" t="n">
        <f aca="false">Raw_Data!AO167</f>
        <v>2</v>
      </c>
      <c r="H166" s="0" t="n">
        <f aca="false">SUM(B166:G166)</f>
        <v>17</v>
      </c>
      <c r="I166" s="0" t="n">
        <f aca="false">H166-B166</f>
        <v>13</v>
      </c>
      <c r="J166" s="0" t="n">
        <f aca="false">H166-C166</f>
        <v>13</v>
      </c>
      <c r="K166" s="0" t="n">
        <f aca="false">H166-D166</f>
        <v>15</v>
      </c>
      <c r="L166" s="0" t="n">
        <f aca="false">H166-E166</f>
        <v>14</v>
      </c>
      <c r="M166" s="0" t="n">
        <f aca="false">H166-F166</f>
        <v>15</v>
      </c>
      <c r="N166" s="0" t="n">
        <f aca="false">H166-G166</f>
        <v>15</v>
      </c>
      <c r="O166" s="0" t="n">
        <f aca="false">B166+D166+F166</f>
        <v>8</v>
      </c>
      <c r="P166" s="0" t="n">
        <f aca="false">C166+E166+G166</f>
        <v>9</v>
      </c>
    </row>
    <row r="167" customFormat="false" ht="15" hidden="false" customHeight="false" outlineLevel="0" collapsed="false">
      <c r="A167" s="0" t="n">
        <v>168</v>
      </c>
      <c r="B167" s="0" t="n">
        <f aca="false">Raw_Data!AJ168</f>
        <v>4</v>
      </c>
      <c r="C167" s="0" t="n">
        <f aca="false">Raw_Data!AK168</f>
        <v>4</v>
      </c>
      <c r="D167" s="0" t="n">
        <f aca="false">Raw_Data!AL168</f>
        <v>4</v>
      </c>
      <c r="E167" s="0" t="n">
        <f aca="false">Raw_Data!AM168</f>
        <v>3</v>
      </c>
      <c r="F167" s="0" t="n">
        <f aca="false">Raw_Data!AN168</f>
        <v>4</v>
      </c>
      <c r="G167" s="0" t="n">
        <f aca="false">Raw_Data!AO168</f>
        <v>4</v>
      </c>
      <c r="H167" s="0" t="n">
        <f aca="false">SUM(B167:G167)</f>
        <v>23</v>
      </c>
      <c r="I167" s="0" t="n">
        <f aca="false">H167-B167</f>
        <v>19</v>
      </c>
      <c r="J167" s="0" t="n">
        <f aca="false">H167-C167</f>
        <v>19</v>
      </c>
      <c r="K167" s="0" t="n">
        <f aca="false">H167-D167</f>
        <v>19</v>
      </c>
      <c r="L167" s="0" t="n">
        <f aca="false">H167-E167</f>
        <v>20</v>
      </c>
      <c r="M167" s="0" t="n">
        <f aca="false">H167-F167</f>
        <v>19</v>
      </c>
      <c r="N167" s="0" t="n">
        <f aca="false">H167-G167</f>
        <v>19</v>
      </c>
      <c r="O167" s="0" t="n">
        <f aca="false">B167+D167+F167</f>
        <v>12</v>
      </c>
      <c r="P167" s="0" t="n">
        <f aca="false">C167+E167+G167</f>
        <v>11</v>
      </c>
    </row>
    <row r="168" customFormat="false" ht="15" hidden="false" customHeight="false" outlineLevel="0" collapsed="false">
      <c r="A168" s="0" t="n">
        <v>169</v>
      </c>
      <c r="B168" s="0" t="n">
        <f aca="false">Raw_Data!AJ169</f>
        <v>5</v>
      </c>
      <c r="C168" s="0" t="n">
        <f aca="false">Raw_Data!AK169</f>
        <v>4</v>
      </c>
      <c r="D168" s="0" t="n">
        <f aca="false">Raw_Data!AL169</f>
        <v>5</v>
      </c>
      <c r="E168" s="0" t="n">
        <f aca="false">Raw_Data!AM169</f>
        <v>5</v>
      </c>
      <c r="F168" s="0" t="n">
        <f aca="false">Raw_Data!AN169</f>
        <v>2</v>
      </c>
      <c r="G168" s="0" t="n">
        <f aca="false">Raw_Data!AO169</f>
        <v>4</v>
      </c>
      <c r="H168" s="0" t="n">
        <f aca="false">SUM(B168:G168)</f>
        <v>25</v>
      </c>
      <c r="I168" s="0" t="n">
        <f aca="false">H168-B168</f>
        <v>20</v>
      </c>
      <c r="J168" s="0" t="n">
        <f aca="false">H168-C168</f>
        <v>21</v>
      </c>
      <c r="K168" s="0" t="n">
        <f aca="false">H168-D168</f>
        <v>20</v>
      </c>
      <c r="L168" s="0" t="n">
        <f aca="false">H168-E168</f>
        <v>20</v>
      </c>
      <c r="M168" s="0" t="n">
        <f aca="false">H168-F168</f>
        <v>23</v>
      </c>
      <c r="N168" s="0" t="n">
        <f aca="false">H168-G168</f>
        <v>21</v>
      </c>
      <c r="O168" s="0" t="n">
        <f aca="false">B168+D168+F168</f>
        <v>12</v>
      </c>
      <c r="P168" s="0" t="n">
        <f aca="false">C168+E168+G168</f>
        <v>13</v>
      </c>
    </row>
    <row r="169" customFormat="false" ht="15" hidden="false" customHeight="false" outlineLevel="0" collapsed="false">
      <c r="A169" s="0" t="n">
        <v>170</v>
      </c>
      <c r="B169" s="0" t="n">
        <f aca="false">Raw_Data!AJ170</f>
        <v>4</v>
      </c>
      <c r="C169" s="0" t="n">
        <f aca="false">Raw_Data!AK170</f>
        <v>4</v>
      </c>
      <c r="D169" s="0" t="n">
        <f aca="false">Raw_Data!AL170</f>
        <v>4</v>
      </c>
      <c r="E169" s="0" t="n">
        <f aca="false">Raw_Data!AM170</f>
        <v>2</v>
      </c>
      <c r="F169" s="0" t="n">
        <f aca="false">Raw_Data!AN170</f>
        <v>3</v>
      </c>
      <c r="G169" s="0" t="n">
        <f aca="false">Raw_Data!AO170</f>
        <v>2</v>
      </c>
      <c r="H169" s="0" t="n">
        <f aca="false">SUM(B169:G169)</f>
        <v>19</v>
      </c>
      <c r="I169" s="0" t="n">
        <f aca="false">H169-B169</f>
        <v>15</v>
      </c>
      <c r="J169" s="0" t="n">
        <f aca="false">H169-C169</f>
        <v>15</v>
      </c>
      <c r="K169" s="0" t="n">
        <f aca="false">H169-D169</f>
        <v>15</v>
      </c>
      <c r="L169" s="0" t="n">
        <f aca="false">H169-E169</f>
        <v>17</v>
      </c>
      <c r="M169" s="0" t="n">
        <f aca="false">H169-F169</f>
        <v>16</v>
      </c>
      <c r="N169" s="0" t="n">
        <f aca="false">H169-G169</f>
        <v>17</v>
      </c>
      <c r="O169" s="0" t="n">
        <f aca="false">B169+D169+F169</f>
        <v>11</v>
      </c>
      <c r="P169" s="0" t="n">
        <f aca="false">C169+E169+G169</f>
        <v>8</v>
      </c>
    </row>
    <row r="170" customFormat="false" ht="15" hidden="false" customHeight="false" outlineLevel="0" collapsed="false">
      <c r="A170" s="0" t="n">
        <v>171</v>
      </c>
      <c r="B170" s="0" t="n">
        <f aca="false">Raw_Data!AJ171</f>
        <v>4</v>
      </c>
      <c r="C170" s="0" t="n">
        <f aca="false">Raw_Data!AK171</f>
        <v>4</v>
      </c>
      <c r="D170" s="0" t="n">
        <f aca="false">Raw_Data!AL171</f>
        <v>5</v>
      </c>
      <c r="E170" s="0" t="n">
        <f aca="false">Raw_Data!AM171</f>
        <v>3</v>
      </c>
      <c r="F170" s="0" t="n">
        <f aca="false">Raw_Data!AN171</f>
        <v>2</v>
      </c>
      <c r="G170" s="0" t="n">
        <f aca="false">Raw_Data!AO171</f>
        <v>3</v>
      </c>
      <c r="H170" s="0" t="n">
        <f aca="false">SUM(B170:G170)</f>
        <v>21</v>
      </c>
      <c r="I170" s="0" t="n">
        <f aca="false">H170-B170</f>
        <v>17</v>
      </c>
      <c r="J170" s="0" t="n">
        <f aca="false">H170-C170</f>
        <v>17</v>
      </c>
      <c r="K170" s="0" t="n">
        <f aca="false">H170-D170</f>
        <v>16</v>
      </c>
      <c r="L170" s="0" t="n">
        <f aca="false">H170-E170</f>
        <v>18</v>
      </c>
      <c r="M170" s="0" t="n">
        <f aca="false">H170-F170</f>
        <v>19</v>
      </c>
      <c r="N170" s="0" t="n">
        <f aca="false">H170-G170</f>
        <v>18</v>
      </c>
      <c r="O170" s="0" t="n">
        <f aca="false">B170+D170+F170</f>
        <v>11</v>
      </c>
      <c r="P170" s="0" t="n">
        <f aca="false">C170+E170+G170</f>
        <v>10</v>
      </c>
    </row>
    <row r="171" customFormat="false" ht="15" hidden="false" customHeight="false" outlineLevel="0" collapsed="false">
      <c r="A171" s="0" t="n">
        <v>172</v>
      </c>
      <c r="B171" s="0" t="n">
        <f aca="false">Raw_Data!AJ172</f>
        <v>5</v>
      </c>
      <c r="C171" s="0" t="n">
        <f aca="false">Raw_Data!AK172</f>
        <v>2</v>
      </c>
      <c r="D171" s="0" t="n">
        <f aca="false">Raw_Data!AL172</f>
        <v>4</v>
      </c>
      <c r="E171" s="0" t="n">
        <f aca="false">Raw_Data!AM172</f>
        <v>3</v>
      </c>
      <c r="F171" s="0" t="n">
        <f aca="false">Raw_Data!AN172</f>
        <v>3</v>
      </c>
      <c r="G171" s="0" t="n">
        <f aca="false">Raw_Data!AO172</f>
        <v>3</v>
      </c>
      <c r="H171" s="0" t="n">
        <f aca="false">SUM(B171:G171)</f>
        <v>20</v>
      </c>
      <c r="I171" s="0" t="n">
        <f aca="false">H171-B171</f>
        <v>15</v>
      </c>
      <c r="J171" s="0" t="n">
        <f aca="false">H171-C171</f>
        <v>18</v>
      </c>
      <c r="K171" s="0" t="n">
        <f aca="false">H171-D171</f>
        <v>16</v>
      </c>
      <c r="L171" s="0" t="n">
        <f aca="false">H171-E171</f>
        <v>17</v>
      </c>
      <c r="M171" s="0" t="n">
        <f aca="false">H171-F171</f>
        <v>17</v>
      </c>
      <c r="N171" s="0" t="n">
        <f aca="false">H171-G171</f>
        <v>17</v>
      </c>
      <c r="O171" s="0" t="n">
        <f aca="false">B171+D171+F171</f>
        <v>12</v>
      </c>
      <c r="P171" s="0" t="n">
        <f aca="false">C171+E171+G171</f>
        <v>8</v>
      </c>
    </row>
    <row r="172" customFormat="false" ht="15" hidden="false" customHeight="false" outlineLevel="0" collapsed="false">
      <c r="A172" s="0" t="n">
        <v>173</v>
      </c>
      <c r="B172" s="0" t="n">
        <f aca="false">Raw_Data!AJ173</f>
        <v>3</v>
      </c>
      <c r="C172" s="0" t="n">
        <f aca="false">Raw_Data!AK173</f>
        <v>2</v>
      </c>
      <c r="D172" s="0" t="n">
        <f aca="false">Raw_Data!AL173</f>
        <v>4</v>
      </c>
      <c r="E172" s="0" t="n">
        <f aca="false">Raw_Data!AM173</f>
        <v>3</v>
      </c>
      <c r="F172" s="0" t="n">
        <f aca="false">Raw_Data!AN173</f>
        <v>3</v>
      </c>
      <c r="G172" s="0" t="n">
        <f aca="false">Raw_Data!AO173</f>
        <v>4</v>
      </c>
      <c r="H172" s="0" t="n">
        <f aca="false">SUM(B172:G172)</f>
        <v>19</v>
      </c>
      <c r="I172" s="0" t="n">
        <f aca="false">H172-B172</f>
        <v>16</v>
      </c>
      <c r="J172" s="0" t="n">
        <f aca="false">H172-C172</f>
        <v>17</v>
      </c>
      <c r="K172" s="0" t="n">
        <f aca="false">H172-D172</f>
        <v>15</v>
      </c>
      <c r="L172" s="0" t="n">
        <f aca="false">H172-E172</f>
        <v>16</v>
      </c>
      <c r="M172" s="0" t="n">
        <f aca="false">H172-F172</f>
        <v>16</v>
      </c>
      <c r="N172" s="0" t="n">
        <f aca="false">H172-G172</f>
        <v>15</v>
      </c>
      <c r="O172" s="0" t="n">
        <f aca="false">B172+D172+F172</f>
        <v>10</v>
      </c>
      <c r="P172" s="0" t="n">
        <f aca="false">C172+E172+G172</f>
        <v>9</v>
      </c>
    </row>
    <row r="173" customFormat="false" ht="15" hidden="false" customHeight="false" outlineLevel="0" collapsed="false">
      <c r="A173" s="0" t="n">
        <v>174</v>
      </c>
      <c r="B173" s="0" t="n">
        <f aca="false">Raw_Data!AJ174</f>
        <v>5</v>
      </c>
      <c r="C173" s="0" t="n">
        <f aca="false">Raw_Data!AK174</f>
        <v>3</v>
      </c>
      <c r="D173" s="0" t="n">
        <f aca="false">Raw_Data!AL174</f>
        <v>5</v>
      </c>
      <c r="E173" s="0" t="n">
        <f aca="false">Raw_Data!AM174</f>
        <v>4</v>
      </c>
      <c r="F173" s="0" t="n">
        <f aca="false">Raw_Data!AN174</f>
        <v>2</v>
      </c>
      <c r="G173" s="0" t="n">
        <f aca="false">Raw_Data!AO174</f>
        <v>4</v>
      </c>
      <c r="H173" s="0" t="n">
        <f aca="false">SUM(B173:G173)</f>
        <v>23</v>
      </c>
      <c r="I173" s="0" t="n">
        <f aca="false">H173-B173</f>
        <v>18</v>
      </c>
      <c r="J173" s="0" t="n">
        <f aca="false">H173-C173</f>
        <v>20</v>
      </c>
      <c r="K173" s="0" t="n">
        <f aca="false">H173-D173</f>
        <v>18</v>
      </c>
      <c r="L173" s="0" t="n">
        <f aca="false">H173-E173</f>
        <v>19</v>
      </c>
      <c r="M173" s="0" t="n">
        <f aca="false">H173-F173</f>
        <v>21</v>
      </c>
      <c r="N173" s="0" t="n">
        <f aca="false">H173-G173</f>
        <v>19</v>
      </c>
      <c r="O173" s="0" t="n">
        <f aca="false">B173+D173+F173</f>
        <v>12</v>
      </c>
      <c r="P173" s="0" t="n">
        <f aca="false">C173+E173+G173</f>
        <v>11</v>
      </c>
    </row>
    <row r="174" customFormat="false" ht="15" hidden="false" customHeight="false" outlineLevel="0" collapsed="false">
      <c r="A174" s="0" t="n">
        <v>175</v>
      </c>
      <c r="B174" s="0" t="n">
        <f aca="false">Raw_Data!AJ175</f>
        <v>3</v>
      </c>
      <c r="C174" s="0" t="n">
        <f aca="false">Raw_Data!AK175</f>
        <v>3</v>
      </c>
      <c r="D174" s="0" t="n">
        <f aca="false">Raw_Data!AL175</f>
        <v>4</v>
      </c>
      <c r="E174" s="0" t="n">
        <f aca="false">Raw_Data!AM175</f>
        <v>3</v>
      </c>
      <c r="F174" s="0" t="n">
        <f aca="false">Raw_Data!AN175</f>
        <v>4</v>
      </c>
      <c r="G174" s="0" t="n">
        <f aca="false">Raw_Data!AO175</f>
        <v>2</v>
      </c>
      <c r="H174" s="0" t="n">
        <f aca="false">SUM(B174:G174)</f>
        <v>19</v>
      </c>
      <c r="I174" s="0" t="n">
        <f aca="false">H174-B174</f>
        <v>16</v>
      </c>
      <c r="J174" s="0" t="n">
        <f aca="false">H174-C174</f>
        <v>16</v>
      </c>
      <c r="K174" s="0" t="n">
        <f aca="false">H174-D174</f>
        <v>15</v>
      </c>
      <c r="L174" s="0" t="n">
        <f aca="false">H174-E174</f>
        <v>16</v>
      </c>
      <c r="M174" s="0" t="n">
        <f aca="false">H174-F174</f>
        <v>15</v>
      </c>
      <c r="N174" s="0" t="n">
        <f aca="false">H174-G174</f>
        <v>17</v>
      </c>
      <c r="O174" s="0" t="n">
        <f aca="false">B174+D174+F174</f>
        <v>11</v>
      </c>
      <c r="P174" s="0" t="n">
        <f aca="false">C174+E174+G174</f>
        <v>8</v>
      </c>
    </row>
    <row r="175" customFormat="false" ht="15" hidden="false" customHeight="false" outlineLevel="0" collapsed="false">
      <c r="A175" s="0" t="n">
        <v>176</v>
      </c>
      <c r="B175" s="0" t="n">
        <f aca="false">Raw_Data!AJ176</f>
        <v>4</v>
      </c>
      <c r="C175" s="0" t="n">
        <f aca="false">Raw_Data!AK176</f>
        <v>3</v>
      </c>
      <c r="D175" s="0" t="n">
        <f aca="false">Raw_Data!AL176</f>
        <v>5</v>
      </c>
      <c r="E175" s="0" t="n">
        <f aca="false">Raw_Data!AM176</f>
        <v>3</v>
      </c>
      <c r="F175" s="0" t="n">
        <f aca="false">Raw_Data!AN176</f>
        <v>2</v>
      </c>
      <c r="G175" s="0" t="n">
        <f aca="false">Raw_Data!AO176</f>
        <v>3</v>
      </c>
      <c r="H175" s="0" t="n">
        <f aca="false">SUM(B175:G175)</f>
        <v>20</v>
      </c>
      <c r="I175" s="0" t="n">
        <f aca="false">H175-B175</f>
        <v>16</v>
      </c>
      <c r="J175" s="0" t="n">
        <f aca="false">H175-C175</f>
        <v>17</v>
      </c>
      <c r="K175" s="0" t="n">
        <f aca="false">H175-D175</f>
        <v>15</v>
      </c>
      <c r="L175" s="0" t="n">
        <f aca="false">H175-E175</f>
        <v>17</v>
      </c>
      <c r="M175" s="0" t="n">
        <f aca="false">H175-F175</f>
        <v>18</v>
      </c>
      <c r="N175" s="0" t="n">
        <f aca="false">H175-G175</f>
        <v>17</v>
      </c>
      <c r="O175" s="0" t="n">
        <f aca="false">B175+D175+F175</f>
        <v>11</v>
      </c>
      <c r="P175" s="0" t="n">
        <f aca="false">C175+E175+G175</f>
        <v>9</v>
      </c>
    </row>
    <row r="176" customFormat="false" ht="15" hidden="false" customHeight="false" outlineLevel="0" collapsed="false">
      <c r="A176" s="0" t="n">
        <v>177</v>
      </c>
      <c r="B176" s="0" t="n">
        <f aca="false">Raw_Data!AJ177</f>
        <v>5</v>
      </c>
      <c r="C176" s="0" t="n">
        <f aca="false">Raw_Data!AK177</f>
        <v>2</v>
      </c>
      <c r="D176" s="0" t="n">
        <f aca="false">Raw_Data!AL177</f>
        <v>3</v>
      </c>
      <c r="E176" s="0" t="n">
        <f aca="false">Raw_Data!AM177</f>
        <v>3</v>
      </c>
      <c r="F176" s="0" t="n">
        <f aca="false">Raw_Data!AN177</f>
        <v>3</v>
      </c>
      <c r="G176" s="0" t="n">
        <f aca="false">Raw_Data!AO177</f>
        <v>2</v>
      </c>
      <c r="H176" s="0" t="n">
        <f aca="false">SUM(B176:G176)</f>
        <v>18</v>
      </c>
      <c r="I176" s="0" t="n">
        <f aca="false">H176-B176</f>
        <v>13</v>
      </c>
      <c r="J176" s="0" t="n">
        <f aca="false">H176-C176</f>
        <v>16</v>
      </c>
      <c r="K176" s="0" t="n">
        <f aca="false">H176-D176</f>
        <v>15</v>
      </c>
      <c r="L176" s="0" t="n">
        <f aca="false">H176-E176</f>
        <v>15</v>
      </c>
      <c r="M176" s="0" t="n">
        <f aca="false">H176-F176</f>
        <v>15</v>
      </c>
      <c r="N176" s="0" t="n">
        <f aca="false">H176-G176</f>
        <v>16</v>
      </c>
      <c r="O176" s="0" t="n">
        <f aca="false">B176+D176+F176</f>
        <v>11</v>
      </c>
      <c r="P176" s="0" t="n">
        <f aca="false">C176+E176+G176</f>
        <v>7</v>
      </c>
    </row>
    <row r="177" customFormat="false" ht="15" hidden="false" customHeight="false" outlineLevel="0" collapsed="false">
      <c r="A177" s="0" t="n">
        <v>178</v>
      </c>
      <c r="B177" s="0" t="n">
        <f aca="false">Raw_Data!AJ178</f>
        <v>4</v>
      </c>
      <c r="C177" s="0" t="n">
        <f aca="false">Raw_Data!AK178</f>
        <v>2</v>
      </c>
      <c r="D177" s="0" t="n">
        <f aca="false">Raw_Data!AL178</f>
        <v>4</v>
      </c>
      <c r="E177" s="0" t="n">
        <f aca="false">Raw_Data!AM178</f>
        <v>5</v>
      </c>
      <c r="F177" s="0" t="n">
        <f aca="false">Raw_Data!AN178</f>
        <v>4</v>
      </c>
      <c r="G177" s="0" t="n">
        <f aca="false">Raw_Data!AO178</f>
        <v>3</v>
      </c>
      <c r="H177" s="0" t="n">
        <f aca="false">SUM(B177:G177)</f>
        <v>22</v>
      </c>
      <c r="I177" s="0" t="n">
        <f aca="false">H177-B177</f>
        <v>18</v>
      </c>
      <c r="J177" s="0" t="n">
        <f aca="false">H177-C177</f>
        <v>20</v>
      </c>
      <c r="K177" s="0" t="n">
        <f aca="false">H177-D177</f>
        <v>18</v>
      </c>
      <c r="L177" s="0" t="n">
        <f aca="false">H177-E177</f>
        <v>17</v>
      </c>
      <c r="M177" s="0" t="n">
        <f aca="false">H177-F177</f>
        <v>18</v>
      </c>
      <c r="N177" s="0" t="n">
        <f aca="false">H177-G177</f>
        <v>19</v>
      </c>
      <c r="O177" s="0" t="n">
        <f aca="false">B177+D177+F177</f>
        <v>12</v>
      </c>
      <c r="P177" s="0" t="n">
        <f aca="false">C177+E177+G177</f>
        <v>10</v>
      </c>
    </row>
    <row r="178" customFormat="false" ht="15" hidden="false" customHeight="false" outlineLevel="0" collapsed="false">
      <c r="A178" s="0" t="n">
        <v>179</v>
      </c>
      <c r="B178" s="0" t="n">
        <f aca="false">Raw_Data!AJ179</f>
        <v>5</v>
      </c>
      <c r="C178" s="0" t="n">
        <f aca="false">Raw_Data!AK179</f>
        <v>3</v>
      </c>
      <c r="D178" s="0" t="n">
        <f aca="false">Raw_Data!AL179</f>
        <v>5</v>
      </c>
      <c r="E178" s="0" t="n">
        <f aca="false">Raw_Data!AM179</f>
        <v>5</v>
      </c>
      <c r="F178" s="0" t="n">
        <f aca="false">Raw_Data!AN179</f>
        <v>2</v>
      </c>
      <c r="G178" s="0" t="n">
        <f aca="false">Raw_Data!AO179</f>
        <v>1</v>
      </c>
      <c r="H178" s="0" t="n">
        <f aca="false">SUM(B178:G178)</f>
        <v>21</v>
      </c>
      <c r="I178" s="0" t="n">
        <f aca="false">H178-B178</f>
        <v>16</v>
      </c>
      <c r="J178" s="0" t="n">
        <f aca="false">H178-C178</f>
        <v>18</v>
      </c>
      <c r="K178" s="0" t="n">
        <f aca="false">H178-D178</f>
        <v>16</v>
      </c>
      <c r="L178" s="0" t="n">
        <f aca="false">H178-E178</f>
        <v>16</v>
      </c>
      <c r="M178" s="0" t="n">
        <f aca="false">H178-F178</f>
        <v>19</v>
      </c>
      <c r="N178" s="0" t="n">
        <f aca="false">H178-G178</f>
        <v>20</v>
      </c>
      <c r="O178" s="0" t="n">
        <f aca="false">B178+D178+F178</f>
        <v>12</v>
      </c>
      <c r="P178" s="0" t="n">
        <f aca="false">C178+E178+G178</f>
        <v>9</v>
      </c>
    </row>
    <row r="179" customFormat="false" ht="15" hidden="false" customHeight="false" outlineLevel="0" collapsed="false">
      <c r="A179" s="0" t="n">
        <v>180</v>
      </c>
      <c r="B179" s="0" t="n">
        <f aca="false">Raw_Data!AJ180</f>
        <v>3</v>
      </c>
      <c r="C179" s="0" t="n">
        <f aca="false">Raw_Data!AK180</f>
        <v>4</v>
      </c>
      <c r="D179" s="0" t="n">
        <f aca="false">Raw_Data!AL180</f>
        <v>5</v>
      </c>
      <c r="E179" s="0" t="n">
        <f aca="false">Raw_Data!AM180</f>
        <v>2</v>
      </c>
      <c r="F179" s="0" t="n">
        <f aca="false">Raw_Data!AN180</f>
        <v>4</v>
      </c>
      <c r="G179" s="0" t="n">
        <f aca="false">Raw_Data!AO180</f>
        <v>3</v>
      </c>
      <c r="H179" s="0" t="n">
        <f aca="false">SUM(B179:G179)</f>
        <v>21</v>
      </c>
      <c r="I179" s="0" t="n">
        <f aca="false">H179-B179</f>
        <v>18</v>
      </c>
      <c r="J179" s="0" t="n">
        <f aca="false">H179-C179</f>
        <v>17</v>
      </c>
      <c r="K179" s="0" t="n">
        <f aca="false">H179-D179</f>
        <v>16</v>
      </c>
      <c r="L179" s="0" t="n">
        <f aca="false">H179-E179</f>
        <v>19</v>
      </c>
      <c r="M179" s="0" t="n">
        <f aca="false">H179-F179</f>
        <v>17</v>
      </c>
      <c r="N179" s="0" t="n">
        <f aca="false">H179-G179</f>
        <v>18</v>
      </c>
      <c r="O179" s="0" t="n">
        <f aca="false">B179+D179+F179</f>
        <v>12</v>
      </c>
      <c r="P179" s="0" t="n">
        <f aca="false">C179+E179+G179</f>
        <v>9</v>
      </c>
    </row>
    <row r="180" customFormat="false" ht="15" hidden="false" customHeight="false" outlineLevel="0" collapsed="false">
      <c r="A180" s="0" t="n">
        <v>181</v>
      </c>
      <c r="B180" s="0" t="n">
        <f aca="false">Raw_Data!AJ181</f>
        <v>5</v>
      </c>
      <c r="C180" s="0" t="n">
        <f aca="false">Raw_Data!AK181</f>
        <v>2</v>
      </c>
      <c r="D180" s="0" t="n">
        <f aca="false">Raw_Data!AL181</f>
        <v>5</v>
      </c>
      <c r="E180" s="0" t="n">
        <f aca="false">Raw_Data!AM181</f>
        <v>5</v>
      </c>
      <c r="F180" s="0" t="n">
        <f aca="false">Raw_Data!AN181</f>
        <v>3</v>
      </c>
      <c r="G180" s="0" t="n">
        <f aca="false">Raw_Data!AO181</f>
        <v>4</v>
      </c>
      <c r="H180" s="0" t="n">
        <f aca="false">SUM(B180:G180)</f>
        <v>24</v>
      </c>
      <c r="I180" s="0" t="n">
        <f aca="false">H180-B180</f>
        <v>19</v>
      </c>
      <c r="J180" s="0" t="n">
        <f aca="false">H180-C180</f>
        <v>22</v>
      </c>
      <c r="K180" s="0" t="n">
        <f aca="false">H180-D180</f>
        <v>19</v>
      </c>
      <c r="L180" s="0" t="n">
        <f aca="false">H180-E180</f>
        <v>19</v>
      </c>
      <c r="M180" s="0" t="n">
        <f aca="false">H180-F180</f>
        <v>21</v>
      </c>
      <c r="N180" s="0" t="n">
        <f aca="false">H180-G180</f>
        <v>20</v>
      </c>
      <c r="O180" s="0" t="n">
        <f aca="false">B180+D180+F180</f>
        <v>13</v>
      </c>
      <c r="P180" s="0" t="n">
        <f aca="false">C180+E180+G180</f>
        <v>11</v>
      </c>
    </row>
    <row r="181" customFormat="false" ht="15" hidden="false" customHeight="false" outlineLevel="0" collapsed="false">
      <c r="A181" s="0" t="n">
        <v>182</v>
      </c>
      <c r="B181" s="0" t="n">
        <f aca="false">Raw_Data!AJ182</f>
        <v>4</v>
      </c>
      <c r="C181" s="0" t="n">
        <f aca="false">Raw_Data!AK182</f>
        <v>3</v>
      </c>
      <c r="D181" s="0" t="n">
        <f aca="false">Raw_Data!AL182</f>
        <v>5</v>
      </c>
      <c r="E181" s="0" t="n">
        <f aca="false">Raw_Data!AM182</f>
        <v>3</v>
      </c>
      <c r="F181" s="0" t="n">
        <f aca="false">Raw_Data!AN182</f>
        <v>4</v>
      </c>
      <c r="G181" s="0" t="n">
        <f aca="false">Raw_Data!AO182</f>
        <v>5</v>
      </c>
      <c r="H181" s="0" t="n">
        <f aca="false">SUM(B181:G181)</f>
        <v>24</v>
      </c>
      <c r="I181" s="0" t="n">
        <f aca="false">H181-B181</f>
        <v>20</v>
      </c>
      <c r="J181" s="0" t="n">
        <f aca="false">H181-C181</f>
        <v>21</v>
      </c>
      <c r="K181" s="0" t="n">
        <f aca="false">H181-D181</f>
        <v>19</v>
      </c>
      <c r="L181" s="0" t="n">
        <f aca="false">H181-E181</f>
        <v>21</v>
      </c>
      <c r="M181" s="0" t="n">
        <f aca="false">H181-F181</f>
        <v>20</v>
      </c>
      <c r="N181" s="0" t="n">
        <f aca="false">H181-G181</f>
        <v>19</v>
      </c>
      <c r="O181" s="0" t="n">
        <f aca="false">B181+D181+F181</f>
        <v>13</v>
      </c>
      <c r="P181" s="0" t="n">
        <f aca="false">C181+E181+G181</f>
        <v>11</v>
      </c>
    </row>
    <row r="182" customFormat="false" ht="15" hidden="false" customHeight="false" outlineLevel="0" collapsed="false">
      <c r="A182" s="0" t="n">
        <v>183</v>
      </c>
      <c r="B182" s="0" t="n">
        <f aca="false">Raw_Data!AJ183</f>
        <v>4</v>
      </c>
      <c r="C182" s="0" t="n">
        <f aca="false">Raw_Data!AK183</f>
        <v>2</v>
      </c>
      <c r="D182" s="0" t="n">
        <f aca="false">Raw_Data!AL183</f>
        <v>4</v>
      </c>
      <c r="E182" s="0" t="n">
        <f aca="false">Raw_Data!AM183</f>
        <v>3</v>
      </c>
      <c r="F182" s="0" t="n">
        <f aca="false">Raw_Data!AN183</f>
        <v>4</v>
      </c>
      <c r="G182" s="0" t="n">
        <f aca="false">Raw_Data!AO183</f>
        <v>2</v>
      </c>
      <c r="H182" s="0" t="n">
        <f aca="false">SUM(B182:G182)</f>
        <v>19</v>
      </c>
      <c r="I182" s="0" t="n">
        <f aca="false">H182-B182</f>
        <v>15</v>
      </c>
      <c r="J182" s="0" t="n">
        <f aca="false">H182-C182</f>
        <v>17</v>
      </c>
      <c r="K182" s="0" t="n">
        <f aca="false">H182-D182</f>
        <v>15</v>
      </c>
      <c r="L182" s="0" t="n">
        <f aca="false">H182-E182</f>
        <v>16</v>
      </c>
      <c r="M182" s="0" t="n">
        <f aca="false">H182-F182</f>
        <v>15</v>
      </c>
      <c r="N182" s="0" t="n">
        <f aca="false">H182-G182</f>
        <v>17</v>
      </c>
      <c r="O182" s="0" t="n">
        <f aca="false">B182+D182+F182</f>
        <v>12</v>
      </c>
      <c r="P182" s="0" t="n">
        <f aca="false">C182+E182+G182</f>
        <v>7</v>
      </c>
    </row>
    <row r="183" customFormat="false" ht="15" hidden="false" customHeight="false" outlineLevel="0" collapsed="false">
      <c r="A183" s="0" t="n">
        <v>184</v>
      </c>
      <c r="B183" s="0" t="n">
        <f aca="false">Raw_Data!AJ184</f>
        <v>3</v>
      </c>
      <c r="C183" s="0" t="n">
        <f aca="false">Raw_Data!AK184</f>
        <v>4</v>
      </c>
      <c r="D183" s="0" t="n">
        <f aca="false">Raw_Data!AL184</f>
        <v>5</v>
      </c>
      <c r="E183" s="0" t="n">
        <f aca="false">Raw_Data!AM184</f>
        <v>3</v>
      </c>
      <c r="F183" s="0" t="n">
        <f aca="false">Raw_Data!AN184</f>
        <v>4</v>
      </c>
      <c r="G183" s="0" t="n">
        <f aca="false">Raw_Data!AO184</f>
        <v>2</v>
      </c>
      <c r="H183" s="0" t="n">
        <f aca="false">SUM(B183:G183)</f>
        <v>21</v>
      </c>
      <c r="I183" s="0" t="n">
        <f aca="false">H183-B183</f>
        <v>18</v>
      </c>
      <c r="J183" s="0" t="n">
        <f aca="false">H183-C183</f>
        <v>17</v>
      </c>
      <c r="K183" s="0" t="n">
        <f aca="false">H183-D183</f>
        <v>16</v>
      </c>
      <c r="L183" s="0" t="n">
        <f aca="false">H183-E183</f>
        <v>18</v>
      </c>
      <c r="M183" s="0" t="n">
        <f aca="false">H183-F183</f>
        <v>17</v>
      </c>
      <c r="N183" s="0" t="n">
        <f aca="false">H183-G183</f>
        <v>19</v>
      </c>
      <c r="O183" s="0" t="n">
        <f aca="false">B183+D183+F183</f>
        <v>12</v>
      </c>
      <c r="P183" s="0" t="n">
        <f aca="false">C183+E183+G183</f>
        <v>9</v>
      </c>
    </row>
    <row r="184" customFormat="false" ht="15" hidden="false" customHeight="false" outlineLevel="0" collapsed="false">
      <c r="A184" s="0" t="n">
        <v>185</v>
      </c>
      <c r="B184" s="0" t="n">
        <f aca="false">Raw_Data!AJ185</f>
        <v>4</v>
      </c>
      <c r="C184" s="0" t="n">
        <f aca="false">Raw_Data!AK185</f>
        <v>5</v>
      </c>
      <c r="D184" s="0" t="n">
        <f aca="false">Raw_Data!AL185</f>
        <v>5</v>
      </c>
      <c r="E184" s="0" t="n">
        <f aca="false">Raw_Data!AM185</f>
        <v>4</v>
      </c>
      <c r="F184" s="0" t="n">
        <f aca="false">Raw_Data!AN185</f>
        <v>5</v>
      </c>
      <c r="G184" s="0" t="n">
        <f aca="false">Raw_Data!AO185</f>
        <v>1</v>
      </c>
      <c r="H184" s="0" t="n">
        <f aca="false">SUM(B184:G184)</f>
        <v>24</v>
      </c>
      <c r="I184" s="0" t="n">
        <f aca="false">H184-B184</f>
        <v>20</v>
      </c>
      <c r="J184" s="0" t="n">
        <f aca="false">H184-C184</f>
        <v>19</v>
      </c>
      <c r="K184" s="0" t="n">
        <f aca="false">H184-D184</f>
        <v>19</v>
      </c>
      <c r="L184" s="0" t="n">
        <f aca="false">H184-E184</f>
        <v>20</v>
      </c>
      <c r="M184" s="0" t="n">
        <f aca="false">H184-F184</f>
        <v>19</v>
      </c>
      <c r="N184" s="0" t="n">
        <f aca="false">H184-G184</f>
        <v>23</v>
      </c>
      <c r="O184" s="0" t="n">
        <f aca="false">B184+D184+F184</f>
        <v>14</v>
      </c>
      <c r="P184" s="0" t="n">
        <f aca="false">C184+E184+G184</f>
        <v>10</v>
      </c>
    </row>
    <row r="185" customFormat="false" ht="15" hidden="false" customHeight="false" outlineLevel="0" collapsed="false">
      <c r="A185" s="0" t="n">
        <v>186</v>
      </c>
      <c r="B185" s="0" t="n">
        <f aca="false">Raw_Data!AJ186</f>
        <v>4</v>
      </c>
      <c r="C185" s="0" t="n">
        <f aca="false">Raw_Data!AK186</f>
        <v>4</v>
      </c>
      <c r="D185" s="0" t="n">
        <f aca="false">Raw_Data!AL186</f>
        <v>5</v>
      </c>
      <c r="E185" s="0" t="n">
        <f aca="false">Raw_Data!AM186</f>
        <v>4</v>
      </c>
      <c r="F185" s="0" t="n">
        <f aca="false">Raw_Data!AN186</f>
        <v>2</v>
      </c>
      <c r="G185" s="0" t="n">
        <f aca="false">Raw_Data!AO186</f>
        <v>4</v>
      </c>
      <c r="H185" s="0" t="n">
        <f aca="false">SUM(B185:G185)</f>
        <v>23</v>
      </c>
      <c r="I185" s="0" t="n">
        <f aca="false">H185-B185</f>
        <v>19</v>
      </c>
      <c r="J185" s="0" t="n">
        <f aca="false">H185-C185</f>
        <v>19</v>
      </c>
      <c r="K185" s="0" t="n">
        <f aca="false">H185-D185</f>
        <v>18</v>
      </c>
      <c r="L185" s="0" t="n">
        <f aca="false">H185-E185</f>
        <v>19</v>
      </c>
      <c r="M185" s="0" t="n">
        <f aca="false">H185-F185</f>
        <v>21</v>
      </c>
      <c r="N185" s="0" t="n">
        <f aca="false">H185-G185</f>
        <v>19</v>
      </c>
      <c r="O185" s="0" t="n">
        <f aca="false">B185+D185+F185</f>
        <v>11</v>
      </c>
      <c r="P185" s="0" t="n">
        <f aca="false">C185+E185+G185</f>
        <v>12</v>
      </c>
    </row>
    <row r="186" customFormat="false" ht="15" hidden="false" customHeight="false" outlineLevel="0" collapsed="false">
      <c r="A186" s="0" t="n">
        <v>187</v>
      </c>
      <c r="B186" s="0" t="n">
        <f aca="false">Raw_Data!AJ187</f>
        <v>4</v>
      </c>
      <c r="C186" s="0" t="n">
        <f aca="false">Raw_Data!AK187</f>
        <v>3</v>
      </c>
      <c r="D186" s="0" t="n">
        <f aca="false">Raw_Data!AL187</f>
        <v>3</v>
      </c>
      <c r="E186" s="0" t="n">
        <f aca="false">Raw_Data!AM187</f>
        <v>4</v>
      </c>
      <c r="F186" s="0" t="n">
        <f aca="false">Raw_Data!AN187</f>
        <v>4</v>
      </c>
      <c r="G186" s="0" t="n">
        <f aca="false">Raw_Data!AO187</f>
        <v>3</v>
      </c>
      <c r="H186" s="0" t="n">
        <f aca="false">SUM(B186:G186)</f>
        <v>21</v>
      </c>
      <c r="I186" s="0" t="n">
        <f aca="false">H186-B186</f>
        <v>17</v>
      </c>
      <c r="J186" s="0" t="n">
        <f aca="false">H186-C186</f>
        <v>18</v>
      </c>
      <c r="K186" s="0" t="n">
        <f aca="false">H186-D186</f>
        <v>18</v>
      </c>
      <c r="L186" s="0" t="n">
        <f aca="false">H186-E186</f>
        <v>17</v>
      </c>
      <c r="M186" s="0" t="n">
        <f aca="false">H186-F186</f>
        <v>17</v>
      </c>
      <c r="N186" s="0" t="n">
        <f aca="false">H186-G186</f>
        <v>18</v>
      </c>
      <c r="O186" s="0" t="n">
        <f aca="false">B186+D186+F186</f>
        <v>11</v>
      </c>
      <c r="P186" s="0" t="n">
        <f aca="false">C186+E186+G186</f>
        <v>10</v>
      </c>
    </row>
    <row r="187" customFormat="false" ht="15" hidden="false" customHeight="false" outlineLevel="0" collapsed="false">
      <c r="A187" s="0" t="n">
        <v>188</v>
      </c>
      <c r="B187" s="0" t="n">
        <f aca="false">Raw_Data!AJ188</f>
        <v>4</v>
      </c>
      <c r="C187" s="0" t="n">
        <f aca="false">Raw_Data!AK188</f>
        <v>3</v>
      </c>
      <c r="D187" s="0" t="n">
        <f aca="false">Raw_Data!AL188</f>
        <v>5</v>
      </c>
      <c r="E187" s="0" t="n">
        <f aca="false">Raw_Data!AM188</f>
        <v>3</v>
      </c>
      <c r="F187" s="0" t="n">
        <f aca="false">Raw_Data!AN188</f>
        <v>2</v>
      </c>
      <c r="G187" s="0" t="n">
        <f aca="false">Raw_Data!AO188</f>
        <v>3</v>
      </c>
      <c r="H187" s="0" t="n">
        <f aca="false">SUM(B187:G187)</f>
        <v>20</v>
      </c>
      <c r="I187" s="0" t="n">
        <f aca="false">H187-B187</f>
        <v>16</v>
      </c>
      <c r="J187" s="0" t="n">
        <f aca="false">H187-C187</f>
        <v>17</v>
      </c>
      <c r="K187" s="0" t="n">
        <f aca="false">H187-D187</f>
        <v>15</v>
      </c>
      <c r="L187" s="0" t="n">
        <f aca="false">H187-E187</f>
        <v>17</v>
      </c>
      <c r="M187" s="0" t="n">
        <f aca="false">H187-F187</f>
        <v>18</v>
      </c>
      <c r="N187" s="0" t="n">
        <f aca="false">H187-G187</f>
        <v>17</v>
      </c>
      <c r="O187" s="0" t="n">
        <f aca="false">B187+D187+F187</f>
        <v>11</v>
      </c>
      <c r="P187" s="0" t="n">
        <f aca="false">C187+E187+G187</f>
        <v>9</v>
      </c>
    </row>
    <row r="188" customFormat="false" ht="15" hidden="false" customHeight="false" outlineLevel="0" collapsed="false">
      <c r="A188" s="0" t="n">
        <v>189</v>
      </c>
      <c r="B188" s="0" t="n">
        <f aca="false">Raw_Data!AJ189</f>
        <v>5</v>
      </c>
      <c r="C188" s="0" t="n">
        <f aca="false">Raw_Data!AK189</f>
        <v>1</v>
      </c>
      <c r="D188" s="0" t="n">
        <f aca="false">Raw_Data!AL189</f>
        <v>5</v>
      </c>
      <c r="E188" s="0" t="n">
        <f aca="false">Raw_Data!AM189</f>
        <v>5</v>
      </c>
      <c r="F188" s="0" t="n">
        <f aca="false">Raw_Data!AN189</f>
        <v>3</v>
      </c>
      <c r="G188" s="0" t="n">
        <f aca="false">Raw_Data!AO189</f>
        <v>5</v>
      </c>
      <c r="H188" s="0" t="n">
        <f aca="false">SUM(B188:G188)</f>
        <v>24</v>
      </c>
      <c r="I188" s="0" t="n">
        <f aca="false">H188-B188</f>
        <v>19</v>
      </c>
      <c r="J188" s="0" t="n">
        <f aca="false">H188-C188</f>
        <v>23</v>
      </c>
      <c r="K188" s="0" t="n">
        <f aca="false">H188-D188</f>
        <v>19</v>
      </c>
      <c r="L188" s="0" t="n">
        <f aca="false">H188-E188</f>
        <v>19</v>
      </c>
      <c r="M188" s="0" t="n">
        <f aca="false">H188-F188</f>
        <v>21</v>
      </c>
      <c r="N188" s="0" t="n">
        <f aca="false">H188-G188</f>
        <v>19</v>
      </c>
      <c r="O188" s="0" t="n">
        <f aca="false">B188+D188+F188</f>
        <v>13</v>
      </c>
      <c r="P188" s="0" t="n">
        <f aca="false">C188+E188+G188</f>
        <v>11</v>
      </c>
    </row>
    <row r="189" customFormat="false" ht="15" hidden="false" customHeight="false" outlineLevel="0" collapsed="false">
      <c r="A189" s="0" t="n">
        <v>190</v>
      </c>
      <c r="B189" s="0" t="n">
        <f aca="false">Raw_Data!AJ190</f>
        <v>4</v>
      </c>
      <c r="C189" s="0" t="n">
        <f aca="false">Raw_Data!AK190</f>
        <v>4</v>
      </c>
      <c r="D189" s="0" t="n">
        <f aca="false">Raw_Data!AL190</f>
        <v>5</v>
      </c>
      <c r="E189" s="0" t="n">
        <f aca="false">Raw_Data!AM190</f>
        <v>3</v>
      </c>
      <c r="F189" s="0" t="n">
        <f aca="false">Raw_Data!AN190</f>
        <v>4</v>
      </c>
      <c r="G189" s="0" t="n">
        <f aca="false">Raw_Data!AO190</f>
        <v>2</v>
      </c>
      <c r="H189" s="0" t="n">
        <f aca="false">SUM(B189:G189)</f>
        <v>22</v>
      </c>
      <c r="I189" s="0" t="n">
        <f aca="false">H189-B189</f>
        <v>18</v>
      </c>
      <c r="J189" s="0" t="n">
        <f aca="false">H189-C189</f>
        <v>18</v>
      </c>
      <c r="K189" s="0" t="n">
        <f aca="false">H189-D189</f>
        <v>17</v>
      </c>
      <c r="L189" s="0" t="n">
        <f aca="false">H189-E189</f>
        <v>19</v>
      </c>
      <c r="M189" s="0" t="n">
        <f aca="false">H189-F189</f>
        <v>18</v>
      </c>
      <c r="N189" s="0" t="n">
        <f aca="false">H189-G189</f>
        <v>20</v>
      </c>
      <c r="O189" s="0" t="n">
        <f aca="false">B189+D189+F189</f>
        <v>13</v>
      </c>
      <c r="P189" s="0" t="n">
        <f aca="false">C189+E189+G189</f>
        <v>9</v>
      </c>
    </row>
    <row r="190" customFormat="false" ht="15" hidden="false" customHeight="false" outlineLevel="0" collapsed="false">
      <c r="A190" s="0" t="n">
        <v>191</v>
      </c>
      <c r="B190" s="0" t="n">
        <f aca="false">Raw_Data!AJ191</f>
        <v>2</v>
      </c>
      <c r="C190" s="0" t="n">
        <f aca="false">Raw_Data!AK191</f>
        <v>1</v>
      </c>
      <c r="D190" s="0" t="n">
        <f aca="false">Raw_Data!AL191</f>
        <v>1</v>
      </c>
      <c r="E190" s="0" t="n">
        <f aca="false">Raw_Data!AM191</f>
        <v>2</v>
      </c>
      <c r="F190" s="0" t="n">
        <f aca="false">Raw_Data!AN191</f>
        <v>2</v>
      </c>
      <c r="G190" s="0" t="n">
        <f aca="false">Raw_Data!AO191</f>
        <v>1</v>
      </c>
      <c r="H190" s="0" t="n">
        <f aca="false">SUM(B190:G190)</f>
        <v>9</v>
      </c>
      <c r="I190" s="0" t="n">
        <f aca="false">H190-B190</f>
        <v>7</v>
      </c>
      <c r="J190" s="0" t="n">
        <f aca="false">H190-C190</f>
        <v>8</v>
      </c>
      <c r="K190" s="0" t="n">
        <f aca="false">H190-D190</f>
        <v>8</v>
      </c>
      <c r="L190" s="0" t="n">
        <f aca="false">H190-E190</f>
        <v>7</v>
      </c>
      <c r="M190" s="0" t="n">
        <f aca="false">H190-F190</f>
        <v>7</v>
      </c>
      <c r="N190" s="0" t="n">
        <f aca="false">H190-G190</f>
        <v>8</v>
      </c>
      <c r="O190" s="0" t="n">
        <f aca="false">B190+D190+F190</f>
        <v>5</v>
      </c>
      <c r="P190" s="0" t="n">
        <f aca="false">C190+E190+G190</f>
        <v>4</v>
      </c>
    </row>
    <row r="191" customFormat="false" ht="15" hidden="false" customHeight="false" outlineLevel="0" collapsed="false">
      <c r="A191" s="0" t="n">
        <v>192</v>
      </c>
      <c r="B191" s="0" t="n">
        <f aca="false">Raw_Data!AJ192</f>
        <v>5</v>
      </c>
      <c r="C191" s="0" t="n">
        <f aca="false">Raw_Data!AK192</f>
        <v>4</v>
      </c>
      <c r="D191" s="0" t="n">
        <f aca="false">Raw_Data!AL192</f>
        <v>5</v>
      </c>
      <c r="E191" s="0" t="n">
        <f aca="false">Raw_Data!AM192</f>
        <v>4</v>
      </c>
      <c r="F191" s="0" t="n">
        <f aca="false">Raw_Data!AN192</f>
        <v>3</v>
      </c>
      <c r="G191" s="0" t="n">
        <f aca="false">Raw_Data!AO192</f>
        <v>3</v>
      </c>
      <c r="H191" s="0" t="n">
        <f aca="false">SUM(B191:G191)</f>
        <v>24</v>
      </c>
      <c r="I191" s="0" t="n">
        <f aca="false">H191-B191</f>
        <v>19</v>
      </c>
      <c r="J191" s="0" t="n">
        <f aca="false">H191-C191</f>
        <v>20</v>
      </c>
      <c r="K191" s="0" t="n">
        <f aca="false">H191-D191</f>
        <v>19</v>
      </c>
      <c r="L191" s="0" t="n">
        <f aca="false">H191-E191</f>
        <v>20</v>
      </c>
      <c r="M191" s="0" t="n">
        <f aca="false">H191-F191</f>
        <v>21</v>
      </c>
      <c r="N191" s="0" t="n">
        <f aca="false">H191-G191</f>
        <v>21</v>
      </c>
      <c r="O191" s="0" t="n">
        <f aca="false">B191+D191+F191</f>
        <v>13</v>
      </c>
      <c r="P191" s="0" t="n">
        <f aca="false">C191+E191+G191</f>
        <v>11</v>
      </c>
    </row>
    <row r="192" customFormat="false" ht="15" hidden="false" customHeight="false" outlineLevel="0" collapsed="false">
      <c r="A192" s="0" t="n">
        <v>193</v>
      </c>
      <c r="B192" s="0" t="n">
        <f aca="false">Raw_Data!AJ193</f>
        <v>5</v>
      </c>
      <c r="C192" s="0" t="n">
        <f aca="false">Raw_Data!AK193</f>
        <v>2</v>
      </c>
      <c r="D192" s="0" t="n">
        <f aca="false">Raw_Data!AL193</f>
        <v>5</v>
      </c>
      <c r="E192" s="0" t="n">
        <f aca="false">Raw_Data!AM193</f>
        <v>5</v>
      </c>
      <c r="F192" s="0" t="n">
        <f aca="false">Raw_Data!AN193</f>
        <v>2</v>
      </c>
      <c r="G192" s="0" t="n">
        <f aca="false">Raw_Data!AO193</f>
        <v>4</v>
      </c>
      <c r="H192" s="0" t="n">
        <f aca="false">SUM(B192:G192)</f>
        <v>23</v>
      </c>
      <c r="I192" s="0" t="n">
        <f aca="false">H192-B192</f>
        <v>18</v>
      </c>
      <c r="J192" s="0" t="n">
        <f aca="false">H192-C192</f>
        <v>21</v>
      </c>
      <c r="K192" s="0" t="n">
        <f aca="false">H192-D192</f>
        <v>18</v>
      </c>
      <c r="L192" s="0" t="n">
        <f aca="false">H192-E192</f>
        <v>18</v>
      </c>
      <c r="M192" s="0" t="n">
        <f aca="false">H192-F192</f>
        <v>21</v>
      </c>
      <c r="N192" s="0" t="n">
        <f aca="false">H192-G192</f>
        <v>19</v>
      </c>
      <c r="O192" s="0" t="n">
        <f aca="false">B192+D192+F192</f>
        <v>12</v>
      </c>
      <c r="P192" s="0" t="n">
        <f aca="false">C192+E192+G192</f>
        <v>11</v>
      </c>
    </row>
    <row r="193" customFormat="false" ht="15" hidden="false" customHeight="false" outlineLevel="0" collapsed="false">
      <c r="A193" s="0" t="n">
        <v>194</v>
      </c>
      <c r="B193" s="0" t="n">
        <f aca="false">Raw_Data!AJ194</f>
        <v>1</v>
      </c>
      <c r="C193" s="0" t="n">
        <f aca="false">Raw_Data!AK194</f>
        <v>3</v>
      </c>
      <c r="D193" s="0" t="n">
        <f aca="false">Raw_Data!AL194</f>
        <v>5</v>
      </c>
      <c r="E193" s="0" t="n">
        <f aca="false">Raw_Data!AM194</f>
        <v>1</v>
      </c>
      <c r="F193" s="0" t="n">
        <f aca="false">Raw_Data!AN194</f>
        <v>1</v>
      </c>
      <c r="G193" s="0" t="n">
        <f aca="false">Raw_Data!AO194</f>
        <v>2</v>
      </c>
      <c r="H193" s="0" t="n">
        <f aca="false">SUM(B193:G193)</f>
        <v>13</v>
      </c>
      <c r="I193" s="0" t="n">
        <f aca="false">H193-B193</f>
        <v>12</v>
      </c>
      <c r="J193" s="0" t="n">
        <f aca="false">H193-C193</f>
        <v>10</v>
      </c>
      <c r="K193" s="0" t="n">
        <f aca="false">H193-D193</f>
        <v>8</v>
      </c>
      <c r="L193" s="0" t="n">
        <f aca="false">H193-E193</f>
        <v>12</v>
      </c>
      <c r="M193" s="0" t="n">
        <f aca="false">H193-F193</f>
        <v>12</v>
      </c>
      <c r="N193" s="0" t="n">
        <f aca="false">H193-G193</f>
        <v>11</v>
      </c>
      <c r="O193" s="0" t="n">
        <f aca="false">B193+D193+F193</f>
        <v>7</v>
      </c>
      <c r="P193" s="0" t="n">
        <f aca="false">C193+E193+G193</f>
        <v>6</v>
      </c>
    </row>
    <row r="194" customFormat="false" ht="15" hidden="false" customHeight="false" outlineLevel="0" collapsed="false">
      <c r="A194" s="0" t="n">
        <v>195</v>
      </c>
      <c r="B194" s="0" t="n">
        <f aca="false">Raw_Data!AJ195</f>
        <v>2</v>
      </c>
      <c r="C194" s="0" t="n">
        <f aca="false">Raw_Data!AK195</f>
        <v>4</v>
      </c>
      <c r="D194" s="0" t="n">
        <f aca="false">Raw_Data!AL195</f>
        <v>4</v>
      </c>
      <c r="E194" s="0" t="n">
        <f aca="false">Raw_Data!AM195</f>
        <v>3</v>
      </c>
      <c r="F194" s="0" t="n">
        <f aca="false">Raw_Data!AN195</f>
        <v>3</v>
      </c>
      <c r="G194" s="0" t="n">
        <f aca="false">Raw_Data!AO195</f>
        <v>4</v>
      </c>
      <c r="H194" s="0" t="n">
        <f aca="false">SUM(B194:G194)</f>
        <v>20</v>
      </c>
      <c r="I194" s="0" t="n">
        <f aca="false">H194-B194</f>
        <v>18</v>
      </c>
      <c r="J194" s="0" t="n">
        <f aca="false">H194-C194</f>
        <v>16</v>
      </c>
      <c r="K194" s="0" t="n">
        <f aca="false">H194-D194</f>
        <v>16</v>
      </c>
      <c r="L194" s="0" t="n">
        <f aca="false">H194-E194</f>
        <v>17</v>
      </c>
      <c r="M194" s="0" t="n">
        <f aca="false">H194-F194</f>
        <v>17</v>
      </c>
      <c r="N194" s="0" t="n">
        <f aca="false">H194-G194</f>
        <v>16</v>
      </c>
      <c r="O194" s="0" t="n">
        <f aca="false">B194+D194+F194</f>
        <v>9</v>
      </c>
      <c r="P194" s="0" t="n">
        <f aca="false">C194+E194+G194</f>
        <v>11</v>
      </c>
    </row>
    <row r="195" customFormat="false" ht="15" hidden="false" customHeight="false" outlineLevel="0" collapsed="false">
      <c r="A195" s="0" t="n">
        <v>196</v>
      </c>
      <c r="B195" s="0" t="n">
        <f aca="false">Raw_Data!AJ196</f>
        <v>5</v>
      </c>
      <c r="C195" s="0" t="n">
        <f aca="false">Raw_Data!AK196</f>
        <v>2</v>
      </c>
      <c r="D195" s="0" t="n">
        <f aca="false">Raw_Data!AL196</f>
        <v>4</v>
      </c>
      <c r="E195" s="0" t="n">
        <f aca="false">Raw_Data!AM196</f>
        <v>5</v>
      </c>
      <c r="F195" s="0" t="n">
        <f aca="false">Raw_Data!AN196</f>
        <v>2</v>
      </c>
      <c r="G195" s="0" t="n">
        <f aca="false">Raw_Data!AO196</f>
        <v>2</v>
      </c>
      <c r="H195" s="0" t="n">
        <f aca="false">SUM(B195:G195)</f>
        <v>20</v>
      </c>
      <c r="I195" s="0" t="n">
        <f aca="false">H195-B195</f>
        <v>15</v>
      </c>
      <c r="J195" s="0" t="n">
        <f aca="false">H195-C195</f>
        <v>18</v>
      </c>
      <c r="K195" s="0" t="n">
        <f aca="false">H195-D195</f>
        <v>16</v>
      </c>
      <c r="L195" s="0" t="n">
        <f aca="false">H195-E195</f>
        <v>15</v>
      </c>
      <c r="M195" s="0" t="n">
        <f aca="false">H195-F195</f>
        <v>18</v>
      </c>
      <c r="N195" s="0" t="n">
        <f aca="false">H195-G195</f>
        <v>18</v>
      </c>
      <c r="O195" s="0" t="n">
        <f aca="false">B195+D195+F195</f>
        <v>11</v>
      </c>
      <c r="P195" s="0" t="n">
        <f aca="false">C195+E195+G195</f>
        <v>9</v>
      </c>
    </row>
    <row r="196" customFormat="false" ht="15" hidden="false" customHeight="false" outlineLevel="0" collapsed="false">
      <c r="A196" s="0" t="n">
        <v>197</v>
      </c>
      <c r="B196" s="0" t="n">
        <f aca="false">Raw_Data!AJ197</f>
        <v>5</v>
      </c>
      <c r="C196" s="0" t="n">
        <f aca="false">Raw_Data!AK197</f>
        <v>2</v>
      </c>
      <c r="D196" s="0" t="n">
        <f aca="false">Raw_Data!AL197</f>
        <v>4</v>
      </c>
      <c r="E196" s="0" t="n">
        <f aca="false">Raw_Data!AM197</f>
        <v>3</v>
      </c>
      <c r="F196" s="0" t="n">
        <f aca="false">Raw_Data!AN197</f>
        <v>3</v>
      </c>
      <c r="G196" s="0" t="n">
        <f aca="false">Raw_Data!AO197</f>
        <v>4</v>
      </c>
      <c r="H196" s="0" t="n">
        <f aca="false">SUM(B196:G196)</f>
        <v>21</v>
      </c>
      <c r="I196" s="0" t="n">
        <f aca="false">H196-B196</f>
        <v>16</v>
      </c>
      <c r="J196" s="0" t="n">
        <f aca="false">H196-C196</f>
        <v>19</v>
      </c>
      <c r="K196" s="0" t="n">
        <f aca="false">H196-D196</f>
        <v>17</v>
      </c>
      <c r="L196" s="0" t="n">
        <f aca="false">H196-E196</f>
        <v>18</v>
      </c>
      <c r="M196" s="0" t="n">
        <f aca="false">H196-F196</f>
        <v>18</v>
      </c>
      <c r="N196" s="0" t="n">
        <f aca="false">H196-G196</f>
        <v>17</v>
      </c>
      <c r="O196" s="0" t="n">
        <f aca="false">B196+D196+F196</f>
        <v>12</v>
      </c>
      <c r="P196" s="0" t="n">
        <f aca="false">C196+E196+G196</f>
        <v>9</v>
      </c>
    </row>
    <row r="197" customFormat="false" ht="15" hidden="false" customHeight="false" outlineLevel="0" collapsed="false">
      <c r="A197" s="0" t="n">
        <v>198</v>
      </c>
      <c r="B197" s="0" t="n">
        <f aca="false">Raw_Data!AJ198</f>
        <v>2</v>
      </c>
      <c r="C197" s="0" t="n">
        <f aca="false">Raw_Data!AK198</f>
        <v>3</v>
      </c>
      <c r="D197" s="0" t="n">
        <f aca="false">Raw_Data!AL198</f>
        <v>3</v>
      </c>
      <c r="E197" s="0" t="n">
        <f aca="false">Raw_Data!AM198</f>
        <v>3</v>
      </c>
      <c r="F197" s="0" t="n">
        <f aca="false">Raw_Data!AN198</f>
        <v>3</v>
      </c>
      <c r="G197" s="0" t="n">
        <f aca="false">Raw_Data!AO198</f>
        <v>2</v>
      </c>
      <c r="H197" s="0" t="n">
        <f aca="false">SUM(B197:G197)</f>
        <v>16</v>
      </c>
      <c r="I197" s="0" t="n">
        <f aca="false">H197-B197</f>
        <v>14</v>
      </c>
      <c r="J197" s="0" t="n">
        <f aca="false">H197-C197</f>
        <v>13</v>
      </c>
      <c r="K197" s="0" t="n">
        <f aca="false">H197-D197</f>
        <v>13</v>
      </c>
      <c r="L197" s="0" t="n">
        <f aca="false">H197-E197</f>
        <v>13</v>
      </c>
      <c r="M197" s="0" t="n">
        <f aca="false">H197-F197</f>
        <v>13</v>
      </c>
      <c r="N197" s="0" t="n">
        <f aca="false">H197-G197</f>
        <v>14</v>
      </c>
      <c r="O197" s="0" t="n">
        <f aca="false">B197+D197+F197</f>
        <v>8</v>
      </c>
      <c r="P197" s="0" t="n">
        <f aca="false">C197+E197+G197</f>
        <v>8</v>
      </c>
    </row>
    <row r="198" customFormat="false" ht="15" hidden="false" customHeight="false" outlineLevel="0" collapsed="false">
      <c r="A198" s="0" t="n">
        <v>199</v>
      </c>
      <c r="B198" s="0" t="n">
        <f aca="false">Raw_Data!AJ199</f>
        <v>3</v>
      </c>
      <c r="C198" s="0" t="n">
        <f aca="false">Raw_Data!AK199</f>
        <v>4</v>
      </c>
      <c r="D198" s="0" t="n">
        <f aca="false">Raw_Data!AL199</f>
        <v>5</v>
      </c>
      <c r="E198" s="0" t="n">
        <f aca="false">Raw_Data!AM199</f>
        <v>3</v>
      </c>
      <c r="F198" s="0" t="n">
        <f aca="false">Raw_Data!AN199</f>
        <v>2</v>
      </c>
      <c r="G198" s="0" t="n">
        <f aca="false">Raw_Data!AO199</f>
        <v>4</v>
      </c>
      <c r="H198" s="0" t="n">
        <f aca="false">SUM(B198:G198)</f>
        <v>21</v>
      </c>
      <c r="I198" s="0" t="n">
        <f aca="false">H198-B198</f>
        <v>18</v>
      </c>
      <c r="J198" s="0" t="n">
        <f aca="false">H198-C198</f>
        <v>17</v>
      </c>
      <c r="K198" s="0" t="n">
        <f aca="false">H198-D198</f>
        <v>16</v>
      </c>
      <c r="L198" s="0" t="n">
        <f aca="false">H198-E198</f>
        <v>18</v>
      </c>
      <c r="M198" s="0" t="n">
        <f aca="false">H198-F198</f>
        <v>19</v>
      </c>
      <c r="N198" s="0" t="n">
        <f aca="false">H198-G198</f>
        <v>17</v>
      </c>
      <c r="O198" s="0" t="n">
        <f aca="false">B198+D198+F198</f>
        <v>10</v>
      </c>
      <c r="P198" s="0" t="n">
        <f aca="false">C198+E198+G198</f>
        <v>11</v>
      </c>
    </row>
    <row r="199" customFormat="false" ht="15" hidden="false" customHeight="false" outlineLevel="0" collapsed="false">
      <c r="A199" s="0" t="n">
        <v>200</v>
      </c>
      <c r="B199" s="0" t="n">
        <f aca="false">Raw_Data!AJ200</f>
        <v>4</v>
      </c>
      <c r="C199" s="0" t="n">
        <f aca="false">Raw_Data!AK200</f>
        <v>4</v>
      </c>
      <c r="D199" s="0" t="n">
        <f aca="false">Raw_Data!AL200</f>
        <v>4</v>
      </c>
      <c r="E199" s="0" t="n">
        <f aca="false">Raw_Data!AM200</f>
        <v>4</v>
      </c>
      <c r="F199" s="0" t="n">
        <f aca="false">Raw_Data!AN200</f>
        <v>4</v>
      </c>
      <c r="G199" s="0" t="n">
        <f aca="false">Raw_Data!AO200</f>
        <v>4</v>
      </c>
      <c r="H199" s="0" t="n">
        <f aca="false">SUM(B199:G199)</f>
        <v>24</v>
      </c>
      <c r="I199" s="0" t="n">
        <f aca="false">H199-B199</f>
        <v>20</v>
      </c>
      <c r="J199" s="0" t="n">
        <f aca="false">H199-C199</f>
        <v>20</v>
      </c>
      <c r="K199" s="0" t="n">
        <f aca="false">H199-D199</f>
        <v>20</v>
      </c>
      <c r="L199" s="0" t="n">
        <f aca="false">H199-E199</f>
        <v>20</v>
      </c>
      <c r="M199" s="0" t="n">
        <f aca="false">H199-F199</f>
        <v>20</v>
      </c>
      <c r="N199" s="0" t="n">
        <f aca="false">H199-G199</f>
        <v>20</v>
      </c>
      <c r="O199" s="0" t="n">
        <f aca="false">B199+D199+F199</f>
        <v>12</v>
      </c>
      <c r="P199" s="0" t="n">
        <f aca="false">C199+E199+G199</f>
        <v>12</v>
      </c>
    </row>
    <row r="200" customFormat="false" ht="15" hidden="false" customHeight="false" outlineLevel="0" collapsed="false">
      <c r="A200" s="0" t="n">
        <v>201</v>
      </c>
      <c r="B200" s="0" t="n">
        <f aca="false">Raw_Data!AJ201</f>
        <v>4</v>
      </c>
      <c r="C200" s="0" t="n">
        <f aca="false">Raw_Data!AK201</f>
        <v>2</v>
      </c>
      <c r="D200" s="0" t="n">
        <f aca="false">Raw_Data!AL201</f>
        <v>4</v>
      </c>
      <c r="E200" s="0" t="n">
        <f aca="false">Raw_Data!AM201</f>
        <v>4</v>
      </c>
      <c r="F200" s="0" t="n">
        <f aca="false">Raw_Data!AN201</f>
        <v>2</v>
      </c>
      <c r="G200" s="0" t="n">
        <f aca="false">Raw_Data!AO201</f>
        <v>1</v>
      </c>
      <c r="H200" s="0" t="n">
        <f aca="false">SUM(B200:G200)</f>
        <v>17</v>
      </c>
      <c r="I200" s="0" t="n">
        <f aca="false">H200-B200</f>
        <v>13</v>
      </c>
      <c r="J200" s="0" t="n">
        <f aca="false">H200-C200</f>
        <v>15</v>
      </c>
      <c r="K200" s="0" t="n">
        <f aca="false">H200-D200</f>
        <v>13</v>
      </c>
      <c r="L200" s="0" t="n">
        <f aca="false">H200-E200</f>
        <v>13</v>
      </c>
      <c r="M200" s="0" t="n">
        <f aca="false">H200-F200</f>
        <v>15</v>
      </c>
      <c r="N200" s="0" t="n">
        <f aca="false">H200-G200</f>
        <v>16</v>
      </c>
      <c r="O200" s="0" t="n">
        <f aca="false">B200+D200+F200</f>
        <v>10</v>
      </c>
      <c r="P200" s="0" t="n">
        <f aca="false">C200+E200+G200</f>
        <v>7</v>
      </c>
    </row>
    <row r="201" customFormat="false" ht="15" hidden="false" customHeight="false" outlineLevel="0" collapsed="false">
      <c r="A201" s="0" t="n">
        <v>202</v>
      </c>
      <c r="B201" s="0" t="n">
        <f aca="false">Raw_Data!AJ202</f>
        <v>5</v>
      </c>
      <c r="C201" s="0" t="n">
        <f aca="false">Raw_Data!AK202</f>
        <v>4</v>
      </c>
      <c r="D201" s="0" t="n">
        <f aca="false">Raw_Data!AL202</f>
        <v>4</v>
      </c>
      <c r="E201" s="0" t="n">
        <f aca="false">Raw_Data!AM202</f>
        <v>3</v>
      </c>
      <c r="F201" s="0" t="n">
        <f aca="false">Raw_Data!AN202</f>
        <v>5</v>
      </c>
      <c r="G201" s="0" t="n">
        <f aca="false">Raw_Data!AO202</f>
        <v>2</v>
      </c>
      <c r="H201" s="0" t="n">
        <f aca="false">SUM(B201:G201)</f>
        <v>23</v>
      </c>
      <c r="I201" s="0" t="n">
        <f aca="false">H201-B201</f>
        <v>18</v>
      </c>
      <c r="J201" s="0" t="n">
        <f aca="false">H201-C201</f>
        <v>19</v>
      </c>
      <c r="K201" s="0" t="n">
        <f aca="false">H201-D201</f>
        <v>19</v>
      </c>
      <c r="L201" s="0" t="n">
        <f aca="false">H201-E201</f>
        <v>20</v>
      </c>
      <c r="M201" s="0" t="n">
        <f aca="false">H201-F201</f>
        <v>18</v>
      </c>
      <c r="N201" s="0" t="n">
        <f aca="false">H201-G201</f>
        <v>21</v>
      </c>
      <c r="O201" s="0" t="n">
        <f aca="false">B201+D201+F201</f>
        <v>14</v>
      </c>
      <c r="P201" s="0" t="n">
        <f aca="false">C201+E201+G201</f>
        <v>9</v>
      </c>
    </row>
    <row r="202" customFormat="false" ht="15" hidden="false" customHeight="false" outlineLevel="0" collapsed="false">
      <c r="A202" s="0" t="n">
        <v>203</v>
      </c>
      <c r="B202" s="0" t="n">
        <f aca="false">Raw_Data!AJ203</f>
        <v>5</v>
      </c>
      <c r="C202" s="0" t="n">
        <f aca="false">Raw_Data!AK203</f>
        <v>3</v>
      </c>
      <c r="D202" s="0" t="n">
        <f aca="false">Raw_Data!AL203</f>
        <v>4</v>
      </c>
      <c r="E202" s="0" t="n">
        <f aca="false">Raw_Data!AM203</f>
        <v>4</v>
      </c>
      <c r="F202" s="0" t="n">
        <f aca="false">Raw_Data!AN203</f>
        <v>3</v>
      </c>
      <c r="G202" s="0" t="n">
        <f aca="false">Raw_Data!AO203</f>
        <v>3</v>
      </c>
      <c r="H202" s="0" t="n">
        <f aca="false">SUM(B202:G202)</f>
        <v>22</v>
      </c>
      <c r="I202" s="0" t="n">
        <f aca="false">H202-B202</f>
        <v>17</v>
      </c>
      <c r="J202" s="0" t="n">
        <f aca="false">H202-C202</f>
        <v>19</v>
      </c>
      <c r="K202" s="0" t="n">
        <f aca="false">H202-D202</f>
        <v>18</v>
      </c>
      <c r="L202" s="0" t="n">
        <f aca="false">H202-E202</f>
        <v>18</v>
      </c>
      <c r="M202" s="0" t="n">
        <f aca="false">H202-F202</f>
        <v>19</v>
      </c>
      <c r="N202" s="0" t="n">
        <f aca="false">H202-G202</f>
        <v>19</v>
      </c>
      <c r="O202" s="0" t="n">
        <f aca="false">B202+D202+F202</f>
        <v>12</v>
      </c>
      <c r="P202" s="0" t="n">
        <f aca="false">C202+E202+G202</f>
        <v>10</v>
      </c>
    </row>
    <row r="203" customFormat="false" ht="15" hidden="false" customHeight="false" outlineLevel="0" collapsed="false">
      <c r="A203" s="0" t="n">
        <v>204</v>
      </c>
      <c r="B203" s="0" t="n">
        <f aca="false">Raw_Data!AJ204</f>
        <v>5</v>
      </c>
      <c r="C203" s="0" t="n">
        <f aca="false">Raw_Data!AK204</f>
        <v>5</v>
      </c>
      <c r="D203" s="0" t="n">
        <f aca="false">Raw_Data!AL204</f>
        <v>5</v>
      </c>
      <c r="E203" s="0" t="n">
        <f aca="false">Raw_Data!AM204</f>
        <v>3</v>
      </c>
      <c r="F203" s="0" t="n">
        <f aca="false">Raw_Data!AN204</f>
        <v>4</v>
      </c>
      <c r="G203" s="0" t="n">
        <f aca="false">Raw_Data!AO204</f>
        <v>2</v>
      </c>
      <c r="H203" s="0" t="n">
        <f aca="false">SUM(B203:G203)</f>
        <v>24</v>
      </c>
      <c r="I203" s="0" t="n">
        <f aca="false">H203-B203</f>
        <v>19</v>
      </c>
      <c r="J203" s="0" t="n">
        <f aca="false">H203-C203</f>
        <v>19</v>
      </c>
      <c r="K203" s="0" t="n">
        <f aca="false">H203-D203</f>
        <v>19</v>
      </c>
      <c r="L203" s="0" t="n">
        <f aca="false">H203-E203</f>
        <v>21</v>
      </c>
      <c r="M203" s="0" t="n">
        <f aca="false">H203-F203</f>
        <v>20</v>
      </c>
      <c r="N203" s="0" t="n">
        <f aca="false">H203-G203</f>
        <v>22</v>
      </c>
      <c r="O203" s="0" t="n">
        <f aca="false">B203+D203+F203</f>
        <v>14</v>
      </c>
      <c r="P203" s="0" t="n">
        <f aca="false">C203+E203+G203</f>
        <v>10</v>
      </c>
    </row>
    <row r="204" customFormat="false" ht="15" hidden="false" customHeight="false" outlineLevel="0" collapsed="false">
      <c r="A204" s="0" t="n">
        <v>205</v>
      </c>
      <c r="B204" s="0" t="n">
        <f aca="false">Raw_Data!AJ205</f>
        <v>4</v>
      </c>
      <c r="C204" s="0" t="n">
        <f aca="false">Raw_Data!AK205</f>
        <v>4</v>
      </c>
      <c r="D204" s="0" t="n">
        <f aca="false">Raw_Data!AL205</f>
        <v>2</v>
      </c>
      <c r="E204" s="0" t="n">
        <f aca="false">Raw_Data!AM205</f>
        <v>4</v>
      </c>
      <c r="F204" s="0" t="n">
        <f aca="false">Raw_Data!AN205</f>
        <v>4</v>
      </c>
      <c r="G204" s="0" t="n">
        <f aca="false">Raw_Data!AO205</f>
        <v>4</v>
      </c>
      <c r="H204" s="0" t="n">
        <f aca="false">SUM(B204:G204)</f>
        <v>22</v>
      </c>
      <c r="I204" s="0" t="n">
        <f aca="false">H204-B204</f>
        <v>18</v>
      </c>
      <c r="J204" s="0" t="n">
        <f aca="false">H204-C204</f>
        <v>18</v>
      </c>
      <c r="K204" s="0" t="n">
        <f aca="false">H204-D204</f>
        <v>20</v>
      </c>
      <c r="L204" s="0" t="n">
        <f aca="false">H204-E204</f>
        <v>18</v>
      </c>
      <c r="M204" s="0" t="n">
        <f aca="false">H204-F204</f>
        <v>18</v>
      </c>
      <c r="N204" s="0" t="n">
        <f aca="false">H204-G204</f>
        <v>18</v>
      </c>
      <c r="O204" s="0" t="n">
        <f aca="false">B204+D204+F204</f>
        <v>10</v>
      </c>
      <c r="P204" s="0" t="n">
        <f aca="false">C204+E204+G204</f>
        <v>12</v>
      </c>
    </row>
    <row r="205" customFormat="false" ht="15" hidden="false" customHeight="false" outlineLevel="0" collapsed="false">
      <c r="A205" s="0" t="n">
        <v>206</v>
      </c>
      <c r="B205" s="0" t="n">
        <f aca="false">Raw_Data!AJ206</f>
        <v>5</v>
      </c>
      <c r="C205" s="0" t="n">
        <f aca="false">Raw_Data!AK206</f>
        <v>3</v>
      </c>
      <c r="D205" s="0" t="n">
        <f aca="false">Raw_Data!AL206</f>
        <v>4</v>
      </c>
      <c r="E205" s="0" t="n">
        <f aca="false">Raw_Data!AM206</f>
        <v>4</v>
      </c>
      <c r="F205" s="0" t="n">
        <f aca="false">Raw_Data!AN206</f>
        <v>3</v>
      </c>
      <c r="G205" s="0" t="n">
        <f aca="false">Raw_Data!AO206</f>
        <v>2</v>
      </c>
      <c r="H205" s="0" t="n">
        <f aca="false">SUM(B205:G205)</f>
        <v>21</v>
      </c>
      <c r="I205" s="0" t="n">
        <f aca="false">H205-B205</f>
        <v>16</v>
      </c>
      <c r="J205" s="0" t="n">
        <f aca="false">H205-C205</f>
        <v>18</v>
      </c>
      <c r="K205" s="0" t="n">
        <f aca="false">H205-D205</f>
        <v>17</v>
      </c>
      <c r="L205" s="0" t="n">
        <f aca="false">H205-E205</f>
        <v>17</v>
      </c>
      <c r="M205" s="0" t="n">
        <f aca="false">H205-F205</f>
        <v>18</v>
      </c>
      <c r="N205" s="0" t="n">
        <f aca="false">H205-G205</f>
        <v>19</v>
      </c>
      <c r="O205" s="0" t="n">
        <f aca="false">B205+D205+F205</f>
        <v>12</v>
      </c>
      <c r="P205" s="0" t="n">
        <f aca="false">C205+E205+G205</f>
        <v>9</v>
      </c>
    </row>
    <row r="206" customFormat="false" ht="15" hidden="false" customHeight="false" outlineLevel="0" collapsed="false">
      <c r="A206" s="0" t="n">
        <v>207</v>
      </c>
      <c r="B206" s="0" t="n">
        <f aca="false">Raw_Data!AJ207</f>
        <v>4</v>
      </c>
      <c r="C206" s="0" t="n">
        <f aca="false">Raw_Data!AK207</f>
        <v>2</v>
      </c>
      <c r="D206" s="0" t="n">
        <f aca="false">Raw_Data!AL207</f>
        <v>3</v>
      </c>
      <c r="E206" s="0" t="n">
        <f aca="false">Raw_Data!AM207</f>
        <v>3</v>
      </c>
      <c r="F206" s="0" t="n">
        <f aca="false">Raw_Data!AN207</f>
        <v>4</v>
      </c>
      <c r="G206" s="0" t="n">
        <f aca="false">Raw_Data!AO207</f>
        <v>4</v>
      </c>
      <c r="H206" s="0" t="n">
        <f aca="false">SUM(B206:G206)</f>
        <v>20</v>
      </c>
      <c r="I206" s="0" t="n">
        <f aca="false">H206-B206</f>
        <v>16</v>
      </c>
      <c r="J206" s="0" t="n">
        <f aca="false">H206-C206</f>
        <v>18</v>
      </c>
      <c r="K206" s="0" t="n">
        <f aca="false">H206-D206</f>
        <v>17</v>
      </c>
      <c r="L206" s="0" t="n">
        <f aca="false">H206-E206</f>
        <v>17</v>
      </c>
      <c r="M206" s="0" t="n">
        <f aca="false">H206-F206</f>
        <v>16</v>
      </c>
      <c r="N206" s="0" t="n">
        <f aca="false">H206-G206</f>
        <v>16</v>
      </c>
      <c r="O206" s="0" t="n">
        <f aca="false">B206+D206+F206</f>
        <v>11</v>
      </c>
      <c r="P206" s="0" t="n">
        <f aca="false">C206+E206+G206</f>
        <v>9</v>
      </c>
    </row>
    <row r="207" customFormat="false" ht="15" hidden="false" customHeight="false" outlineLevel="0" collapsed="false">
      <c r="A207" s="0" t="n">
        <v>208</v>
      </c>
      <c r="B207" s="0" t="n">
        <f aca="false">Raw_Data!AJ208</f>
        <v>2</v>
      </c>
      <c r="C207" s="0" t="n">
        <f aca="false">Raw_Data!AK208</f>
        <v>2</v>
      </c>
      <c r="D207" s="0" t="n">
        <f aca="false">Raw_Data!AL208</f>
        <v>4</v>
      </c>
      <c r="E207" s="0" t="n">
        <f aca="false">Raw_Data!AM208</f>
        <v>3</v>
      </c>
      <c r="F207" s="0" t="n">
        <f aca="false">Raw_Data!AN208</f>
        <v>4</v>
      </c>
      <c r="G207" s="0" t="n">
        <f aca="false">Raw_Data!AO208</f>
        <v>3</v>
      </c>
      <c r="H207" s="0" t="n">
        <f aca="false">SUM(B207:G207)</f>
        <v>18</v>
      </c>
      <c r="I207" s="0" t="n">
        <f aca="false">H207-B207</f>
        <v>16</v>
      </c>
      <c r="J207" s="0" t="n">
        <f aca="false">H207-C207</f>
        <v>16</v>
      </c>
      <c r="K207" s="0" t="n">
        <f aca="false">H207-D207</f>
        <v>14</v>
      </c>
      <c r="L207" s="0" t="n">
        <f aca="false">H207-E207</f>
        <v>15</v>
      </c>
      <c r="M207" s="0" t="n">
        <f aca="false">H207-F207</f>
        <v>14</v>
      </c>
      <c r="N207" s="0" t="n">
        <f aca="false">H207-G207</f>
        <v>15</v>
      </c>
      <c r="O207" s="0" t="n">
        <f aca="false">B207+D207+F207</f>
        <v>10</v>
      </c>
      <c r="P207" s="0" t="n">
        <f aca="false">C207+E207+G207</f>
        <v>8</v>
      </c>
    </row>
    <row r="208" customFormat="false" ht="15" hidden="false" customHeight="false" outlineLevel="0" collapsed="false">
      <c r="A208" s="0" t="n">
        <v>209</v>
      </c>
      <c r="B208" s="0" t="n">
        <f aca="false">Raw_Data!AJ209</f>
        <v>4</v>
      </c>
      <c r="C208" s="0" t="n">
        <f aca="false">Raw_Data!AK209</f>
        <v>3</v>
      </c>
      <c r="D208" s="0" t="n">
        <f aca="false">Raw_Data!AL209</f>
        <v>4</v>
      </c>
      <c r="E208" s="0" t="n">
        <f aca="false">Raw_Data!AM209</f>
        <v>3</v>
      </c>
      <c r="F208" s="0" t="n">
        <f aca="false">Raw_Data!AN209</f>
        <v>4</v>
      </c>
      <c r="G208" s="0" t="n">
        <f aca="false">Raw_Data!AO209</f>
        <v>2</v>
      </c>
      <c r="H208" s="0" t="n">
        <f aca="false">SUM(B208:G208)</f>
        <v>20</v>
      </c>
      <c r="I208" s="0" t="n">
        <f aca="false">H208-B208</f>
        <v>16</v>
      </c>
      <c r="J208" s="0" t="n">
        <f aca="false">H208-C208</f>
        <v>17</v>
      </c>
      <c r="K208" s="0" t="n">
        <f aca="false">H208-D208</f>
        <v>16</v>
      </c>
      <c r="L208" s="0" t="n">
        <f aca="false">H208-E208</f>
        <v>17</v>
      </c>
      <c r="M208" s="0" t="n">
        <f aca="false">H208-F208</f>
        <v>16</v>
      </c>
      <c r="N208" s="0" t="n">
        <f aca="false">H208-G208</f>
        <v>18</v>
      </c>
      <c r="O208" s="0" t="n">
        <f aca="false">B208+D208+F208</f>
        <v>12</v>
      </c>
      <c r="P208" s="0" t="n">
        <f aca="false">C208+E208+G208</f>
        <v>8</v>
      </c>
    </row>
    <row r="209" customFormat="false" ht="15" hidden="false" customHeight="false" outlineLevel="0" collapsed="false">
      <c r="A209" s="0" t="n">
        <v>210</v>
      </c>
      <c r="B209" s="0" t="n">
        <f aca="false">Raw_Data!AJ210</f>
        <v>4</v>
      </c>
      <c r="C209" s="0" t="n">
        <f aca="false">Raw_Data!AK210</f>
        <v>4</v>
      </c>
      <c r="D209" s="0" t="n">
        <f aca="false">Raw_Data!AL210</f>
        <v>4</v>
      </c>
      <c r="E209" s="0" t="n">
        <f aca="false">Raw_Data!AM210</f>
        <v>3</v>
      </c>
      <c r="F209" s="0" t="n">
        <f aca="false">Raw_Data!AN210</f>
        <v>4</v>
      </c>
      <c r="G209" s="0" t="n">
        <f aca="false">Raw_Data!AO210</f>
        <v>5</v>
      </c>
      <c r="H209" s="0" t="n">
        <f aca="false">SUM(B209:G209)</f>
        <v>24</v>
      </c>
      <c r="I209" s="0" t="n">
        <f aca="false">H209-B209</f>
        <v>20</v>
      </c>
      <c r="J209" s="0" t="n">
        <f aca="false">H209-C209</f>
        <v>20</v>
      </c>
      <c r="K209" s="0" t="n">
        <f aca="false">H209-D209</f>
        <v>20</v>
      </c>
      <c r="L209" s="0" t="n">
        <f aca="false">H209-E209</f>
        <v>21</v>
      </c>
      <c r="M209" s="0" t="n">
        <f aca="false">H209-F209</f>
        <v>20</v>
      </c>
      <c r="N209" s="0" t="n">
        <f aca="false">H209-G209</f>
        <v>19</v>
      </c>
      <c r="O209" s="0" t="n">
        <f aca="false">B209+D209+F209</f>
        <v>12</v>
      </c>
      <c r="P209" s="0" t="n">
        <f aca="false">C209+E209+G209</f>
        <v>12</v>
      </c>
    </row>
    <row r="210" customFormat="false" ht="15" hidden="false" customHeight="false" outlineLevel="0" collapsed="false">
      <c r="A210" s="0" t="n">
        <v>211</v>
      </c>
      <c r="B210" s="0" t="n">
        <f aca="false">Raw_Data!AJ211</f>
        <v>4</v>
      </c>
      <c r="C210" s="0" t="n">
        <f aca="false">Raw_Data!AK211</f>
        <v>4</v>
      </c>
      <c r="D210" s="0" t="n">
        <f aca="false">Raw_Data!AL211</f>
        <v>4</v>
      </c>
      <c r="E210" s="0" t="n">
        <f aca="false">Raw_Data!AM211</f>
        <v>2</v>
      </c>
      <c r="F210" s="0" t="n">
        <f aca="false">Raw_Data!AN211</f>
        <v>3</v>
      </c>
      <c r="G210" s="0" t="n">
        <f aca="false">Raw_Data!AO211</f>
        <v>3</v>
      </c>
      <c r="H210" s="0" t="n">
        <f aca="false">SUM(B210:G210)</f>
        <v>20</v>
      </c>
      <c r="I210" s="0" t="n">
        <f aca="false">H210-B210</f>
        <v>16</v>
      </c>
      <c r="J210" s="0" t="n">
        <f aca="false">H210-C210</f>
        <v>16</v>
      </c>
      <c r="K210" s="0" t="n">
        <f aca="false">H210-D210</f>
        <v>16</v>
      </c>
      <c r="L210" s="0" t="n">
        <f aca="false">H210-E210</f>
        <v>18</v>
      </c>
      <c r="M210" s="0" t="n">
        <f aca="false">H210-F210</f>
        <v>17</v>
      </c>
      <c r="N210" s="0" t="n">
        <f aca="false">H210-G210</f>
        <v>17</v>
      </c>
      <c r="O210" s="0" t="n">
        <f aca="false">B210+D210+F210</f>
        <v>11</v>
      </c>
      <c r="P210" s="0" t="n">
        <f aca="false">C210+E210+G210</f>
        <v>9</v>
      </c>
    </row>
    <row r="211" customFormat="false" ht="15" hidden="false" customHeight="false" outlineLevel="0" collapsed="false">
      <c r="A211" s="0" t="n">
        <v>212</v>
      </c>
      <c r="B211" s="0" t="n">
        <f aca="false">Raw_Data!AJ212</f>
        <v>4</v>
      </c>
      <c r="C211" s="0" t="n">
        <f aca="false">Raw_Data!AK212</f>
        <v>4</v>
      </c>
      <c r="D211" s="0" t="n">
        <f aca="false">Raw_Data!AL212</f>
        <v>2</v>
      </c>
      <c r="E211" s="0" t="n">
        <f aca="false">Raw_Data!AM212</f>
        <v>3</v>
      </c>
      <c r="F211" s="0" t="n">
        <f aca="false">Raw_Data!AN212</f>
        <v>2</v>
      </c>
      <c r="G211" s="0" t="n">
        <f aca="false">Raw_Data!AO212</f>
        <v>4</v>
      </c>
      <c r="H211" s="0" t="n">
        <f aca="false">SUM(B211:G211)</f>
        <v>19</v>
      </c>
      <c r="I211" s="0" t="n">
        <f aca="false">H211-B211</f>
        <v>15</v>
      </c>
      <c r="J211" s="0" t="n">
        <f aca="false">H211-C211</f>
        <v>15</v>
      </c>
      <c r="K211" s="0" t="n">
        <f aca="false">H211-D211</f>
        <v>17</v>
      </c>
      <c r="L211" s="0" t="n">
        <f aca="false">H211-E211</f>
        <v>16</v>
      </c>
      <c r="M211" s="0" t="n">
        <f aca="false">H211-F211</f>
        <v>17</v>
      </c>
      <c r="N211" s="0" t="n">
        <f aca="false">H211-G211</f>
        <v>15</v>
      </c>
      <c r="O211" s="0" t="n">
        <f aca="false">B211+D211+F211</f>
        <v>8</v>
      </c>
      <c r="P211" s="0" t="n">
        <f aca="false">C211+E211+G211</f>
        <v>11</v>
      </c>
    </row>
    <row r="212" customFormat="false" ht="15" hidden="false" customHeight="false" outlineLevel="0" collapsed="false">
      <c r="A212" s="0" t="n">
        <v>213</v>
      </c>
      <c r="B212" s="0" t="n">
        <f aca="false">Raw_Data!AJ213</f>
        <v>4</v>
      </c>
      <c r="C212" s="0" t="n">
        <f aca="false">Raw_Data!AK213</f>
        <v>3</v>
      </c>
      <c r="D212" s="0" t="n">
        <f aca="false">Raw_Data!AL213</f>
        <v>3</v>
      </c>
      <c r="E212" s="0" t="n">
        <f aca="false">Raw_Data!AM213</f>
        <v>1</v>
      </c>
      <c r="F212" s="0" t="n">
        <f aca="false">Raw_Data!AN213</f>
        <v>2</v>
      </c>
      <c r="G212" s="0" t="n">
        <f aca="false">Raw_Data!AO213</f>
        <v>4</v>
      </c>
      <c r="H212" s="0" t="n">
        <f aca="false">SUM(B212:G212)</f>
        <v>17</v>
      </c>
      <c r="I212" s="0" t="n">
        <f aca="false">H212-B212</f>
        <v>13</v>
      </c>
      <c r="J212" s="0" t="n">
        <f aca="false">H212-C212</f>
        <v>14</v>
      </c>
      <c r="K212" s="0" t="n">
        <f aca="false">H212-D212</f>
        <v>14</v>
      </c>
      <c r="L212" s="0" t="n">
        <f aca="false">H212-E212</f>
        <v>16</v>
      </c>
      <c r="M212" s="0" t="n">
        <f aca="false">H212-F212</f>
        <v>15</v>
      </c>
      <c r="N212" s="0" t="n">
        <f aca="false">H212-G212</f>
        <v>13</v>
      </c>
      <c r="O212" s="0" t="n">
        <f aca="false">B212+D212+F212</f>
        <v>9</v>
      </c>
      <c r="P212" s="0" t="n">
        <f aca="false">C212+E212+G212</f>
        <v>8</v>
      </c>
    </row>
    <row r="213" customFormat="false" ht="15" hidden="false" customHeight="false" outlineLevel="0" collapsed="false">
      <c r="A213" s="0" t="n">
        <v>214</v>
      </c>
      <c r="B213" s="0" t="n">
        <f aca="false">Raw_Data!AJ214</f>
        <v>2</v>
      </c>
      <c r="C213" s="0" t="n">
        <f aca="false">Raw_Data!AK214</f>
        <v>2</v>
      </c>
      <c r="D213" s="0" t="n">
        <f aca="false">Raw_Data!AL214</f>
        <v>5</v>
      </c>
      <c r="E213" s="0" t="n">
        <f aca="false">Raw_Data!AM214</f>
        <v>5</v>
      </c>
      <c r="F213" s="0" t="n">
        <f aca="false">Raw_Data!AN214</f>
        <v>2</v>
      </c>
      <c r="G213" s="0" t="n">
        <f aca="false">Raw_Data!AO214</f>
        <v>1</v>
      </c>
      <c r="H213" s="0" t="n">
        <f aca="false">SUM(B213:G213)</f>
        <v>17</v>
      </c>
      <c r="I213" s="0" t="n">
        <f aca="false">H213-B213</f>
        <v>15</v>
      </c>
      <c r="J213" s="0" t="n">
        <f aca="false">H213-C213</f>
        <v>15</v>
      </c>
      <c r="K213" s="0" t="n">
        <f aca="false">H213-D213</f>
        <v>12</v>
      </c>
      <c r="L213" s="0" t="n">
        <f aca="false">H213-E213</f>
        <v>12</v>
      </c>
      <c r="M213" s="0" t="n">
        <f aca="false">H213-F213</f>
        <v>15</v>
      </c>
      <c r="N213" s="0" t="n">
        <f aca="false">H213-G213</f>
        <v>16</v>
      </c>
      <c r="O213" s="0" t="n">
        <f aca="false">B213+D213+F213</f>
        <v>9</v>
      </c>
      <c r="P213" s="0" t="n">
        <f aca="false">C213+E213+G213</f>
        <v>8</v>
      </c>
    </row>
    <row r="214" customFormat="false" ht="15" hidden="false" customHeight="false" outlineLevel="0" collapsed="false">
      <c r="A214" s="0" t="n">
        <v>215</v>
      </c>
      <c r="B214" s="0" t="n">
        <f aca="false">Raw_Data!AJ215</f>
        <v>3</v>
      </c>
      <c r="C214" s="0" t="n">
        <f aca="false">Raw_Data!AK215</f>
        <v>4</v>
      </c>
      <c r="D214" s="0" t="n">
        <f aca="false">Raw_Data!AL215</f>
        <v>5</v>
      </c>
      <c r="E214" s="0" t="n">
        <f aca="false">Raw_Data!AM215</f>
        <v>3</v>
      </c>
      <c r="F214" s="0" t="n">
        <f aca="false">Raw_Data!AN215</f>
        <v>3</v>
      </c>
      <c r="G214" s="0" t="n">
        <f aca="false">Raw_Data!AO215</f>
        <v>3</v>
      </c>
      <c r="H214" s="0" t="n">
        <f aca="false">SUM(B214:G214)</f>
        <v>21</v>
      </c>
      <c r="I214" s="0" t="n">
        <f aca="false">H214-B214</f>
        <v>18</v>
      </c>
      <c r="J214" s="0" t="n">
        <f aca="false">H214-C214</f>
        <v>17</v>
      </c>
      <c r="K214" s="0" t="n">
        <f aca="false">H214-D214</f>
        <v>16</v>
      </c>
      <c r="L214" s="0" t="n">
        <f aca="false">H214-E214</f>
        <v>18</v>
      </c>
      <c r="M214" s="0" t="n">
        <f aca="false">H214-F214</f>
        <v>18</v>
      </c>
      <c r="N214" s="0" t="n">
        <f aca="false">H214-G214</f>
        <v>18</v>
      </c>
      <c r="O214" s="0" t="n">
        <f aca="false">B214+D214+F214</f>
        <v>11</v>
      </c>
      <c r="P214" s="0" t="n">
        <f aca="false">C214+E214+G214</f>
        <v>10</v>
      </c>
    </row>
    <row r="215" customFormat="false" ht="15" hidden="false" customHeight="false" outlineLevel="0" collapsed="false">
      <c r="A215" s="0" t="n">
        <v>216</v>
      </c>
      <c r="B215" s="0" t="n">
        <f aca="false">Raw_Data!AJ216</f>
        <v>2</v>
      </c>
      <c r="C215" s="0" t="n">
        <f aca="false">Raw_Data!AK216</f>
        <v>4</v>
      </c>
      <c r="D215" s="0" t="n">
        <f aca="false">Raw_Data!AL216</f>
        <v>5</v>
      </c>
      <c r="E215" s="0" t="n">
        <f aca="false">Raw_Data!AM216</f>
        <v>4</v>
      </c>
      <c r="F215" s="0" t="n">
        <f aca="false">Raw_Data!AN216</f>
        <v>4</v>
      </c>
      <c r="G215" s="0" t="n">
        <f aca="false">Raw_Data!AO216</f>
        <v>3</v>
      </c>
      <c r="H215" s="0" t="n">
        <f aca="false">SUM(B215:G215)</f>
        <v>22</v>
      </c>
      <c r="I215" s="0" t="n">
        <f aca="false">H215-B215</f>
        <v>20</v>
      </c>
      <c r="J215" s="0" t="n">
        <f aca="false">H215-C215</f>
        <v>18</v>
      </c>
      <c r="K215" s="0" t="n">
        <f aca="false">H215-D215</f>
        <v>17</v>
      </c>
      <c r="L215" s="0" t="n">
        <f aca="false">H215-E215</f>
        <v>18</v>
      </c>
      <c r="M215" s="0" t="n">
        <f aca="false">H215-F215</f>
        <v>18</v>
      </c>
      <c r="N215" s="0" t="n">
        <f aca="false">H215-G215</f>
        <v>19</v>
      </c>
      <c r="O215" s="0" t="n">
        <f aca="false">B215+D215+F215</f>
        <v>11</v>
      </c>
      <c r="P215" s="0" t="n">
        <f aca="false">C215+E215+G215</f>
        <v>11</v>
      </c>
    </row>
    <row r="216" customFormat="false" ht="15" hidden="false" customHeight="false" outlineLevel="0" collapsed="false">
      <c r="A216" s="0" t="n">
        <v>217</v>
      </c>
      <c r="B216" s="0" t="n">
        <f aca="false">Raw_Data!AJ217</f>
        <v>3</v>
      </c>
      <c r="C216" s="0" t="n">
        <f aca="false">Raw_Data!AK217</f>
        <v>3</v>
      </c>
      <c r="D216" s="0" t="n">
        <f aca="false">Raw_Data!AL217</f>
        <v>4</v>
      </c>
      <c r="E216" s="0" t="n">
        <f aca="false">Raw_Data!AM217</f>
        <v>2</v>
      </c>
      <c r="F216" s="0" t="n">
        <f aca="false">Raw_Data!AN217</f>
        <v>3</v>
      </c>
      <c r="G216" s="0" t="n">
        <f aca="false">Raw_Data!AO217</f>
        <v>2</v>
      </c>
      <c r="H216" s="0" t="n">
        <f aca="false">SUM(B216:G216)</f>
        <v>17</v>
      </c>
      <c r="I216" s="0" t="n">
        <f aca="false">H216-B216</f>
        <v>14</v>
      </c>
      <c r="J216" s="0" t="n">
        <f aca="false">H216-C216</f>
        <v>14</v>
      </c>
      <c r="K216" s="0" t="n">
        <f aca="false">H216-D216</f>
        <v>13</v>
      </c>
      <c r="L216" s="0" t="n">
        <f aca="false">H216-E216</f>
        <v>15</v>
      </c>
      <c r="M216" s="0" t="n">
        <f aca="false">H216-F216</f>
        <v>14</v>
      </c>
      <c r="N216" s="0" t="n">
        <f aca="false">H216-G216</f>
        <v>15</v>
      </c>
      <c r="O216" s="0" t="n">
        <f aca="false">B216+D216+F216</f>
        <v>10</v>
      </c>
      <c r="P216" s="0" t="n">
        <f aca="false">C216+E216+G216</f>
        <v>7</v>
      </c>
    </row>
    <row r="217" customFormat="false" ht="15" hidden="false" customHeight="false" outlineLevel="0" collapsed="false">
      <c r="A217" s="0" t="n">
        <v>218</v>
      </c>
      <c r="B217" s="0" t="n">
        <f aca="false">Raw_Data!AJ218</f>
        <v>4</v>
      </c>
      <c r="C217" s="0" t="n">
        <f aca="false">Raw_Data!AK218</f>
        <v>4</v>
      </c>
      <c r="D217" s="0" t="n">
        <f aca="false">Raw_Data!AL218</f>
        <v>4</v>
      </c>
      <c r="E217" s="0" t="n">
        <f aca="false">Raw_Data!AM218</f>
        <v>3</v>
      </c>
      <c r="F217" s="0" t="n">
        <f aca="false">Raw_Data!AN218</f>
        <v>4</v>
      </c>
      <c r="G217" s="0" t="n">
        <f aca="false">Raw_Data!AO218</f>
        <v>3</v>
      </c>
      <c r="H217" s="0" t="n">
        <f aca="false">SUM(B217:G217)</f>
        <v>22</v>
      </c>
      <c r="I217" s="0" t="n">
        <f aca="false">H217-B217</f>
        <v>18</v>
      </c>
      <c r="J217" s="0" t="n">
        <f aca="false">H217-C217</f>
        <v>18</v>
      </c>
      <c r="K217" s="0" t="n">
        <f aca="false">H217-D217</f>
        <v>18</v>
      </c>
      <c r="L217" s="0" t="n">
        <f aca="false">H217-E217</f>
        <v>19</v>
      </c>
      <c r="M217" s="0" t="n">
        <f aca="false">H217-F217</f>
        <v>18</v>
      </c>
      <c r="N217" s="0" t="n">
        <f aca="false">H217-G217</f>
        <v>19</v>
      </c>
      <c r="O217" s="0" t="n">
        <f aca="false">B217+D217+F217</f>
        <v>12</v>
      </c>
      <c r="P217" s="0" t="n">
        <f aca="false">C217+E217+G217</f>
        <v>10</v>
      </c>
    </row>
    <row r="218" customFormat="false" ht="15" hidden="false" customHeight="false" outlineLevel="0" collapsed="false">
      <c r="A218" s="0" t="n">
        <v>219</v>
      </c>
      <c r="B218" s="0" t="n">
        <f aca="false">Raw_Data!AJ219</f>
        <v>4</v>
      </c>
      <c r="C218" s="0" t="n">
        <f aca="false">Raw_Data!AK219</f>
        <v>2</v>
      </c>
      <c r="D218" s="0" t="n">
        <f aca="false">Raw_Data!AL219</f>
        <v>4</v>
      </c>
      <c r="E218" s="0" t="n">
        <f aca="false">Raw_Data!AM219</f>
        <v>3</v>
      </c>
      <c r="F218" s="0" t="n">
        <f aca="false">Raw_Data!AN219</f>
        <v>3</v>
      </c>
      <c r="G218" s="0" t="n">
        <f aca="false">Raw_Data!AO219</f>
        <v>3</v>
      </c>
      <c r="H218" s="0" t="n">
        <f aca="false">SUM(B218:G218)</f>
        <v>19</v>
      </c>
      <c r="I218" s="0" t="n">
        <f aca="false">H218-B218</f>
        <v>15</v>
      </c>
      <c r="J218" s="0" t="n">
        <f aca="false">H218-C218</f>
        <v>17</v>
      </c>
      <c r="K218" s="0" t="n">
        <f aca="false">H218-D218</f>
        <v>15</v>
      </c>
      <c r="L218" s="0" t="n">
        <f aca="false">H218-E218</f>
        <v>16</v>
      </c>
      <c r="M218" s="0" t="n">
        <f aca="false">H218-F218</f>
        <v>16</v>
      </c>
      <c r="N218" s="0" t="n">
        <f aca="false">H218-G218</f>
        <v>16</v>
      </c>
      <c r="O218" s="0" t="n">
        <f aca="false">B218+D218+F218</f>
        <v>11</v>
      </c>
      <c r="P218" s="0" t="n">
        <f aca="false">C218+E218+G218</f>
        <v>8</v>
      </c>
    </row>
    <row r="219" customFormat="false" ht="15" hidden="false" customHeight="false" outlineLevel="0" collapsed="false">
      <c r="A219" s="0" t="n">
        <v>220</v>
      </c>
      <c r="B219" s="0" t="n">
        <f aca="false">Raw_Data!AJ220</f>
        <v>2</v>
      </c>
      <c r="C219" s="0" t="n">
        <f aca="false">Raw_Data!AK220</f>
        <v>5</v>
      </c>
      <c r="D219" s="0" t="n">
        <f aca="false">Raw_Data!AL220</f>
        <v>5</v>
      </c>
      <c r="E219" s="0" t="n">
        <f aca="false">Raw_Data!AM220</f>
        <v>4</v>
      </c>
      <c r="F219" s="0" t="n">
        <f aca="false">Raw_Data!AN220</f>
        <v>4</v>
      </c>
      <c r="G219" s="0" t="n">
        <f aca="false">Raw_Data!AO220</f>
        <v>4</v>
      </c>
      <c r="H219" s="0" t="n">
        <f aca="false">SUM(B219:G219)</f>
        <v>24</v>
      </c>
      <c r="I219" s="0" t="n">
        <f aca="false">H219-B219</f>
        <v>22</v>
      </c>
      <c r="J219" s="0" t="n">
        <f aca="false">H219-C219</f>
        <v>19</v>
      </c>
      <c r="K219" s="0" t="n">
        <f aca="false">H219-D219</f>
        <v>19</v>
      </c>
      <c r="L219" s="0" t="n">
        <f aca="false">H219-E219</f>
        <v>20</v>
      </c>
      <c r="M219" s="0" t="n">
        <f aca="false">H219-F219</f>
        <v>20</v>
      </c>
      <c r="N219" s="0" t="n">
        <f aca="false">H219-G219</f>
        <v>20</v>
      </c>
      <c r="O219" s="0" t="n">
        <f aca="false">B219+D219+F219</f>
        <v>11</v>
      </c>
      <c r="P219" s="0" t="n">
        <f aca="false">C219+E219+G219</f>
        <v>13</v>
      </c>
    </row>
    <row r="220" customFormat="false" ht="15" hidden="false" customHeight="false" outlineLevel="0" collapsed="false">
      <c r="A220" s="0" t="n">
        <v>221</v>
      </c>
      <c r="B220" s="0" t="n">
        <f aca="false">Raw_Data!AJ221</f>
        <v>3</v>
      </c>
      <c r="C220" s="0" t="n">
        <f aca="false">Raw_Data!AK221</f>
        <v>2</v>
      </c>
      <c r="D220" s="0" t="n">
        <f aca="false">Raw_Data!AL221</f>
        <v>2</v>
      </c>
      <c r="E220" s="0" t="n">
        <f aca="false">Raw_Data!AM221</f>
        <v>4</v>
      </c>
      <c r="F220" s="0" t="n">
        <f aca="false">Raw_Data!AN221</f>
        <v>4</v>
      </c>
      <c r="G220" s="0" t="n">
        <f aca="false">Raw_Data!AO221</f>
        <v>2</v>
      </c>
      <c r="H220" s="0" t="n">
        <f aca="false">SUM(B220:G220)</f>
        <v>17</v>
      </c>
      <c r="I220" s="0" t="n">
        <f aca="false">H220-B220</f>
        <v>14</v>
      </c>
      <c r="J220" s="0" t="n">
        <f aca="false">H220-C220</f>
        <v>15</v>
      </c>
      <c r="K220" s="0" t="n">
        <f aca="false">H220-D220</f>
        <v>15</v>
      </c>
      <c r="L220" s="0" t="n">
        <f aca="false">H220-E220</f>
        <v>13</v>
      </c>
      <c r="M220" s="0" t="n">
        <f aca="false">H220-F220</f>
        <v>13</v>
      </c>
      <c r="N220" s="0" t="n">
        <f aca="false">H220-G220</f>
        <v>15</v>
      </c>
      <c r="O220" s="0" t="n">
        <f aca="false">B220+D220+F220</f>
        <v>9</v>
      </c>
      <c r="P220" s="0" t="n">
        <f aca="false">C220+E220+G220</f>
        <v>8</v>
      </c>
    </row>
    <row r="221" customFormat="false" ht="15" hidden="false" customHeight="false" outlineLevel="0" collapsed="false">
      <c r="A221" s="0" t="n">
        <v>222</v>
      </c>
      <c r="B221" s="0" t="n">
        <f aca="false">Raw_Data!AJ222</f>
        <v>5</v>
      </c>
      <c r="C221" s="0" t="n">
        <f aca="false">Raw_Data!AK222</f>
        <v>5</v>
      </c>
      <c r="D221" s="0" t="n">
        <f aca="false">Raw_Data!AL222</f>
        <v>5</v>
      </c>
      <c r="E221" s="0" t="n">
        <f aca="false">Raw_Data!AM222</f>
        <v>5</v>
      </c>
      <c r="F221" s="0" t="n">
        <f aca="false">Raw_Data!AN222</f>
        <v>5</v>
      </c>
      <c r="G221" s="0" t="n">
        <f aca="false">Raw_Data!AO222</f>
        <v>3</v>
      </c>
      <c r="H221" s="0" t="n">
        <f aca="false">SUM(B221:G221)</f>
        <v>28</v>
      </c>
      <c r="I221" s="0" t="n">
        <f aca="false">H221-B221</f>
        <v>23</v>
      </c>
      <c r="J221" s="0" t="n">
        <f aca="false">H221-C221</f>
        <v>23</v>
      </c>
      <c r="K221" s="0" t="n">
        <f aca="false">H221-D221</f>
        <v>23</v>
      </c>
      <c r="L221" s="0" t="n">
        <f aca="false">H221-E221</f>
        <v>23</v>
      </c>
      <c r="M221" s="0" t="n">
        <f aca="false">H221-F221</f>
        <v>23</v>
      </c>
      <c r="N221" s="0" t="n">
        <f aca="false">H221-G221</f>
        <v>25</v>
      </c>
      <c r="O221" s="0" t="n">
        <f aca="false">B221+D221+F221</f>
        <v>15</v>
      </c>
      <c r="P221" s="0" t="n">
        <f aca="false">C221+E221+G221</f>
        <v>13</v>
      </c>
    </row>
    <row r="222" customFormat="false" ht="15" hidden="false" customHeight="false" outlineLevel="0" collapsed="false">
      <c r="A222" s="0" t="n">
        <v>223</v>
      </c>
      <c r="B222" s="0" t="n">
        <f aca="false">Raw_Data!AJ223</f>
        <v>3</v>
      </c>
      <c r="C222" s="0" t="n">
        <f aca="false">Raw_Data!AK223</f>
        <v>3</v>
      </c>
      <c r="D222" s="0" t="n">
        <f aca="false">Raw_Data!AL223</f>
        <v>3</v>
      </c>
      <c r="E222" s="0" t="n">
        <f aca="false">Raw_Data!AM223</f>
        <v>2</v>
      </c>
      <c r="F222" s="0" t="n">
        <f aca="false">Raw_Data!AN223</f>
        <v>4</v>
      </c>
      <c r="G222" s="0" t="n">
        <f aca="false">Raw_Data!AO223</f>
        <v>4</v>
      </c>
      <c r="H222" s="0" t="n">
        <f aca="false">SUM(B222:G222)</f>
        <v>19</v>
      </c>
      <c r="I222" s="0" t="n">
        <f aca="false">H222-B222</f>
        <v>16</v>
      </c>
      <c r="J222" s="0" t="n">
        <f aca="false">H222-C222</f>
        <v>16</v>
      </c>
      <c r="K222" s="0" t="n">
        <f aca="false">H222-D222</f>
        <v>16</v>
      </c>
      <c r="L222" s="0" t="n">
        <f aca="false">H222-E222</f>
        <v>17</v>
      </c>
      <c r="M222" s="0" t="n">
        <f aca="false">H222-F222</f>
        <v>15</v>
      </c>
      <c r="N222" s="0" t="n">
        <f aca="false">H222-G222</f>
        <v>15</v>
      </c>
      <c r="O222" s="0" t="n">
        <f aca="false">B222+D222+F222</f>
        <v>10</v>
      </c>
      <c r="P222" s="0" t="n">
        <f aca="false">C222+E222+G222</f>
        <v>9</v>
      </c>
    </row>
    <row r="223" customFormat="false" ht="15" hidden="false" customHeight="false" outlineLevel="0" collapsed="false">
      <c r="A223" s="0" t="n">
        <v>224</v>
      </c>
      <c r="B223" s="0" t="n">
        <f aca="false">Raw_Data!AJ224</f>
        <v>4</v>
      </c>
      <c r="C223" s="0" t="n">
        <f aca="false">Raw_Data!AK224</f>
        <v>3</v>
      </c>
      <c r="D223" s="0" t="n">
        <f aca="false">Raw_Data!AL224</f>
        <v>5</v>
      </c>
      <c r="E223" s="0" t="n">
        <f aca="false">Raw_Data!AM224</f>
        <v>3</v>
      </c>
      <c r="F223" s="0" t="n">
        <f aca="false">Raw_Data!AN224</f>
        <v>3</v>
      </c>
      <c r="G223" s="0" t="n">
        <f aca="false">Raw_Data!AO224</f>
        <v>4</v>
      </c>
      <c r="H223" s="0" t="n">
        <f aca="false">SUM(B223:G223)</f>
        <v>22</v>
      </c>
      <c r="I223" s="0" t="n">
        <f aca="false">H223-B223</f>
        <v>18</v>
      </c>
      <c r="J223" s="0" t="n">
        <f aca="false">H223-C223</f>
        <v>19</v>
      </c>
      <c r="K223" s="0" t="n">
        <f aca="false">H223-D223</f>
        <v>17</v>
      </c>
      <c r="L223" s="0" t="n">
        <f aca="false">H223-E223</f>
        <v>19</v>
      </c>
      <c r="M223" s="0" t="n">
        <f aca="false">H223-F223</f>
        <v>19</v>
      </c>
      <c r="N223" s="0" t="n">
        <f aca="false">H223-G223</f>
        <v>18</v>
      </c>
      <c r="O223" s="0" t="n">
        <f aca="false">B223+D223+F223</f>
        <v>12</v>
      </c>
      <c r="P223" s="0" t="n">
        <f aca="false">C223+E223+G223</f>
        <v>10</v>
      </c>
    </row>
    <row r="224" customFormat="false" ht="15" hidden="false" customHeight="false" outlineLevel="0" collapsed="false">
      <c r="A224" s="0" t="n">
        <v>225</v>
      </c>
      <c r="B224" s="0" t="n">
        <f aca="false">Raw_Data!AJ225</f>
        <v>5</v>
      </c>
      <c r="C224" s="0" t="n">
        <f aca="false">Raw_Data!AK225</f>
        <v>2</v>
      </c>
      <c r="D224" s="0" t="n">
        <f aca="false">Raw_Data!AL225</f>
        <v>3</v>
      </c>
      <c r="E224" s="0" t="n">
        <f aca="false">Raw_Data!AM225</f>
        <v>3</v>
      </c>
      <c r="F224" s="0" t="n">
        <f aca="false">Raw_Data!AN225</f>
        <v>3</v>
      </c>
      <c r="G224" s="0" t="n">
        <f aca="false">Raw_Data!AO225</f>
        <v>3</v>
      </c>
      <c r="H224" s="0" t="n">
        <f aca="false">SUM(B224:G224)</f>
        <v>19</v>
      </c>
      <c r="I224" s="0" t="n">
        <f aca="false">H224-B224</f>
        <v>14</v>
      </c>
      <c r="J224" s="0" t="n">
        <f aca="false">H224-C224</f>
        <v>17</v>
      </c>
      <c r="K224" s="0" t="n">
        <f aca="false">H224-D224</f>
        <v>16</v>
      </c>
      <c r="L224" s="0" t="n">
        <f aca="false">H224-E224</f>
        <v>16</v>
      </c>
      <c r="M224" s="0" t="n">
        <f aca="false">H224-F224</f>
        <v>16</v>
      </c>
      <c r="N224" s="0" t="n">
        <f aca="false">H224-G224</f>
        <v>16</v>
      </c>
      <c r="O224" s="0" t="n">
        <f aca="false">B224+D224+F224</f>
        <v>11</v>
      </c>
      <c r="P224" s="0" t="n">
        <f aca="false">C224+E224+G224</f>
        <v>8</v>
      </c>
    </row>
    <row r="225" customFormat="false" ht="15" hidden="false" customHeight="false" outlineLevel="0" collapsed="false">
      <c r="A225" s="0" t="n">
        <v>226</v>
      </c>
      <c r="B225" s="0" t="n">
        <f aca="false">Raw_Data!AJ226</f>
        <v>3</v>
      </c>
      <c r="C225" s="0" t="n">
        <f aca="false">Raw_Data!AK226</f>
        <v>3</v>
      </c>
      <c r="D225" s="0" t="n">
        <f aca="false">Raw_Data!AL226</f>
        <v>4</v>
      </c>
      <c r="E225" s="0" t="n">
        <f aca="false">Raw_Data!AM226</f>
        <v>3</v>
      </c>
      <c r="F225" s="0" t="n">
        <f aca="false">Raw_Data!AN226</f>
        <v>2</v>
      </c>
      <c r="G225" s="0" t="n">
        <f aca="false">Raw_Data!AO226</f>
        <v>2</v>
      </c>
      <c r="H225" s="0" t="n">
        <f aca="false">SUM(B225:G225)</f>
        <v>17</v>
      </c>
      <c r="I225" s="0" t="n">
        <f aca="false">H225-B225</f>
        <v>14</v>
      </c>
      <c r="J225" s="0" t="n">
        <f aca="false">H225-C225</f>
        <v>14</v>
      </c>
      <c r="K225" s="0" t="n">
        <f aca="false">H225-D225</f>
        <v>13</v>
      </c>
      <c r="L225" s="0" t="n">
        <f aca="false">H225-E225</f>
        <v>14</v>
      </c>
      <c r="M225" s="0" t="n">
        <f aca="false">H225-F225</f>
        <v>15</v>
      </c>
      <c r="N225" s="0" t="n">
        <f aca="false">H225-G225</f>
        <v>15</v>
      </c>
      <c r="O225" s="0" t="n">
        <f aca="false">B225+D225+F225</f>
        <v>9</v>
      </c>
      <c r="P225" s="0" t="n">
        <f aca="false">C225+E225+G225</f>
        <v>8</v>
      </c>
    </row>
    <row r="226" customFormat="false" ht="15" hidden="false" customHeight="false" outlineLevel="0" collapsed="false">
      <c r="A226" s="0" t="n">
        <v>227</v>
      </c>
      <c r="B226" s="0" t="n">
        <f aca="false">Raw_Data!AJ227</f>
        <v>3</v>
      </c>
      <c r="C226" s="0" t="n">
        <f aca="false">Raw_Data!AK227</f>
        <v>4</v>
      </c>
      <c r="D226" s="0" t="n">
        <f aca="false">Raw_Data!AL227</f>
        <v>4</v>
      </c>
      <c r="E226" s="0" t="n">
        <f aca="false">Raw_Data!AM227</f>
        <v>3</v>
      </c>
      <c r="F226" s="0" t="n">
        <f aca="false">Raw_Data!AN227</f>
        <v>4</v>
      </c>
      <c r="G226" s="0" t="n">
        <f aca="false">Raw_Data!AO227</f>
        <v>2</v>
      </c>
      <c r="H226" s="0" t="n">
        <f aca="false">SUM(B226:G226)</f>
        <v>20</v>
      </c>
      <c r="I226" s="0" t="n">
        <f aca="false">H226-B226</f>
        <v>17</v>
      </c>
      <c r="J226" s="0" t="n">
        <f aca="false">H226-C226</f>
        <v>16</v>
      </c>
      <c r="K226" s="0" t="n">
        <f aca="false">H226-D226</f>
        <v>16</v>
      </c>
      <c r="L226" s="0" t="n">
        <f aca="false">H226-E226</f>
        <v>17</v>
      </c>
      <c r="M226" s="0" t="n">
        <f aca="false">H226-F226</f>
        <v>16</v>
      </c>
      <c r="N226" s="0" t="n">
        <f aca="false">H226-G226</f>
        <v>18</v>
      </c>
      <c r="O226" s="0" t="n">
        <f aca="false">B226+D226+F226</f>
        <v>11</v>
      </c>
      <c r="P226" s="0" t="n">
        <f aca="false">C226+E226+G226</f>
        <v>9</v>
      </c>
    </row>
    <row r="227" customFormat="false" ht="15" hidden="false" customHeight="false" outlineLevel="0" collapsed="false">
      <c r="A227" s="0" t="n">
        <v>228</v>
      </c>
      <c r="B227" s="0" t="n">
        <f aca="false">Raw_Data!AJ228</f>
        <v>3</v>
      </c>
      <c r="C227" s="0" t="n">
        <f aca="false">Raw_Data!AK228</f>
        <v>3</v>
      </c>
      <c r="D227" s="0" t="n">
        <f aca="false">Raw_Data!AL228</f>
        <v>4</v>
      </c>
      <c r="E227" s="0" t="n">
        <f aca="false">Raw_Data!AM228</f>
        <v>4</v>
      </c>
      <c r="F227" s="0" t="n">
        <f aca="false">Raw_Data!AN228</f>
        <v>4</v>
      </c>
      <c r="G227" s="0" t="n">
        <f aca="false">Raw_Data!AO228</f>
        <v>4</v>
      </c>
      <c r="H227" s="0" t="n">
        <f aca="false">SUM(B227:G227)</f>
        <v>22</v>
      </c>
      <c r="I227" s="0" t="n">
        <f aca="false">H227-B227</f>
        <v>19</v>
      </c>
      <c r="J227" s="0" t="n">
        <f aca="false">H227-C227</f>
        <v>19</v>
      </c>
      <c r="K227" s="0" t="n">
        <f aca="false">H227-D227</f>
        <v>18</v>
      </c>
      <c r="L227" s="0" t="n">
        <f aca="false">H227-E227</f>
        <v>18</v>
      </c>
      <c r="M227" s="0" t="n">
        <f aca="false">H227-F227</f>
        <v>18</v>
      </c>
      <c r="N227" s="0" t="n">
        <f aca="false">H227-G227</f>
        <v>18</v>
      </c>
      <c r="O227" s="0" t="n">
        <f aca="false">B227+D227+F227</f>
        <v>11</v>
      </c>
      <c r="P227" s="0" t="n">
        <f aca="false">C227+E227+G227</f>
        <v>11</v>
      </c>
    </row>
    <row r="228" customFormat="false" ht="15" hidden="false" customHeight="false" outlineLevel="0" collapsed="false">
      <c r="A228" s="0" t="n">
        <v>229</v>
      </c>
      <c r="B228" s="0" t="n">
        <f aca="false">Raw_Data!AJ229</f>
        <v>4</v>
      </c>
      <c r="C228" s="0" t="n">
        <f aca="false">Raw_Data!AK229</f>
        <v>3</v>
      </c>
      <c r="D228" s="0" t="n">
        <f aca="false">Raw_Data!AL229</f>
        <v>4</v>
      </c>
      <c r="E228" s="0" t="n">
        <f aca="false">Raw_Data!AM229</f>
        <v>3</v>
      </c>
      <c r="F228" s="0" t="n">
        <f aca="false">Raw_Data!AN229</f>
        <v>3</v>
      </c>
      <c r="G228" s="0" t="n">
        <f aca="false">Raw_Data!AO229</f>
        <v>3</v>
      </c>
      <c r="H228" s="0" t="n">
        <f aca="false">SUM(B228:G228)</f>
        <v>20</v>
      </c>
      <c r="I228" s="0" t="n">
        <f aca="false">H228-B228</f>
        <v>16</v>
      </c>
      <c r="J228" s="0" t="n">
        <f aca="false">H228-C228</f>
        <v>17</v>
      </c>
      <c r="K228" s="0" t="n">
        <f aca="false">H228-D228</f>
        <v>16</v>
      </c>
      <c r="L228" s="0" t="n">
        <f aca="false">H228-E228</f>
        <v>17</v>
      </c>
      <c r="M228" s="0" t="n">
        <f aca="false">H228-F228</f>
        <v>17</v>
      </c>
      <c r="N228" s="0" t="n">
        <f aca="false">H228-G228</f>
        <v>17</v>
      </c>
      <c r="O228" s="0" t="n">
        <f aca="false">B228+D228+F228</f>
        <v>11</v>
      </c>
      <c r="P228" s="0" t="n">
        <f aca="false">C228+E228+G228</f>
        <v>9</v>
      </c>
    </row>
    <row r="229" customFormat="false" ht="15" hidden="false" customHeight="false" outlineLevel="0" collapsed="false">
      <c r="A229" s="0" t="n">
        <v>230</v>
      </c>
      <c r="B229" s="0" t="n">
        <f aca="false">Raw_Data!AJ230</f>
        <v>3</v>
      </c>
      <c r="C229" s="0" t="n">
        <f aca="false">Raw_Data!AK230</f>
        <v>2</v>
      </c>
      <c r="D229" s="0" t="n">
        <f aca="false">Raw_Data!AL230</f>
        <v>3</v>
      </c>
      <c r="E229" s="0" t="n">
        <f aca="false">Raw_Data!AM230</f>
        <v>4</v>
      </c>
      <c r="F229" s="0" t="n">
        <f aca="false">Raw_Data!AN230</f>
        <v>4</v>
      </c>
      <c r="G229" s="0" t="n">
        <f aca="false">Raw_Data!AO230</f>
        <v>4</v>
      </c>
      <c r="H229" s="0" t="n">
        <f aca="false">SUM(B229:G229)</f>
        <v>20</v>
      </c>
      <c r="I229" s="0" t="n">
        <f aca="false">H229-B229</f>
        <v>17</v>
      </c>
      <c r="J229" s="0" t="n">
        <f aca="false">H229-C229</f>
        <v>18</v>
      </c>
      <c r="K229" s="0" t="n">
        <f aca="false">H229-D229</f>
        <v>17</v>
      </c>
      <c r="L229" s="0" t="n">
        <f aca="false">H229-E229</f>
        <v>16</v>
      </c>
      <c r="M229" s="0" t="n">
        <f aca="false">H229-F229</f>
        <v>16</v>
      </c>
      <c r="N229" s="0" t="n">
        <f aca="false">H229-G229</f>
        <v>16</v>
      </c>
      <c r="O229" s="0" t="n">
        <f aca="false">B229+D229+F229</f>
        <v>10</v>
      </c>
      <c r="P229" s="0" t="n">
        <f aca="false">C229+E229+G229</f>
        <v>10</v>
      </c>
    </row>
    <row r="230" customFormat="false" ht="15" hidden="false" customHeight="false" outlineLevel="0" collapsed="false">
      <c r="A230" s="0" t="n">
        <v>231</v>
      </c>
      <c r="B230" s="0" t="n">
        <f aca="false">Raw_Data!AJ231</f>
        <v>4</v>
      </c>
      <c r="C230" s="0" t="n">
        <f aca="false">Raw_Data!AK231</f>
        <v>4</v>
      </c>
      <c r="D230" s="0" t="n">
        <f aca="false">Raw_Data!AL231</f>
        <v>4</v>
      </c>
      <c r="E230" s="0" t="n">
        <f aca="false">Raw_Data!AM231</f>
        <v>3</v>
      </c>
      <c r="F230" s="0" t="n">
        <f aca="false">Raw_Data!AN231</f>
        <v>2</v>
      </c>
      <c r="G230" s="0" t="n">
        <f aca="false">Raw_Data!AO231</f>
        <v>4</v>
      </c>
      <c r="H230" s="0" t="n">
        <f aca="false">SUM(B230:G230)</f>
        <v>21</v>
      </c>
      <c r="I230" s="0" t="n">
        <f aca="false">H230-B230</f>
        <v>17</v>
      </c>
      <c r="J230" s="0" t="n">
        <f aca="false">H230-C230</f>
        <v>17</v>
      </c>
      <c r="K230" s="0" t="n">
        <f aca="false">H230-D230</f>
        <v>17</v>
      </c>
      <c r="L230" s="0" t="n">
        <f aca="false">H230-E230</f>
        <v>18</v>
      </c>
      <c r="M230" s="0" t="n">
        <f aca="false">H230-F230</f>
        <v>19</v>
      </c>
      <c r="N230" s="0" t="n">
        <f aca="false">H230-G230</f>
        <v>17</v>
      </c>
      <c r="O230" s="0" t="n">
        <f aca="false">B230+D230+F230</f>
        <v>10</v>
      </c>
      <c r="P230" s="0" t="n">
        <f aca="false">C230+E230+G230</f>
        <v>11</v>
      </c>
    </row>
    <row r="231" customFormat="false" ht="15" hidden="false" customHeight="false" outlineLevel="0" collapsed="false">
      <c r="A231" s="0" t="n">
        <v>232</v>
      </c>
      <c r="B231" s="0" t="n">
        <f aca="false">Raw_Data!AJ232</f>
        <v>5</v>
      </c>
      <c r="C231" s="0" t="n">
        <f aca="false">Raw_Data!AK232</f>
        <v>3</v>
      </c>
      <c r="D231" s="0" t="n">
        <f aca="false">Raw_Data!AL232</f>
        <v>5</v>
      </c>
      <c r="E231" s="0" t="n">
        <f aca="false">Raw_Data!AM232</f>
        <v>2</v>
      </c>
      <c r="F231" s="0" t="n">
        <f aca="false">Raw_Data!AN232</f>
        <v>1</v>
      </c>
      <c r="G231" s="0" t="n">
        <f aca="false">Raw_Data!AO232</f>
        <v>2</v>
      </c>
      <c r="H231" s="0" t="n">
        <f aca="false">SUM(B231:G231)</f>
        <v>18</v>
      </c>
      <c r="I231" s="0" t="n">
        <f aca="false">H231-B231</f>
        <v>13</v>
      </c>
      <c r="J231" s="0" t="n">
        <f aca="false">H231-C231</f>
        <v>15</v>
      </c>
      <c r="K231" s="0" t="n">
        <f aca="false">H231-D231</f>
        <v>13</v>
      </c>
      <c r="L231" s="0" t="n">
        <f aca="false">H231-E231</f>
        <v>16</v>
      </c>
      <c r="M231" s="0" t="n">
        <f aca="false">H231-F231</f>
        <v>17</v>
      </c>
      <c r="N231" s="0" t="n">
        <f aca="false">H231-G231</f>
        <v>16</v>
      </c>
      <c r="O231" s="0" t="n">
        <f aca="false">B231+D231+F231</f>
        <v>11</v>
      </c>
      <c r="P231" s="0" t="n">
        <f aca="false">C231+E231+G231</f>
        <v>7</v>
      </c>
    </row>
    <row r="232" customFormat="false" ht="15" hidden="false" customHeight="false" outlineLevel="0" collapsed="false">
      <c r="A232" s="0" t="n">
        <v>233</v>
      </c>
      <c r="B232" s="0" t="n">
        <f aca="false">Raw_Data!AJ233</f>
        <v>4</v>
      </c>
      <c r="C232" s="0" t="n">
        <f aca="false">Raw_Data!AK233</f>
        <v>3</v>
      </c>
      <c r="D232" s="0" t="n">
        <f aca="false">Raw_Data!AL233</f>
        <v>4</v>
      </c>
      <c r="E232" s="0" t="n">
        <f aca="false">Raw_Data!AM233</f>
        <v>3</v>
      </c>
      <c r="F232" s="0" t="n">
        <f aca="false">Raw_Data!AN233</f>
        <v>3</v>
      </c>
      <c r="G232" s="0" t="n">
        <f aca="false">Raw_Data!AO233</f>
        <v>3</v>
      </c>
      <c r="H232" s="0" t="n">
        <f aca="false">SUM(B232:G232)</f>
        <v>20</v>
      </c>
      <c r="I232" s="0" t="n">
        <f aca="false">H232-B232</f>
        <v>16</v>
      </c>
      <c r="J232" s="0" t="n">
        <f aca="false">H232-C232</f>
        <v>17</v>
      </c>
      <c r="K232" s="0" t="n">
        <f aca="false">H232-D232</f>
        <v>16</v>
      </c>
      <c r="L232" s="0" t="n">
        <f aca="false">H232-E232</f>
        <v>17</v>
      </c>
      <c r="M232" s="0" t="n">
        <f aca="false">H232-F232</f>
        <v>17</v>
      </c>
      <c r="N232" s="0" t="n">
        <f aca="false">H232-G232</f>
        <v>17</v>
      </c>
      <c r="O232" s="0" t="n">
        <f aca="false">B232+D232+F232</f>
        <v>11</v>
      </c>
      <c r="P232" s="0" t="n">
        <f aca="false">C232+E232+G232</f>
        <v>9</v>
      </c>
    </row>
    <row r="233" customFormat="false" ht="15" hidden="false" customHeight="false" outlineLevel="0" collapsed="false">
      <c r="A233" s="0" t="n">
        <v>234</v>
      </c>
      <c r="B233" s="0" t="n">
        <f aca="false">Raw_Data!AJ234</f>
        <v>4</v>
      </c>
      <c r="C233" s="0" t="n">
        <f aca="false">Raw_Data!AK234</f>
        <v>2</v>
      </c>
      <c r="D233" s="0" t="n">
        <f aca="false">Raw_Data!AL234</f>
        <v>5</v>
      </c>
      <c r="E233" s="0" t="n">
        <f aca="false">Raw_Data!AM234</f>
        <v>3</v>
      </c>
      <c r="F233" s="0" t="n">
        <f aca="false">Raw_Data!AN234</f>
        <v>2</v>
      </c>
      <c r="G233" s="0" t="n">
        <f aca="false">Raw_Data!AO234</f>
        <v>4</v>
      </c>
      <c r="H233" s="0" t="n">
        <f aca="false">SUM(B233:G233)</f>
        <v>20</v>
      </c>
      <c r="I233" s="0" t="n">
        <f aca="false">H233-B233</f>
        <v>16</v>
      </c>
      <c r="J233" s="0" t="n">
        <f aca="false">H233-C233</f>
        <v>18</v>
      </c>
      <c r="K233" s="0" t="n">
        <f aca="false">H233-D233</f>
        <v>15</v>
      </c>
      <c r="L233" s="0" t="n">
        <f aca="false">H233-E233</f>
        <v>17</v>
      </c>
      <c r="M233" s="0" t="n">
        <f aca="false">H233-F233</f>
        <v>18</v>
      </c>
      <c r="N233" s="0" t="n">
        <f aca="false">H233-G233</f>
        <v>16</v>
      </c>
      <c r="O233" s="0" t="n">
        <f aca="false">B233+D233+F233</f>
        <v>11</v>
      </c>
      <c r="P233" s="0" t="n">
        <f aca="false">C233+E233+G233</f>
        <v>9</v>
      </c>
    </row>
    <row r="234" customFormat="false" ht="15" hidden="false" customHeight="false" outlineLevel="0" collapsed="false">
      <c r="A234" s="0" t="n">
        <v>235</v>
      </c>
      <c r="B234" s="0" t="n">
        <f aca="false">Raw_Data!AJ235</f>
        <v>3</v>
      </c>
      <c r="C234" s="0" t="n">
        <f aca="false">Raw_Data!AK235</f>
        <v>5</v>
      </c>
      <c r="D234" s="0" t="n">
        <f aca="false">Raw_Data!AL235</f>
        <v>3</v>
      </c>
      <c r="E234" s="0" t="n">
        <f aca="false">Raw_Data!AM235</f>
        <v>3</v>
      </c>
      <c r="F234" s="0" t="n">
        <f aca="false">Raw_Data!AN235</f>
        <v>3</v>
      </c>
      <c r="G234" s="0" t="n">
        <f aca="false">Raw_Data!AO235</f>
        <v>5</v>
      </c>
      <c r="H234" s="0" t="n">
        <f aca="false">SUM(B234:G234)</f>
        <v>22</v>
      </c>
      <c r="I234" s="0" t="n">
        <f aca="false">H234-B234</f>
        <v>19</v>
      </c>
      <c r="J234" s="0" t="n">
        <f aca="false">H234-C234</f>
        <v>17</v>
      </c>
      <c r="K234" s="0" t="n">
        <f aca="false">H234-D234</f>
        <v>19</v>
      </c>
      <c r="L234" s="0" t="n">
        <f aca="false">H234-E234</f>
        <v>19</v>
      </c>
      <c r="M234" s="0" t="n">
        <f aca="false">H234-F234</f>
        <v>19</v>
      </c>
      <c r="N234" s="0" t="n">
        <f aca="false">H234-G234</f>
        <v>17</v>
      </c>
      <c r="O234" s="0" t="n">
        <f aca="false">B234+D234+F234</f>
        <v>9</v>
      </c>
      <c r="P234" s="0" t="n">
        <f aca="false">C234+E234+G234</f>
        <v>13</v>
      </c>
    </row>
    <row r="235" customFormat="false" ht="15" hidden="false" customHeight="false" outlineLevel="0" collapsed="false">
      <c r="A235" s="0" t="n">
        <v>236</v>
      </c>
      <c r="B235" s="0" t="n">
        <f aca="false">Raw_Data!AJ236</f>
        <v>3</v>
      </c>
      <c r="C235" s="0" t="n">
        <f aca="false">Raw_Data!AK236</f>
        <v>1</v>
      </c>
      <c r="D235" s="0" t="n">
        <f aca="false">Raw_Data!AL236</f>
        <v>5</v>
      </c>
      <c r="E235" s="0" t="n">
        <f aca="false">Raw_Data!AM236</f>
        <v>4</v>
      </c>
      <c r="F235" s="0" t="n">
        <f aca="false">Raw_Data!AN236</f>
        <v>1</v>
      </c>
      <c r="G235" s="0" t="n">
        <f aca="false">Raw_Data!AO236</f>
        <v>1</v>
      </c>
      <c r="H235" s="0" t="n">
        <f aca="false">SUM(B235:G235)</f>
        <v>15</v>
      </c>
      <c r="I235" s="0" t="n">
        <f aca="false">H235-B235</f>
        <v>12</v>
      </c>
      <c r="J235" s="0" t="n">
        <f aca="false">H235-C235</f>
        <v>14</v>
      </c>
      <c r="K235" s="0" t="n">
        <f aca="false">H235-D235</f>
        <v>10</v>
      </c>
      <c r="L235" s="0" t="n">
        <f aca="false">H235-E235</f>
        <v>11</v>
      </c>
      <c r="M235" s="0" t="n">
        <f aca="false">H235-F235</f>
        <v>14</v>
      </c>
      <c r="N235" s="0" t="n">
        <f aca="false">H235-G235</f>
        <v>14</v>
      </c>
      <c r="O235" s="0" t="n">
        <f aca="false">B235+D235+F235</f>
        <v>9</v>
      </c>
      <c r="P235" s="0" t="n">
        <f aca="false">C235+E235+G235</f>
        <v>6</v>
      </c>
    </row>
    <row r="236" customFormat="false" ht="15" hidden="false" customHeight="false" outlineLevel="0" collapsed="false">
      <c r="A236" s="0" t="n">
        <v>237</v>
      </c>
      <c r="B236" s="0" t="n">
        <f aca="false">Raw_Data!AJ237</f>
        <v>4</v>
      </c>
      <c r="C236" s="0" t="n">
        <f aca="false">Raw_Data!AK237</f>
        <v>2</v>
      </c>
      <c r="D236" s="0" t="n">
        <f aca="false">Raw_Data!AL237</f>
        <v>4</v>
      </c>
      <c r="E236" s="0" t="n">
        <f aca="false">Raw_Data!AM237</f>
        <v>3</v>
      </c>
      <c r="F236" s="0" t="n">
        <f aca="false">Raw_Data!AN237</f>
        <v>2</v>
      </c>
      <c r="G236" s="0" t="n">
        <f aca="false">Raw_Data!AO237</f>
        <v>4</v>
      </c>
      <c r="H236" s="0" t="n">
        <f aca="false">SUM(B236:G236)</f>
        <v>19</v>
      </c>
      <c r="I236" s="0" t="n">
        <f aca="false">H236-B236</f>
        <v>15</v>
      </c>
      <c r="J236" s="0" t="n">
        <f aca="false">H236-C236</f>
        <v>17</v>
      </c>
      <c r="K236" s="0" t="n">
        <f aca="false">H236-D236</f>
        <v>15</v>
      </c>
      <c r="L236" s="0" t="n">
        <f aca="false">H236-E236</f>
        <v>16</v>
      </c>
      <c r="M236" s="0" t="n">
        <f aca="false">H236-F236</f>
        <v>17</v>
      </c>
      <c r="N236" s="0" t="n">
        <f aca="false">H236-G236</f>
        <v>15</v>
      </c>
      <c r="O236" s="0" t="n">
        <f aca="false">B236+D236+F236</f>
        <v>10</v>
      </c>
      <c r="P236" s="0" t="n">
        <f aca="false">C236+E236+G236</f>
        <v>9</v>
      </c>
    </row>
    <row r="237" customFormat="false" ht="15" hidden="false" customHeight="false" outlineLevel="0" collapsed="false">
      <c r="A237" s="0" t="n">
        <v>238</v>
      </c>
      <c r="B237" s="0" t="n">
        <f aca="false">Raw_Data!AJ238</f>
        <v>5</v>
      </c>
      <c r="C237" s="0" t="n">
        <f aca="false">Raw_Data!AK238</f>
        <v>1</v>
      </c>
      <c r="D237" s="0" t="n">
        <f aca="false">Raw_Data!AL238</f>
        <v>5</v>
      </c>
      <c r="E237" s="0" t="n">
        <f aca="false">Raw_Data!AM238</f>
        <v>5</v>
      </c>
      <c r="F237" s="0" t="n">
        <f aca="false">Raw_Data!AN238</f>
        <v>1</v>
      </c>
      <c r="G237" s="0" t="n">
        <f aca="false">Raw_Data!AO238</f>
        <v>1</v>
      </c>
      <c r="H237" s="0" t="n">
        <f aca="false">SUM(B237:G237)</f>
        <v>18</v>
      </c>
      <c r="I237" s="0" t="n">
        <f aca="false">H237-B237</f>
        <v>13</v>
      </c>
      <c r="J237" s="0" t="n">
        <f aca="false">H237-C237</f>
        <v>17</v>
      </c>
      <c r="K237" s="0" t="n">
        <f aca="false">H237-D237</f>
        <v>13</v>
      </c>
      <c r="L237" s="0" t="n">
        <f aca="false">H237-E237</f>
        <v>13</v>
      </c>
      <c r="M237" s="0" t="n">
        <f aca="false">H237-F237</f>
        <v>17</v>
      </c>
      <c r="N237" s="0" t="n">
        <f aca="false">H237-G237</f>
        <v>17</v>
      </c>
      <c r="O237" s="0" t="n">
        <f aca="false">B237+D237+F237</f>
        <v>11</v>
      </c>
      <c r="P237" s="0" t="n">
        <f aca="false">C237+E237+G237</f>
        <v>7</v>
      </c>
    </row>
    <row r="238" customFormat="false" ht="15" hidden="false" customHeight="false" outlineLevel="0" collapsed="false">
      <c r="A238" s="0" t="n">
        <v>239</v>
      </c>
      <c r="B238" s="0" t="n">
        <f aca="false">Raw_Data!AJ239</f>
        <v>5</v>
      </c>
      <c r="C238" s="0" t="n">
        <f aca="false">Raw_Data!AK239</f>
        <v>3</v>
      </c>
      <c r="D238" s="0" t="n">
        <f aca="false">Raw_Data!AL239</f>
        <v>3</v>
      </c>
      <c r="E238" s="0" t="n">
        <f aca="false">Raw_Data!AM239</f>
        <v>3</v>
      </c>
      <c r="F238" s="0" t="n">
        <f aca="false">Raw_Data!AN239</f>
        <v>1</v>
      </c>
      <c r="G238" s="0" t="n">
        <f aca="false">Raw_Data!AO239</f>
        <v>4</v>
      </c>
      <c r="H238" s="0" t="n">
        <f aca="false">SUM(B238:G238)</f>
        <v>19</v>
      </c>
      <c r="I238" s="0" t="n">
        <f aca="false">H238-B238</f>
        <v>14</v>
      </c>
      <c r="J238" s="0" t="n">
        <f aca="false">H238-C238</f>
        <v>16</v>
      </c>
      <c r="K238" s="0" t="n">
        <f aca="false">H238-D238</f>
        <v>16</v>
      </c>
      <c r="L238" s="0" t="n">
        <f aca="false">H238-E238</f>
        <v>16</v>
      </c>
      <c r="M238" s="0" t="n">
        <f aca="false">H238-F238</f>
        <v>18</v>
      </c>
      <c r="N238" s="0" t="n">
        <f aca="false">H238-G238</f>
        <v>15</v>
      </c>
      <c r="O238" s="0" t="n">
        <f aca="false">B238+D238+F238</f>
        <v>9</v>
      </c>
      <c r="P238" s="0" t="n">
        <f aca="false">C238+E238+G238</f>
        <v>10</v>
      </c>
    </row>
    <row r="239" customFormat="false" ht="15" hidden="false" customHeight="false" outlineLevel="0" collapsed="false">
      <c r="A239" s="0" t="n">
        <v>240</v>
      </c>
      <c r="B239" s="0" t="n">
        <f aca="false">Raw_Data!AJ240</f>
        <v>5</v>
      </c>
      <c r="C239" s="0" t="n">
        <f aca="false">Raw_Data!AK240</f>
        <v>2</v>
      </c>
      <c r="D239" s="0" t="n">
        <f aca="false">Raw_Data!AL240</f>
        <v>5</v>
      </c>
      <c r="E239" s="0" t="n">
        <f aca="false">Raw_Data!AM240</f>
        <v>2</v>
      </c>
      <c r="F239" s="0" t="n">
        <f aca="false">Raw_Data!AN240</f>
        <v>4</v>
      </c>
      <c r="G239" s="0" t="n">
        <f aca="false">Raw_Data!AO240</f>
        <v>2</v>
      </c>
      <c r="H239" s="0" t="n">
        <f aca="false">SUM(B239:G239)</f>
        <v>20</v>
      </c>
      <c r="I239" s="0" t="n">
        <f aca="false">H239-B239</f>
        <v>15</v>
      </c>
      <c r="J239" s="0" t="n">
        <f aca="false">H239-C239</f>
        <v>18</v>
      </c>
      <c r="K239" s="0" t="n">
        <f aca="false">H239-D239</f>
        <v>15</v>
      </c>
      <c r="L239" s="0" t="n">
        <f aca="false">H239-E239</f>
        <v>18</v>
      </c>
      <c r="M239" s="0" t="n">
        <f aca="false">H239-F239</f>
        <v>16</v>
      </c>
      <c r="N239" s="0" t="n">
        <f aca="false">H239-G239</f>
        <v>18</v>
      </c>
      <c r="O239" s="0" t="n">
        <f aca="false">B239+D239+F239</f>
        <v>14</v>
      </c>
      <c r="P239" s="0" t="n">
        <f aca="false">C239+E239+G239</f>
        <v>6</v>
      </c>
    </row>
    <row r="240" customFormat="false" ht="15" hidden="false" customHeight="false" outlineLevel="0" collapsed="false">
      <c r="A240" s="0" t="n">
        <v>241</v>
      </c>
      <c r="B240" s="0" t="n">
        <f aca="false">Raw_Data!AJ241</f>
        <v>4</v>
      </c>
      <c r="C240" s="0" t="n">
        <f aca="false">Raw_Data!AK241</f>
        <v>2</v>
      </c>
      <c r="D240" s="0" t="n">
        <f aca="false">Raw_Data!AL241</f>
        <v>4</v>
      </c>
      <c r="E240" s="0" t="n">
        <f aca="false">Raw_Data!AM241</f>
        <v>3</v>
      </c>
      <c r="F240" s="0" t="n">
        <f aca="false">Raw_Data!AN241</f>
        <v>4</v>
      </c>
      <c r="G240" s="0" t="n">
        <f aca="false">Raw_Data!AO241</f>
        <v>3</v>
      </c>
      <c r="H240" s="0" t="n">
        <f aca="false">SUM(B240:G240)</f>
        <v>20</v>
      </c>
      <c r="I240" s="0" t="n">
        <f aca="false">H240-B240</f>
        <v>16</v>
      </c>
      <c r="J240" s="0" t="n">
        <f aca="false">H240-C240</f>
        <v>18</v>
      </c>
      <c r="K240" s="0" t="n">
        <f aca="false">H240-D240</f>
        <v>16</v>
      </c>
      <c r="L240" s="0" t="n">
        <f aca="false">H240-E240</f>
        <v>17</v>
      </c>
      <c r="M240" s="0" t="n">
        <f aca="false">H240-F240</f>
        <v>16</v>
      </c>
      <c r="N240" s="0" t="n">
        <f aca="false">H240-G240</f>
        <v>17</v>
      </c>
      <c r="O240" s="0" t="n">
        <f aca="false">B240+D240+F240</f>
        <v>12</v>
      </c>
      <c r="P240" s="0" t="n">
        <f aca="false">C240+E240+G240</f>
        <v>8</v>
      </c>
    </row>
    <row r="241" customFormat="false" ht="15" hidden="false" customHeight="false" outlineLevel="0" collapsed="false">
      <c r="A241" s="0" t="n">
        <v>242</v>
      </c>
      <c r="B241" s="0" t="n">
        <f aca="false">Raw_Data!AJ242</f>
        <v>2</v>
      </c>
      <c r="C241" s="0" t="n">
        <f aca="false">Raw_Data!AK242</f>
        <v>4</v>
      </c>
      <c r="D241" s="0" t="n">
        <f aca="false">Raw_Data!AL242</f>
        <v>4</v>
      </c>
      <c r="E241" s="0" t="n">
        <f aca="false">Raw_Data!AM242</f>
        <v>3</v>
      </c>
      <c r="F241" s="0" t="n">
        <f aca="false">Raw_Data!AN242</f>
        <v>4</v>
      </c>
      <c r="G241" s="0" t="n">
        <f aca="false">Raw_Data!AO242</f>
        <v>5</v>
      </c>
      <c r="H241" s="0" t="n">
        <f aca="false">SUM(B241:G241)</f>
        <v>22</v>
      </c>
      <c r="I241" s="0" t="n">
        <f aca="false">H241-B241</f>
        <v>20</v>
      </c>
      <c r="J241" s="0" t="n">
        <f aca="false">H241-C241</f>
        <v>18</v>
      </c>
      <c r="K241" s="0" t="n">
        <f aca="false">H241-D241</f>
        <v>18</v>
      </c>
      <c r="L241" s="0" t="n">
        <f aca="false">H241-E241</f>
        <v>19</v>
      </c>
      <c r="M241" s="0" t="n">
        <f aca="false">H241-F241</f>
        <v>18</v>
      </c>
      <c r="N241" s="0" t="n">
        <f aca="false">H241-G241</f>
        <v>17</v>
      </c>
      <c r="O241" s="0" t="n">
        <f aca="false">B241+D241+F241</f>
        <v>10</v>
      </c>
      <c r="P241" s="0" t="n">
        <f aca="false">C241+E241+G241</f>
        <v>12</v>
      </c>
    </row>
    <row r="242" customFormat="false" ht="15" hidden="false" customHeight="false" outlineLevel="0" collapsed="false">
      <c r="A242" s="0" t="n">
        <v>243</v>
      </c>
      <c r="B242" s="0" t="n">
        <f aca="false">Raw_Data!AJ243</f>
        <v>5</v>
      </c>
      <c r="C242" s="0" t="n">
        <f aca="false">Raw_Data!AK243</f>
        <v>5</v>
      </c>
      <c r="D242" s="0" t="n">
        <f aca="false">Raw_Data!AL243</f>
        <v>5</v>
      </c>
      <c r="E242" s="0" t="n">
        <f aca="false">Raw_Data!AM243</f>
        <v>3</v>
      </c>
      <c r="F242" s="0" t="n">
        <f aca="false">Raw_Data!AN243</f>
        <v>3</v>
      </c>
      <c r="G242" s="0" t="n">
        <f aca="false">Raw_Data!AO243</f>
        <v>3</v>
      </c>
      <c r="H242" s="0" t="n">
        <f aca="false">SUM(B242:G242)</f>
        <v>24</v>
      </c>
      <c r="I242" s="0" t="n">
        <f aca="false">H242-B242</f>
        <v>19</v>
      </c>
      <c r="J242" s="0" t="n">
        <f aca="false">H242-C242</f>
        <v>19</v>
      </c>
      <c r="K242" s="0" t="n">
        <f aca="false">H242-D242</f>
        <v>19</v>
      </c>
      <c r="L242" s="0" t="n">
        <f aca="false">H242-E242</f>
        <v>21</v>
      </c>
      <c r="M242" s="0" t="n">
        <f aca="false">H242-F242</f>
        <v>21</v>
      </c>
      <c r="N242" s="0" t="n">
        <f aca="false">H242-G242</f>
        <v>21</v>
      </c>
      <c r="O242" s="0" t="n">
        <f aca="false">B242+D242+F242</f>
        <v>13</v>
      </c>
      <c r="P242" s="0" t="n">
        <f aca="false">C242+E242+G242</f>
        <v>11</v>
      </c>
    </row>
    <row r="243" customFormat="false" ht="15" hidden="false" customHeight="false" outlineLevel="0" collapsed="false">
      <c r="A243" s="0" t="n">
        <v>244</v>
      </c>
      <c r="B243" s="0" t="n">
        <f aca="false">Raw_Data!AJ244</f>
        <v>4</v>
      </c>
      <c r="C243" s="0" t="n">
        <f aca="false">Raw_Data!AK244</f>
        <v>2</v>
      </c>
      <c r="D243" s="0" t="n">
        <f aca="false">Raw_Data!AL244</f>
        <v>4</v>
      </c>
      <c r="E243" s="0" t="n">
        <f aca="false">Raw_Data!AM244</f>
        <v>3</v>
      </c>
      <c r="F243" s="0" t="n">
        <f aca="false">Raw_Data!AN244</f>
        <v>2</v>
      </c>
      <c r="G243" s="0" t="n">
        <f aca="false">Raw_Data!AO244</f>
        <v>2</v>
      </c>
      <c r="H243" s="0" t="n">
        <f aca="false">SUM(B243:G243)</f>
        <v>17</v>
      </c>
      <c r="I243" s="0" t="n">
        <f aca="false">H243-B243</f>
        <v>13</v>
      </c>
      <c r="J243" s="0" t="n">
        <f aca="false">H243-C243</f>
        <v>15</v>
      </c>
      <c r="K243" s="0" t="n">
        <f aca="false">H243-D243</f>
        <v>13</v>
      </c>
      <c r="L243" s="0" t="n">
        <f aca="false">H243-E243</f>
        <v>14</v>
      </c>
      <c r="M243" s="0" t="n">
        <f aca="false">H243-F243</f>
        <v>15</v>
      </c>
      <c r="N243" s="0" t="n">
        <f aca="false">H243-G243</f>
        <v>15</v>
      </c>
      <c r="O243" s="0" t="n">
        <f aca="false">B243+D243+F243</f>
        <v>10</v>
      </c>
      <c r="P243" s="0" t="n">
        <f aca="false">C243+E243+G243</f>
        <v>7</v>
      </c>
    </row>
    <row r="244" customFormat="false" ht="15" hidden="false" customHeight="false" outlineLevel="0" collapsed="false">
      <c r="A244" s="0" t="n">
        <v>245</v>
      </c>
      <c r="B244" s="0" t="n">
        <f aca="false">Raw_Data!AJ245</f>
        <v>5</v>
      </c>
      <c r="C244" s="0" t="n">
        <f aca="false">Raw_Data!AK245</f>
        <v>2</v>
      </c>
      <c r="D244" s="0" t="n">
        <f aca="false">Raw_Data!AL245</f>
        <v>4</v>
      </c>
      <c r="E244" s="0" t="n">
        <f aca="false">Raw_Data!AM245</f>
        <v>3</v>
      </c>
      <c r="F244" s="0" t="n">
        <f aca="false">Raw_Data!AN245</f>
        <v>2</v>
      </c>
      <c r="G244" s="0" t="n">
        <f aca="false">Raw_Data!AO245</f>
        <v>3</v>
      </c>
      <c r="H244" s="0" t="n">
        <f aca="false">SUM(B244:G244)</f>
        <v>19</v>
      </c>
      <c r="I244" s="0" t="n">
        <f aca="false">H244-B244</f>
        <v>14</v>
      </c>
      <c r="J244" s="0" t="n">
        <f aca="false">H244-C244</f>
        <v>17</v>
      </c>
      <c r="K244" s="0" t="n">
        <f aca="false">H244-D244</f>
        <v>15</v>
      </c>
      <c r="L244" s="0" t="n">
        <f aca="false">H244-E244</f>
        <v>16</v>
      </c>
      <c r="M244" s="0" t="n">
        <f aca="false">H244-F244</f>
        <v>17</v>
      </c>
      <c r="N244" s="0" t="n">
        <f aca="false">H244-G244</f>
        <v>16</v>
      </c>
      <c r="O244" s="0" t="n">
        <f aca="false">B244+D244+F244</f>
        <v>11</v>
      </c>
      <c r="P244" s="0" t="n">
        <f aca="false">C244+E244+G244</f>
        <v>8</v>
      </c>
    </row>
    <row r="245" customFormat="false" ht="15" hidden="false" customHeight="false" outlineLevel="0" collapsed="false">
      <c r="A245" s="0" t="n">
        <v>246</v>
      </c>
      <c r="B245" s="0" t="n">
        <f aca="false">Raw_Data!AJ246</f>
        <v>4</v>
      </c>
      <c r="C245" s="0" t="n">
        <f aca="false">Raw_Data!AK246</f>
        <v>2</v>
      </c>
      <c r="D245" s="0" t="n">
        <f aca="false">Raw_Data!AL246</f>
        <v>2</v>
      </c>
      <c r="E245" s="0" t="n">
        <f aca="false">Raw_Data!AM246</f>
        <v>3</v>
      </c>
      <c r="F245" s="0" t="n">
        <f aca="false">Raw_Data!AN246</f>
        <v>2</v>
      </c>
      <c r="G245" s="0" t="n">
        <f aca="false">Raw_Data!AO246</f>
        <v>2</v>
      </c>
      <c r="H245" s="0" t="n">
        <f aca="false">SUM(B245:G245)</f>
        <v>15</v>
      </c>
      <c r="I245" s="0" t="n">
        <f aca="false">H245-B245</f>
        <v>11</v>
      </c>
      <c r="J245" s="0" t="n">
        <f aca="false">H245-C245</f>
        <v>13</v>
      </c>
      <c r="K245" s="0" t="n">
        <f aca="false">H245-D245</f>
        <v>13</v>
      </c>
      <c r="L245" s="0" t="n">
        <f aca="false">H245-E245</f>
        <v>12</v>
      </c>
      <c r="M245" s="0" t="n">
        <f aca="false">H245-F245</f>
        <v>13</v>
      </c>
      <c r="N245" s="0" t="n">
        <f aca="false">H245-G245</f>
        <v>13</v>
      </c>
      <c r="O245" s="0" t="n">
        <f aca="false">B245+D245+F245</f>
        <v>8</v>
      </c>
      <c r="P245" s="0" t="n">
        <f aca="false">C245+E245+G245</f>
        <v>7</v>
      </c>
    </row>
    <row r="246" customFormat="false" ht="15" hidden="false" customHeight="false" outlineLevel="0" collapsed="false">
      <c r="A246" s="0" t="n">
        <v>247</v>
      </c>
      <c r="B246" s="0" t="n">
        <f aca="false">Raw_Data!AJ247</f>
        <v>2</v>
      </c>
      <c r="C246" s="0" t="n">
        <f aca="false">Raw_Data!AK247</f>
        <v>3</v>
      </c>
      <c r="D246" s="0" t="n">
        <f aca="false">Raw_Data!AL247</f>
        <v>4</v>
      </c>
      <c r="E246" s="0" t="n">
        <f aca="false">Raw_Data!AM247</f>
        <v>3</v>
      </c>
      <c r="F246" s="0" t="n">
        <f aca="false">Raw_Data!AN247</f>
        <v>2</v>
      </c>
      <c r="G246" s="0" t="n">
        <f aca="false">Raw_Data!AO247</f>
        <v>3</v>
      </c>
      <c r="H246" s="0" t="n">
        <f aca="false">SUM(B246:G246)</f>
        <v>17</v>
      </c>
      <c r="I246" s="0" t="n">
        <f aca="false">H246-B246</f>
        <v>15</v>
      </c>
      <c r="J246" s="0" t="n">
        <f aca="false">H246-C246</f>
        <v>14</v>
      </c>
      <c r="K246" s="0" t="n">
        <f aca="false">H246-D246</f>
        <v>13</v>
      </c>
      <c r="L246" s="0" t="n">
        <f aca="false">H246-E246</f>
        <v>14</v>
      </c>
      <c r="M246" s="0" t="n">
        <f aca="false">H246-F246</f>
        <v>15</v>
      </c>
      <c r="N246" s="0" t="n">
        <f aca="false">H246-G246</f>
        <v>14</v>
      </c>
      <c r="O246" s="0" t="n">
        <f aca="false">B246+D246+F246</f>
        <v>8</v>
      </c>
      <c r="P246" s="0" t="n">
        <f aca="false">C246+E246+G246</f>
        <v>9</v>
      </c>
    </row>
    <row r="247" customFormat="false" ht="15" hidden="false" customHeight="false" outlineLevel="0" collapsed="false">
      <c r="A247" s="0" t="n">
        <v>248</v>
      </c>
      <c r="B247" s="0" t="n">
        <f aca="false">Raw_Data!AJ248</f>
        <v>3</v>
      </c>
      <c r="C247" s="0" t="n">
        <f aca="false">Raw_Data!AK248</f>
        <v>1</v>
      </c>
      <c r="D247" s="0" t="n">
        <f aca="false">Raw_Data!AL248</f>
        <v>1</v>
      </c>
      <c r="E247" s="0" t="n">
        <f aca="false">Raw_Data!AM248</f>
        <v>1</v>
      </c>
      <c r="F247" s="0" t="n">
        <f aca="false">Raw_Data!AN248</f>
        <v>3</v>
      </c>
      <c r="G247" s="0" t="n">
        <f aca="false">Raw_Data!AO248</f>
        <v>3</v>
      </c>
      <c r="H247" s="0" t="n">
        <f aca="false">SUM(B247:G247)</f>
        <v>12</v>
      </c>
      <c r="I247" s="0" t="n">
        <f aca="false">H247-B247</f>
        <v>9</v>
      </c>
      <c r="J247" s="0" t="n">
        <f aca="false">H247-C247</f>
        <v>11</v>
      </c>
      <c r="K247" s="0" t="n">
        <f aca="false">H247-D247</f>
        <v>11</v>
      </c>
      <c r="L247" s="0" t="n">
        <f aca="false">H247-E247</f>
        <v>11</v>
      </c>
      <c r="M247" s="0" t="n">
        <f aca="false">H247-F247</f>
        <v>9</v>
      </c>
      <c r="N247" s="0" t="n">
        <f aca="false">H247-G247</f>
        <v>9</v>
      </c>
      <c r="O247" s="0" t="n">
        <f aca="false">B247+D247+F247</f>
        <v>7</v>
      </c>
      <c r="P247" s="0" t="n">
        <f aca="false">C247+E247+G247</f>
        <v>5</v>
      </c>
    </row>
    <row r="248" customFormat="false" ht="15" hidden="false" customHeight="false" outlineLevel="0" collapsed="false">
      <c r="A248" s="0" t="n">
        <v>249</v>
      </c>
      <c r="B248" s="0" t="n">
        <f aca="false">Raw_Data!AJ249</f>
        <v>2</v>
      </c>
      <c r="C248" s="0" t="n">
        <f aca="false">Raw_Data!AK249</f>
        <v>5</v>
      </c>
      <c r="D248" s="0" t="n">
        <f aca="false">Raw_Data!AL249</f>
        <v>5</v>
      </c>
      <c r="E248" s="0" t="n">
        <f aca="false">Raw_Data!AM249</f>
        <v>2</v>
      </c>
      <c r="F248" s="0" t="n">
        <f aca="false">Raw_Data!AN249</f>
        <v>2</v>
      </c>
      <c r="G248" s="0" t="n">
        <f aca="false">Raw_Data!AO249</f>
        <v>1</v>
      </c>
      <c r="H248" s="0" t="n">
        <f aca="false">SUM(B248:G248)</f>
        <v>17</v>
      </c>
      <c r="I248" s="0" t="n">
        <f aca="false">H248-B248</f>
        <v>15</v>
      </c>
      <c r="J248" s="0" t="n">
        <f aca="false">H248-C248</f>
        <v>12</v>
      </c>
      <c r="K248" s="0" t="n">
        <f aca="false">H248-D248</f>
        <v>12</v>
      </c>
      <c r="L248" s="0" t="n">
        <f aca="false">H248-E248</f>
        <v>15</v>
      </c>
      <c r="M248" s="0" t="n">
        <f aca="false">H248-F248</f>
        <v>15</v>
      </c>
      <c r="N248" s="0" t="n">
        <f aca="false">H248-G248</f>
        <v>16</v>
      </c>
      <c r="O248" s="0" t="n">
        <f aca="false">B248+D248+F248</f>
        <v>9</v>
      </c>
      <c r="P248" s="0" t="n">
        <f aca="false">C248+E248+G248</f>
        <v>8</v>
      </c>
    </row>
    <row r="249" customFormat="false" ht="15" hidden="false" customHeight="false" outlineLevel="0" collapsed="false">
      <c r="A249" s="0" t="n">
        <v>250</v>
      </c>
      <c r="B249" s="0" t="n">
        <f aca="false">Raw_Data!AJ250</f>
        <v>5</v>
      </c>
      <c r="C249" s="0" t="n">
        <f aca="false">Raw_Data!AK250</f>
        <v>2</v>
      </c>
      <c r="D249" s="0" t="n">
        <f aca="false">Raw_Data!AL250</f>
        <v>5</v>
      </c>
      <c r="E249" s="0" t="n">
        <f aca="false">Raw_Data!AM250</f>
        <v>3</v>
      </c>
      <c r="F249" s="0" t="n">
        <f aca="false">Raw_Data!AN250</f>
        <v>2</v>
      </c>
      <c r="G249" s="0" t="n">
        <f aca="false">Raw_Data!AO250</f>
        <v>5</v>
      </c>
      <c r="H249" s="0" t="n">
        <f aca="false">SUM(B249:G249)</f>
        <v>22</v>
      </c>
      <c r="I249" s="0" t="n">
        <f aca="false">H249-B249</f>
        <v>17</v>
      </c>
      <c r="J249" s="0" t="n">
        <f aca="false">H249-C249</f>
        <v>20</v>
      </c>
      <c r="K249" s="0" t="n">
        <f aca="false">H249-D249</f>
        <v>17</v>
      </c>
      <c r="L249" s="0" t="n">
        <f aca="false">H249-E249</f>
        <v>19</v>
      </c>
      <c r="M249" s="0" t="n">
        <f aca="false">H249-F249</f>
        <v>20</v>
      </c>
      <c r="N249" s="0" t="n">
        <f aca="false">H249-G249</f>
        <v>17</v>
      </c>
      <c r="O249" s="0" t="n">
        <f aca="false">B249+D249+F249</f>
        <v>12</v>
      </c>
      <c r="P249" s="0" t="n">
        <f aca="false">C249+E249+G249</f>
        <v>10</v>
      </c>
    </row>
    <row r="250" customFormat="false" ht="15" hidden="false" customHeight="false" outlineLevel="0" collapsed="false">
      <c r="A250" s="0" t="n">
        <v>251</v>
      </c>
      <c r="B250" s="0" t="n">
        <f aca="false">Raw_Data!AJ251</f>
        <v>2</v>
      </c>
      <c r="C250" s="0" t="n">
        <f aca="false">Raw_Data!AK251</f>
        <v>2</v>
      </c>
      <c r="D250" s="0" t="n">
        <f aca="false">Raw_Data!AL251</f>
        <v>3</v>
      </c>
      <c r="E250" s="0" t="n">
        <f aca="false">Raw_Data!AM251</f>
        <v>3</v>
      </c>
      <c r="F250" s="0" t="n">
        <f aca="false">Raw_Data!AN251</f>
        <v>4</v>
      </c>
      <c r="G250" s="0" t="n">
        <f aca="false">Raw_Data!AO251</f>
        <v>2</v>
      </c>
      <c r="H250" s="0" t="n">
        <f aca="false">SUM(B250:G250)</f>
        <v>16</v>
      </c>
      <c r="I250" s="0" t="n">
        <f aca="false">H250-B250</f>
        <v>14</v>
      </c>
      <c r="J250" s="0" t="n">
        <f aca="false">H250-C250</f>
        <v>14</v>
      </c>
      <c r="K250" s="0" t="n">
        <f aca="false">H250-D250</f>
        <v>13</v>
      </c>
      <c r="L250" s="0" t="n">
        <f aca="false">H250-E250</f>
        <v>13</v>
      </c>
      <c r="M250" s="0" t="n">
        <f aca="false">H250-F250</f>
        <v>12</v>
      </c>
      <c r="N250" s="0" t="n">
        <f aca="false">H250-G250</f>
        <v>14</v>
      </c>
      <c r="O250" s="0" t="n">
        <f aca="false">B250+D250+F250</f>
        <v>9</v>
      </c>
      <c r="P250" s="0" t="n">
        <f aca="false">C250+E250+G250</f>
        <v>7</v>
      </c>
    </row>
    <row r="251" customFormat="false" ht="15" hidden="false" customHeight="false" outlineLevel="0" collapsed="false">
      <c r="A251" s="0" t="n">
        <v>252</v>
      </c>
      <c r="B251" s="0" t="n">
        <f aca="false">Raw_Data!AJ252</f>
        <v>4</v>
      </c>
      <c r="C251" s="0" t="n">
        <f aca="false">Raw_Data!AK252</f>
        <v>3</v>
      </c>
      <c r="D251" s="0" t="n">
        <f aca="false">Raw_Data!AL252</f>
        <v>3</v>
      </c>
      <c r="E251" s="0" t="n">
        <f aca="false">Raw_Data!AM252</f>
        <v>4</v>
      </c>
      <c r="F251" s="0" t="n">
        <f aca="false">Raw_Data!AN252</f>
        <v>4</v>
      </c>
      <c r="G251" s="0" t="n">
        <f aca="false">Raw_Data!AO252</f>
        <v>4</v>
      </c>
      <c r="H251" s="0" t="n">
        <f aca="false">SUM(B251:G251)</f>
        <v>22</v>
      </c>
      <c r="I251" s="0" t="n">
        <f aca="false">H251-B251</f>
        <v>18</v>
      </c>
      <c r="J251" s="0" t="n">
        <f aca="false">H251-C251</f>
        <v>19</v>
      </c>
      <c r="K251" s="0" t="n">
        <f aca="false">H251-D251</f>
        <v>19</v>
      </c>
      <c r="L251" s="0" t="n">
        <f aca="false">H251-E251</f>
        <v>18</v>
      </c>
      <c r="M251" s="0" t="n">
        <f aca="false">H251-F251</f>
        <v>18</v>
      </c>
      <c r="N251" s="0" t="n">
        <f aca="false">H251-G251</f>
        <v>18</v>
      </c>
      <c r="O251" s="0" t="n">
        <f aca="false">B251+D251+F251</f>
        <v>11</v>
      </c>
      <c r="P251" s="0" t="n">
        <f aca="false">C251+E251+G251</f>
        <v>11</v>
      </c>
    </row>
    <row r="252" customFormat="false" ht="15" hidden="false" customHeight="false" outlineLevel="0" collapsed="false">
      <c r="A252" s="0" t="n">
        <v>253</v>
      </c>
      <c r="B252" s="0" t="n">
        <f aca="false">Raw_Data!AJ253</f>
        <v>3</v>
      </c>
      <c r="C252" s="0" t="n">
        <f aca="false">Raw_Data!AK253</f>
        <v>5</v>
      </c>
      <c r="D252" s="0" t="n">
        <f aca="false">Raw_Data!AL253</f>
        <v>5</v>
      </c>
      <c r="E252" s="0" t="n">
        <f aca="false">Raw_Data!AM253</f>
        <v>4</v>
      </c>
      <c r="F252" s="0" t="n">
        <f aca="false">Raw_Data!AN253</f>
        <v>3</v>
      </c>
      <c r="G252" s="0" t="n">
        <f aca="false">Raw_Data!AO253</f>
        <v>3</v>
      </c>
      <c r="H252" s="0" t="n">
        <f aca="false">SUM(B252:G252)</f>
        <v>23</v>
      </c>
      <c r="I252" s="0" t="n">
        <f aca="false">H252-B252</f>
        <v>20</v>
      </c>
      <c r="J252" s="0" t="n">
        <f aca="false">H252-C252</f>
        <v>18</v>
      </c>
      <c r="K252" s="0" t="n">
        <f aca="false">H252-D252</f>
        <v>18</v>
      </c>
      <c r="L252" s="0" t="n">
        <f aca="false">H252-E252</f>
        <v>19</v>
      </c>
      <c r="M252" s="0" t="n">
        <f aca="false">H252-F252</f>
        <v>20</v>
      </c>
      <c r="N252" s="0" t="n">
        <f aca="false">H252-G252</f>
        <v>20</v>
      </c>
      <c r="O252" s="0" t="n">
        <f aca="false">B252+D252+F252</f>
        <v>11</v>
      </c>
      <c r="P252" s="0" t="n">
        <f aca="false">C252+E252+G252</f>
        <v>12</v>
      </c>
    </row>
    <row r="253" customFormat="false" ht="15" hidden="false" customHeight="false" outlineLevel="0" collapsed="false">
      <c r="A253" s="0" t="n">
        <v>254</v>
      </c>
      <c r="B253" s="0" t="n">
        <f aca="false">Raw_Data!AJ254</f>
        <v>4</v>
      </c>
      <c r="C253" s="0" t="n">
        <f aca="false">Raw_Data!AK254</f>
        <v>4</v>
      </c>
      <c r="D253" s="0" t="n">
        <f aca="false">Raw_Data!AL254</f>
        <v>5</v>
      </c>
      <c r="E253" s="0" t="n">
        <f aca="false">Raw_Data!AM254</f>
        <v>4</v>
      </c>
      <c r="F253" s="0" t="n">
        <f aca="false">Raw_Data!AN254</f>
        <v>4</v>
      </c>
      <c r="G253" s="0" t="n">
        <f aca="false">Raw_Data!AO254</f>
        <v>4</v>
      </c>
      <c r="H253" s="0" t="n">
        <f aca="false">SUM(B253:G253)</f>
        <v>25</v>
      </c>
      <c r="I253" s="0" t="n">
        <f aca="false">H253-B253</f>
        <v>21</v>
      </c>
      <c r="J253" s="0" t="n">
        <f aca="false">H253-C253</f>
        <v>21</v>
      </c>
      <c r="K253" s="0" t="n">
        <f aca="false">H253-D253</f>
        <v>20</v>
      </c>
      <c r="L253" s="0" t="n">
        <f aca="false">H253-E253</f>
        <v>21</v>
      </c>
      <c r="M253" s="0" t="n">
        <f aca="false">H253-F253</f>
        <v>21</v>
      </c>
      <c r="N253" s="0" t="n">
        <f aca="false">H253-G253</f>
        <v>21</v>
      </c>
      <c r="O253" s="0" t="n">
        <f aca="false">B253+D253+F253</f>
        <v>13</v>
      </c>
      <c r="P253" s="0" t="n">
        <f aca="false">C253+E253+G253</f>
        <v>12</v>
      </c>
    </row>
    <row r="254" customFormat="false" ht="15" hidden="false" customHeight="false" outlineLevel="0" collapsed="false">
      <c r="A254" s="0" t="n">
        <v>255</v>
      </c>
      <c r="B254" s="0" t="n">
        <f aca="false">Raw_Data!AJ255</f>
        <v>4</v>
      </c>
      <c r="C254" s="0" t="n">
        <f aca="false">Raw_Data!AK255</f>
        <v>3</v>
      </c>
      <c r="D254" s="0" t="n">
        <f aca="false">Raw_Data!AL255</f>
        <v>3</v>
      </c>
      <c r="E254" s="0" t="n">
        <f aca="false">Raw_Data!AM255</f>
        <v>4</v>
      </c>
      <c r="F254" s="0" t="n">
        <f aca="false">Raw_Data!AN255</f>
        <v>3</v>
      </c>
      <c r="G254" s="0" t="n">
        <f aca="false">Raw_Data!AO255</f>
        <v>3</v>
      </c>
      <c r="H254" s="0" t="n">
        <f aca="false">SUM(B254:G254)</f>
        <v>20</v>
      </c>
      <c r="I254" s="0" t="n">
        <f aca="false">H254-B254</f>
        <v>16</v>
      </c>
      <c r="J254" s="0" t="n">
        <f aca="false">H254-C254</f>
        <v>17</v>
      </c>
      <c r="K254" s="0" t="n">
        <f aca="false">H254-D254</f>
        <v>17</v>
      </c>
      <c r="L254" s="0" t="n">
        <f aca="false">H254-E254</f>
        <v>16</v>
      </c>
      <c r="M254" s="0" t="n">
        <f aca="false">H254-F254</f>
        <v>17</v>
      </c>
      <c r="N254" s="0" t="n">
        <f aca="false">H254-G254</f>
        <v>17</v>
      </c>
      <c r="O254" s="0" t="n">
        <f aca="false">B254+D254+F254</f>
        <v>10</v>
      </c>
      <c r="P254" s="0" t="n">
        <f aca="false">C254+E254+G254</f>
        <v>10</v>
      </c>
    </row>
    <row r="255" customFormat="false" ht="15" hidden="false" customHeight="false" outlineLevel="0" collapsed="false">
      <c r="A255" s="0" t="n">
        <v>256</v>
      </c>
      <c r="B255" s="0" t="n">
        <f aca="false">Raw_Data!AJ256</f>
        <v>4</v>
      </c>
      <c r="C255" s="0" t="n">
        <f aca="false">Raw_Data!AK256</f>
        <v>2</v>
      </c>
      <c r="D255" s="0" t="n">
        <f aca="false">Raw_Data!AL256</f>
        <v>4</v>
      </c>
      <c r="E255" s="0" t="n">
        <f aca="false">Raw_Data!AM256</f>
        <v>3</v>
      </c>
      <c r="F255" s="0" t="n">
        <f aca="false">Raw_Data!AN256</f>
        <v>3</v>
      </c>
      <c r="G255" s="0" t="n">
        <f aca="false">Raw_Data!AO256</f>
        <v>3</v>
      </c>
      <c r="H255" s="0" t="n">
        <f aca="false">SUM(B255:G255)</f>
        <v>19</v>
      </c>
      <c r="I255" s="0" t="n">
        <f aca="false">H255-B255</f>
        <v>15</v>
      </c>
      <c r="J255" s="0" t="n">
        <f aca="false">H255-C255</f>
        <v>17</v>
      </c>
      <c r="K255" s="0" t="n">
        <f aca="false">H255-D255</f>
        <v>15</v>
      </c>
      <c r="L255" s="0" t="n">
        <f aca="false">H255-E255</f>
        <v>16</v>
      </c>
      <c r="M255" s="0" t="n">
        <f aca="false">H255-F255</f>
        <v>16</v>
      </c>
      <c r="N255" s="0" t="n">
        <f aca="false">H255-G255</f>
        <v>16</v>
      </c>
      <c r="O255" s="0" t="n">
        <f aca="false">B255+D255+F255</f>
        <v>11</v>
      </c>
      <c r="P255" s="0" t="n">
        <f aca="false">C255+E255+G255</f>
        <v>8</v>
      </c>
    </row>
    <row r="256" customFormat="false" ht="15" hidden="false" customHeight="false" outlineLevel="0" collapsed="false">
      <c r="A256" s="0" t="n">
        <v>257</v>
      </c>
      <c r="B256" s="0" t="n">
        <f aca="false">Raw_Data!AJ257</f>
        <v>3</v>
      </c>
      <c r="C256" s="0" t="n">
        <f aca="false">Raw_Data!AK257</f>
        <v>2</v>
      </c>
      <c r="D256" s="0" t="n">
        <f aca="false">Raw_Data!AL257</f>
        <v>4</v>
      </c>
      <c r="E256" s="0" t="n">
        <f aca="false">Raw_Data!AM257</f>
        <v>3</v>
      </c>
      <c r="F256" s="0" t="n">
        <f aca="false">Raw_Data!AN257</f>
        <v>4</v>
      </c>
      <c r="G256" s="0" t="n">
        <f aca="false">Raw_Data!AO257</f>
        <v>2</v>
      </c>
      <c r="H256" s="0" t="n">
        <f aca="false">SUM(B256:G256)</f>
        <v>18</v>
      </c>
      <c r="I256" s="0" t="n">
        <f aca="false">H256-B256</f>
        <v>15</v>
      </c>
      <c r="J256" s="0" t="n">
        <f aca="false">H256-C256</f>
        <v>16</v>
      </c>
      <c r="K256" s="0" t="n">
        <f aca="false">H256-D256</f>
        <v>14</v>
      </c>
      <c r="L256" s="0" t="n">
        <f aca="false">H256-E256</f>
        <v>15</v>
      </c>
      <c r="M256" s="0" t="n">
        <f aca="false">H256-F256</f>
        <v>14</v>
      </c>
      <c r="N256" s="0" t="n">
        <f aca="false">H256-G256</f>
        <v>16</v>
      </c>
      <c r="O256" s="0" t="n">
        <f aca="false">B256+D256+F256</f>
        <v>11</v>
      </c>
      <c r="P256" s="0" t="n">
        <f aca="false">C256+E256+G256</f>
        <v>7</v>
      </c>
    </row>
    <row r="257" customFormat="false" ht="15" hidden="false" customHeight="false" outlineLevel="0" collapsed="false">
      <c r="A257" s="0" t="n">
        <v>258</v>
      </c>
      <c r="B257" s="0" t="n">
        <f aca="false">Raw_Data!AJ258</f>
        <v>5</v>
      </c>
      <c r="C257" s="0" t="n">
        <f aca="false">Raw_Data!AK258</f>
        <v>2</v>
      </c>
      <c r="D257" s="0" t="n">
        <f aca="false">Raw_Data!AL258</f>
        <v>2</v>
      </c>
      <c r="E257" s="0" t="n">
        <f aca="false">Raw_Data!AM258</f>
        <v>3</v>
      </c>
      <c r="F257" s="0" t="n">
        <f aca="false">Raw_Data!AN258</f>
        <v>4</v>
      </c>
      <c r="G257" s="0" t="n">
        <f aca="false">Raw_Data!AO258</f>
        <v>3</v>
      </c>
      <c r="H257" s="0" t="n">
        <f aca="false">SUM(B257:G257)</f>
        <v>19</v>
      </c>
      <c r="I257" s="0" t="n">
        <f aca="false">H257-B257</f>
        <v>14</v>
      </c>
      <c r="J257" s="0" t="n">
        <f aca="false">H257-C257</f>
        <v>17</v>
      </c>
      <c r="K257" s="0" t="n">
        <f aca="false">H257-D257</f>
        <v>17</v>
      </c>
      <c r="L257" s="0" t="n">
        <f aca="false">H257-E257</f>
        <v>16</v>
      </c>
      <c r="M257" s="0" t="n">
        <f aca="false">H257-F257</f>
        <v>15</v>
      </c>
      <c r="N257" s="0" t="n">
        <f aca="false">H257-G257</f>
        <v>16</v>
      </c>
      <c r="O257" s="0" t="n">
        <f aca="false">B257+D257+F257</f>
        <v>11</v>
      </c>
      <c r="P257" s="0" t="n">
        <f aca="false">C257+E257+G257</f>
        <v>8</v>
      </c>
    </row>
    <row r="258" customFormat="false" ht="15" hidden="false" customHeight="false" outlineLevel="0" collapsed="false">
      <c r="A258" s="0" t="n">
        <v>259</v>
      </c>
      <c r="B258" s="0" t="n">
        <f aca="false">Raw_Data!AJ259</f>
        <v>4</v>
      </c>
      <c r="C258" s="0" t="n">
        <f aca="false">Raw_Data!AK259</f>
        <v>4</v>
      </c>
      <c r="D258" s="0" t="n">
        <f aca="false">Raw_Data!AL259</f>
        <v>2</v>
      </c>
      <c r="E258" s="0" t="n">
        <f aca="false">Raw_Data!AM259</f>
        <v>4</v>
      </c>
      <c r="F258" s="0" t="n">
        <f aca="false">Raw_Data!AN259</f>
        <v>2</v>
      </c>
      <c r="G258" s="0" t="n">
        <f aca="false">Raw_Data!AO259</f>
        <v>4</v>
      </c>
      <c r="H258" s="0" t="n">
        <f aca="false">SUM(B258:G258)</f>
        <v>20</v>
      </c>
      <c r="I258" s="0" t="n">
        <f aca="false">H258-B258</f>
        <v>16</v>
      </c>
      <c r="J258" s="0" t="n">
        <f aca="false">H258-C258</f>
        <v>16</v>
      </c>
      <c r="K258" s="0" t="n">
        <f aca="false">H258-D258</f>
        <v>18</v>
      </c>
      <c r="L258" s="0" t="n">
        <f aca="false">H258-E258</f>
        <v>16</v>
      </c>
      <c r="M258" s="0" t="n">
        <f aca="false">H258-F258</f>
        <v>18</v>
      </c>
      <c r="N258" s="0" t="n">
        <f aca="false">H258-G258</f>
        <v>16</v>
      </c>
      <c r="O258" s="0" t="n">
        <f aca="false">B258+D258+F258</f>
        <v>8</v>
      </c>
      <c r="P258" s="0" t="n">
        <f aca="false">C258+E258+G258</f>
        <v>12</v>
      </c>
    </row>
    <row r="259" customFormat="false" ht="15" hidden="false" customHeight="false" outlineLevel="0" collapsed="false">
      <c r="A259" s="0" t="n">
        <v>260</v>
      </c>
      <c r="B259" s="0" t="n">
        <f aca="false">Raw_Data!AJ260</f>
        <v>4</v>
      </c>
      <c r="C259" s="0" t="n">
        <f aca="false">Raw_Data!AK260</f>
        <v>2</v>
      </c>
      <c r="D259" s="0" t="n">
        <f aca="false">Raw_Data!AL260</f>
        <v>4</v>
      </c>
      <c r="E259" s="0" t="n">
        <f aca="false">Raw_Data!AM260</f>
        <v>3</v>
      </c>
      <c r="F259" s="0" t="n">
        <f aca="false">Raw_Data!AN260</f>
        <v>2</v>
      </c>
      <c r="G259" s="0" t="n">
        <f aca="false">Raw_Data!AO260</f>
        <v>3</v>
      </c>
      <c r="H259" s="0" t="n">
        <f aca="false">SUM(B259:G259)</f>
        <v>18</v>
      </c>
      <c r="I259" s="0" t="n">
        <f aca="false">H259-B259</f>
        <v>14</v>
      </c>
      <c r="J259" s="0" t="n">
        <f aca="false">H259-C259</f>
        <v>16</v>
      </c>
      <c r="K259" s="0" t="n">
        <f aca="false">H259-D259</f>
        <v>14</v>
      </c>
      <c r="L259" s="0" t="n">
        <f aca="false">H259-E259</f>
        <v>15</v>
      </c>
      <c r="M259" s="0" t="n">
        <f aca="false">H259-F259</f>
        <v>16</v>
      </c>
      <c r="N259" s="0" t="n">
        <f aca="false">H259-G259</f>
        <v>15</v>
      </c>
      <c r="O259" s="0" t="n">
        <f aca="false">B259+D259+F259</f>
        <v>10</v>
      </c>
      <c r="P259" s="0" t="n">
        <f aca="false">C259+E259+G259</f>
        <v>8</v>
      </c>
    </row>
    <row r="260" customFormat="false" ht="15" hidden="false" customHeight="false" outlineLevel="0" collapsed="false">
      <c r="A260" s="0" t="n">
        <v>261</v>
      </c>
      <c r="B260" s="0" t="n">
        <f aca="false">Raw_Data!AJ261</f>
        <v>4</v>
      </c>
      <c r="C260" s="0" t="n">
        <f aca="false">Raw_Data!AK261</f>
        <v>4</v>
      </c>
      <c r="D260" s="0" t="n">
        <f aca="false">Raw_Data!AL261</f>
        <v>5</v>
      </c>
      <c r="E260" s="0" t="n">
        <f aca="false">Raw_Data!AM261</f>
        <v>3</v>
      </c>
      <c r="F260" s="0" t="n">
        <f aca="false">Raw_Data!AN261</f>
        <v>3</v>
      </c>
      <c r="G260" s="0" t="n">
        <f aca="false">Raw_Data!AO261</f>
        <v>3</v>
      </c>
      <c r="H260" s="0" t="n">
        <f aca="false">SUM(B260:G260)</f>
        <v>22</v>
      </c>
      <c r="I260" s="0" t="n">
        <f aca="false">H260-B260</f>
        <v>18</v>
      </c>
      <c r="J260" s="0" t="n">
        <f aca="false">H260-C260</f>
        <v>18</v>
      </c>
      <c r="K260" s="0" t="n">
        <f aca="false">H260-D260</f>
        <v>17</v>
      </c>
      <c r="L260" s="0" t="n">
        <f aca="false">H260-E260</f>
        <v>19</v>
      </c>
      <c r="M260" s="0" t="n">
        <f aca="false">H260-F260</f>
        <v>19</v>
      </c>
      <c r="N260" s="0" t="n">
        <f aca="false">H260-G260</f>
        <v>19</v>
      </c>
      <c r="O260" s="0" t="n">
        <f aca="false">B260+D260+F260</f>
        <v>12</v>
      </c>
      <c r="P260" s="0" t="n">
        <f aca="false">C260+E260+G260</f>
        <v>10</v>
      </c>
    </row>
    <row r="261" customFormat="false" ht="15" hidden="false" customHeight="false" outlineLevel="0" collapsed="false">
      <c r="A261" s="0" t="n">
        <v>262</v>
      </c>
      <c r="B261" s="0" t="n">
        <f aca="false">Raw_Data!AJ262</f>
        <v>5</v>
      </c>
      <c r="C261" s="0" t="n">
        <f aca="false">Raw_Data!AK262</f>
        <v>5</v>
      </c>
      <c r="D261" s="0" t="n">
        <f aca="false">Raw_Data!AL262</f>
        <v>5</v>
      </c>
      <c r="E261" s="0" t="n">
        <f aca="false">Raw_Data!AM262</f>
        <v>3</v>
      </c>
      <c r="F261" s="0" t="n">
        <f aca="false">Raw_Data!AN262</f>
        <v>1</v>
      </c>
      <c r="G261" s="0" t="n">
        <f aca="false">Raw_Data!AO262</f>
        <v>2</v>
      </c>
      <c r="H261" s="0" t="n">
        <f aca="false">SUM(B261:G261)</f>
        <v>21</v>
      </c>
      <c r="I261" s="0" t="n">
        <f aca="false">H261-B261</f>
        <v>16</v>
      </c>
      <c r="J261" s="0" t="n">
        <f aca="false">H261-C261</f>
        <v>16</v>
      </c>
      <c r="K261" s="0" t="n">
        <f aca="false">H261-D261</f>
        <v>16</v>
      </c>
      <c r="L261" s="0" t="n">
        <f aca="false">H261-E261</f>
        <v>18</v>
      </c>
      <c r="M261" s="0" t="n">
        <f aca="false">H261-F261</f>
        <v>20</v>
      </c>
      <c r="N261" s="0" t="n">
        <f aca="false">H261-G261</f>
        <v>19</v>
      </c>
      <c r="O261" s="0" t="n">
        <f aca="false">B261+D261+F261</f>
        <v>11</v>
      </c>
      <c r="P261" s="0" t="n">
        <f aca="false">C261+E261+G261</f>
        <v>10</v>
      </c>
    </row>
    <row r="262" customFormat="false" ht="15" hidden="false" customHeight="false" outlineLevel="0" collapsed="false">
      <c r="A262" s="0" t="n">
        <v>263</v>
      </c>
      <c r="B262" s="0" t="n">
        <f aca="false">Raw_Data!AJ263</f>
        <v>4</v>
      </c>
      <c r="C262" s="0" t="n">
        <f aca="false">Raw_Data!AK263</f>
        <v>2</v>
      </c>
      <c r="D262" s="0" t="n">
        <f aca="false">Raw_Data!AL263</f>
        <v>4</v>
      </c>
      <c r="E262" s="0" t="n">
        <f aca="false">Raw_Data!AM263</f>
        <v>4</v>
      </c>
      <c r="F262" s="0" t="n">
        <f aca="false">Raw_Data!AN263</f>
        <v>2</v>
      </c>
      <c r="G262" s="0" t="n">
        <f aca="false">Raw_Data!AO263</f>
        <v>2</v>
      </c>
      <c r="H262" s="0" t="n">
        <f aca="false">SUM(B262:G262)</f>
        <v>18</v>
      </c>
      <c r="I262" s="0" t="n">
        <f aca="false">H262-B262</f>
        <v>14</v>
      </c>
      <c r="J262" s="0" t="n">
        <f aca="false">H262-C262</f>
        <v>16</v>
      </c>
      <c r="K262" s="0" t="n">
        <f aca="false">H262-D262</f>
        <v>14</v>
      </c>
      <c r="L262" s="0" t="n">
        <f aca="false">H262-E262</f>
        <v>14</v>
      </c>
      <c r="M262" s="0" t="n">
        <f aca="false">H262-F262</f>
        <v>16</v>
      </c>
      <c r="N262" s="0" t="n">
        <f aca="false">H262-G262</f>
        <v>16</v>
      </c>
      <c r="O262" s="0" t="n">
        <f aca="false">B262+D262+F262</f>
        <v>10</v>
      </c>
      <c r="P262" s="0" t="n">
        <f aca="false">C262+E262+G262</f>
        <v>8</v>
      </c>
    </row>
    <row r="263" customFormat="false" ht="15" hidden="false" customHeight="false" outlineLevel="0" collapsed="false">
      <c r="A263" s="0" t="n">
        <v>264</v>
      </c>
      <c r="B263" s="0" t="n">
        <f aca="false">Raw_Data!AJ264</f>
        <v>4</v>
      </c>
      <c r="C263" s="0" t="n">
        <f aca="false">Raw_Data!AK264</f>
        <v>5</v>
      </c>
      <c r="D263" s="0" t="n">
        <f aca="false">Raw_Data!AL264</f>
        <v>4</v>
      </c>
      <c r="E263" s="0" t="n">
        <f aca="false">Raw_Data!AM264</f>
        <v>3</v>
      </c>
      <c r="F263" s="0" t="n">
        <f aca="false">Raw_Data!AN264</f>
        <v>4</v>
      </c>
      <c r="G263" s="0" t="n">
        <f aca="false">Raw_Data!AO264</f>
        <v>2</v>
      </c>
      <c r="H263" s="0" t="n">
        <f aca="false">SUM(B263:G263)</f>
        <v>22</v>
      </c>
      <c r="I263" s="0" t="n">
        <f aca="false">H263-B263</f>
        <v>18</v>
      </c>
      <c r="J263" s="0" t="n">
        <f aca="false">H263-C263</f>
        <v>17</v>
      </c>
      <c r="K263" s="0" t="n">
        <f aca="false">H263-D263</f>
        <v>18</v>
      </c>
      <c r="L263" s="0" t="n">
        <f aca="false">H263-E263</f>
        <v>19</v>
      </c>
      <c r="M263" s="0" t="n">
        <f aca="false">H263-F263</f>
        <v>18</v>
      </c>
      <c r="N263" s="0" t="n">
        <f aca="false">H263-G263</f>
        <v>20</v>
      </c>
      <c r="O263" s="0" t="n">
        <f aca="false">B263+D263+F263</f>
        <v>12</v>
      </c>
      <c r="P263" s="0" t="n">
        <f aca="false">C263+E263+G263</f>
        <v>10</v>
      </c>
    </row>
    <row r="264" customFormat="false" ht="15" hidden="false" customHeight="false" outlineLevel="0" collapsed="false">
      <c r="A264" s="0" t="n">
        <v>265</v>
      </c>
      <c r="B264" s="0" t="n">
        <f aca="false">Raw_Data!AJ265</f>
        <v>4</v>
      </c>
      <c r="C264" s="0" t="n">
        <f aca="false">Raw_Data!AK265</f>
        <v>4</v>
      </c>
      <c r="D264" s="0" t="n">
        <f aca="false">Raw_Data!AL265</f>
        <v>4</v>
      </c>
      <c r="E264" s="0" t="n">
        <f aca="false">Raw_Data!AM265</f>
        <v>4</v>
      </c>
      <c r="F264" s="0" t="n">
        <f aca="false">Raw_Data!AN265</f>
        <v>4</v>
      </c>
      <c r="G264" s="0" t="n">
        <f aca="false">Raw_Data!AO265</f>
        <v>4</v>
      </c>
      <c r="H264" s="0" t="n">
        <f aca="false">SUM(B264:G264)</f>
        <v>24</v>
      </c>
      <c r="I264" s="0" t="n">
        <f aca="false">H264-B264</f>
        <v>20</v>
      </c>
      <c r="J264" s="0" t="n">
        <f aca="false">H264-C264</f>
        <v>20</v>
      </c>
      <c r="K264" s="0" t="n">
        <f aca="false">H264-D264</f>
        <v>20</v>
      </c>
      <c r="L264" s="0" t="n">
        <f aca="false">H264-E264</f>
        <v>20</v>
      </c>
      <c r="M264" s="0" t="n">
        <f aca="false">H264-F264</f>
        <v>20</v>
      </c>
      <c r="N264" s="0" t="n">
        <f aca="false">H264-G264</f>
        <v>20</v>
      </c>
      <c r="O264" s="0" t="n">
        <f aca="false">B264+D264+F264</f>
        <v>12</v>
      </c>
      <c r="P264" s="0" t="n">
        <f aca="false">C264+E264+G264</f>
        <v>12</v>
      </c>
    </row>
    <row r="265" customFormat="false" ht="15" hidden="false" customHeight="false" outlineLevel="0" collapsed="false">
      <c r="A265" s="0" t="n">
        <v>266</v>
      </c>
      <c r="B265" s="0" t="n">
        <f aca="false">Raw_Data!AJ266</f>
        <v>3</v>
      </c>
      <c r="C265" s="0" t="n">
        <f aca="false">Raw_Data!AK266</f>
        <v>3</v>
      </c>
      <c r="D265" s="0" t="n">
        <f aca="false">Raw_Data!AL266</f>
        <v>5</v>
      </c>
      <c r="E265" s="0" t="n">
        <f aca="false">Raw_Data!AM266</f>
        <v>3</v>
      </c>
      <c r="F265" s="0" t="n">
        <f aca="false">Raw_Data!AN266</f>
        <v>1</v>
      </c>
      <c r="G265" s="0" t="n">
        <f aca="false">Raw_Data!AO266</f>
        <v>1</v>
      </c>
      <c r="H265" s="0" t="n">
        <f aca="false">SUM(B265:G265)</f>
        <v>16</v>
      </c>
      <c r="I265" s="0" t="n">
        <f aca="false">H265-B265</f>
        <v>13</v>
      </c>
      <c r="J265" s="0" t="n">
        <f aca="false">H265-C265</f>
        <v>13</v>
      </c>
      <c r="K265" s="0" t="n">
        <f aca="false">H265-D265</f>
        <v>11</v>
      </c>
      <c r="L265" s="0" t="n">
        <f aca="false">H265-E265</f>
        <v>13</v>
      </c>
      <c r="M265" s="0" t="n">
        <f aca="false">H265-F265</f>
        <v>15</v>
      </c>
      <c r="N265" s="0" t="n">
        <f aca="false">H265-G265</f>
        <v>15</v>
      </c>
      <c r="O265" s="0" t="n">
        <f aca="false">B265+D265+F265</f>
        <v>9</v>
      </c>
      <c r="P265" s="0" t="n">
        <f aca="false">C265+E265+G265</f>
        <v>7</v>
      </c>
    </row>
    <row r="266" customFormat="false" ht="15" hidden="false" customHeight="false" outlineLevel="0" collapsed="false">
      <c r="A266" s="0" t="n">
        <v>267</v>
      </c>
      <c r="B266" s="0" t="n">
        <f aca="false">Raw_Data!AJ267</f>
        <v>5</v>
      </c>
      <c r="C266" s="0" t="n">
        <f aca="false">Raw_Data!AK267</f>
        <v>3</v>
      </c>
      <c r="D266" s="0" t="n">
        <f aca="false">Raw_Data!AL267</f>
        <v>4</v>
      </c>
      <c r="E266" s="0" t="n">
        <f aca="false">Raw_Data!AM267</f>
        <v>4</v>
      </c>
      <c r="F266" s="0" t="n">
        <f aca="false">Raw_Data!AN267</f>
        <v>4</v>
      </c>
      <c r="G266" s="0" t="n">
        <f aca="false">Raw_Data!AO267</f>
        <v>4</v>
      </c>
      <c r="H266" s="0" t="n">
        <f aca="false">SUM(B266:G266)</f>
        <v>24</v>
      </c>
      <c r="I266" s="0" t="n">
        <f aca="false">H266-B266</f>
        <v>19</v>
      </c>
      <c r="J266" s="0" t="n">
        <f aca="false">H266-C266</f>
        <v>21</v>
      </c>
      <c r="K266" s="0" t="n">
        <f aca="false">H266-D266</f>
        <v>20</v>
      </c>
      <c r="L266" s="0" t="n">
        <f aca="false">H266-E266</f>
        <v>20</v>
      </c>
      <c r="M266" s="0" t="n">
        <f aca="false">H266-F266</f>
        <v>20</v>
      </c>
      <c r="N266" s="0" t="n">
        <f aca="false">H266-G266</f>
        <v>20</v>
      </c>
      <c r="O266" s="0" t="n">
        <f aca="false">B266+D266+F266</f>
        <v>13</v>
      </c>
      <c r="P266" s="0" t="n">
        <f aca="false">C266+E266+G266</f>
        <v>11</v>
      </c>
    </row>
    <row r="267" customFormat="false" ht="15" hidden="false" customHeight="false" outlineLevel="0" collapsed="false">
      <c r="A267" s="0" t="n">
        <v>268</v>
      </c>
      <c r="B267" s="0" t="n">
        <f aca="false">Raw_Data!AJ268</f>
        <v>3</v>
      </c>
      <c r="C267" s="0" t="n">
        <f aca="false">Raw_Data!AK268</f>
        <v>3</v>
      </c>
      <c r="D267" s="0" t="n">
        <f aca="false">Raw_Data!AL268</f>
        <v>5</v>
      </c>
      <c r="E267" s="0" t="n">
        <f aca="false">Raw_Data!AM268</f>
        <v>2</v>
      </c>
      <c r="F267" s="0" t="n">
        <f aca="false">Raw_Data!AN268</f>
        <v>4</v>
      </c>
      <c r="G267" s="0" t="n">
        <f aca="false">Raw_Data!AO268</f>
        <v>4</v>
      </c>
      <c r="H267" s="0" t="n">
        <f aca="false">SUM(B267:G267)</f>
        <v>21</v>
      </c>
      <c r="I267" s="0" t="n">
        <f aca="false">H267-B267</f>
        <v>18</v>
      </c>
      <c r="J267" s="0" t="n">
        <f aca="false">H267-C267</f>
        <v>18</v>
      </c>
      <c r="K267" s="0" t="n">
        <f aca="false">H267-D267</f>
        <v>16</v>
      </c>
      <c r="L267" s="0" t="n">
        <f aca="false">H267-E267</f>
        <v>19</v>
      </c>
      <c r="M267" s="0" t="n">
        <f aca="false">H267-F267</f>
        <v>17</v>
      </c>
      <c r="N267" s="0" t="n">
        <f aca="false">H267-G267</f>
        <v>17</v>
      </c>
      <c r="O267" s="0" t="n">
        <f aca="false">B267+D267+F267</f>
        <v>12</v>
      </c>
      <c r="P267" s="0" t="n">
        <f aca="false">C267+E267+G267</f>
        <v>9</v>
      </c>
    </row>
    <row r="268" customFormat="false" ht="15" hidden="false" customHeight="false" outlineLevel="0" collapsed="false">
      <c r="A268" s="0" t="n">
        <v>269</v>
      </c>
      <c r="B268" s="0" t="n">
        <f aca="false">Raw_Data!AJ269</f>
        <v>4</v>
      </c>
      <c r="C268" s="0" t="n">
        <f aca="false">Raw_Data!AK269</f>
        <v>2</v>
      </c>
      <c r="D268" s="0" t="n">
        <f aca="false">Raw_Data!AL269</f>
        <v>5</v>
      </c>
      <c r="E268" s="0" t="n">
        <f aca="false">Raw_Data!AM269</f>
        <v>2</v>
      </c>
      <c r="F268" s="0" t="n">
        <f aca="false">Raw_Data!AN269</f>
        <v>1</v>
      </c>
      <c r="G268" s="0" t="n">
        <f aca="false">Raw_Data!AO269</f>
        <v>1</v>
      </c>
      <c r="H268" s="0" t="n">
        <f aca="false">SUM(B268:G268)</f>
        <v>15</v>
      </c>
      <c r="I268" s="0" t="n">
        <f aca="false">H268-B268</f>
        <v>11</v>
      </c>
      <c r="J268" s="0" t="n">
        <f aca="false">H268-C268</f>
        <v>13</v>
      </c>
      <c r="K268" s="0" t="n">
        <f aca="false">H268-D268</f>
        <v>10</v>
      </c>
      <c r="L268" s="0" t="n">
        <f aca="false">H268-E268</f>
        <v>13</v>
      </c>
      <c r="M268" s="0" t="n">
        <f aca="false">H268-F268</f>
        <v>14</v>
      </c>
      <c r="N268" s="0" t="n">
        <f aca="false">H268-G268</f>
        <v>14</v>
      </c>
      <c r="O268" s="0" t="n">
        <f aca="false">B268+D268+F268</f>
        <v>10</v>
      </c>
      <c r="P268" s="0" t="n">
        <f aca="false">C268+E268+G268</f>
        <v>5</v>
      </c>
    </row>
    <row r="269" customFormat="false" ht="15" hidden="false" customHeight="false" outlineLevel="0" collapsed="false">
      <c r="A269" s="0" t="n">
        <v>270</v>
      </c>
      <c r="B269" s="0" t="n">
        <f aca="false">Raw_Data!AJ270</f>
        <v>4</v>
      </c>
      <c r="C269" s="0" t="n">
        <f aca="false">Raw_Data!AK270</f>
        <v>4</v>
      </c>
      <c r="D269" s="0" t="n">
        <f aca="false">Raw_Data!AL270</f>
        <v>4</v>
      </c>
      <c r="E269" s="0" t="n">
        <f aca="false">Raw_Data!AM270</f>
        <v>3</v>
      </c>
      <c r="F269" s="0" t="n">
        <f aca="false">Raw_Data!AN270</f>
        <v>2</v>
      </c>
      <c r="G269" s="0" t="n">
        <f aca="false">Raw_Data!AO270</f>
        <v>2</v>
      </c>
      <c r="H269" s="0" t="n">
        <f aca="false">SUM(B269:G269)</f>
        <v>19</v>
      </c>
      <c r="I269" s="0" t="n">
        <f aca="false">H269-B269</f>
        <v>15</v>
      </c>
      <c r="J269" s="0" t="n">
        <f aca="false">H269-C269</f>
        <v>15</v>
      </c>
      <c r="K269" s="0" t="n">
        <f aca="false">H269-D269</f>
        <v>15</v>
      </c>
      <c r="L269" s="0" t="n">
        <f aca="false">H269-E269</f>
        <v>16</v>
      </c>
      <c r="M269" s="0" t="n">
        <f aca="false">H269-F269</f>
        <v>17</v>
      </c>
      <c r="N269" s="0" t="n">
        <f aca="false">H269-G269</f>
        <v>17</v>
      </c>
      <c r="O269" s="0" t="n">
        <f aca="false">B269+D269+F269</f>
        <v>10</v>
      </c>
      <c r="P269" s="0" t="n">
        <f aca="false">C269+E269+G269</f>
        <v>9</v>
      </c>
    </row>
    <row r="270" customFormat="false" ht="15" hidden="false" customHeight="false" outlineLevel="0" collapsed="false">
      <c r="A270" s="0" t="n">
        <v>271</v>
      </c>
      <c r="B270" s="0" t="n">
        <f aca="false">Raw_Data!AJ271</f>
        <v>2</v>
      </c>
      <c r="C270" s="0" t="n">
        <f aca="false">Raw_Data!AK271</f>
        <v>3</v>
      </c>
      <c r="D270" s="0" t="n">
        <f aca="false">Raw_Data!AL271</f>
        <v>5</v>
      </c>
      <c r="E270" s="0" t="n">
        <f aca="false">Raw_Data!AM271</f>
        <v>2</v>
      </c>
      <c r="F270" s="0" t="n">
        <f aca="false">Raw_Data!AN271</f>
        <v>2</v>
      </c>
      <c r="G270" s="0" t="n">
        <f aca="false">Raw_Data!AO271</f>
        <v>1</v>
      </c>
      <c r="H270" s="0" t="n">
        <f aca="false">SUM(B270:G270)</f>
        <v>15</v>
      </c>
      <c r="I270" s="0" t="n">
        <f aca="false">H270-B270</f>
        <v>13</v>
      </c>
      <c r="J270" s="0" t="n">
        <f aca="false">H270-C270</f>
        <v>12</v>
      </c>
      <c r="K270" s="0" t="n">
        <f aca="false">H270-D270</f>
        <v>10</v>
      </c>
      <c r="L270" s="0" t="n">
        <f aca="false">H270-E270</f>
        <v>13</v>
      </c>
      <c r="M270" s="0" t="n">
        <f aca="false">H270-F270</f>
        <v>13</v>
      </c>
      <c r="N270" s="0" t="n">
        <f aca="false">H270-G270</f>
        <v>14</v>
      </c>
      <c r="O270" s="0" t="n">
        <f aca="false">B270+D270+F270</f>
        <v>9</v>
      </c>
      <c r="P270" s="0" t="n">
        <f aca="false">C270+E270+G270</f>
        <v>6</v>
      </c>
    </row>
    <row r="271" customFormat="false" ht="15" hidden="false" customHeight="false" outlineLevel="0" collapsed="false">
      <c r="A271" s="0" t="n">
        <v>272</v>
      </c>
      <c r="B271" s="0" t="n">
        <f aca="false">Raw_Data!AJ272</f>
        <v>4</v>
      </c>
      <c r="C271" s="0" t="n">
        <f aca="false">Raw_Data!AK272</f>
        <v>3</v>
      </c>
      <c r="D271" s="0" t="n">
        <f aca="false">Raw_Data!AL272</f>
        <v>4</v>
      </c>
      <c r="E271" s="0" t="n">
        <f aca="false">Raw_Data!AM272</f>
        <v>4</v>
      </c>
      <c r="F271" s="0" t="n">
        <f aca="false">Raw_Data!AN272</f>
        <v>3</v>
      </c>
      <c r="G271" s="0" t="n">
        <f aca="false">Raw_Data!AO272</f>
        <v>4</v>
      </c>
      <c r="H271" s="0" t="n">
        <f aca="false">SUM(B271:G271)</f>
        <v>22</v>
      </c>
      <c r="I271" s="0" t="n">
        <f aca="false">H271-B271</f>
        <v>18</v>
      </c>
      <c r="J271" s="0" t="n">
        <f aca="false">H271-C271</f>
        <v>19</v>
      </c>
      <c r="K271" s="0" t="n">
        <f aca="false">H271-D271</f>
        <v>18</v>
      </c>
      <c r="L271" s="0" t="n">
        <f aca="false">H271-E271</f>
        <v>18</v>
      </c>
      <c r="M271" s="0" t="n">
        <f aca="false">H271-F271</f>
        <v>19</v>
      </c>
      <c r="N271" s="0" t="n">
        <f aca="false">H271-G271</f>
        <v>18</v>
      </c>
      <c r="O271" s="0" t="n">
        <f aca="false">B271+D271+F271</f>
        <v>11</v>
      </c>
      <c r="P271" s="0" t="n">
        <f aca="false">C271+E271+G271</f>
        <v>11</v>
      </c>
    </row>
    <row r="272" customFormat="false" ht="15" hidden="false" customHeight="false" outlineLevel="0" collapsed="false">
      <c r="A272" s="0" t="n">
        <v>273</v>
      </c>
      <c r="B272" s="0" t="n">
        <f aca="false">Raw_Data!AJ273</f>
        <v>1</v>
      </c>
      <c r="C272" s="0" t="n">
        <f aca="false">Raw_Data!AK273</f>
        <v>4</v>
      </c>
      <c r="D272" s="0" t="n">
        <f aca="false">Raw_Data!AL273</f>
        <v>3</v>
      </c>
      <c r="E272" s="0" t="n">
        <f aca="false">Raw_Data!AM273</f>
        <v>3</v>
      </c>
      <c r="F272" s="0" t="n">
        <f aca="false">Raw_Data!AN273</f>
        <v>3</v>
      </c>
      <c r="G272" s="0" t="n">
        <f aca="false">Raw_Data!AO273</f>
        <v>3</v>
      </c>
      <c r="H272" s="0" t="n">
        <f aca="false">SUM(B272:G272)</f>
        <v>17</v>
      </c>
      <c r="I272" s="0" t="n">
        <f aca="false">H272-B272</f>
        <v>16</v>
      </c>
      <c r="J272" s="0" t="n">
        <f aca="false">H272-C272</f>
        <v>13</v>
      </c>
      <c r="K272" s="0" t="n">
        <f aca="false">H272-D272</f>
        <v>14</v>
      </c>
      <c r="L272" s="0" t="n">
        <f aca="false">H272-E272</f>
        <v>14</v>
      </c>
      <c r="M272" s="0" t="n">
        <f aca="false">H272-F272</f>
        <v>14</v>
      </c>
      <c r="N272" s="0" t="n">
        <f aca="false">H272-G272</f>
        <v>14</v>
      </c>
      <c r="O272" s="0" t="n">
        <f aca="false">B272+D272+F272</f>
        <v>7</v>
      </c>
      <c r="P272" s="0" t="n">
        <f aca="false">C272+E272+G272</f>
        <v>10</v>
      </c>
    </row>
    <row r="273" customFormat="false" ht="15" hidden="false" customHeight="false" outlineLevel="0" collapsed="false">
      <c r="A273" s="0" t="n">
        <v>274</v>
      </c>
      <c r="B273" s="0" t="n">
        <f aca="false">Raw_Data!AJ274</f>
        <v>4</v>
      </c>
      <c r="C273" s="0" t="n">
        <f aca="false">Raw_Data!AK274</f>
        <v>2</v>
      </c>
      <c r="D273" s="0" t="n">
        <f aca="false">Raw_Data!AL274</f>
        <v>4</v>
      </c>
      <c r="E273" s="0" t="n">
        <f aca="false">Raw_Data!AM274</f>
        <v>3</v>
      </c>
      <c r="F273" s="0" t="n">
        <f aca="false">Raw_Data!AN274</f>
        <v>1</v>
      </c>
      <c r="G273" s="0" t="n">
        <f aca="false">Raw_Data!AO274</f>
        <v>4</v>
      </c>
      <c r="H273" s="0" t="n">
        <f aca="false">SUM(B273:G273)</f>
        <v>18</v>
      </c>
      <c r="I273" s="0" t="n">
        <f aca="false">H273-B273</f>
        <v>14</v>
      </c>
      <c r="J273" s="0" t="n">
        <f aca="false">H273-C273</f>
        <v>16</v>
      </c>
      <c r="K273" s="0" t="n">
        <f aca="false">H273-D273</f>
        <v>14</v>
      </c>
      <c r="L273" s="0" t="n">
        <f aca="false">H273-E273</f>
        <v>15</v>
      </c>
      <c r="M273" s="0" t="n">
        <f aca="false">H273-F273</f>
        <v>17</v>
      </c>
      <c r="N273" s="0" t="n">
        <f aca="false">H273-G273</f>
        <v>14</v>
      </c>
      <c r="O273" s="0" t="n">
        <f aca="false">B273+D273+F273</f>
        <v>9</v>
      </c>
      <c r="P273" s="0" t="n">
        <f aca="false">C273+E273+G273</f>
        <v>9</v>
      </c>
    </row>
    <row r="274" customFormat="false" ht="15" hidden="false" customHeight="false" outlineLevel="0" collapsed="false">
      <c r="A274" s="0" t="n">
        <v>275</v>
      </c>
      <c r="B274" s="0" t="n">
        <f aca="false">Raw_Data!AJ275</f>
        <v>5</v>
      </c>
      <c r="C274" s="0" t="n">
        <f aca="false">Raw_Data!AK275</f>
        <v>3</v>
      </c>
      <c r="D274" s="0" t="n">
        <f aca="false">Raw_Data!AL275</f>
        <v>4</v>
      </c>
      <c r="E274" s="0" t="n">
        <f aca="false">Raw_Data!AM275</f>
        <v>3</v>
      </c>
      <c r="F274" s="0" t="n">
        <f aca="false">Raw_Data!AN275</f>
        <v>3</v>
      </c>
      <c r="G274" s="0" t="n">
        <f aca="false">Raw_Data!AO275</f>
        <v>4</v>
      </c>
      <c r="H274" s="0" t="n">
        <f aca="false">SUM(B274:G274)</f>
        <v>22</v>
      </c>
      <c r="I274" s="0" t="n">
        <f aca="false">H274-B274</f>
        <v>17</v>
      </c>
      <c r="J274" s="0" t="n">
        <f aca="false">H274-C274</f>
        <v>19</v>
      </c>
      <c r="K274" s="0" t="n">
        <f aca="false">H274-D274</f>
        <v>18</v>
      </c>
      <c r="L274" s="0" t="n">
        <f aca="false">H274-E274</f>
        <v>19</v>
      </c>
      <c r="M274" s="0" t="n">
        <f aca="false">H274-F274</f>
        <v>19</v>
      </c>
      <c r="N274" s="0" t="n">
        <f aca="false">H274-G274</f>
        <v>18</v>
      </c>
      <c r="O274" s="0" t="n">
        <f aca="false">B274+D274+F274</f>
        <v>12</v>
      </c>
      <c r="P274" s="0" t="n">
        <f aca="false">C274+E274+G274</f>
        <v>10</v>
      </c>
    </row>
    <row r="275" customFormat="false" ht="15" hidden="false" customHeight="false" outlineLevel="0" collapsed="false">
      <c r="A275" s="0" t="n">
        <v>276</v>
      </c>
      <c r="B275" s="0" t="n">
        <f aca="false">Raw_Data!AJ276</f>
        <v>4</v>
      </c>
      <c r="C275" s="0" t="n">
        <f aca="false">Raw_Data!AK276</f>
        <v>3</v>
      </c>
      <c r="D275" s="0" t="n">
        <f aca="false">Raw_Data!AL276</f>
        <v>5</v>
      </c>
      <c r="E275" s="0" t="n">
        <f aca="false">Raw_Data!AM276</f>
        <v>4</v>
      </c>
      <c r="F275" s="0" t="n">
        <f aca="false">Raw_Data!AN276</f>
        <v>3</v>
      </c>
      <c r="G275" s="0" t="n">
        <f aca="false">Raw_Data!AO276</f>
        <v>3</v>
      </c>
      <c r="H275" s="0" t="n">
        <f aca="false">SUM(B275:G275)</f>
        <v>22</v>
      </c>
      <c r="I275" s="0" t="n">
        <f aca="false">H275-B275</f>
        <v>18</v>
      </c>
      <c r="J275" s="0" t="n">
        <f aca="false">H275-C275</f>
        <v>19</v>
      </c>
      <c r="K275" s="0" t="n">
        <f aca="false">H275-D275</f>
        <v>17</v>
      </c>
      <c r="L275" s="0" t="n">
        <f aca="false">H275-E275</f>
        <v>18</v>
      </c>
      <c r="M275" s="0" t="n">
        <f aca="false">H275-F275</f>
        <v>19</v>
      </c>
      <c r="N275" s="0" t="n">
        <f aca="false">H275-G275</f>
        <v>19</v>
      </c>
      <c r="O275" s="0" t="n">
        <f aca="false">B275+D275+F275</f>
        <v>12</v>
      </c>
      <c r="P275" s="0" t="n">
        <f aca="false">C275+E275+G275</f>
        <v>10</v>
      </c>
    </row>
    <row r="276" customFormat="false" ht="15" hidden="false" customHeight="false" outlineLevel="0" collapsed="false">
      <c r="A276" s="0" t="n">
        <v>277</v>
      </c>
      <c r="B276" s="0" t="n">
        <f aca="false">Raw_Data!AJ277</f>
        <v>4</v>
      </c>
      <c r="C276" s="0" t="n">
        <f aca="false">Raw_Data!AK277</f>
        <v>2</v>
      </c>
      <c r="D276" s="0" t="n">
        <f aca="false">Raw_Data!AL277</f>
        <v>4</v>
      </c>
      <c r="E276" s="0" t="n">
        <f aca="false">Raw_Data!AM277</f>
        <v>3</v>
      </c>
      <c r="F276" s="0" t="n">
        <f aca="false">Raw_Data!AN277</f>
        <v>2</v>
      </c>
      <c r="G276" s="0" t="n">
        <f aca="false">Raw_Data!AO277</f>
        <v>2</v>
      </c>
      <c r="H276" s="0" t="n">
        <f aca="false">SUM(B276:G276)</f>
        <v>17</v>
      </c>
      <c r="I276" s="0" t="n">
        <f aca="false">H276-B276</f>
        <v>13</v>
      </c>
      <c r="J276" s="0" t="n">
        <f aca="false">H276-C276</f>
        <v>15</v>
      </c>
      <c r="K276" s="0" t="n">
        <f aca="false">H276-D276</f>
        <v>13</v>
      </c>
      <c r="L276" s="0" t="n">
        <f aca="false">H276-E276</f>
        <v>14</v>
      </c>
      <c r="M276" s="0" t="n">
        <f aca="false">H276-F276</f>
        <v>15</v>
      </c>
      <c r="N276" s="0" t="n">
        <f aca="false">H276-G276</f>
        <v>15</v>
      </c>
      <c r="O276" s="0" t="n">
        <f aca="false">B276+D276+F276</f>
        <v>10</v>
      </c>
      <c r="P276" s="0" t="n">
        <f aca="false">C276+E276+G276</f>
        <v>7</v>
      </c>
    </row>
    <row r="277" customFormat="false" ht="15" hidden="false" customHeight="false" outlineLevel="0" collapsed="false">
      <c r="A277" s="0" t="n">
        <v>278</v>
      </c>
      <c r="B277" s="0" t="n">
        <f aca="false">Raw_Data!AJ278</f>
        <v>4</v>
      </c>
      <c r="C277" s="0" t="n">
        <f aca="false">Raw_Data!AK278</f>
        <v>5</v>
      </c>
      <c r="D277" s="0" t="n">
        <f aca="false">Raw_Data!AL278</f>
        <v>5</v>
      </c>
      <c r="E277" s="0" t="n">
        <f aca="false">Raw_Data!AM278</f>
        <v>2</v>
      </c>
      <c r="F277" s="0" t="n">
        <f aca="false">Raw_Data!AN278</f>
        <v>3</v>
      </c>
      <c r="G277" s="0" t="n">
        <f aca="false">Raw_Data!AO278</f>
        <v>3</v>
      </c>
      <c r="H277" s="0" t="n">
        <f aca="false">SUM(B277:G277)</f>
        <v>22</v>
      </c>
      <c r="I277" s="0" t="n">
        <f aca="false">H277-B277</f>
        <v>18</v>
      </c>
      <c r="J277" s="0" t="n">
        <f aca="false">H277-C277</f>
        <v>17</v>
      </c>
      <c r="K277" s="0" t="n">
        <f aca="false">H277-D277</f>
        <v>17</v>
      </c>
      <c r="L277" s="0" t="n">
        <f aca="false">H277-E277</f>
        <v>20</v>
      </c>
      <c r="M277" s="0" t="n">
        <f aca="false">H277-F277</f>
        <v>19</v>
      </c>
      <c r="N277" s="0" t="n">
        <f aca="false">H277-G277</f>
        <v>19</v>
      </c>
      <c r="O277" s="0" t="n">
        <f aca="false">B277+D277+F277</f>
        <v>12</v>
      </c>
      <c r="P277" s="0" t="n">
        <f aca="false">C277+E277+G277</f>
        <v>10</v>
      </c>
    </row>
    <row r="278" customFormat="false" ht="15" hidden="false" customHeight="false" outlineLevel="0" collapsed="false">
      <c r="A278" s="0" t="n">
        <v>279</v>
      </c>
      <c r="B278" s="0" t="n">
        <f aca="false">Raw_Data!AJ279</f>
        <v>4</v>
      </c>
      <c r="C278" s="0" t="n">
        <f aca="false">Raw_Data!AK279</f>
        <v>3</v>
      </c>
      <c r="D278" s="0" t="n">
        <f aca="false">Raw_Data!AL279</f>
        <v>3</v>
      </c>
      <c r="E278" s="0" t="n">
        <f aca="false">Raw_Data!AM279</f>
        <v>3</v>
      </c>
      <c r="F278" s="0" t="n">
        <f aca="false">Raw_Data!AN279</f>
        <v>4</v>
      </c>
      <c r="G278" s="0" t="n">
        <f aca="false">Raw_Data!AO279</f>
        <v>4</v>
      </c>
      <c r="H278" s="0" t="n">
        <f aca="false">SUM(B278:G278)</f>
        <v>21</v>
      </c>
      <c r="I278" s="0" t="n">
        <f aca="false">H278-B278</f>
        <v>17</v>
      </c>
      <c r="J278" s="0" t="n">
        <f aca="false">H278-C278</f>
        <v>18</v>
      </c>
      <c r="K278" s="0" t="n">
        <f aca="false">H278-D278</f>
        <v>18</v>
      </c>
      <c r="L278" s="0" t="n">
        <f aca="false">H278-E278</f>
        <v>18</v>
      </c>
      <c r="M278" s="0" t="n">
        <f aca="false">H278-F278</f>
        <v>17</v>
      </c>
      <c r="N278" s="0" t="n">
        <f aca="false">H278-G278</f>
        <v>17</v>
      </c>
      <c r="O278" s="0" t="n">
        <f aca="false">B278+D278+F278</f>
        <v>11</v>
      </c>
      <c r="P278" s="0" t="n">
        <f aca="false">C278+E278+G278</f>
        <v>10</v>
      </c>
    </row>
    <row r="279" customFormat="false" ht="15" hidden="false" customHeight="false" outlineLevel="0" collapsed="false">
      <c r="A279" s="0" t="n">
        <v>280</v>
      </c>
      <c r="B279" s="0" t="n">
        <f aca="false">Raw_Data!AJ280</f>
        <v>4</v>
      </c>
      <c r="C279" s="0" t="n">
        <f aca="false">Raw_Data!AK280</f>
        <v>2</v>
      </c>
      <c r="D279" s="0" t="n">
        <f aca="false">Raw_Data!AL280</f>
        <v>4</v>
      </c>
      <c r="E279" s="0" t="n">
        <f aca="false">Raw_Data!AM280</f>
        <v>3</v>
      </c>
      <c r="F279" s="0" t="n">
        <f aca="false">Raw_Data!AN280</f>
        <v>3</v>
      </c>
      <c r="G279" s="0" t="n">
        <f aca="false">Raw_Data!AO280</f>
        <v>3</v>
      </c>
      <c r="H279" s="0" t="n">
        <f aca="false">SUM(B279:G279)</f>
        <v>19</v>
      </c>
      <c r="I279" s="0" t="n">
        <f aca="false">H279-B279</f>
        <v>15</v>
      </c>
      <c r="J279" s="0" t="n">
        <f aca="false">H279-C279</f>
        <v>17</v>
      </c>
      <c r="K279" s="0" t="n">
        <f aca="false">H279-D279</f>
        <v>15</v>
      </c>
      <c r="L279" s="0" t="n">
        <f aca="false">H279-E279</f>
        <v>16</v>
      </c>
      <c r="M279" s="0" t="n">
        <f aca="false">H279-F279</f>
        <v>16</v>
      </c>
      <c r="N279" s="0" t="n">
        <f aca="false">H279-G279</f>
        <v>16</v>
      </c>
      <c r="O279" s="0" t="n">
        <f aca="false">B279+D279+F279</f>
        <v>11</v>
      </c>
      <c r="P279" s="0" t="n">
        <f aca="false">C279+E279+G279</f>
        <v>8</v>
      </c>
    </row>
    <row r="280" customFormat="false" ht="15" hidden="false" customHeight="false" outlineLevel="0" collapsed="false">
      <c r="A280" s="0" t="n">
        <v>281</v>
      </c>
      <c r="B280" s="0" t="n">
        <f aca="false">Raw_Data!AJ281</f>
        <v>5</v>
      </c>
      <c r="C280" s="0" t="n">
        <f aca="false">Raw_Data!AK281</f>
        <v>1</v>
      </c>
      <c r="D280" s="0" t="n">
        <f aca="false">Raw_Data!AL281</f>
        <v>5</v>
      </c>
      <c r="E280" s="0" t="n">
        <f aca="false">Raw_Data!AM281</f>
        <v>4</v>
      </c>
      <c r="F280" s="0" t="n">
        <f aca="false">Raw_Data!AN281</f>
        <v>2</v>
      </c>
      <c r="G280" s="0" t="n">
        <f aca="false">Raw_Data!AO281</f>
        <v>5</v>
      </c>
      <c r="H280" s="0" t="n">
        <f aca="false">SUM(B280:G280)</f>
        <v>22</v>
      </c>
      <c r="I280" s="0" t="n">
        <f aca="false">H280-B280</f>
        <v>17</v>
      </c>
      <c r="J280" s="0" t="n">
        <f aca="false">H280-C280</f>
        <v>21</v>
      </c>
      <c r="K280" s="0" t="n">
        <f aca="false">H280-D280</f>
        <v>17</v>
      </c>
      <c r="L280" s="0" t="n">
        <f aca="false">H280-E280</f>
        <v>18</v>
      </c>
      <c r="M280" s="0" t="n">
        <f aca="false">H280-F280</f>
        <v>20</v>
      </c>
      <c r="N280" s="0" t="n">
        <f aca="false">H280-G280</f>
        <v>17</v>
      </c>
      <c r="O280" s="0" t="n">
        <f aca="false">B280+D280+F280</f>
        <v>12</v>
      </c>
      <c r="P280" s="0" t="n">
        <f aca="false">C280+E280+G280</f>
        <v>10</v>
      </c>
    </row>
    <row r="281" customFormat="false" ht="15" hidden="false" customHeight="false" outlineLevel="0" collapsed="false">
      <c r="A281" s="0" t="n">
        <v>282</v>
      </c>
      <c r="B281" s="0" t="n">
        <f aca="false">Raw_Data!AJ282</f>
        <v>4</v>
      </c>
      <c r="C281" s="0" t="n">
        <f aca="false">Raw_Data!AK282</f>
        <v>2</v>
      </c>
      <c r="D281" s="0" t="n">
        <f aca="false">Raw_Data!AL282</f>
        <v>2</v>
      </c>
      <c r="E281" s="0" t="n">
        <f aca="false">Raw_Data!AM282</f>
        <v>3</v>
      </c>
      <c r="F281" s="0" t="n">
        <f aca="false">Raw_Data!AN282</f>
        <v>4</v>
      </c>
      <c r="G281" s="0" t="n">
        <f aca="false">Raw_Data!AO282</f>
        <v>3</v>
      </c>
      <c r="H281" s="0" t="n">
        <f aca="false">SUM(B281:G281)</f>
        <v>18</v>
      </c>
      <c r="I281" s="0" t="n">
        <f aca="false">H281-B281</f>
        <v>14</v>
      </c>
      <c r="J281" s="0" t="n">
        <f aca="false">H281-C281</f>
        <v>16</v>
      </c>
      <c r="K281" s="0" t="n">
        <f aca="false">H281-D281</f>
        <v>16</v>
      </c>
      <c r="L281" s="0" t="n">
        <f aca="false">H281-E281</f>
        <v>15</v>
      </c>
      <c r="M281" s="0" t="n">
        <f aca="false">H281-F281</f>
        <v>14</v>
      </c>
      <c r="N281" s="0" t="n">
        <f aca="false">H281-G281</f>
        <v>15</v>
      </c>
      <c r="O281" s="0" t="n">
        <f aca="false">B281+D281+F281</f>
        <v>10</v>
      </c>
      <c r="P281" s="0" t="n">
        <f aca="false">C281+E281+G281</f>
        <v>8</v>
      </c>
    </row>
    <row r="282" customFormat="false" ht="15" hidden="false" customHeight="false" outlineLevel="0" collapsed="false">
      <c r="A282" s="0" t="n">
        <v>283</v>
      </c>
      <c r="B282" s="0" t="n">
        <f aca="false">Raw_Data!AJ283</f>
        <v>4</v>
      </c>
      <c r="C282" s="0" t="n">
        <f aca="false">Raw_Data!AK283</f>
        <v>3</v>
      </c>
      <c r="D282" s="0" t="n">
        <f aca="false">Raw_Data!AL283</f>
        <v>5</v>
      </c>
      <c r="E282" s="0" t="n">
        <f aca="false">Raw_Data!AM283</f>
        <v>4</v>
      </c>
      <c r="F282" s="0" t="n">
        <f aca="false">Raw_Data!AN283</f>
        <v>3</v>
      </c>
      <c r="G282" s="0" t="n">
        <f aca="false">Raw_Data!AO283</f>
        <v>3</v>
      </c>
      <c r="H282" s="0" t="n">
        <f aca="false">SUM(B282:G282)</f>
        <v>22</v>
      </c>
      <c r="I282" s="0" t="n">
        <f aca="false">H282-B282</f>
        <v>18</v>
      </c>
      <c r="J282" s="0" t="n">
        <f aca="false">H282-C282</f>
        <v>19</v>
      </c>
      <c r="K282" s="0" t="n">
        <f aca="false">H282-D282</f>
        <v>17</v>
      </c>
      <c r="L282" s="0" t="n">
        <f aca="false">H282-E282</f>
        <v>18</v>
      </c>
      <c r="M282" s="0" t="n">
        <f aca="false">H282-F282</f>
        <v>19</v>
      </c>
      <c r="N282" s="0" t="n">
        <f aca="false">H282-G282</f>
        <v>19</v>
      </c>
      <c r="O282" s="0" t="n">
        <f aca="false">B282+D282+F282</f>
        <v>12</v>
      </c>
      <c r="P282" s="0" t="n">
        <f aca="false">C282+E282+G282</f>
        <v>10</v>
      </c>
    </row>
    <row r="283" customFormat="false" ht="15" hidden="false" customHeight="false" outlineLevel="0" collapsed="false">
      <c r="A283" s="0" t="n">
        <v>284</v>
      </c>
      <c r="B283" s="0" t="n">
        <f aca="false">Raw_Data!AJ284</f>
        <v>5</v>
      </c>
      <c r="C283" s="0" t="n">
        <f aca="false">Raw_Data!AK284</f>
        <v>4</v>
      </c>
      <c r="D283" s="0" t="n">
        <f aca="false">Raw_Data!AL284</f>
        <v>5</v>
      </c>
      <c r="E283" s="0" t="n">
        <f aca="false">Raw_Data!AM284</f>
        <v>3</v>
      </c>
      <c r="F283" s="0" t="n">
        <f aca="false">Raw_Data!AN284</f>
        <v>3</v>
      </c>
      <c r="G283" s="0" t="n">
        <f aca="false">Raw_Data!AO284</f>
        <v>2</v>
      </c>
      <c r="H283" s="0" t="n">
        <f aca="false">SUM(B283:G283)</f>
        <v>22</v>
      </c>
      <c r="I283" s="0" t="n">
        <f aca="false">H283-B283</f>
        <v>17</v>
      </c>
      <c r="J283" s="0" t="n">
        <f aca="false">H283-C283</f>
        <v>18</v>
      </c>
      <c r="K283" s="0" t="n">
        <f aca="false">H283-D283</f>
        <v>17</v>
      </c>
      <c r="L283" s="0" t="n">
        <f aca="false">H283-E283</f>
        <v>19</v>
      </c>
      <c r="M283" s="0" t="n">
        <f aca="false">H283-F283</f>
        <v>19</v>
      </c>
      <c r="N283" s="0" t="n">
        <f aca="false">H283-G283</f>
        <v>20</v>
      </c>
      <c r="O283" s="0" t="n">
        <f aca="false">B283+D283+F283</f>
        <v>13</v>
      </c>
      <c r="P283" s="0" t="n">
        <f aca="false">C283+E283+G283</f>
        <v>9</v>
      </c>
    </row>
    <row r="284" customFormat="false" ht="15" hidden="false" customHeight="false" outlineLevel="0" collapsed="false">
      <c r="A284" s="0" t="n">
        <v>285</v>
      </c>
      <c r="B284" s="0" t="n">
        <f aca="false">Raw_Data!AJ285</f>
        <v>3</v>
      </c>
      <c r="C284" s="0" t="n">
        <f aca="false">Raw_Data!AK285</f>
        <v>3</v>
      </c>
      <c r="D284" s="0" t="n">
        <f aca="false">Raw_Data!AL285</f>
        <v>5</v>
      </c>
      <c r="E284" s="0" t="n">
        <f aca="false">Raw_Data!AM285</f>
        <v>4</v>
      </c>
      <c r="F284" s="0" t="n">
        <f aca="false">Raw_Data!AN285</f>
        <v>3</v>
      </c>
      <c r="G284" s="0" t="n">
        <f aca="false">Raw_Data!AO285</f>
        <v>3</v>
      </c>
      <c r="H284" s="0" t="n">
        <f aca="false">SUM(B284:G284)</f>
        <v>21</v>
      </c>
      <c r="I284" s="0" t="n">
        <f aca="false">H284-B284</f>
        <v>18</v>
      </c>
      <c r="J284" s="0" t="n">
        <f aca="false">H284-C284</f>
        <v>18</v>
      </c>
      <c r="K284" s="0" t="n">
        <f aca="false">H284-D284</f>
        <v>16</v>
      </c>
      <c r="L284" s="0" t="n">
        <f aca="false">H284-E284</f>
        <v>17</v>
      </c>
      <c r="M284" s="0" t="n">
        <f aca="false">H284-F284</f>
        <v>18</v>
      </c>
      <c r="N284" s="0" t="n">
        <f aca="false">H284-G284</f>
        <v>18</v>
      </c>
      <c r="O284" s="0" t="n">
        <f aca="false">B284+D284+F284</f>
        <v>11</v>
      </c>
      <c r="P284" s="0" t="n">
        <f aca="false">C284+E284+G284</f>
        <v>10</v>
      </c>
    </row>
    <row r="285" customFormat="false" ht="15" hidden="false" customHeight="false" outlineLevel="0" collapsed="false">
      <c r="A285" s="0" t="n">
        <v>286</v>
      </c>
      <c r="B285" s="0" t="n">
        <f aca="false">Raw_Data!AJ286</f>
        <v>2</v>
      </c>
      <c r="C285" s="0" t="n">
        <f aca="false">Raw_Data!AK286</f>
        <v>3</v>
      </c>
      <c r="D285" s="0" t="n">
        <f aca="false">Raw_Data!AL286</f>
        <v>4</v>
      </c>
      <c r="E285" s="0" t="n">
        <f aca="false">Raw_Data!AM286</f>
        <v>3</v>
      </c>
      <c r="F285" s="0" t="n">
        <f aca="false">Raw_Data!AN286</f>
        <v>3</v>
      </c>
      <c r="G285" s="0" t="n">
        <f aca="false">Raw_Data!AO286</f>
        <v>4</v>
      </c>
      <c r="H285" s="0" t="n">
        <f aca="false">SUM(B285:G285)</f>
        <v>19</v>
      </c>
      <c r="I285" s="0" t="n">
        <f aca="false">H285-B285</f>
        <v>17</v>
      </c>
      <c r="J285" s="0" t="n">
        <f aca="false">H285-C285</f>
        <v>16</v>
      </c>
      <c r="K285" s="0" t="n">
        <f aca="false">H285-D285</f>
        <v>15</v>
      </c>
      <c r="L285" s="0" t="n">
        <f aca="false">H285-E285</f>
        <v>16</v>
      </c>
      <c r="M285" s="0" t="n">
        <f aca="false">H285-F285</f>
        <v>16</v>
      </c>
      <c r="N285" s="0" t="n">
        <f aca="false">H285-G285</f>
        <v>15</v>
      </c>
      <c r="O285" s="0" t="n">
        <f aca="false">B285+D285+F285</f>
        <v>9</v>
      </c>
      <c r="P285" s="0" t="n">
        <f aca="false">C285+E285+G285</f>
        <v>10</v>
      </c>
    </row>
    <row r="286" customFormat="false" ht="15" hidden="false" customHeight="false" outlineLevel="0" collapsed="false">
      <c r="A286" s="0" t="n">
        <v>287</v>
      </c>
      <c r="B286" s="0" t="n">
        <f aca="false">Raw_Data!AJ287</f>
        <v>3</v>
      </c>
      <c r="C286" s="0" t="n">
        <f aca="false">Raw_Data!AK287</f>
        <v>4</v>
      </c>
      <c r="D286" s="0" t="n">
        <f aca="false">Raw_Data!AL287</f>
        <v>4</v>
      </c>
      <c r="E286" s="0" t="n">
        <f aca="false">Raw_Data!AM287</f>
        <v>3</v>
      </c>
      <c r="F286" s="0" t="n">
        <f aca="false">Raw_Data!AN287</f>
        <v>3</v>
      </c>
      <c r="G286" s="0" t="n">
        <f aca="false">Raw_Data!AO287</f>
        <v>2</v>
      </c>
      <c r="H286" s="0" t="n">
        <f aca="false">SUM(B286:G286)</f>
        <v>19</v>
      </c>
      <c r="I286" s="0" t="n">
        <f aca="false">H286-B286</f>
        <v>16</v>
      </c>
      <c r="J286" s="0" t="n">
        <f aca="false">H286-C286</f>
        <v>15</v>
      </c>
      <c r="K286" s="0" t="n">
        <f aca="false">H286-D286</f>
        <v>15</v>
      </c>
      <c r="L286" s="0" t="n">
        <f aca="false">H286-E286</f>
        <v>16</v>
      </c>
      <c r="M286" s="0" t="n">
        <f aca="false">H286-F286</f>
        <v>16</v>
      </c>
      <c r="N286" s="0" t="n">
        <f aca="false">H286-G286</f>
        <v>17</v>
      </c>
      <c r="O286" s="0" t="n">
        <f aca="false">B286+D286+F286</f>
        <v>10</v>
      </c>
      <c r="P286" s="0" t="n">
        <f aca="false">C286+E286+G286</f>
        <v>9</v>
      </c>
    </row>
    <row r="287" customFormat="false" ht="15" hidden="false" customHeight="false" outlineLevel="0" collapsed="false">
      <c r="A287" s="0" t="n">
        <v>288</v>
      </c>
      <c r="B287" s="0" t="n">
        <f aca="false">Raw_Data!AJ288</f>
        <v>4</v>
      </c>
      <c r="C287" s="0" t="n">
        <f aca="false">Raw_Data!AK288</f>
        <v>4</v>
      </c>
      <c r="D287" s="0" t="n">
        <f aca="false">Raw_Data!AL288</f>
        <v>3</v>
      </c>
      <c r="E287" s="0" t="n">
        <f aca="false">Raw_Data!AM288</f>
        <v>3</v>
      </c>
      <c r="F287" s="0" t="n">
        <f aca="false">Raw_Data!AN288</f>
        <v>4</v>
      </c>
      <c r="G287" s="0" t="n">
        <f aca="false">Raw_Data!AO288</f>
        <v>3</v>
      </c>
      <c r="H287" s="0" t="n">
        <f aca="false">SUM(B287:G287)</f>
        <v>21</v>
      </c>
      <c r="I287" s="0" t="n">
        <f aca="false">H287-B287</f>
        <v>17</v>
      </c>
      <c r="J287" s="0" t="n">
        <f aca="false">H287-C287</f>
        <v>17</v>
      </c>
      <c r="K287" s="0" t="n">
        <f aca="false">H287-D287</f>
        <v>18</v>
      </c>
      <c r="L287" s="0" t="n">
        <f aca="false">H287-E287</f>
        <v>18</v>
      </c>
      <c r="M287" s="0" t="n">
        <f aca="false">H287-F287</f>
        <v>17</v>
      </c>
      <c r="N287" s="0" t="n">
        <f aca="false">H287-G287</f>
        <v>18</v>
      </c>
      <c r="O287" s="0" t="n">
        <f aca="false">B287+D287+F287</f>
        <v>11</v>
      </c>
      <c r="P287" s="0" t="n">
        <f aca="false">C287+E287+G287</f>
        <v>10</v>
      </c>
    </row>
    <row r="288" customFormat="false" ht="15" hidden="false" customHeight="false" outlineLevel="0" collapsed="false">
      <c r="A288" s="0" t="n">
        <v>289</v>
      </c>
      <c r="B288" s="0" t="n">
        <f aca="false">Raw_Data!AJ289</f>
        <v>5</v>
      </c>
      <c r="C288" s="0" t="n">
        <f aca="false">Raw_Data!AK289</f>
        <v>5</v>
      </c>
      <c r="D288" s="0" t="n">
        <f aca="false">Raw_Data!AL289</f>
        <v>4</v>
      </c>
      <c r="E288" s="0" t="n">
        <f aca="false">Raw_Data!AM289</f>
        <v>5</v>
      </c>
      <c r="F288" s="0" t="n">
        <f aca="false">Raw_Data!AN289</f>
        <v>4</v>
      </c>
      <c r="G288" s="0" t="n">
        <f aca="false">Raw_Data!AO289</f>
        <v>4</v>
      </c>
      <c r="H288" s="0" t="n">
        <f aca="false">SUM(B288:G288)</f>
        <v>27</v>
      </c>
      <c r="I288" s="0" t="n">
        <f aca="false">H288-B288</f>
        <v>22</v>
      </c>
      <c r="J288" s="0" t="n">
        <f aca="false">H288-C288</f>
        <v>22</v>
      </c>
      <c r="K288" s="0" t="n">
        <f aca="false">H288-D288</f>
        <v>23</v>
      </c>
      <c r="L288" s="0" t="n">
        <f aca="false">H288-E288</f>
        <v>22</v>
      </c>
      <c r="M288" s="0" t="n">
        <f aca="false">H288-F288</f>
        <v>23</v>
      </c>
      <c r="N288" s="0" t="n">
        <f aca="false">H288-G288</f>
        <v>23</v>
      </c>
      <c r="O288" s="0" t="n">
        <f aca="false">B288+D288+F288</f>
        <v>13</v>
      </c>
      <c r="P288" s="0" t="n">
        <f aca="false">C288+E288+G288</f>
        <v>14</v>
      </c>
    </row>
    <row r="289" customFormat="false" ht="15" hidden="false" customHeight="false" outlineLevel="0" collapsed="false">
      <c r="A289" s="0" t="n">
        <v>290</v>
      </c>
      <c r="B289" s="0" t="n">
        <f aca="false">Raw_Data!AJ290</f>
        <v>5</v>
      </c>
      <c r="C289" s="0" t="n">
        <f aca="false">Raw_Data!AK290</f>
        <v>3</v>
      </c>
      <c r="D289" s="0" t="n">
        <f aca="false">Raw_Data!AL290</f>
        <v>4</v>
      </c>
      <c r="E289" s="0" t="n">
        <f aca="false">Raw_Data!AM290</f>
        <v>3</v>
      </c>
      <c r="F289" s="0" t="n">
        <f aca="false">Raw_Data!AN290</f>
        <v>4</v>
      </c>
      <c r="G289" s="0" t="n">
        <f aca="false">Raw_Data!AO290</f>
        <v>5</v>
      </c>
      <c r="H289" s="0" t="n">
        <f aca="false">SUM(B289:G289)</f>
        <v>24</v>
      </c>
      <c r="I289" s="0" t="n">
        <f aca="false">H289-B289</f>
        <v>19</v>
      </c>
      <c r="J289" s="0" t="n">
        <f aca="false">H289-C289</f>
        <v>21</v>
      </c>
      <c r="K289" s="0" t="n">
        <f aca="false">H289-D289</f>
        <v>20</v>
      </c>
      <c r="L289" s="0" t="n">
        <f aca="false">H289-E289</f>
        <v>21</v>
      </c>
      <c r="M289" s="0" t="n">
        <f aca="false">H289-F289</f>
        <v>20</v>
      </c>
      <c r="N289" s="0" t="n">
        <f aca="false">H289-G289</f>
        <v>19</v>
      </c>
      <c r="O289" s="0" t="n">
        <f aca="false">B289+D289+F289</f>
        <v>13</v>
      </c>
      <c r="P289" s="0" t="n">
        <f aca="false">C289+E289+G289</f>
        <v>11</v>
      </c>
    </row>
    <row r="290" customFormat="false" ht="15" hidden="false" customHeight="false" outlineLevel="0" collapsed="false">
      <c r="A290" s="0" t="n">
        <v>291</v>
      </c>
      <c r="B290" s="0" t="n">
        <f aca="false">Raw_Data!AJ291</f>
        <v>4</v>
      </c>
      <c r="C290" s="0" t="n">
        <f aca="false">Raw_Data!AK291</f>
        <v>4</v>
      </c>
      <c r="D290" s="0" t="n">
        <f aca="false">Raw_Data!AL291</f>
        <v>3</v>
      </c>
      <c r="E290" s="0" t="n">
        <f aca="false">Raw_Data!AM291</f>
        <v>3</v>
      </c>
      <c r="F290" s="0" t="n">
        <f aca="false">Raw_Data!AN291</f>
        <v>3</v>
      </c>
      <c r="G290" s="0" t="n">
        <f aca="false">Raw_Data!AO291</f>
        <v>2</v>
      </c>
      <c r="H290" s="0" t="n">
        <f aca="false">SUM(B290:G290)</f>
        <v>19</v>
      </c>
      <c r="I290" s="0" t="n">
        <f aca="false">H290-B290</f>
        <v>15</v>
      </c>
      <c r="J290" s="0" t="n">
        <f aca="false">H290-C290</f>
        <v>15</v>
      </c>
      <c r="K290" s="0" t="n">
        <f aca="false">H290-D290</f>
        <v>16</v>
      </c>
      <c r="L290" s="0" t="n">
        <f aca="false">H290-E290</f>
        <v>16</v>
      </c>
      <c r="M290" s="0" t="n">
        <f aca="false">H290-F290</f>
        <v>16</v>
      </c>
      <c r="N290" s="0" t="n">
        <f aca="false">H290-G290</f>
        <v>17</v>
      </c>
      <c r="O290" s="0" t="n">
        <f aca="false">B290+D290+F290</f>
        <v>10</v>
      </c>
      <c r="P290" s="0" t="n">
        <f aca="false">C290+E290+G290</f>
        <v>9</v>
      </c>
    </row>
    <row r="291" customFormat="false" ht="15" hidden="false" customHeight="false" outlineLevel="0" collapsed="false">
      <c r="A291" s="0" t="n">
        <v>292</v>
      </c>
      <c r="B291" s="0" t="n">
        <f aca="false">Raw_Data!AJ292</f>
        <v>5</v>
      </c>
      <c r="C291" s="0" t="n">
        <f aca="false">Raw_Data!AK292</f>
        <v>5</v>
      </c>
      <c r="D291" s="0" t="n">
        <f aca="false">Raw_Data!AL292</f>
        <v>5</v>
      </c>
      <c r="E291" s="0" t="n">
        <f aca="false">Raw_Data!AM292</f>
        <v>3</v>
      </c>
      <c r="F291" s="0" t="n">
        <f aca="false">Raw_Data!AN292</f>
        <v>1</v>
      </c>
      <c r="G291" s="0" t="n">
        <f aca="false">Raw_Data!AO292</f>
        <v>3</v>
      </c>
      <c r="H291" s="0" t="n">
        <f aca="false">SUM(B291:G291)</f>
        <v>22</v>
      </c>
      <c r="I291" s="0" t="n">
        <f aca="false">H291-B291</f>
        <v>17</v>
      </c>
      <c r="J291" s="0" t="n">
        <f aca="false">H291-C291</f>
        <v>17</v>
      </c>
      <c r="K291" s="0" t="n">
        <f aca="false">H291-D291</f>
        <v>17</v>
      </c>
      <c r="L291" s="0" t="n">
        <f aca="false">H291-E291</f>
        <v>19</v>
      </c>
      <c r="M291" s="0" t="n">
        <f aca="false">H291-F291</f>
        <v>21</v>
      </c>
      <c r="N291" s="0" t="n">
        <f aca="false">H291-G291</f>
        <v>19</v>
      </c>
      <c r="O291" s="0" t="n">
        <f aca="false">B291+D291+F291</f>
        <v>11</v>
      </c>
      <c r="P291" s="0" t="n">
        <f aca="false">C291+E291+G291</f>
        <v>11</v>
      </c>
    </row>
    <row r="292" customFormat="false" ht="15" hidden="false" customHeight="false" outlineLevel="0" collapsed="false">
      <c r="A292" s="0" t="n">
        <v>293</v>
      </c>
      <c r="B292" s="0" t="n">
        <f aca="false">Raw_Data!AJ293</f>
        <v>4</v>
      </c>
      <c r="C292" s="0" t="n">
        <f aca="false">Raw_Data!AK293</f>
        <v>2</v>
      </c>
      <c r="D292" s="0" t="n">
        <f aca="false">Raw_Data!AL293</f>
        <v>5</v>
      </c>
      <c r="E292" s="0" t="n">
        <f aca="false">Raw_Data!AM293</f>
        <v>5</v>
      </c>
      <c r="F292" s="0" t="n">
        <f aca="false">Raw_Data!AN293</f>
        <v>1</v>
      </c>
      <c r="G292" s="0" t="n">
        <f aca="false">Raw_Data!AO293</f>
        <v>2</v>
      </c>
      <c r="H292" s="0" t="n">
        <f aca="false">SUM(B292:G292)</f>
        <v>19</v>
      </c>
      <c r="I292" s="0" t="n">
        <f aca="false">H292-B292</f>
        <v>15</v>
      </c>
      <c r="J292" s="0" t="n">
        <f aca="false">H292-C292</f>
        <v>17</v>
      </c>
      <c r="K292" s="0" t="n">
        <f aca="false">H292-D292</f>
        <v>14</v>
      </c>
      <c r="L292" s="0" t="n">
        <f aca="false">H292-E292</f>
        <v>14</v>
      </c>
      <c r="M292" s="0" t="n">
        <f aca="false">H292-F292</f>
        <v>18</v>
      </c>
      <c r="N292" s="0" t="n">
        <f aca="false">H292-G292</f>
        <v>17</v>
      </c>
      <c r="O292" s="0" t="n">
        <f aca="false">B292+D292+F292</f>
        <v>10</v>
      </c>
      <c r="P292" s="0" t="n">
        <f aca="false">C292+E292+G292</f>
        <v>9</v>
      </c>
    </row>
    <row r="293" customFormat="false" ht="15" hidden="false" customHeight="false" outlineLevel="0" collapsed="false">
      <c r="A293" s="0" t="n">
        <v>294</v>
      </c>
      <c r="B293" s="0" t="n">
        <f aca="false">Raw_Data!AJ294</f>
        <v>5</v>
      </c>
      <c r="C293" s="0" t="n">
        <f aca="false">Raw_Data!AK294</f>
        <v>3</v>
      </c>
      <c r="D293" s="0" t="n">
        <f aca="false">Raw_Data!AL294</f>
        <v>4</v>
      </c>
      <c r="E293" s="0" t="n">
        <f aca="false">Raw_Data!AM294</f>
        <v>5</v>
      </c>
      <c r="F293" s="0" t="n">
        <f aca="false">Raw_Data!AN294</f>
        <v>4</v>
      </c>
      <c r="G293" s="0" t="n">
        <f aca="false">Raw_Data!AO294</f>
        <v>3</v>
      </c>
      <c r="H293" s="0" t="n">
        <f aca="false">SUM(B293:G293)</f>
        <v>24</v>
      </c>
      <c r="I293" s="0" t="n">
        <f aca="false">H293-B293</f>
        <v>19</v>
      </c>
      <c r="J293" s="0" t="n">
        <f aca="false">H293-C293</f>
        <v>21</v>
      </c>
      <c r="K293" s="0" t="n">
        <f aca="false">H293-D293</f>
        <v>20</v>
      </c>
      <c r="L293" s="0" t="n">
        <f aca="false">H293-E293</f>
        <v>19</v>
      </c>
      <c r="M293" s="0" t="n">
        <f aca="false">H293-F293</f>
        <v>20</v>
      </c>
      <c r="N293" s="0" t="n">
        <f aca="false">H293-G293</f>
        <v>21</v>
      </c>
      <c r="O293" s="0" t="n">
        <f aca="false">B293+D293+F293</f>
        <v>13</v>
      </c>
      <c r="P293" s="0" t="n">
        <f aca="false">C293+E293+G293</f>
        <v>11</v>
      </c>
    </row>
    <row r="294" customFormat="false" ht="15" hidden="false" customHeight="false" outlineLevel="0" collapsed="false">
      <c r="A294" s="0" t="n">
        <v>295</v>
      </c>
      <c r="B294" s="0" t="n">
        <f aca="false">Raw_Data!AJ295</f>
        <v>4</v>
      </c>
      <c r="C294" s="0" t="n">
        <f aca="false">Raw_Data!AK295</f>
        <v>2</v>
      </c>
      <c r="D294" s="0" t="n">
        <f aca="false">Raw_Data!AL295</f>
        <v>5</v>
      </c>
      <c r="E294" s="0" t="n">
        <f aca="false">Raw_Data!AM295</f>
        <v>4</v>
      </c>
      <c r="F294" s="0" t="n">
        <f aca="false">Raw_Data!AN295</f>
        <v>2</v>
      </c>
      <c r="G294" s="0" t="n">
        <f aca="false">Raw_Data!AO295</f>
        <v>2</v>
      </c>
      <c r="H294" s="0" t="n">
        <f aca="false">SUM(B294:G294)</f>
        <v>19</v>
      </c>
      <c r="I294" s="0" t="n">
        <f aca="false">H294-B294</f>
        <v>15</v>
      </c>
      <c r="J294" s="0" t="n">
        <f aca="false">H294-C294</f>
        <v>17</v>
      </c>
      <c r="K294" s="0" t="n">
        <f aca="false">H294-D294</f>
        <v>14</v>
      </c>
      <c r="L294" s="0" t="n">
        <f aca="false">H294-E294</f>
        <v>15</v>
      </c>
      <c r="M294" s="0" t="n">
        <f aca="false">H294-F294</f>
        <v>17</v>
      </c>
      <c r="N294" s="0" t="n">
        <f aca="false">H294-G294</f>
        <v>17</v>
      </c>
      <c r="O294" s="0" t="n">
        <f aca="false">B294+D294+F294</f>
        <v>11</v>
      </c>
      <c r="P294" s="0" t="n">
        <f aca="false">C294+E294+G294</f>
        <v>8</v>
      </c>
    </row>
    <row r="295" customFormat="false" ht="15" hidden="false" customHeight="false" outlineLevel="0" collapsed="false">
      <c r="A295" s="0" t="n">
        <v>296</v>
      </c>
      <c r="B295" s="0" t="n">
        <f aca="false">Raw_Data!AJ296</f>
        <v>3</v>
      </c>
      <c r="C295" s="0" t="n">
        <f aca="false">Raw_Data!AK296</f>
        <v>5</v>
      </c>
      <c r="D295" s="0" t="n">
        <f aca="false">Raw_Data!AL296</f>
        <v>5</v>
      </c>
      <c r="E295" s="0" t="n">
        <f aca="false">Raw_Data!AM296</f>
        <v>4</v>
      </c>
      <c r="F295" s="0" t="n">
        <f aca="false">Raw_Data!AN296</f>
        <v>1</v>
      </c>
      <c r="G295" s="0" t="n">
        <f aca="false">Raw_Data!AO296</f>
        <v>1</v>
      </c>
      <c r="H295" s="0" t="n">
        <f aca="false">SUM(B295:G295)</f>
        <v>19</v>
      </c>
      <c r="I295" s="0" t="n">
        <f aca="false">H295-B295</f>
        <v>16</v>
      </c>
      <c r="J295" s="0" t="n">
        <f aca="false">H295-C295</f>
        <v>14</v>
      </c>
      <c r="K295" s="0" t="n">
        <f aca="false">H295-D295</f>
        <v>14</v>
      </c>
      <c r="L295" s="0" t="n">
        <f aca="false">H295-E295</f>
        <v>15</v>
      </c>
      <c r="M295" s="0" t="n">
        <f aca="false">H295-F295</f>
        <v>18</v>
      </c>
      <c r="N295" s="0" t="n">
        <f aca="false">H295-G295</f>
        <v>18</v>
      </c>
      <c r="O295" s="0" t="n">
        <f aca="false">B295+D295+F295</f>
        <v>9</v>
      </c>
      <c r="P295" s="0" t="n">
        <f aca="false">C295+E295+G295</f>
        <v>10</v>
      </c>
    </row>
    <row r="296" customFormat="false" ht="15" hidden="false" customHeight="false" outlineLevel="0" collapsed="false">
      <c r="A296" s="0" t="n">
        <v>297</v>
      </c>
      <c r="B296" s="0" t="n">
        <f aca="false">Raw_Data!AJ297</f>
        <v>2</v>
      </c>
      <c r="C296" s="0" t="n">
        <f aca="false">Raw_Data!AK297</f>
        <v>2</v>
      </c>
      <c r="D296" s="0" t="n">
        <f aca="false">Raw_Data!AL297</f>
        <v>3</v>
      </c>
      <c r="E296" s="0" t="n">
        <f aca="false">Raw_Data!AM297</f>
        <v>3</v>
      </c>
      <c r="F296" s="0" t="n">
        <f aca="false">Raw_Data!AN297</f>
        <v>3</v>
      </c>
      <c r="G296" s="0" t="n">
        <f aca="false">Raw_Data!AO297</f>
        <v>3</v>
      </c>
      <c r="H296" s="0" t="n">
        <f aca="false">SUM(B296:G296)</f>
        <v>16</v>
      </c>
      <c r="I296" s="0" t="n">
        <f aca="false">H296-B296</f>
        <v>14</v>
      </c>
      <c r="J296" s="0" t="n">
        <f aca="false">H296-C296</f>
        <v>14</v>
      </c>
      <c r="K296" s="0" t="n">
        <f aca="false">H296-D296</f>
        <v>13</v>
      </c>
      <c r="L296" s="0" t="n">
        <f aca="false">H296-E296</f>
        <v>13</v>
      </c>
      <c r="M296" s="0" t="n">
        <f aca="false">H296-F296</f>
        <v>13</v>
      </c>
      <c r="N296" s="0" t="n">
        <f aca="false">H296-G296</f>
        <v>13</v>
      </c>
      <c r="O296" s="0" t="n">
        <f aca="false">B296+D296+F296</f>
        <v>8</v>
      </c>
      <c r="P296" s="0" t="n">
        <f aca="false">C296+E296+G296</f>
        <v>8</v>
      </c>
    </row>
    <row r="297" customFormat="false" ht="15" hidden="false" customHeight="false" outlineLevel="0" collapsed="false">
      <c r="A297" s="0" t="n">
        <v>298</v>
      </c>
      <c r="B297" s="0" t="n">
        <f aca="false">Raw_Data!AJ298</f>
        <v>4</v>
      </c>
      <c r="C297" s="0" t="n">
        <f aca="false">Raw_Data!AK298</f>
        <v>2</v>
      </c>
      <c r="D297" s="0" t="n">
        <f aca="false">Raw_Data!AL298</f>
        <v>5</v>
      </c>
      <c r="E297" s="0" t="n">
        <f aca="false">Raw_Data!AM298</f>
        <v>5</v>
      </c>
      <c r="F297" s="0" t="n">
        <f aca="false">Raw_Data!AN298</f>
        <v>3</v>
      </c>
      <c r="G297" s="0" t="n">
        <f aca="false">Raw_Data!AO298</f>
        <v>3</v>
      </c>
      <c r="H297" s="0" t="n">
        <f aca="false">SUM(B297:G297)</f>
        <v>22</v>
      </c>
      <c r="I297" s="0" t="n">
        <f aca="false">H297-B297</f>
        <v>18</v>
      </c>
      <c r="J297" s="0" t="n">
        <f aca="false">H297-C297</f>
        <v>20</v>
      </c>
      <c r="K297" s="0" t="n">
        <f aca="false">H297-D297</f>
        <v>17</v>
      </c>
      <c r="L297" s="0" t="n">
        <f aca="false">H297-E297</f>
        <v>17</v>
      </c>
      <c r="M297" s="0" t="n">
        <f aca="false">H297-F297</f>
        <v>19</v>
      </c>
      <c r="N297" s="0" t="n">
        <f aca="false">H297-G297</f>
        <v>19</v>
      </c>
      <c r="O297" s="0" t="n">
        <f aca="false">B297+D297+F297</f>
        <v>12</v>
      </c>
      <c r="P297" s="0" t="n">
        <f aca="false">C297+E297+G297</f>
        <v>10</v>
      </c>
    </row>
    <row r="298" customFormat="false" ht="15" hidden="false" customHeight="false" outlineLevel="0" collapsed="false">
      <c r="A298" s="0" t="n">
        <v>299</v>
      </c>
      <c r="B298" s="0" t="n">
        <f aca="false">Raw_Data!AJ299</f>
        <v>4</v>
      </c>
      <c r="C298" s="0" t="n">
        <f aca="false">Raw_Data!AK299</f>
        <v>3</v>
      </c>
      <c r="D298" s="0" t="n">
        <f aca="false">Raw_Data!AL299</f>
        <v>4</v>
      </c>
      <c r="E298" s="0" t="n">
        <f aca="false">Raw_Data!AM299</f>
        <v>3</v>
      </c>
      <c r="F298" s="0" t="n">
        <f aca="false">Raw_Data!AN299</f>
        <v>3</v>
      </c>
      <c r="G298" s="0" t="n">
        <f aca="false">Raw_Data!AO299</f>
        <v>3</v>
      </c>
      <c r="H298" s="0" t="n">
        <f aca="false">SUM(B298:G298)</f>
        <v>20</v>
      </c>
      <c r="I298" s="0" t="n">
        <f aca="false">H298-B298</f>
        <v>16</v>
      </c>
      <c r="J298" s="0" t="n">
        <f aca="false">H298-C298</f>
        <v>17</v>
      </c>
      <c r="K298" s="0" t="n">
        <f aca="false">H298-D298</f>
        <v>16</v>
      </c>
      <c r="L298" s="0" t="n">
        <f aca="false">H298-E298</f>
        <v>17</v>
      </c>
      <c r="M298" s="0" t="n">
        <f aca="false">H298-F298</f>
        <v>17</v>
      </c>
      <c r="N298" s="0" t="n">
        <f aca="false">H298-G298</f>
        <v>17</v>
      </c>
      <c r="O298" s="0" t="n">
        <f aca="false">B298+D298+F298</f>
        <v>11</v>
      </c>
      <c r="P298" s="0" t="n">
        <f aca="false">C298+E298+G298</f>
        <v>9</v>
      </c>
    </row>
    <row r="299" customFormat="false" ht="15" hidden="false" customHeight="false" outlineLevel="0" collapsed="false">
      <c r="A299" s="0" t="n">
        <v>300</v>
      </c>
      <c r="B299" s="0" t="n">
        <f aca="false">Raw_Data!AJ300</f>
        <v>4</v>
      </c>
      <c r="C299" s="0" t="n">
        <f aca="false">Raw_Data!AK300</f>
        <v>3</v>
      </c>
      <c r="D299" s="0" t="n">
        <f aca="false">Raw_Data!AL300</f>
        <v>5</v>
      </c>
      <c r="E299" s="0" t="n">
        <f aca="false">Raw_Data!AM300</f>
        <v>4</v>
      </c>
      <c r="F299" s="0" t="n">
        <f aca="false">Raw_Data!AN300</f>
        <v>3</v>
      </c>
      <c r="G299" s="0" t="n">
        <f aca="false">Raw_Data!AO300</f>
        <v>3</v>
      </c>
      <c r="H299" s="0" t="n">
        <f aca="false">SUM(B299:G299)</f>
        <v>22</v>
      </c>
      <c r="I299" s="0" t="n">
        <f aca="false">H299-B299</f>
        <v>18</v>
      </c>
      <c r="J299" s="0" t="n">
        <f aca="false">H299-C299</f>
        <v>19</v>
      </c>
      <c r="K299" s="0" t="n">
        <f aca="false">H299-D299</f>
        <v>17</v>
      </c>
      <c r="L299" s="0" t="n">
        <f aca="false">H299-E299</f>
        <v>18</v>
      </c>
      <c r="M299" s="0" t="n">
        <f aca="false">H299-F299</f>
        <v>19</v>
      </c>
      <c r="N299" s="0" t="n">
        <f aca="false">H299-G299</f>
        <v>19</v>
      </c>
      <c r="O299" s="0" t="n">
        <f aca="false">B299+D299+F299</f>
        <v>12</v>
      </c>
      <c r="P299" s="0" t="n">
        <f aca="false">C299+E299+G299</f>
        <v>10</v>
      </c>
    </row>
    <row r="300" customFormat="false" ht="15" hidden="false" customHeight="false" outlineLevel="0" collapsed="false">
      <c r="A300" s="0" t="n">
        <v>301</v>
      </c>
      <c r="B300" s="0" t="n">
        <f aca="false">Raw_Data!AJ301</f>
        <v>3</v>
      </c>
      <c r="C300" s="0" t="n">
        <f aca="false">Raw_Data!AK301</f>
        <v>3</v>
      </c>
      <c r="D300" s="0" t="n">
        <f aca="false">Raw_Data!AL301</f>
        <v>3</v>
      </c>
      <c r="E300" s="0" t="n">
        <f aca="false">Raw_Data!AM301</f>
        <v>3</v>
      </c>
      <c r="F300" s="0" t="n">
        <f aca="false">Raw_Data!AN301</f>
        <v>2</v>
      </c>
      <c r="G300" s="0" t="n">
        <f aca="false">Raw_Data!AO301</f>
        <v>3</v>
      </c>
      <c r="H300" s="0" t="n">
        <f aca="false">SUM(B300:G300)</f>
        <v>17</v>
      </c>
      <c r="I300" s="0" t="n">
        <f aca="false">H300-B300</f>
        <v>14</v>
      </c>
      <c r="J300" s="0" t="n">
        <f aca="false">H300-C300</f>
        <v>14</v>
      </c>
      <c r="K300" s="0" t="n">
        <f aca="false">H300-D300</f>
        <v>14</v>
      </c>
      <c r="L300" s="0" t="n">
        <f aca="false">H300-E300</f>
        <v>14</v>
      </c>
      <c r="M300" s="0" t="n">
        <f aca="false">H300-F300</f>
        <v>15</v>
      </c>
      <c r="N300" s="0" t="n">
        <f aca="false">H300-G300</f>
        <v>14</v>
      </c>
      <c r="O300" s="0" t="n">
        <f aca="false">B300+D300+F300</f>
        <v>8</v>
      </c>
      <c r="P300" s="0" t="n">
        <f aca="false">C300+E300+G300</f>
        <v>9</v>
      </c>
    </row>
    <row r="301" customFormat="false" ht="15" hidden="false" customHeight="false" outlineLevel="0" collapsed="false">
      <c r="A301" s="0" t="n">
        <v>302</v>
      </c>
      <c r="B301" s="0" t="n">
        <f aca="false">Raw_Data!AJ302</f>
        <v>5</v>
      </c>
      <c r="C301" s="0" t="n">
        <f aca="false">Raw_Data!AK302</f>
        <v>4</v>
      </c>
      <c r="D301" s="0" t="n">
        <f aca="false">Raw_Data!AL302</f>
        <v>5</v>
      </c>
      <c r="E301" s="0" t="n">
        <f aca="false">Raw_Data!AM302</f>
        <v>3</v>
      </c>
      <c r="F301" s="0" t="n">
        <f aca="false">Raw_Data!AN302</f>
        <v>4</v>
      </c>
      <c r="G301" s="0" t="n">
        <f aca="false">Raw_Data!AO302</f>
        <v>3</v>
      </c>
      <c r="H301" s="0" t="n">
        <f aca="false">SUM(B301:G301)</f>
        <v>24</v>
      </c>
      <c r="I301" s="0" t="n">
        <f aca="false">H301-B301</f>
        <v>19</v>
      </c>
      <c r="J301" s="0" t="n">
        <f aca="false">H301-C301</f>
        <v>20</v>
      </c>
      <c r="K301" s="0" t="n">
        <f aca="false">H301-D301</f>
        <v>19</v>
      </c>
      <c r="L301" s="0" t="n">
        <f aca="false">H301-E301</f>
        <v>21</v>
      </c>
      <c r="M301" s="0" t="n">
        <f aca="false">H301-F301</f>
        <v>20</v>
      </c>
      <c r="N301" s="0" t="n">
        <f aca="false">H301-G301</f>
        <v>21</v>
      </c>
      <c r="O301" s="0" t="n">
        <f aca="false">B301+D301+F301</f>
        <v>14</v>
      </c>
      <c r="P301" s="0" t="n">
        <f aca="false">C301+E301+G301</f>
        <v>10</v>
      </c>
    </row>
    <row r="302" customFormat="false" ht="15" hidden="false" customHeight="false" outlineLevel="0" collapsed="false">
      <c r="A302" s="0" t="n">
        <v>303</v>
      </c>
      <c r="B302" s="0" t="n">
        <f aca="false">Raw_Data!AJ303</f>
        <v>3</v>
      </c>
      <c r="C302" s="0" t="n">
        <f aca="false">Raw_Data!AK303</f>
        <v>3</v>
      </c>
      <c r="D302" s="0" t="n">
        <f aca="false">Raw_Data!AL303</f>
        <v>4</v>
      </c>
      <c r="E302" s="0" t="n">
        <f aca="false">Raw_Data!AM303</f>
        <v>2</v>
      </c>
      <c r="F302" s="0" t="n">
        <f aca="false">Raw_Data!AN303</f>
        <v>3</v>
      </c>
      <c r="G302" s="0" t="n">
        <f aca="false">Raw_Data!AO303</f>
        <v>2</v>
      </c>
      <c r="H302" s="0" t="n">
        <f aca="false">SUM(B302:G302)</f>
        <v>17</v>
      </c>
      <c r="I302" s="0" t="n">
        <f aca="false">H302-B302</f>
        <v>14</v>
      </c>
      <c r="J302" s="0" t="n">
        <f aca="false">H302-C302</f>
        <v>14</v>
      </c>
      <c r="K302" s="0" t="n">
        <f aca="false">H302-D302</f>
        <v>13</v>
      </c>
      <c r="L302" s="0" t="n">
        <f aca="false">H302-E302</f>
        <v>15</v>
      </c>
      <c r="M302" s="0" t="n">
        <f aca="false">H302-F302</f>
        <v>14</v>
      </c>
      <c r="N302" s="0" t="n">
        <f aca="false">H302-G302</f>
        <v>15</v>
      </c>
      <c r="O302" s="0" t="n">
        <f aca="false">B302+D302+F302</f>
        <v>10</v>
      </c>
      <c r="P302" s="0" t="n">
        <f aca="false">C302+E302+G302</f>
        <v>7</v>
      </c>
    </row>
    <row r="303" customFormat="false" ht="15" hidden="false" customHeight="false" outlineLevel="0" collapsed="false">
      <c r="A303" s="0" t="n">
        <v>304</v>
      </c>
      <c r="B303" s="0" t="n">
        <f aca="false">Raw_Data!AJ304</f>
        <v>1</v>
      </c>
      <c r="C303" s="0" t="n">
        <f aca="false">Raw_Data!AK304</f>
        <v>2</v>
      </c>
      <c r="D303" s="0" t="n">
        <f aca="false">Raw_Data!AL304</f>
        <v>5</v>
      </c>
      <c r="E303" s="0" t="n">
        <f aca="false">Raw_Data!AM304</f>
        <v>2</v>
      </c>
      <c r="F303" s="0" t="n">
        <f aca="false">Raw_Data!AN304</f>
        <v>4</v>
      </c>
      <c r="G303" s="0" t="n">
        <f aca="false">Raw_Data!AO304</f>
        <v>2</v>
      </c>
      <c r="H303" s="0" t="n">
        <f aca="false">SUM(B303:G303)</f>
        <v>16</v>
      </c>
      <c r="I303" s="0" t="n">
        <f aca="false">H303-B303</f>
        <v>15</v>
      </c>
      <c r="J303" s="0" t="n">
        <f aca="false">H303-C303</f>
        <v>14</v>
      </c>
      <c r="K303" s="0" t="n">
        <f aca="false">H303-D303</f>
        <v>11</v>
      </c>
      <c r="L303" s="0" t="n">
        <f aca="false">H303-E303</f>
        <v>14</v>
      </c>
      <c r="M303" s="0" t="n">
        <f aca="false">H303-F303</f>
        <v>12</v>
      </c>
      <c r="N303" s="0" t="n">
        <f aca="false">H303-G303</f>
        <v>14</v>
      </c>
      <c r="O303" s="0" t="n">
        <f aca="false">B303+D303+F303</f>
        <v>10</v>
      </c>
      <c r="P303" s="0" t="n">
        <f aca="false">C303+E303+G303</f>
        <v>6</v>
      </c>
    </row>
    <row r="304" customFormat="false" ht="15" hidden="false" customHeight="false" outlineLevel="0" collapsed="false">
      <c r="A304" s="0" t="n">
        <v>305</v>
      </c>
      <c r="B304" s="0" t="n">
        <f aca="false">Raw_Data!AJ305</f>
        <v>5</v>
      </c>
      <c r="C304" s="0" t="n">
        <f aca="false">Raw_Data!AK305</f>
        <v>2</v>
      </c>
      <c r="D304" s="0" t="n">
        <f aca="false">Raw_Data!AL305</f>
        <v>3</v>
      </c>
      <c r="E304" s="0" t="n">
        <f aca="false">Raw_Data!AM305</f>
        <v>3</v>
      </c>
      <c r="F304" s="0" t="n">
        <f aca="false">Raw_Data!AN305</f>
        <v>3</v>
      </c>
      <c r="G304" s="0" t="n">
        <f aca="false">Raw_Data!AO305</f>
        <v>2</v>
      </c>
      <c r="H304" s="0" t="n">
        <f aca="false">SUM(B304:G304)</f>
        <v>18</v>
      </c>
      <c r="I304" s="0" t="n">
        <f aca="false">H304-B304</f>
        <v>13</v>
      </c>
      <c r="J304" s="0" t="n">
        <f aca="false">H304-C304</f>
        <v>16</v>
      </c>
      <c r="K304" s="0" t="n">
        <f aca="false">H304-D304</f>
        <v>15</v>
      </c>
      <c r="L304" s="0" t="n">
        <f aca="false">H304-E304</f>
        <v>15</v>
      </c>
      <c r="M304" s="0" t="n">
        <f aca="false">H304-F304</f>
        <v>15</v>
      </c>
      <c r="N304" s="0" t="n">
        <f aca="false">H304-G304</f>
        <v>16</v>
      </c>
      <c r="O304" s="0" t="n">
        <f aca="false">B304+D304+F304</f>
        <v>11</v>
      </c>
      <c r="P304" s="0" t="n">
        <f aca="false">C304+E304+G304</f>
        <v>7</v>
      </c>
    </row>
    <row r="305" customFormat="false" ht="15" hidden="false" customHeight="false" outlineLevel="0" collapsed="false">
      <c r="A305" s="0" t="n">
        <v>306</v>
      </c>
      <c r="B305" s="0" t="n">
        <f aca="false">Raw_Data!AJ306</f>
        <v>5</v>
      </c>
      <c r="C305" s="0" t="n">
        <f aca="false">Raw_Data!AK306</f>
        <v>4</v>
      </c>
      <c r="D305" s="0" t="n">
        <f aca="false">Raw_Data!AL306</f>
        <v>5</v>
      </c>
      <c r="E305" s="0" t="n">
        <f aca="false">Raw_Data!AM306</f>
        <v>4</v>
      </c>
      <c r="F305" s="0" t="n">
        <f aca="false">Raw_Data!AN306</f>
        <v>5</v>
      </c>
      <c r="G305" s="0" t="n">
        <f aca="false">Raw_Data!AO306</f>
        <v>5</v>
      </c>
      <c r="H305" s="0" t="n">
        <f aca="false">SUM(B305:G305)</f>
        <v>28</v>
      </c>
      <c r="I305" s="0" t="n">
        <f aca="false">H305-B305</f>
        <v>23</v>
      </c>
      <c r="J305" s="0" t="n">
        <f aca="false">H305-C305</f>
        <v>24</v>
      </c>
      <c r="K305" s="0" t="n">
        <f aca="false">H305-D305</f>
        <v>23</v>
      </c>
      <c r="L305" s="0" t="n">
        <f aca="false">H305-E305</f>
        <v>24</v>
      </c>
      <c r="M305" s="0" t="n">
        <f aca="false">H305-F305</f>
        <v>23</v>
      </c>
      <c r="N305" s="0" t="n">
        <f aca="false">H305-G305</f>
        <v>23</v>
      </c>
      <c r="O305" s="0" t="n">
        <f aca="false">B305+D305+F305</f>
        <v>15</v>
      </c>
      <c r="P305" s="0" t="n">
        <f aca="false">C305+E305+G305</f>
        <v>13</v>
      </c>
    </row>
    <row r="306" customFormat="false" ht="15" hidden="false" customHeight="false" outlineLevel="0" collapsed="false">
      <c r="A306" s="0" t="n">
        <v>307</v>
      </c>
      <c r="B306" s="0" t="n">
        <f aca="false">Raw_Data!AJ307</f>
        <v>2</v>
      </c>
      <c r="C306" s="0" t="n">
        <f aca="false">Raw_Data!AK307</f>
        <v>1</v>
      </c>
      <c r="D306" s="0" t="n">
        <f aca="false">Raw_Data!AL307</f>
        <v>5</v>
      </c>
      <c r="E306" s="0" t="n">
        <f aca="false">Raw_Data!AM307</f>
        <v>4</v>
      </c>
      <c r="F306" s="0" t="n">
        <f aca="false">Raw_Data!AN307</f>
        <v>1</v>
      </c>
      <c r="G306" s="0" t="n">
        <f aca="false">Raw_Data!AO307</f>
        <v>5</v>
      </c>
      <c r="H306" s="0" t="n">
        <f aca="false">SUM(B306:G306)</f>
        <v>18</v>
      </c>
      <c r="I306" s="0" t="n">
        <f aca="false">H306-B306</f>
        <v>16</v>
      </c>
      <c r="J306" s="0" t="n">
        <f aca="false">H306-C306</f>
        <v>17</v>
      </c>
      <c r="K306" s="0" t="n">
        <f aca="false">H306-D306</f>
        <v>13</v>
      </c>
      <c r="L306" s="0" t="n">
        <f aca="false">H306-E306</f>
        <v>14</v>
      </c>
      <c r="M306" s="0" t="n">
        <f aca="false">H306-F306</f>
        <v>17</v>
      </c>
      <c r="N306" s="0" t="n">
        <f aca="false">H306-G306</f>
        <v>13</v>
      </c>
      <c r="O306" s="0" t="n">
        <f aca="false">B306+D306+F306</f>
        <v>8</v>
      </c>
      <c r="P306" s="0" t="n">
        <f aca="false">C306+E306+G306</f>
        <v>10</v>
      </c>
    </row>
    <row r="307" customFormat="false" ht="15" hidden="false" customHeight="false" outlineLevel="0" collapsed="false">
      <c r="A307" s="0" t="n">
        <v>308</v>
      </c>
      <c r="B307" s="0" t="n">
        <f aca="false">Raw_Data!AJ308</f>
        <v>2</v>
      </c>
      <c r="C307" s="0" t="n">
        <f aca="false">Raw_Data!AK308</f>
        <v>2</v>
      </c>
      <c r="D307" s="0" t="n">
        <f aca="false">Raw_Data!AL308</f>
        <v>5</v>
      </c>
      <c r="E307" s="0" t="n">
        <f aca="false">Raw_Data!AM308</f>
        <v>3</v>
      </c>
      <c r="F307" s="0" t="n">
        <f aca="false">Raw_Data!AN308</f>
        <v>4</v>
      </c>
      <c r="G307" s="0" t="n">
        <f aca="false">Raw_Data!AO308</f>
        <v>2</v>
      </c>
      <c r="H307" s="0" t="n">
        <f aca="false">SUM(B307:G307)</f>
        <v>18</v>
      </c>
      <c r="I307" s="0" t="n">
        <f aca="false">H307-B307</f>
        <v>16</v>
      </c>
      <c r="J307" s="0" t="n">
        <f aca="false">H307-C307</f>
        <v>16</v>
      </c>
      <c r="K307" s="0" t="n">
        <f aca="false">H307-D307</f>
        <v>13</v>
      </c>
      <c r="L307" s="0" t="n">
        <f aca="false">H307-E307</f>
        <v>15</v>
      </c>
      <c r="M307" s="0" t="n">
        <f aca="false">H307-F307</f>
        <v>14</v>
      </c>
      <c r="N307" s="0" t="n">
        <f aca="false">H307-G307</f>
        <v>16</v>
      </c>
      <c r="O307" s="0" t="n">
        <f aca="false">B307+D307+F307</f>
        <v>11</v>
      </c>
      <c r="P307" s="0" t="n">
        <f aca="false">C307+E307+G307</f>
        <v>7</v>
      </c>
    </row>
    <row r="308" customFormat="false" ht="15" hidden="false" customHeight="false" outlineLevel="0" collapsed="false">
      <c r="A308" s="0" t="n">
        <v>309</v>
      </c>
      <c r="B308" s="0" t="n">
        <f aca="false">Raw_Data!AJ309</f>
        <v>4</v>
      </c>
      <c r="C308" s="0" t="n">
        <f aca="false">Raw_Data!AK309</f>
        <v>3</v>
      </c>
      <c r="D308" s="0" t="n">
        <f aca="false">Raw_Data!AL309</f>
        <v>3</v>
      </c>
      <c r="E308" s="0" t="n">
        <f aca="false">Raw_Data!AM309</f>
        <v>4</v>
      </c>
      <c r="F308" s="0" t="n">
        <f aca="false">Raw_Data!AN309</f>
        <v>4</v>
      </c>
      <c r="G308" s="0" t="n">
        <f aca="false">Raw_Data!AO309</f>
        <v>3</v>
      </c>
      <c r="H308" s="0" t="n">
        <f aca="false">SUM(B308:G308)</f>
        <v>21</v>
      </c>
      <c r="I308" s="0" t="n">
        <f aca="false">H308-B308</f>
        <v>17</v>
      </c>
      <c r="J308" s="0" t="n">
        <f aca="false">H308-C308</f>
        <v>18</v>
      </c>
      <c r="K308" s="0" t="n">
        <f aca="false">H308-D308</f>
        <v>18</v>
      </c>
      <c r="L308" s="0" t="n">
        <f aca="false">H308-E308</f>
        <v>17</v>
      </c>
      <c r="M308" s="0" t="n">
        <f aca="false">H308-F308</f>
        <v>17</v>
      </c>
      <c r="N308" s="0" t="n">
        <f aca="false">H308-G308</f>
        <v>18</v>
      </c>
      <c r="O308" s="0" t="n">
        <f aca="false">B308+D308+F308</f>
        <v>11</v>
      </c>
      <c r="P308" s="0" t="n">
        <f aca="false">C308+E308+G308</f>
        <v>10</v>
      </c>
    </row>
    <row r="309" customFormat="false" ht="15" hidden="false" customHeight="false" outlineLevel="0" collapsed="false">
      <c r="A309" s="0" t="n">
        <v>310</v>
      </c>
      <c r="B309" s="0" t="n">
        <f aca="false">Raw_Data!AJ310</f>
        <v>3</v>
      </c>
      <c r="C309" s="0" t="n">
        <f aca="false">Raw_Data!AK310</f>
        <v>3</v>
      </c>
      <c r="D309" s="0" t="n">
        <f aca="false">Raw_Data!AL310</f>
        <v>5</v>
      </c>
      <c r="E309" s="0" t="n">
        <f aca="false">Raw_Data!AM310</f>
        <v>3</v>
      </c>
      <c r="F309" s="0" t="n">
        <f aca="false">Raw_Data!AN310</f>
        <v>2</v>
      </c>
      <c r="G309" s="0" t="n">
        <f aca="false">Raw_Data!AO310</f>
        <v>5</v>
      </c>
      <c r="H309" s="0" t="n">
        <f aca="false">SUM(B309:G309)</f>
        <v>21</v>
      </c>
      <c r="I309" s="0" t="n">
        <f aca="false">H309-B309</f>
        <v>18</v>
      </c>
      <c r="J309" s="0" t="n">
        <f aca="false">H309-C309</f>
        <v>18</v>
      </c>
      <c r="K309" s="0" t="n">
        <f aca="false">H309-D309</f>
        <v>16</v>
      </c>
      <c r="L309" s="0" t="n">
        <f aca="false">H309-E309</f>
        <v>18</v>
      </c>
      <c r="M309" s="0" t="n">
        <f aca="false">H309-F309</f>
        <v>19</v>
      </c>
      <c r="N309" s="0" t="n">
        <f aca="false">H309-G309</f>
        <v>16</v>
      </c>
      <c r="O309" s="0" t="n">
        <f aca="false">B309+D309+F309</f>
        <v>10</v>
      </c>
      <c r="P309" s="0" t="n">
        <f aca="false">C309+E309+G309</f>
        <v>11</v>
      </c>
    </row>
    <row r="310" customFormat="false" ht="15" hidden="false" customHeight="false" outlineLevel="0" collapsed="false">
      <c r="A310" s="0" t="n">
        <v>311</v>
      </c>
      <c r="B310" s="0" t="n">
        <f aca="false">Raw_Data!AJ311</f>
        <v>4</v>
      </c>
      <c r="C310" s="0" t="n">
        <f aca="false">Raw_Data!AK311</f>
        <v>4</v>
      </c>
      <c r="D310" s="0" t="n">
        <f aca="false">Raw_Data!AL311</f>
        <v>5</v>
      </c>
      <c r="E310" s="0" t="n">
        <f aca="false">Raw_Data!AM311</f>
        <v>4</v>
      </c>
      <c r="F310" s="0" t="n">
        <f aca="false">Raw_Data!AN311</f>
        <v>3</v>
      </c>
      <c r="G310" s="0" t="n">
        <f aca="false">Raw_Data!AO311</f>
        <v>2</v>
      </c>
      <c r="H310" s="0" t="n">
        <f aca="false">SUM(B310:G310)</f>
        <v>22</v>
      </c>
      <c r="I310" s="0" t="n">
        <f aca="false">H310-B310</f>
        <v>18</v>
      </c>
      <c r="J310" s="0" t="n">
        <f aca="false">H310-C310</f>
        <v>18</v>
      </c>
      <c r="K310" s="0" t="n">
        <f aca="false">H310-D310</f>
        <v>17</v>
      </c>
      <c r="L310" s="0" t="n">
        <f aca="false">H310-E310</f>
        <v>18</v>
      </c>
      <c r="M310" s="0" t="n">
        <f aca="false">H310-F310</f>
        <v>19</v>
      </c>
      <c r="N310" s="0" t="n">
        <f aca="false">H310-G310</f>
        <v>20</v>
      </c>
      <c r="O310" s="0" t="n">
        <f aca="false">B310+D310+F310</f>
        <v>12</v>
      </c>
      <c r="P310" s="0" t="n">
        <f aca="false">C310+E310+G310</f>
        <v>10</v>
      </c>
    </row>
    <row r="311" customFormat="false" ht="15" hidden="false" customHeight="false" outlineLevel="0" collapsed="false">
      <c r="A311" s="0" t="n">
        <v>312</v>
      </c>
      <c r="B311" s="0" t="n">
        <f aca="false">Raw_Data!AJ312</f>
        <v>2</v>
      </c>
      <c r="C311" s="0" t="n">
        <f aca="false">Raw_Data!AK312</f>
        <v>2</v>
      </c>
      <c r="D311" s="0" t="n">
        <f aca="false">Raw_Data!AL312</f>
        <v>5</v>
      </c>
      <c r="E311" s="0" t="n">
        <f aca="false">Raw_Data!AM312</f>
        <v>4</v>
      </c>
      <c r="F311" s="0" t="n">
        <f aca="false">Raw_Data!AN312</f>
        <v>3</v>
      </c>
      <c r="G311" s="0" t="n">
        <f aca="false">Raw_Data!AO312</f>
        <v>2</v>
      </c>
      <c r="H311" s="0" t="n">
        <f aca="false">SUM(B311:G311)</f>
        <v>18</v>
      </c>
      <c r="I311" s="0" t="n">
        <f aca="false">H311-B311</f>
        <v>16</v>
      </c>
      <c r="J311" s="0" t="n">
        <f aca="false">H311-C311</f>
        <v>16</v>
      </c>
      <c r="K311" s="0" t="n">
        <f aca="false">H311-D311</f>
        <v>13</v>
      </c>
      <c r="L311" s="0" t="n">
        <f aca="false">H311-E311</f>
        <v>14</v>
      </c>
      <c r="M311" s="0" t="n">
        <f aca="false">H311-F311</f>
        <v>15</v>
      </c>
      <c r="N311" s="0" t="n">
        <f aca="false">H311-G311</f>
        <v>16</v>
      </c>
      <c r="O311" s="0" t="n">
        <f aca="false">B311+D311+F311</f>
        <v>10</v>
      </c>
      <c r="P311" s="0" t="n">
        <f aca="false">C311+E311+G311</f>
        <v>8</v>
      </c>
    </row>
    <row r="312" customFormat="false" ht="15" hidden="false" customHeight="false" outlineLevel="0" collapsed="false">
      <c r="A312" s="0" t="n">
        <v>313</v>
      </c>
      <c r="B312" s="0" t="n">
        <f aca="false">Raw_Data!AJ313</f>
        <v>5</v>
      </c>
      <c r="C312" s="0" t="n">
        <f aca="false">Raw_Data!AK313</f>
        <v>3</v>
      </c>
      <c r="D312" s="0" t="n">
        <f aca="false">Raw_Data!AL313</f>
        <v>5</v>
      </c>
      <c r="E312" s="0" t="n">
        <f aca="false">Raw_Data!AM313</f>
        <v>5</v>
      </c>
      <c r="F312" s="0" t="n">
        <f aca="false">Raw_Data!AN313</f>
        <v>4</v>
      </c>
      <c r="G312" s="0" t="n">
        <f aca="false">Raw_Data!AO313</f>
        <v>3</v>
      </c>
      <c r="H312" s="0" t="n">
        <f aca="false">SUM(B312:G312)</f>
        <v>25</v>
      </c>
      <c r="I312" s="0" t="n">
        <f aca="false">H312-B312</f>
        <v>20</v>
      </c>
      <c r="J312" s="0" t="n">
        <f aca="false">H312-C312</f>
        <v>22</v>
      </c>
      <c r="K312" s="0" t="n">
        <f aca="false">H312-D312</f>
        <v>20</v>
      </c>
      <c r="L312" s="0" t="n">
        <f aca="false">H312-E312</f>
        <v>20</v>
      </c>
      <c r="M312" s="0" t="n">
        <f aca="false">H312-F312</f>
        <v>21</v>
      </c>
      <c r="N312" s="0" t="n">
        <f aca="false">H312-G312</f>
        <v>22</v>
      </c>
      <c r="O312" s="0" t="n">
        <f aca="false">B312+D312+F312</f>
        <v>14</v>
      </c>
      <c r="P312" s="0" t="n">
        <f aca="false">C312+E312+G312</f>
        <v>11</v>
      </c>
    </row>
    <row r="313" customFormat="false" ht="15" hidden="false" customHeight="false" outlineLevel="0" collapsed="false">
      <c r="A313" s="0" t="n">
        <v>314</v>
      </c>
      <c r="B313" s="0" t="n">
        <f aca="false">Raw_Data!AJ314</f>
        <v>5</v>
      </c>
      <c r="C313" s="0" t="n">
        <f aca="false">Raw_Data!AK314</f>
        <v>4</v>
      </c>
      <c r="D313" s="0" t="n">
        <f aca="false">Raw_Data!AL314</f>
        <v>4</v>
      </c>
      <c r="E313" s="0" t="n">
        <f aca="false">Raw_Data!AM314</f>
        <v>3</v>
      </c>
      <c r="F313" s="0" t="n">
        <f aca="false">Raw_Data!AN314</f>
        <v>3</v>
      </c>
      <c r="G313" s="0" t="n">
        <f aca="false">Raw_Data!AO314</f>
        <v>4</v>
      </c>
      <c r="H313" s="0" t="n">
        <f aca="false">SUM(B313:G313)</f>
        <v>23</v>
      </c>
      <c r="I313" s="0" t="n">
        <f aca="false">H313-B313</f>
        <v>18</v>
      </c>
      <c r="J313" s="0" t="n">
        <f aca="false">H313-C313</f>
        <v>19</v>
      </c>
      <c r="K313" s="0" t="n">
        <f aca="false">H313-D313</f>
        <v>19</v>
      </c>
      <c r="L313" s="0" t="n">
        <f aca="false">H313-E313</f>
        <v>20</v>
      </c>
      <c r="M313" s="0" t="n">
        <f aca="false">H313-F313</f>
        <v>20</v>
      </c>
      <c r="N313" s="0" t="n">
        <f aca="false">H313-G313</f>
        <v>19</v>
      </c>
      <c r="O313" s="0" t="n">
        <f aca="false">B313+D313+F313</f>
        <v>12</v>
      </c>
      <c r="P313" s="0" t="n">
        <f aca="false">C313+E313+G313</f>
        <v>11</v>
      </c>
    </row>
    <row r="314" customFormat="false" ht="15" hidden="false" customHeight="false" outlineLevel="0" collapsed="false">
      <c r="A314" s="0" t="n">
        <v>315</v>
      </c>
      <c r="B314" s="0" t="n">
        <f aca="false">Raw_Data!AJ315</f>
        <v>5</v>
      </c>
      <c r="C314" s="0" t="n">
        <f aca="false">Raw_Data!AK315</f>
        <v>4</v>
      </c>
      <c r="D314" s="0" t="n">
        <f aca="false">Raw_Data!AL315</f>
        <v>4</v>
      </c>
      <c r="E314" s="0" t="n">
        <f aca="false">Raw_Data!AM315</f>
        <v>4</v>
      </c>
      <c r="F314" s="0" t="n">
        <f aca="false">Raw_Data!AN315</f>
        <v>4</v>
      </c>
      <c r="G314" s="0" t="n">
        <f aca="false">Raw_Data!AO315</f>
        <v>5</v>
      </c>
      <c r="H314" s="0" t="n">
        <f aca="false">SUM(B314:G314)</f>
        <v>26</v>
      </c>
      <c r="I314" s="0" t="n">
        <f aca="false">H314-B314</f>
        <v>21</v>
      </c>
      <c r="J314" s="0" t="n">
        <f aca="false">H314-C314</f>
        <v>22</v>
      </c>
      <c r="K314" s="0" t="n">
        <f aca="false">H314-D314</f>
        <v>22</v>
      </c>
      <c r="L314" s="0" t="n">
        <f aca="false">H314-E314</f>
        <v>22</v>
      </c>
      <c r="M314" s="0" t="n">
        <f aca="false">H314-F314</f>
        <v>22</v>
      </c>
      <c r="N314" s="0" t="n">
        <f aca="false">H314-G314</f>
        <v>21</v>
      </c>
      <c r="O314" s="0" t="n">
        <f aca="false">B314+D314+F314</f>
        <v>13</v>
      </c>
      <c r="P314" s="0" t="n">
        <f aca="false">C314+E314+G314</f>
        <v>13</v>
      </c>
    </row>
    <row r="315" customFormat="false" ht="15" hidden="false" customHeight="false" outlineLevel="0" collapsed="false">
      <c r="A315" s="0" t="n">
        <v>316</v>
      </c>
      <c r="B315" s="0" t="n">
        <f aca="false">Raw_Data!AJ316</f>
        <v>3</v>
      </c>
      <c r="C315" s="0" t="n">
        <f aca="false">Raw_Data!AK316</f>
        <v>2</v>
      </c>
      <c r="D315" s="0" t="n">
        <f aca="false">Raw_Data!AL316</f>
        <v>4</v>
      </c>
      <c r="E315" s="0" t="n">
        <f aca="false">Raw_Data!AM316</f>
        <v>3</v>
      </c>
      <c r="F315" s="0" t="n">
        <f aca="false">Raw_Data!AN316</f>
        <v>2</v>
      </c>
      <c r="G315" s="0" t="n">
        <f aca="false">Raw_Data!AO316</f>
        <v>2</v>
      </c>
      <c r="H315" s="0" t="n">
        <f aca="false">SUM(B315:G315)</f>
        <v>16</v>
      </c>
      <c r="I315" s="0" t="n">
        <f aca="false">H315-B315</f>
        <v>13</v>
      </c>
      <c r="J315" s="0" t="n">
        <f aca="false">H315-C315</f>
        <v>14</v>
      </c>
      <c r="K315" s="0" t="n">
        <f aca="false">H315-D315</f>
        <v>12</v>
      </c>
      <c r="L315" s="0" t="n">
        <f aca="false">H315-E315</f>
        <v>13</v>
      </c>
      <c r="M315" s="0" t="n">
        <f aca="false">H315-F315</f>
        <v>14</v>
      </c>
      <c r="N315" s="0" t="n">
        <f aca="false">H315-G315</f>
        <v>14</v>
      </c>
      <c r="O315" s="0" t="n">
        <f aca="false">B315+D315+F315</f>
        <v>9</v>
      </c>
      <c r="P315" s="0" t="n">
        <f aca="false">C315+E315+G315</f>
        <v>7</v>
      </c>
    </row>
    <row r="316" customFormat="false" ht="15" hidden="false" customHeight="false" outlineLevel="0" collapsed="false">
      <c r="A316" s="0" t="n">
        <v>317</v>
      </c>
      <c r="B316" s="0" t="n">
        <f aca="false">Raw_Data!AJ317</f>
        <v>4</v>
      </c>
      <c r="C316" s="0" t="n">
        <f aca="false">Raw_Data!AK317</f>
        <v>3</v>
      </c>
      <c r="D316" s="0" t="n">
        <f aca="false">Raw_Data!AL317</f>
        <v>4</v>
      </c>
      <c r="E316" s="0" t="n">
        <f aca="false">Raw_Data!AM317</f>
        <v>3</v>
      </c>
      <c r="F316" s="0" t="n">
        <f aca="false">Raw_Data!AN317</f>
        <v>4</v>
      </c>
      <c r="G316" s="0" t="n">
        <f aca="false">Raw_Data!AO317</f>
        <v>3</v>
      </c>
      <c r="H316" s="0" t="n">
        <f aca="false">SUM(B316:G316)</f>
        <v>21</v>
      </c>
      <c r="I316" s="0" t="n">
        <f aca="false">H316-B316</f>
        <v>17</v>
      </c>
      <c r="J316" s="0" t="n">
        <f aca="false">H316-C316</f>
        <v>18</v>
      </c>
      <c r="K316" s="0" t="n">
        <f aca="false">H316-D316</f>
        <v>17</v>
      </c>
      <c r="L316" s="0" t="n">
        <f aca="false">H316-E316</f>
        <v>18</v>
      </c>
      <c r="M316" s="0" t="n">
        <f aca="false">H316-F316</f>
        <v>17</v>
      </c>
      <c r="N316" s="0" t="n">
        <f aca="false">H316-G316</f>
        <v>18</v>
      </c>
      <c r="O316" s="0" t="n">
        <f aca="false">B316+D316+F316</f>
        <v>12</v>
      </c>
      <c r="P316" s="0" t="n">
        <f aca="false">C316+E316+G316</f>
        <v>9</v>
      </c>
    </row>
    <row r="317" customFormat="false" ht="15" hidden="false" customHeight="false" outlineLevel="0" collapsed="false">
      <c r="A317" s="0" t="n">
        <v>318</v>
      </c>
      <c r="B317" s="0" t="n">
        <f aca="false">Raw_Data!AJ318</f>
        <v>4</v>
      </c>
      <c r="C317" s="0" t="n">
        <f aca="false">Raw_Data!AK318</f>
        <v>4</v>
      </c>
      <c r="D317" s="0" t="n">
        <f aca="false">Raw_Data!AL318</f>
        <v>4</v>
      </c>
      <c r="E317" s="0" t="n">
        <f aca="false">Raw_Data!AM318</f>
        <v>2</v>
      </c>
      <c r="F317" s="0" t="n">
        <f aca="false">Raw_Data!AN318</f>
        <v>3</v>
      </c>
      <c r="G317" s="0" t="n">
        <f aca="false">Raw_Data!AO318</f>
        <v>1</v>
      </c>
      <c r="H317" s="0" t="n">
        <f aca="false">SUM(B317:G317)</f>
        <v>18</v>
      </c>
      <c r="I317" s="0" t="n">
        <f aca="false">H317-B317</f>
        <v>14</v>
      </c>
      <c r="J317" s="0" t="n">
        <f aca="false">H317-C317</f>
        <v>14</v>
      </c>
      <c r="K317" s="0" t="n">
        <f aca="false">H317-D317</f>
        <v>14</v>
      </c>
      <c r="L317" s="0" t="n">
        <f aca="false">H317-E317</f>
        <v>16</v>
      </c>
      <c r="M317" s="0" t="n">
        <f aca="false">H317-F317</f>
        <v>15</v>
      </c>
      <c r="N317" s="0" t="n">
        <f aca="false">H317-G317</f>
        <v>17</v>
      </c>
      <c r="O317" s="0" t="n">
        <f aca="false">B317+D317+F317</f>
        <v>11</v>
      </c>
      <c r="P317" s="0" t="n">
        <f aca="false">C317+E317+G317</f>
        <v>7</v>
      </c>
    </row>
    <row r="318" customFormat="false" ht="15" hidden="false" customHeight="false" outlineLevel="0" collapsed="false">
      <c r="A318" s="0" t="n">
        <v>319</v>
      </c>
      <c r="B318" s="0" t="n">
        <f aca="false">Raw_Data!AJ319</f>
        <v>4</v>
      </c>
      <c r="C318" s="0" t="n">
        <f aca="false">Raw_Data!AK319</f>
        <v>4</v>
      </c>
      <c r="D318" s="0" t="n">
        <f aca="false">Raw_Data!AL319</f>
        <v>2</v>
      </c>
      <c r="E318" s="0" t="n">
        <f aca="false">Raw_Data!AM319</f>
        <v>3</v>
      </c>
      <c r="F318" s="0" t="n">
        <f aca="false">Raw_Data!AN319</f>
        <v>3</v>
      </c>
      <c r="G318" s="0" t="n">
        <f aca="false">Raw_Data!AO319</f>
        <v>3</v>
      </c>
      <c r="H318" s="0" t="n">
        <f aca="false">SUM(B318:G318)</f>
        <v>19</v>
      </c>
      <c r="I318" s="0" t="n">
        <f aca="false">H318-B318</f>
        <v>15</v>
      </c>
      <c r="J318" s="0" t="n">
        <f aca="false">H318-C318</f>
        <v>15</v>
      </c>
      <c r="K318" s="0" t="n">
        <f aca="false">H318-D318</f>
        <v>17</v>
      </c>
      <c r="L318" s="0" t="n">
        <f aca="false">H318-E318</f>
        <v>16</v>
      </c>
      <c r="M318" s="0" t="n">
        <f aca="false">H318-F318</f>
        <v>16</v>
      </c>
      <c r="N318" s="0" t="n">
        <f aca="false">H318-G318</f>
        <v>16</v>
      </c>
      <c r="O318" s="0" t="n">
        <f aca="false">B318+D318+F318</f>
        <v>9</v>
      </c>
      <c r="P318" s="0" t="n">
        <f aca="false">C318+E318+G318</f>
        <v>10</v>
      </c>
    </row>
    <row r="319" customFormat="false" ht="15" hidden="false" customHeight="false" outlineLevel="0" collapsed="false">
      <c r="A319" s="0" t="n">
        <v>320</v>
      </c>
      <c r="B319" s="0" t="n">
        <f aca="false">Raw_Data!AJ320</f>
        <v>4</v>
      </c>
      <c r="C319" s="0" t="n">
        <f aca="false">Raw_Data!AK320</f>
        <v>4</v>
      </c>
      <c r="D319" s="0" t="n">
        <f aca="false">Raw_Data!AL320</f>
        <v>3</v>
      </c>
      <c r="E319" s="0" t="n">
        <f aca="false">Raw_Data!AM320</f>
        <v>4</v>
      </c>
      <c r="F319" s="0" t="n">
        <f aca="false">Raw_Data!AN320</f>
        <v>3</v>
      </c>
      <c r="G319" s="0" t="n">
        <f aca="false">Raw_Data!AO320</f>
        <v>4</v>
      </c>
      <c r="H319" s="0" t="n">
        <f aca="false">SUM(B319:G319)</f>
        <v>22</v>
      </c>
      <c r="I319" s="0" t="n">
        <f aca="false">H319-B319</f>
        <v>18</v>
      </c>
      <c r="J319" s="0" t="n">
        <f aca="false">H319-C319</f>
        <v>18</v>
      </c>
      <c r="K319" s="0" t="n">
        <f aca="false">H319-D319</f>
        <v>19</v>
      </c>
      <c r="L319" s="0" t="n">
        <f aca="false">H319-E319</f>
        <v>18</v>
      </c>
      <c r="M319" s="0" t="n">
        <f aca="false">H319-F319</f>
        <v>19</v>
      </c>
      <c r="N319" s="0" t="n">
        <f aca="false">H319-G319</f>
        <v>18</v>
      </c>
      <c r="O319" s="0" t="n">
        <f aca="false">B319+D319+F319</f>
        <v>10</v>
      </c>
      <c r="P319" s="0" t="n">
        <f aca="false">C319+E319+G319</f>
        <v>12</v>
      </c>
    </row>
    <row r="320" customFormat="false" ht="15" hidden="false" customHeight="false" outlineLevel="0" collapsed="false">
      <c r="A320" s="0" t="n">
        <v>321</v>
      </c>
      <c r="B320" s="0" t="n">
        <f aca="false">Raw_Data!AJ321</f>
        <v>3</v>
      </c>
      <c r="C320" s="0" t="n">
        <f aca="false">Raw_Data!AK321</f>
        <v>3</v>
      </c>
      <c r="D320" s="0" t="n">
        <f aca="false">Raw_Data!AL321</f>
        <v>4</v>
      </c>
      <c r="E320" s="0" t="n">
        <f aca="false">Raw_Data!AM321</f>
        <v>3</v>
      </c>
      <c r="F320" s="0" t="n">
        <f aca="false">Raw_Data!AN321</f>
        <v>3</v>
      </c>
      <c r="G320" s="0" t="n">
        <f aca="false">Raw_Data!AO321</f>
        <v>3</v>
      </c>
      <c r="H320" s="0" t="n">
        <f aca="false">SUM(B320:G320)</f>
        <v>19</v>
      </c>
      <c r="I320" s="0" t="n">
        <f aca="false">H320-B320</f>
        <v>16</v>
      </c>
      <c r="J320" s="0" t="n">
        <f aca="false">H320-C320</f>
        <v>16</v>
      </c>
      <c r="K320" s="0" t="n">
        <f aca="false">H320-D320</f>
        <v>15</v>
      </c>
      <c r="L320" s="0" t="n">
        <f aca="false">H320-E320</f>
        <v>16</v>
      </c>
      <c r="M320" s="0" t="n">
        <f aca="false">H320-F320</f>
        <v>16</v>
      </c>
      <c r="N320" s="0" t="n">
        <f aca="false">H320-G320</f>
        <v>16</v>
      </c>
      <c r="O320" s="0" t="n">
        <f aca="false">B320+D320+F320</f>
        <v>10</v>
      </c>
      <c r="P320" s="0" t="n">
        <f aca="false">C320+E320+G320</f>
        <v>9</v>
      </c>
    </row>
    <row r="321" customFormat="false" ht="15" hidden="false" customHeight="false" outlineLevel="0" collapsed="false">
      <c r="A321" s="0" t="n">
        <v>322</v>
      </c>
      <c r="B321" s="0" t="n">
        <f aca="false">Raw_Data!AJ322</f>
        <v>3</v>
      </c>
      <c r="C321" s="0" t="n">
        <f aca="false">Raw_Data!AK322</f>
        <v>4</v>
      </c>
      <c r="D321" s="0" t="n">
        <f aca="false">Raw_Data!AL322</f>
        <v>5</v>
      </c>
      <c r="E321" s="0" t="n">
        <f aca="false">Raw_Data!AM322</f>
        <v>3</v>
      </c>
      <c r="F321" s="0" t="n">
        <f aca="false">Raw_Data!AN322</f>
        <v>2</v>
      </c>
      <c r="G321" s="0" t="n">
        <f aca="false">Raw_Data!AO322</f>
        <v>4</v>
      </c>
      <c r="H321" s="0" t="n">
        <f aca="false">SUM(B321:G321)</f>
        <v>21</v>
      </c>
      <c r="I321" s="0" t="n">
        <f aca="false">H321-B321</f>
        <v>18</v>
      </c>
      <c r="J321" s="0" t="n">
        <f aca="false">H321-C321</f>
        <v>17</v>
      </c>
      <c r="K321" s="0" t="n">
        <f aca="false">H321-D321</f>
        <v>16</v>
      </c>
      <c r="L321" s="0" t="n">
        <f aca="false">H321-E321</f>
        <v>18</v>
      </c>
      <c r="M321" s="0" t="n">
        <f aca="false">H321-F321</f>
        <v>19</v>
      </c>
      <c r="N321" s="0" t="n">
        <f aca="false">H321-G321</f>
        <v>17</v>
      </c>
      <c r="O321" s="0" t="n">
        <f aca="false">B321+D321+F321</f>
        <v>10</v>
      </c>
      <c r="P321" s="0" t="n">
        <f aca="false">C321+E321+G321</f>
        <v>11</v>
      </c>
    </row>
    <row r="322" customFormat="false" ht="15" hidden="false" customHeight="false" outlineLevel="0" collapsed="false">
      <c r="A322" s="0" t="n">
        <v>323</v>
      </c>
      <c r="B322" s="0" t="n">
        <f aca="false">Raw_Data!AJ323</f>
        <v>4</v>
      </c>
      <c r="C322" s="0" t="n">
        <f aca="false">Raw_Data!AK323</f>
        <v>3</v>
      </c>
      <c r="D322" s="0" t="n">
        <f aca="false">Raw_Data!AL323</f>
        <v>3</v>
      </c>
      <c r="E322" s="0" t="n">
        <f aca="false">Raw_Data!AM323</f>
        <v>3</v>
      </c>
      <c r="F322" s="0" t="n">
        <f aca="false">Raw_Data!AN323</f>
        <v>2</v>
      </c>
      <c r="G322" s="0" t="n">
        <f aca="false">Raw_Data!AO323</f>
        <v>3</v>
      </c>
      <c r="H322" s="0" t="n">
        <f aca="false">SUM(B322:G322)</f>
        <v>18</v>
      </c>
      <c r="I322" s="0" t="n">
        <f aca="false">H322-B322</f>
        <v>14</v>
      </c>
      <c r="J322" s="0" t="n">
        <f aca="false">H322-C322</f>
        <v>15</v>
      </c>
      <c r="K322" s="0" t="n">
        <f aca="false">H322-D322</f>
        <v>15</v>
      </c>
      <c r="L322" s="0" t="n">
        <f aca="false">H322-E322</f>
        <v>15</v>
      </c>
      <c r="M322" s="0" t="n">
        <f aca="false">H322-F322</f>
        <v>16</v>
      </c>
      <c r="N322" s="0" t="n">
        <f aca="false">H322-G322</f>
        <v>15</v>
      </c>
      <c r="O322" s="0" t="n">
        <f aca="false">B322+D322+F322</f>
        <v>9</v>
      </c>
      <c r="P322" s="0" t="n">
        <f aca="false">C322+E322+G322</f>
        <v>9</v>
      </c>
    </row>
    <row r="323" customFormat="false" ht="15" hidden="false" customHeight="false" outlineLevel="0" collapsed="false">
      <c r="A323" s="0" t="n">
        <v>324</v>
      </c>
      <c r="B323" s="0" t="n">
        <f aca="false">Raw_Data!AJ324</f>
        <v>5</v>
      </c>
      <c r="C323" s="0" t="n">
        <f aca="false">Raw_Data!AK324</f>
        <v>2</v>
      </c>
      <c r="D323" s="0" t="n">
        <f aca="false">Raw_Data!AL324</f>
        <v>5</v>
      </c>
      <c r="E323" s="0" t="n">
        <f aca="false">Raw_Data!AM324</f>
        <v>4</v>
      </c>
      <c r="F323" s="0" t="n">
        <f aca="false">Raw_Data!AN324</f>
        <v>3</v>
      </c>
      <c r="G323" s="0" t="n">
        <f aca="false">Raw_Data!AO324</f>
        <v>3</v>
      </c>
      <c r="H323" s="0" t="n">
        <f aca="false">SUM(B323:G323)</f>
        <v>22</v>
      </c>
      <c r="I323" s="0" t="n">
        <f aca="false">H323-B323</f>
        <v>17</v>
      </c>
      <c r="J323" s="0" t="n">
        <f aca="false">H323-C323</f>
        <v>20</v>
      </c>
      <c r="K323" s="0" t="n">
        <f aca="false">H323-D323</f>
        <v>17</v>
      </c>
      <c r="L323" s="0" t="n">
        <f aca="false">H323-E323</f>
        <v>18</v>
      </c>
      <c r="M323" s="0" t="n">
        <f aca="false">H323-F323</f>
        <v>19</v>
      </c>
      <c r="N323" s="0" t="n">
        <f aca="false">H323-G323</f>
        <v>19</v>
      </c>
      <c r="O323" s="0" t="n">
        <f aca="false">B323+D323+F323</f>
        <v>13</v>
      </c>
      <c r="P323" s="0" t="n">
        <f aca="false">C323+E323+G323</f>
        <v>9</v>
      </c>
    </row>
    <row r="324" customFormat="false" ht="15" hidden="false" customHeight="false" outlineLevel="0" collapsed="false">
      <c r="A324" s="0" t="n">
        <v>325</v>
      </c>
      <c r="B324" s="0" t="n">
        <f aca="false">Raw_Data!AJ325</f>
        <v>4</v>
      </c>
      <c r="C324" s="0" t="n">
        <f aca="false">Raw_Data!AK325</f>
        <v>3</v>
      </c>
      <c r="D324" s="0" t="n">
        <f aca="false">Raw_Data!AL325</f>
        <v>4</v>
      </c>
      <c r="E324" s="0" t="n">
        <f aca="false">Raw_Data!AM325</f>
        <v>4</v>
      </c>
      <c r="F324" s="0" t="n">
        <f aca="false">Raw_Data!AN325</f>
        <v>3</v>
      </c>
      <c r="G324" s="0" t="n">
        <f aca="false">Raw_Data!AO325</f>
        <v>4</v>
      </c>
      <c r="H324" s="0" t="n">
        <f aca="false">SUM(B324:G324)</f>
        <v>22</v>
      </c>
      <c r="I324" s="0" t="n">
        <f aca="false">H324-B324</f>
        <v>18</v>
      </c>
      <c r="J324" s="0" t="n">
        <f aca="false">H324-C324</f>
        <v>19</v>
      </c>
      <c r="K324" s="0" t="n">
        <f aca="false">H324-D324</f>
        <v>18</v>
      </c>
      <c r="L324" s="0" t="n">
        <f aca="false">H324-E324</f>
        <v>18</v>
      </c>
      <c r="M324" s="0" t="n">
        <f aca="false">H324-F324</f>
        <v>19</v>
      </c>
      <c r="N324" s="0" t="n">
        <f aca="false">H324-G324</f>
        <v>18</v>
      </c>
      <c r="O324" s="0" t="n">
        <f aca="false">B324+D324+F324</f>
        <v>11</v>
      </c>
      <c r="P324" s="0" t="n">
        <f aca="false">C324+E324+G324</f>
        <v>11</v>
      </c>
    </row>
    <row r="325" customFormat="false" ht="15" hidden="false" customHeight="false" outlineLevel="0" collapsed="false">
      <c r="A325" s="0" t="n">
        <v>326</v>
      </c>
      <c r="B325" s="0" t="n">
        <f aca="false">Raw_Data!AJ326</f>
        <v>5</v>
      </c>
      <c r="C325" s="0" t="n">
        <f aca="false">Raw_Data!AK326</f>
        <v>1</v>
      </c>
      <c r="D325" s="0" t="n">
        <f aca="false">Raw_Data!AL326</f>
        <v>4</v>
      </c>
      <c r="E325" s="0" t="n">
        <f aca="false">Raw_Data!AM326</f>
        <v>3</v>
      </c>
      <c r="F325" s="0" t="n">
        <f aca="false">Raw_Data!AN326</f>
        <v>2</v>
      </c>
      <c r="G325" s="0" t="n">
        <f aca="false">Raw_Data!AO326</f>
        <v>3</v>
      </c>
      <c r="H325" s="0" t="n">
        <f aca="false">SUM(B325:G325)</f>
        <v>18</v>
      </c>
      <c r="I325" s="0" t="n">
        <f aca="false">H325-B325</f>
        <v>13</v>
      </c>
      <c r="J325" s="0" t="n">
        <f aca="false">H325-C325</f>
        <v>17</v>
      </c>
      <c r="K325" s="0" t="n">
        <f aca="false">H325-D325</f>
        <v>14</v>
      </c>
      <c r="L325" s="0" t="n">
        <f aca="false">H325-E325</f>
        <v>15</v>
      </c>
      <c r="M325" s="0" t="n">
        <f aca="false">H325-F325</f>
        <v>16</v>
      </c>
      <c r="N325" s="0" t="n">
        <f aca="false">H325-G325</f>
        <v>15</v>
      </c>
      <c r="O325" s="0" t="n">
        <f aca="false">B325+D325+F325</f>
        <v>11</v>
      </c>
      <c r="P325" s="0" t="n">
        <f aca="false">C325+E325+G325</f>
        <v>7</v>
      </c>
    </row>
    <row r="326" customFormat="false" ht="15" hidden="false" customHeight="false" outlineLevel="0" collapsed="false">
      <c r="A326" s="0" t="n">
        <v>327</v>
      </c>
      <c r="B326" s="0" t="n">
        <f aca="false">Raw_Data!AJ327</f>
        <v>2</v>
      </c>
      <c r="C326" s="0" t="n">
        <f aca="false">Raw_Data!AK327</f>
        <v>4</v>
      </c>
      <c r="D326" s="0" t="n">
        <f aca="false">Raw_Data!AL327</f>
        <v>4</v>
      </c>
      <c r="E326" s="0" t="n">
        <f aca="false">Raw_Data!AM327</f>
        <v>4</v>
      </c>
      <c r="F326" s="0" t="n">
        <f aca="false">Raw_Data!AN327</f>
        <v>4</v>
      </c>
      <c r="G326" s="0" t="n">
        <f aca="false">Raw_Data!AO327</f>
        <v>4</v>
      </c>
      <c r="H326" s="0" t="n">
        <f aca="false">SUM(B326:G326)</f>
        <v>22</v>
      </c>
      <c r="I326" s="0" t="n">
        <f aca="false">H326-B326</f>
        <v>20</v>
      </c>
      <c r="J326" s="0" t="n">
        <f aca="false">H326-C326</f>
        <v>18</v>
      </c>
      <c r="K326" s="0" t="n">
        <f aca="false">H326-D326</f>
        <v>18</v>
      </c>
      <c r="L326" s="0" t="n">
        <f aca="false">H326-E326</f>
        <v>18</v>
      </c>
      <c r="M326" s="0" t="n">
        <f aca="false">H326-F326</f>
        <v>18</v>
      </c>
      <c r="N326" s="0" t="n">
        <f aca="false">H326-G326</f>
        <v>18</v>
      </c>
      <c r="O326" s="0" t="n">
        <f aca="false">B326+D326+F326</f>
        <v>10</v>
      </c>
      <c r="P326" s="0" t="n">
        <f aca="false">C326+E326+G326</f>
        <v>12</v>
      </c>
    </row>
    <row r="327" customFormat="false" ht="15" hidden="false" customHeight="false" outlineLevel="0" collapsed="false">
      <c r="A327" s="0" t="n">
        <v>328</v>
      </c>
      <c r="B327" s="0" t="n">
        <f aca="false">Raw_Data!AJ328</f>
        <v>4</v>
      </c>
      <c r="C327" s="0" t="n">
        <f aca="false">Raw_Data!AK328</f>
        <v>2</v>
      </c>
      <c r="D327" s="0" t="n">
        <f aca="false">Raw_Data!AL328</f>
        <v>3</v>
      </c>
      <c r="E327" s="0" t="n">
        <f aca="false">Raw_Data!AM328</f>
        <v>3</v>
      </c>
      <c r="F327" s="0" t="n">
        <f aca="false">Raw_Data!AN328</f>
        <v>2</v>
      </c>
      <c r="G327" s="0" t="n">
        <f aca="false">Raw_Data!AO328</f>
        <v>4</v>
      </c>
      <c r="H327" s="0" t="n">
        <f aca="false">SUM(B327:G327)</f>
        <v>18</v>
      </c>
      <c r="I327" s="0" t="n">
        <f aca="false">H327-B327</f>
        <v>14</v>
      </c>
      <c r="J327" s="0" t="n">
        <f aca="false">H327-C327</f>
        <v>16</v>
      </c>
      <c r="K327" s="0" t="n">
        <f aca="false">H327-D327</f>
        <v>15</v>
      </c>
      <c r="L327" s="0" t="n">
        <f aca="false">H327-E327</f>
        <v>15</v>
      </c>
      <c r="M327" s="0" t="n">
        <f aca="false">H327-F327</f>
        <v>16</v>
      </c>
      <c r="N327" s="0" t="n">
        <f aca="false">H327-G327</f>
        <v>14</v>
      </c>
      <c r="O327" s="0" t="n">
        <f aca="false">B327+D327+F327</f>
        <v>9</v>
      </c>
      <c r="P327" s="0" t="n">
        <f aca="false">C327+E327+G327</f>
        <v>9</v>
      </c>
    </row>
    <row r="328" customFormat="false" ht="15" hidden="false" customHeight="false" outlineLevel="0" collapsed="false">
      <c r="A328" s="0" t="n">
        <v>329</v>
      </c>
      <c r="B328" s="0" t="n">
        <f aca="false">Raw_Data!AJ329</f>
        <v>3</v>
      </c>
      <c r="C328" s="0" t="n">
        <f aca="false">Raw_Data!AK329</f>
        <v>4</v>
      </c>
      <c r="D328" s="0" t="n">
        <f aca="false">Raw_Data!AL329</f>
        <v>4</v>
      </c>
      <c r="E328" s="0" t="n">
        <f aca="false">Raw_Data!AM329</f>
        <v>3</v>
      </c>
      <c r="F328" s="0" t="n">
        <f aca="false">Raw_Data!AN329</f>
        <v>3</v>
      </c>
      <c r="G328" s="0" t="n">
        <f aca="false">Raw_Data!AO329</f>
        <v>2</v>
      </c>
      <c r="H328" s="0" t="n">
        <f aca="false">SUM(B328:G328)</f>
        <v>19</v>
      </c>
      <c r="I328" s="0" t="n">
        <f aca="false">H328-B328</f>
        <v>16</v>
      </c>
      <c r="J328" s="0" t="n">
        <f aca="false">H328-C328</f>
        <v>15</v>
      </c>
      <c r="K328" s="0" t="n">
        <f aca="false">H328-D328</f>
        <v>15</v>
      </c>
      <c r="L328" s="0" t="n">
        <f aca="false">H328-E328</f>
        <v>16</v>
      </c>
      <c r="M328" s="0" t="n">
        <f aca="false">H328-F328</f>
        <v>16</v>
      </c>
      <c r="N328" s="0" t="n">
        <f aca="false">H328-G328</f>
        <v>17</v>
      </c>
      <c r="O328" s="0" t="n">
        <f aca="false">B328+D328+F328</f>
        <v>10</v>
      </c>
      <c r="P328" s="0" t="n">
        <f aca="false">C328+E328+G328</f>
        <v>9</v>
      </c>
    </row>
    <row r="329" customFormat="false" ht="15" hidden="false" customHeight="false" outlineLevel="0" collapsed="false">
      <c r="A329" s="0" t="n">
        <v>330</v>
      </c>
      <c r="B329" s="0" t="n">
        <f aca="false">Raw_Data!AJ330</f>
        <v>3</v>
      </c>
      <c r="C329" s="0" t="n">
        <f aca="false">Raw_Data!AK330</f>
        <v>3</v>
      </c>
      <c r="D329" s="0" t="n">
        <f aca="false">Raw_Data!AL330</f>
        <v>3</v>
      </c>
      <c r="E329" s="0" t="n">
        <f aca="false">Raw_Data!AM330</f>
        <v>3</v>
      </c>
      <c r="F329" s="0" t="n">
        <f aca="false">Raw_Data!AN330</f>
        <v>3</v>
      </c>
      <c r="G329" s="0" t="n">
        <f aca="false">Raw_Data!AO330</f>
        <v>3</v>
      </c>
      <c r="H329" s="0" t="n">
        <f aca="false">SUM(B329:G329)</f>
        <v>18</v>
      </c>
      <c r="I329" s="0" t="n">
        <f aca="false">H329-B329</f>
        <v>15</v>
      </c>
      <c r="J329" s="0" t="n">
        <f aca="false">H329-C329</f>
        <v>15</v>
      </c>
      <c r="K329" s="0" t="n">
        <f aca="false">H329-D329</f>
        <v>15</v>
      </c>
      <c r="L329" s="0" t="n">
        <f aca="false">H329-E329</f>
        <v>15</v>
      </c>
      <c r="M329" s="0" t="n">
        <f aca="false">H329-F329</f>
        <v>15</v>
      </c>
      <c r="N329" s="0" t="n">
        <f aca="false">H329-G329</f>
        <v>15</v>
      </c>
      <c r="O329" s="0" t="n">
        <f aca="false">B329+D329+F329</f>
        <v>9</v>
      </c>
      <c r="P329" s="0" t="n">
        <f aca="false">C329+E329+G329</f>
        <v>9</v>
      </c>
    </row>
    <row r="330" customFormat="false" ht="15" hidden="false" customHeight="false" outlineLevel="0" collapsed="false">
      <c r="A330" s="0" t="n">
        <v>331</v>
      </c>
      <c r="B330" s="0" t="n">
        <f aca="false">Raw_Data!AJ331</f>
        <v>4</v>
      </c>
      <c r="C330" s="0" t="n">
        <f aca="false">Raw_Data!AK331</f>
        <v>4</v>
      </c>
      <c r="D330" s="0" t="n">
        <f aca="false">Raw_Data!AL331</f>
        <v>3</v>
      </c>
      <c r="E330" s="0" t="n">
        <f aca="false">Raw_Data!AM331</f>
        <v>2</v>
      </c>
      <c r="F330" s="0" t="n">
        <f aca="false">Raw_Data!AN331</f>
        <v>2</v>
      </c>
      <c r="G330" s="0" t="n">
        <f aca="false">Raw_Data!AO331</f>
        <v>3</v>
      </c>
      <c r="H330" s="0" t="n">
        <f aca="false">SUM(B330:G330)</f>
        <v>18</v>
      </c>
      <c r="I330" s="0" t="n">
        <f aca="false">H330-B330</f>
        <v>14</v>
      </c>
      <c r="J330" s="0" t="n">
        <f aca="false">H330-C330</f>
        <v>14</v>
      </c>
      <c r="K330" s="0" t="n">
        <f aca="false">H330-D330</f>
        <v>15</v>
      </c>
      <c r="L330" s="0" t="n">
        <f aca="false">H330-E330</f>
        <v>16</v>
      </c>
      <c r="M330" s="0" t="n">
        <f aca="false">H330-F330</f>
        <v>16</v>
      </c>
      <c r="N330" s="0" t="n">
        <f aca="false">H330-G330</f>
        <v>15</v>
      </c>
      <c r="O330" s="0" t="n">
        <f aca="false">B330+D330+F330</f>
        <v>9</v>
      </c>
      <c r="P330" s="0" t="n">
        <f aca="false">C330+E330+G330</f>
        <v>9</v>
      </c>
    </row>
    <row r="331" customFormat="false" ht="15" hidden="false" customHeight="false" outlineLevel="0" collapsed="false">
      <c r="A331" s="0" t="n">
        <v>332</v>
      </c>
      <c r="B331" s="0" t="n">
        <f aca="false">Raw_Data!AJ332</f>
        <v>4</v>
      </c>
      <c r="C331" s="0" t="n">
        <f aca="false">Raw_Data!AK332</f>
        <v>2</v>
      </c>
      <c r="D331" s="0" t="n">
        <f aca="false">Raw_Data!AL332</f>
        <v>4</v>
      </c>
      <c r="E331" s="0" t="n">
        <f aca="false">Raw_Data!AM332</f>
        <v>2</v>
      </c>
      <c r="F331" s="0" t="n">
        <f aca="false">Raw_Data!AN332</f>
        <v>2</v>
      </c>
      <c r="G331" s="0" t="n">
        <f aca="false">Raw_Data!AO332</f>
        <v>3</v>
      </c>
      <c r="H331" s="0" t="n">
        <f aca="false">SUM(B331:G331)</f>
        <v>17</v>
      </c>
      <c r="I331" s="0" t="n">
        <f aca="false">H331-B331</f>
        <v>13</v>
      </c>
      <c r="J331" s="0" t="n">
        <f aca="false">H331-C331</f>
        <v>15</v>
      </c>
      <c r="K331" s="0" t="n">
        <f aca="false">H331-D331</f>
        <v>13</v>
      </c>
      <c r="L331" s="0" t="n">
        <f aca="false">H331-E331</f>
        <v>15</v>
      </c>
      <c r="M331" s="0" t="n">
        <f aca="false">H331-F331</f>
        <v>15</v>
      </c>
      <c r="N331" s="0" t="n">
        <f aca="false">H331-G331</f>
        <v>14</v>
      </c>
      <c r="O331" s="0" t="n">
        <f aca="false">B331+D331+F331</f>
        <v>10</v>
      </c>
      <c r="P331" s="0" t="n">
        <f aca="false">C331+E331+G331</f>
        <v>7</v>
      </c>
    </row>
    <row r="332" customFormat="false" ht="15" hidden="false" customHeight="false" outlineLevel="0" collapsed="false">
      <c r="A332" s="0" t="n">
        <v>333</v>
      </c>
      <c r="B332" s="0" t="n">
        <f aca="false">Raw_Data!AJ333</f>
        <v>4</v>
      </c>
      <c r="C332" s="0" t="n">
        <f aca="false">Raw_Data!AK333</f>
        <v>3</v>
      </c>
      <c r="D332" s="0" t="n">
        <f aca="false">Raw_Data!AL333</f>
        <v>4</v>
      </c>
      <c r="E332" s="0" t="n">
        <f aca="false">Raw_Data!AM333</f>
        <v>3</v>
      </c>
      <c r="F332" s="0" t="n">
        <f aca="false">Raw_Data!AN333</f>
        <v>2</v>
      </c>
      <c r="G332" s="0" t="n">
        <f aca="false">Raw_Data!AO333</f>
        <v>2</v>
      </c>
      <c r="H332" s="0" t="n">
        <f aca="false">SUM(B332:G332)</f>
        <v>18</v>
      </c>
      <c r="I332" s="0" t="n">
        <f aca="false">H332-B332</f>
        <v>14</v>
      </c>
      <c r="J332" s="0" t="n">
        <f aca="false">H332-C332</f>
        <v>15</v>
      </c>
      <c r="K332" s="0" t="n">
        <f aca="false">H332-D332</f>
        <v>14</v>
      </c>
      <c r="L332" s="0" t="n">
        <f aca="false">H332-E332</f>
        <v>15</v>
      </c>
      <c r="M332" s="0" t="n">
        <f aca="false">H332-F332</f>
        <v>16</v>
      </c>
      <c r="N332" s="0" t="n">
        <f aca="false">H332-G332</f>
        <v>16</v>
      </c>
      <c r="O332" s="0" t="n">
        <f aca="false">B332+D332+F332</f>
        <v>10</v>
      </c>
      <c r="P332" s="0" t="n">
        <f aca="false">C332+E332+G332</f>
        <v>8</v>
      </c>
    </row>
    <row r="333" customFormat="false" ht="15" hidden="false" customHeight="false" outlineLevel="0" collapsed="false">
      <c r="A333" s="0" t="n">
        <v>334</v>
      </c>
      <c r="B333" s="0" t="n">
        <f aca="false">Raw_Data!AJ334</f>
        <v>4</v>
      </c>
      <c r="C333" s="0" t="n">
        <f aca="false">Raw_Data!AK334</f>
        <v>2</v>
      </c>
      <c r="D333" s="0" t="n">
        <f aca="false">Raw_Data!AL334</f>
        <v>5</v>
      </c>
      <c r="E333" s="0" t="n">
        <f aca="false">Raw_Data!AM334</f>
        <v>5</v>
      </c>
      <c r="F333" s="0" t="n">
        <f aca="false">Raw_Data!AN334</f>
        <v>4</v>
      </c>
      <c r="G333" s="0" t="n">
        <f aca="false">Raw_Data!AO334</f>
        <v>2</v>
      </c>
      <c r="H333" s="0" t="n">
        <f aca="false">SUM(B333:G333)</f>
        <v>22</v>
      </c>
      <c r="I333" s="0" t="n">
        <f aca="false">H333-B333</f>
        <v>18</v>
      </c>
      <c r="J333" s="0" t="n">
        <f aca="false">H333-C333</f>
        <v>20</v>
      </c>
      <c r="K333" s="0" t="n">
        <f aca="false">H333-D333</f>
        <v>17</v>
      </c>
      <c r="L333" s="0" t="n">
        <f aca="false">H333-E333</f>
        <v>17</v>
      </c>
      <c r="M333" s="0" t="n">
        <f aca="false">H333-F333</f>
        <v>18</v>
      </c>
      <c r="N333" s="0" t="n">
        <f aca="false">H333-G333</f>
        <v>20</v>
      </c>
      <c r="O333" s="0" t="n">
        <f aca="false">B333+D333+F333</f>
        <v>13</v>
      </c>
      <c r="P333" s="0" t="n">
        <f aca="false">C333+E333+G333</f>
        <v>9</v>
      </c>
    </row>
    <row r="334" customFormat="false" ht="15" hidden="false" customHeight="false" outlineLevel="0" collapsed="false">
      <c r="A334" s="0" t="n">
        <v>335</v>
      </c>
      <c r="B334" s="0" t="n">
        <f aca="false">Raw_Data!AJ335</f>
        <v>4</v>
      </c>
      <c r="C334" s="0" t="n">
        <f aca="false">Raw_Data!AK335</f>
        <v>3</v>
      </c>
      <c r="D334" s="0" t="n">
        <f aca="false">Raw_Data!AL335</f>
        <v>4</v>
      </c>
      <c r="E334" s="0" t="n">
        <f aca="false">Raw_Data!AM335</f>
        <v>4</v>
      </c>
      <c r="F334" s="0" t="n">
        <f aca="false">Raw_Data!AN335</f>
        <v>4</v>
      </c>
      <c r="G334" s="0" t="n">
        <f aca="false">Raw_Data!AO335</f>
        <v>4</v>
      </c>
      <c r="H334" s="0" t="n">
        <f aca="false">SUM(B334:G334)</f>
        <v>23</v>
      </c>
      <c r="I334" s="0" t="n">
        <f aca="false">H334-B334</f>
        <v>19</v>
      </c>
      <c r="J334" s="0" t="n">
        <f aca="false">H334-C334</f>
        <v>20</v>
      </c>
      <c r="K334" s="0" t="n">
        <f aca="false">H334-D334</f>
        <v>19</v>
      </c>
      <c r="L334" s="0" t="n">
        <f aca="false">H334-E334</f>
        <v>19</v>
      </c>
      <c r="M334" s="0" t="n">
        <f aca="false">H334-F334</f>
        <v>19</v>
      </c>
      <c r="N334" s="0" t="n">
        <f aca="false">H334-G334</f>
        <v>19</v>
      </c>
      <c r="O334" s="0" t="n">
        <f aca="false">B334+D334+F334</f>
        <v>12</v>
      </c>
      <c r="P334" s="0" t="n">
        <f aca="false">C334+E334+G334</f>
        <v>11</v>
      </c>
    </row>
    <row r="335" customFormat="false" ht="15" hidden="false" customHeight="false" outlineLevel="0" collapsed="false">
      <c r="A335" s="0" t="n">
        <v>336</v>
      </c>
      <c r="B335" s="0" t="n">
        <f aca="false">Raw_Data!AJ336</f>
        <v>2</v>
      </c>
      <c r="C335" s="0" t="n">
        <f aca="false">Raw_Data!AK336</f>
        <v>2</v>
      </c>
      <c r="D335" s="0" t="n">
        <f aca="false">Raw_Data!AL336</f>
        <v>4</v>
      </c>
      <c r="E335" s="0" t="n">
        <f aca="false">Raw_Data!AM336</f>
        <v>3</v>
      </c>
      <c r="F335" s="0" t="n">
        <f aca="false">Raw_Data!AN336</f>
        <v>2</v>
      </c>
      <c r="G335" s="0" t="n">
        <f aca="false">Raw_Data!AO336</f>
        <v>2</v>
      </c>
      <c r="H335" s="0" t="n">
        <f aca="false">SUM(B335:G335)</f>
        <v>15</v>
      </c>
      <c r="I335" s="0" t="n">
        <f aca="false">H335-B335</f>
        <v>13</v>
      </c>
      <c r="J335" s="0" t="n">
        <f aca="false">H335-C335</f>
        <v>13</v>
      </c>
      <c r="K335" s="0" t="n">
        <f aca="false">H335-D335</f>
        <v>11</v>
      </c>
      <c r="L335" s="0" t="n">
        <f aca="false">H335-E335</f>
        <v>12</v>
      </c>
      <c r="M335" s="0" t="n">
        <f aca="false">H335-F335</f>
        <v>13</v>
      </c>
      <c r="N335" s="0" t="n">
        <f aca="false">H335-G335</f>
        <v>13</v>
      </c>
      <c r="O335" s="0" t="n">
        <f aca="false">B335+D335+F335</f>
        <v>8</v>
      </c>
      <c r="P335" s="0" t="n">
        <f aca="false">C335+E335+G335</f>
        <v>7</v>
      </c>
    </row>
    <row r="336" customFormat="false" ht="15" hidden="false" customHeight="false" outlineLevel="0" collapsed="false">
      <c r="A336" s="0" t="n">
        <v>337</v>
      </c>
      <c r="B336" s="0" t="n">
        <f aca="false">Raw_Data!AJ337</f>
        <v>4</v>
      </c>
      <c r="C336" s="0" t="n">
        <f aca="false">Raw_Data!AK337</f>
        <v>2</v>
      </c>
      <c r="D336" s="0" t="n">
        <f aca="false">Raw_Data!AL337</f>
        <v>4</v>
      </c>
      <c r="E336" s="0" t="n">
        <f aca="false">Raw_Data!AM337</f>
        <v>3</v>
      </c>
      <c r="F336" s="0" t="n">
        <f aca="false">Raw_Data!AN337</f>
        <v>3</v>
      </c>
      <c r="G336" s="0" t="n">
        <f aca="false">Raw_Data!AO337</f>
        <v>3</v>
      </c>
      <c r="H336" s="0" t="n">
        <f aca="false">SUM(B336:G336)</f>
        <v>19</v>
      </c>
      <c r="I336" s="0" t="n">
        <f aca="false">H336-B336</f>
        <v>15</v>
      </c>
      <c r="J336" s="0" t="n">
        <f aca="false">H336-C336</f>
        <v>17</v>
      </c>
      <c r="K336" s="0" t="n">
        <f aca="false">H336-D336</f>
        <v>15</v>
      </c>
      <c r="L336" s="0" t="n">
        <f aca="false">H336-E336</f>
        <v>16</v>
      </c>
      <c r="M336" s="0" t="n">
        <f aca="false">H336-F336</f>
        <v>16</v>
      </c>
      <c r="N336" s="0" t="n">
        <f aca="false">H336-G336</f>
        <v>16</v>
      </c>
      <c r="O336" s="0" t="n">
        <f aca="false">B336+D336+F336</f>
        <v>11</v>
      </c>
      <c r="P336" s="0" t="n">
        <f aca="false">C336+E336+G336</f>
        <v>8</v>
      </c>
    </row>
    <row r="337" customFormat="false" ht="15" hidden="false" customHeight="false" outlineLevel="0" collapsed="false">
      <c r="A337" s="0" t="n">
        <v>338</v>
      </c>
      <c r="B337" s="0" t="n">
        <f aca="false">Raw_Data!AJ338</f>
        <v>4</v>
      </c>
      <c r="C337" s="0" t="n">
        <f aca="false">Raw_Data!AK338</f>
        <v>5</v>
      </c>
      <c r="D337" s="0" t="n">
        <f aca="false">Raw_Data!AL338</f>
        <v>5</v>
      </c>
      <c r="E337" s="0" t="n">
        <f aca="false">Raw_Data!AM338</f>
        <v>3</v>
      </c>
      <c r="F337" s="0" t="n">
        <f aca="false">Raw_Data!AN338</f>
        <v>2</v>
      </c>
      <c r="G337" s="0" t="n">
        <f aca="false">Raw_Data!AO338</f>
        <v>5</v>
      </c>
      <c r="H337" s="0" t="n">
        <f aca="false">SUM(B337:G337)</f>
        <v>24</v>
      </c>
      <c r="I337" s="0" t="n">
        <f aca="false">H337-B337</f>
        <v>20</v>
      </c>
      <c r="J337" s="0" t="n">
        <f aca="false">H337-C337</f>
        <v>19</v>
      </c>
      <c r="K337" s="0" t="n">
        <f aca="false">H337-D337</f>
        <v>19</v>
      </c>
      <c r="L337" s="0" t="n">
        <f aca="false">H337-E337</f>
        <v>21</v>
      </c>
      <c r="M337" s="0" t="n">
        <f aca="false">H337-F337</f>
        <v>22</v>
      </c>
      <c r="N337" s="0" t="n">
        <f aca="false">H337-G337</f>
        <v>19</v>
      </c>
      <c r="O337" s="0" t="n">
        <f aca="false">B337+D337+F337</f>
        <v>11</v>
      </c>
      <c r="P337" s="0" t="n">
        <f aca="false">C337+E337+G337</f>
        <v>13</v>
      </c>
    </row>
    <row r="338" customFormat="false" ht="15" hidden="false" customHeight="false" outlineLevel="0" collapsed="false">
      <c r="A338" s="0" t="n">
        <v>339</v>
      </c>
      <c r="B338" s="0" t="n">
        <f aca="false">Raw_Data!AJ339</f>
        <v>4</v>
      </c>
      <c r="C338" s="0" t="n">
        <f aca="false">Raw_Data!AK339</f>
        <v>3</v>
      </c>
      <c r="D338" s="0" t="n">
        <f aca="false">Raw_Data!AL339</f>
        <v>4</v>
      </c>
      <c r="E338" s="0" t="n">
        <f aca="false">Raw_Data!AM339</f>
        <v>3</v>
      </c>
      <c r="F338" s="0" t="n">
        <f aca="false">Raw_Data!AN339</f>
        <v>3</v>
      </c>
      <c r="G338" s="0" t="n">
        <f aca="false">Raw_Data!AO339</f>
        <v>3</v>
      </c>
      <c r="H338" s="0" t="n">
        <f aca="false">SUM(B338:G338)</f>
        <v>20</v>
      </c>
      <c r="I338" s="0" t="n">
        <f aca="false">H338-B338</f>
        <v>16</v>
      </c>
      <c r="J338" s="0" t="n">
        <f aca="false">H338-C338</f>
        <v>17</v>
      </c>
      <c r="K338" s="0" t="n">
        <f aca="false">H338-D338</f>
        <v>16</v>
      </c>
      <c r="L338" s="0" t="n">
        <f aca="false">H338-E338</f>
        <v>17</v>
      </c>
      <c r="M338" s="0" t="n">
        <f aca="false">H338-F338</f>
        <v>17</v>
      </c>
      <c r="N338" s="0" t="n">
        <f aca="false">H338-G338</f>
        <v>17</v>
      </c>
      <c r="O338" s="0" t="n">
        <f aca="false">B338+D338+F338</f>
        <v>11</v>
      </c>
      <c r="P338" s="0" t="n">
        <f aca="false">C338+E338+G338</f>
        <v>9</v>
      </c>
    </row>
    <row r="339" customFormat="false" ht="15" hidden="false" customHeight="false" outlineLevel="0" collapsed="false">
      <c r="A339" s="0" t="n">
        <v>340</v>
      </c>
      <c r="B339" s="0" t="n">
        <f aca="false">Raw_Data!AJ340</f>
        <v>2</v>
      </c>
      <c r="C339" s="0" t="n">
        <f aca="false">Raw_Data!AK340</f>
        <v>3</v>
      </c>
      <c r="D339" s="0" t="n">
        <f aca="false">Raw_Data!AL340</f>
        <v>3</v>
      </c>
      <c r="E339" s="0" t="n">
        <f aca="false">Raw_Data!AM340</f>
        <v>3</v>
      </c>
      <c r="F339" s="0" t="n">
        <f aca="false">Raw_Data!AN340</f>
        <v>2</v>
      </c>
      <c r="G339" s="0" t="n">
        <f aca="false">Raw_Data!AO340</f>
        <v>3</v>
      </c>
      <c r="H339" s="0" t="n">
        <f aca="false">SUM(B339:G339)</f>
        <v>16</v>
      </c>
      <c r="I339" s="0" t="n">
        <f aca="false">H339-B339</f>
        <v>14</v>
      </c>
      <c r="J339" s="0" t="n">
        <f aca="false">H339-C339</f>
        <v>13</v>
      </c>
      <c r="K339" s="0" t="n">
        <f aca="false">H339-D339</f>
        <v>13</v>
      </c>
      <c r="L339" s="0" t="n">
        <f aca="false">H339-E339</f>
        <v>13</v>
      </c>
      <c r="M339" s="0" t="n">
        <f aca="false">H339-F339</f>
        <v>14</v>
      </c>
      <c r="N339" s="0" t="n">
        <f aca="false">H339-G339</f>
        <v>13</v>
      </c>
      <c r="O339" s="0" t="n">
        <f aca="false">B339+D339+F339</f>
        <v>7</v>
      </c>
      <c r="P339" s="0" t="n">
        <f aca="false">C339+E339+G339</f>
        <v>9</v>
      </c>
    </row>
    <row r="340" customFormat="false" ht="15" hidden="false" customHeight="false" outlineLevel="0" collapsed="false">
      <c r="A340" s="0" t="n">
        <v>341</v>
      </c>
      <c r="B340" s="0" t="n">
        <f aca="false">Raw_Data!AJ341</f>
        <v>2</v>
      </c>
      <c r="C340" s="0" t="n">
        <f aca="false">Raw_Data!AK341</f>
        <v>3</v>
      </c>
      <c r="D340" s="0" t="n">
        <f aca="false">Raw_Data!AL341</f>
        <v>1</v>
      </c>
      <c r="E340" s="0" t="n">
        <f aca="false">Raw_Data!AM341</f>
        <v>3</v>
      </c>
      <c r="F340" s="0" t="n">
        <f aca="false">Raw_Data!AN341</f>
        <v>5</v>
      </c>
      <c r="G340" s="0" t="n">
        <f aca="false">Raw_Data!AO341</f>
        <v>2</v>
      </c>
      <c r="H340" s="0" t="n">
        <f aca="false">SUM(B340:G340)</f>
        <v>16</v>
      </c>
      <c r="I340" s="0" t="n">
        <f aca="false">H340-B340</f>
        <v>14</v>
      </c>
      <c r="J340" s="0" t="n">
        <f aca="false">H340-C340</f>
        <v>13</v>
      </c>
      <c r="K340" s="0" t="n">
        <f aca="false">H340-D340</f>
        <v>15</v>
      </c>
      <c r="L340" s="0" t="n">
        <f aca="false">H340-E340</f>
        <v>13</v>
      </c>
      <c r="M340" s="0" t="n">
        <f aca="false">H340-F340</f>
        <v>11</v>
      </c>
      <c r="N340" s="0" t="n">
        <f aca="false">H340-G340</f>
        <v>14</v>
      </c>
      <c r="O340" s="0" t="n">
        <f aca="false">B340+D340+F340</f>
        <v>8</v>
      </c>
      <c r="P340" s="0" t="n">
        <f aca="false">C340+E340+G340</f>
        <v>8</v>
      </c>
    </row>
    <row r="341" customFormat="false" ht="15" hidden="false" customHeight="false" outlineLevel="0" collapsed="false">
      <c r="A341" s="0" t="n">
        <v>342</v>
      </c>
      <c r="B341" s="0" t="n">
        <f aca="false">Raw_Data!AJ342</f>
        <v>4</v>
      </c>
      <c r="C341" s="0" t="n">
        <f aca="false">Raw_Data!AK342</f>
        <v>3</v>
      </c>
      <c r="D341" s="0" t="n">
        <f aca="false">Raw_Data!AL342</f>
        <v>4</v>
      </c>
      <c r="E341" s="0" t="n">
        <f aca="false">Raw_Data!AM342</f>
        <v>3</v>
      </c>
      <c r="F341" s="0" t="n">
        <f aca="false">Raw_Data!AN342</f>
        <v>3</v>
      </c>
      <c r="G341" s="0" t="n">
        <f aca="false">Raw_Data!AO342</f>
        <v>2</v>
      </c>
      <c r="H341" s="0" t="n">
        <f aca="false">SUM(B341:G341)</f>
        <v>19</v>
      </c>
      <c r="I341" s="0" t="n">
        <f aca="false">H341-B341</f>
        <v>15</v>
      </c>
      <c r="J341" s="0" t="n">
        <f aca="false">H341-C341</f>
        <v>16</v>
      </c>
      <c r="K341" s="0" t="n">
        <f aca="false">H341-D341</f>
        <v>15</v>
      </c>
      <c r="L341" s="0" t="n">
        <f aca="false">H341-E341</f>
        <v>16</v>
      </c>
      <c r="M341" s="0" t="n">
        <f aca="false">H341-F341</f>
        <v>16</v>
      </c>
      <c r="N341" s="0" t="n">
        <f aca="false">H341-G341</f>
        <v>17</v>
      </c>
      <c r="O341" s="0" t="n">
        <f aca="false">B341+D341+F341</f>
        <v>11</v>
      </c>
      <c r="P341" s="0" t="n">
        <f aca="false">C341+E341+G341</f>
        <v>8</v>
      </c>
    </row>
    <row r="342" customFormat="false" ht="15" hidden="false" customHeight="false" outlineLevel="0" collapsed="false">
      <c r="A342" s="0" t="n">
        <v>343</v>
      </c>
      <c r="B342" s="0" t="n">
        <f aca="false">Raw_Data!AJ343</f>
        <v>4</v>
      </c>
      <c r="C342" s="0" t="n">
        <f aca="false">Raw_Data!AK343</f>
        <v>3</v>
      </c>
      <c r="D342" s="0" t="n">
        <f aca="false">Raw_Data!AL343</f>
        <v>4</v>
      </c>
      <c r="E342" s="0" t="n">
        <f aca="false">Raw_Data!AM343</f>
        <v>3</v>
      </c>
      <c r="F342" s="0" t="n">
        <f aca="false">Raw_Data!AN343</f>
        <v>4</v>
      </c>
      <c r="G342" s="0" t="n">
        <f aca="false">Raw_Data!AO343</f>
        <v>2</v>
      </c>
      <c r="H342" s="0" t="n">
        <f aca="false">SUM(B342:G342)</f>
        <v>20</v>
      </c>
      <c r="I342" s="0" t="n">
        <f aca="false">H342-B342</f>
        <v>16</v>
      </c>
      <c r="J342" s="0" t="n">
        <f aca="false">H342-C342</f>
        <v>17</v>
      </c>
      <c r="K342" s="0" t="n">
        <f aca="false">H342-D342</f>
        <v>16</v>
      </c>
      <c r="L342" s="0" t="n">
        <f aca="false">H342-E342</f>
        <v>17</v>
      </c>
      <c r="M342" s="0" t="n">
        <f aca="false">H342-F342</f>
        <v>16</v>
      </c>
      <c r="N342" s="0" t="n">
        <f aca="false">H342-G342</f>
        <v>18</v>
      </c>
      <c r="O342" s="0" t="n">
        <f aca="false">B342+D342+F342</f>
        <v>12</v>
      </c>
      <c r="P342" s="0" t="n">
        <f aca="false">C342+E342+G342</f>
        <v>8</v>
      </c>
    </row>
    <row r="343" customFormat="false" ht="15" hidden="false" customHeight="false" outlineLevel="0" collapsed="false">
      <c r="A343" s="0" t="n">
        <v>344</v>
      </c>
      <c r="B343" s="0" t="n">
        <f aca="false">Raw_Data!AJ344</f>
        <v>3</v>
      </c>
      <c r="C343" s="0" t="n">
        <f aca="false">Raw_Data!AK344</f>
        <v>3</v>
      </c>
      <c r="D343" s="0" t="n">
        <f aca="false">Raw_Data!AL344</f>
        <v>3</v>
      </c>
      <c r="E343" s="0" t="n">
        <f aca="false">Raw_Data!AM344</f>
        <v>3</v>
      </c>
      <c r="F343" s="0" t="n">
        <f aca="false">Raw_Data!AN344</f>
        <v>3</v>
      </c>
      <c r="G343" s="0" t="n">
        <f aca="false">Raw_Data!AO344</f>
        <v>3</v>
      </c>
      <c r="H343" s="0" t="n">
        <f aca="false">SUM(B343:G343)</f>
        <v>18</v>
      </c>
      <c r="I343" s="0" t="n">
        <f aca="false">H343-B343</f>
        <v>15</v>
      </c>
      <c r="J343" s="0" t="n">
        <f aca="false">H343-C343</f>
        <v>15</v>
      </c>
      <c r="K343" s="0" t="n">
        <f aca="false">H343-D343</f>
        <v>15</v>
      </c>
      <c r="L343" s="0" t="n">
        <f aca="false">H343-E343</f>
        <v>15</v>
      </c>
      <c r="M343" s="0" t="n">
        <f aca="false">H343-F343</f>
        <v>15</v>
      </c>
      <c r="N343" s="0" t="n">
        <f aca="false">H343-G343</f>
        <v>15</v>
      </c>
      <c r="O343" s="0" t="n">
        <f aca="false">B343+D343+F343</f>
        <v>9</v>
      </c>
      <c r="P343" s="0" t="n">
        <f aca="false">C343+E343+G343</f>
        <v>9</v>
      </c>
    </row>
    <row r="344" customFormat="false" ht="15" hidden="false" customHeight="false" outlineLevel="0" collapsed="false">
      <c r="A344" s="0" t="n">
        <v>345</v>
      </c>
      <c r="B344" s="0" t="n">
        <f aca="false">Raw_Data!AJ345</f>
        <v>4</v>
      </c>
      <c r="C344" s="0" t="n">
        <f aca="false">Raw_Data!AK345</f>
        <v>1</v>
      </c>
      <c r="D344" s="0" t="n">
        <f aca="false">Raw_Data!AL345</f>
        <v>5</v>
      </c>
      <c r="E344" s="0" t="n">
        <f aca="false">Raw_Data!AM345</f>
        <v>4</v>
      </c>
      <c r="F344" s="0" t="n">
        <f aca="false">Raw_Data!AN345</f>
        <v>2</v>
      </c>
      <c r="G344" s="0" t="n">
        <f aca="false">Raw_Data!AO345</f>
        <v>3</v>
      </c>
      <c r="H344" s="0" t="n">
        <f aca="false">SUM(B344:G344)</f>
        <v>19</v>
      </c>
      <c r="I344" s="0" t="n">
        <f aca="false">H344-B344</f>
        <v>15</v>
      </c>
      <c r="J344" s="0" t="n">
        <f aca="false">H344-C344</f>
        <v>18</v>
      </c>
      <c r="K344" s="0" t="n">
        <f aca="false">H344-D344</f>
        <v>14</v>
      </c>
      <c r="L344" s="0" t="n">
        <f aca="false">H344-E344</f>
        <v>15</v>
      </c>
      <c r="M344" s="0" t="n">
        <f aca="false">H344-F344</f>
        <v>17</v>
      </c>
      <c r="N344" s="0" t="n">
        <f aca="false">H344-G344</f>
        <v>16</v>
      </c>
      <c r="O344" s="0" t="n">
        <f aca="false">B344+D344+F344</f>
        <v>11</v>
      </c>
      <c r="P344" s="0" t="n">
        <f aca="false">C344+E344+G344</f>
        <v>8</v>
      </c>
    </row>
    <row r="345" customFormat="false" ht="15" hidden="false" customHeight="false" outlineLevel="0" collapsed="false">
      <c r="A345" s="0" t="n">
        <v>346</v>
      </c>
      <c r="B345" s="0" t="n">
        <f aca="false">Raw_Data!AJ346</f>
        <v>3</v>
      </c>
      <c r="C345" s="0" t="n">
        <f aca="false">Raw_Data!AK346</f>
        <v>3</v>
      </c>
      <c r="D345" s="0" t="n">
        <f aca="false">Raw_Data!AL346</f>
        <v>3</v>
      </c>
      <c r="E345" s="0" t="n">
        <f aca="false">Raw_Data!AM346</f>
        <v>3</v>
      </c>
      <c r="F345" s="0" t="n">
        <f aca="false">Raw_Data!AN346</f>
        <v>3</v>
      </c>
      <c r="G345" s="0" t="n">
        <f aca="false">Raw_Data!AO346</f>
        <v>3</v>
      </c>
      <c r="H345" s="0" t="n">
        <f aca="false">SUM(B345:G345)</f>
        <v>18</v>
      </c>
      <c r="I345" s="0" t="n">
        <f aca="false">H345-B345</f>
        <v>15</v>
      </c>
      <c r="J345" s="0" t="n">
        <f aca="false">H345-C345</f>
        <v>15</v>
      </c>
      <c r="K345" s="0" t="n">
        <f aca="false">H345-D345</f>
        <v>15</v>
      </c>
      <c r="L345" s="0" t="n">
        <f aca="false">H345-E345</f>
        <v>15</v>
      </c>
      <c r="M345" s="0" t="n">
        <f aca="false">H345-F345</f>
        <v>15</v>
      </c>
      <c r="N345" s="0" t="n">
        <f aca="false">H345-G345</f>
        <v>15</v>
      </c>
      <c r="O345" s="0" t="n">
        <f aca="false">B345+D345+F345</f>
        <v>9</v>
      </c>
      <c r="P345" s="0" t="n">
        <f aca="false">C345+E345+G345</f>
        <v>9</v>
      </c>
    </row>
    <row r="346" customFormat="false" ht="15" hidden="false" customHeight="false" outlineLevel="0" collapsed="false">
      <c r="A346" s="0" t="n">
        <v>347</v>
      </c>
      <c r="B346" s="0" t="n">
        <f aca="false">Raw_Data!AJ347</f>
        <v>3</v>
      </c>
      <c r="C346" s="0" t="n">
        <f aca="false">Raw_Data!AK347</f>
        <v>3</v>
      </c>
      <c r="D346" s="0" t="n">
        <f aca="false">Raw_Data!AL347</f>
        <v>4</v>
      </c>
      <c r="E346" s="0" t="n">
        <f aca="false">Raw_Data!AM347</f>
        <v>2</v>
      </c>
      <c r="F346" s="0" t="n">
        <f aca="false">Raw_Data!AN347</f>
        <v>4</v>
      </c>
      <c r="G346" s="0" t="n">
        <f aca="false">Raw_Data!AO347</f>
        <v>3</v>
      </c>
      <c r="H346" s="0" t="n">
        <f aca="false">SUM(B346:G346)</f>
        <v>19</v>
      </c>
      <c r="I346" s="0" t="n">
        <f aca="false">H346-B346</f>
        <v>16</v>
      </c>
      <c r="J346" s="0" t="n">
        <f aca="false">H346-C346</f>
        <v>16</v>
      </c>
      <c r="K346" s="0" t="n">
        <f aca="false">H346-D346</f>
        <v>15</v>
      </c>
      <c r="L346" s="0" t="n">
        <f aca="false">H346-E346</f>
        <v>17</v>
      </c>
      <c r="M346" s="0" t="n">
        <f aca="false">H346-F346</f>
        <v>15</v>
      </c>
      <c r="N346" s="0" t="n">
        <f aca="false">H346-G346</f>
        <v>16</v>
      </c>
      <c r="O346" s="0" t="n">
        <f aca="false">B346+D346+F346</f>
        <v>11</v>
      </c>
      <c r="P346" s="0" t="n">
        <f aca="false">C346+E346+G346</f>
        <v>8</v>
      </c>
    </row>
    <row r="347" customFormat="false" ht="15" hidden="false" customHeight="false" outlineLevel="0" collapsed="false">
      <c r="A347" s="0" t="n">
        <v>348</v>
      </c>
      <c r="B347" s="0" t="n">
        <f aca="false">Raw_Data!AJ348</f>
        <v>4</v>
      </c>
      <c r="C347" s="0" t="n">
        <f aca="false">Raw_Data!AK348</f>
        <v>4</v>
      </c>
      <c r="D347" s="0" t="n">
        <f aca="false">Raw_Data!AL348</f>
        <v>4</v>
      </c>
      <c r="E347" s="0" t="n">
        <f aca="false">Raw_Data!AM348</f>
        <v>3</v>
      </c>
      <c r="F347" s="0" t="n">
        <f aca="false">Raw_Data!AN348</f>
        <v>5</v>
      </c>
      <c r="G347" s="0" t="n">
        <f aca="false">Raw_Data!AO348</f>
        <v>2</v>
      </c>
      <c r="H347" s="0" t="n">
        <f aca="false">SUM(B347:G347)</f>
        <v>22</v>
      </c>
      <c r="I347" s="0" t="n">
        <f aca="false">H347-B347</f>
        <v>18</v>
      </c>
      <c r="J347" s="0" t="n">
        <f aca="false">H347-C347</f>
        <v>18</v>
      </c>
      <c r="K347" s="0" t="n">
        <f aca="false">H347-D347</f>
        <v>18</v>
      </c>
      <c r="L347" s="0" t="n">
        <f aca="false">H347-E347</f>
        <v>19</v>
      </c>
      <c r="M347" s="0" t="n">
        <f aca="false">H347-F347</f>
        <v>17</v>
      </c>
      <c r="N347" s="0" t="n">
        <f aca="false">H347-G347</f>
        <v>20</v>
      </c>
      <c r="O347" s="0" t="n">
        <f aca="false">B347+D347+F347</f>
        <v>13</v>
      </c>
      <c r="P347" s="0" t="n">
        <f aca="false">C347+E347+G347</f>
        <v>9</v>
      </c>
    </row>
    <row r="348" customFormat="false" ht="15" hidden="false" customHeight="false" outlineLevel="0" collapsed="false">
      <c r="A348" s="0" t="n">
        <v>349</v>
      </c>
      <c r="B348" s="0" t="n">
        <f aca="false">Raw_Data!AJ349</f>
        <v>4</v>
      </c>
      <c r="C348" s="0" t="n">
        <f aca="false">Raw_Data!AK349</f>
        <v>4</v>
      </c>
      <c r="D348" s="0" t="n">
        <f aca="false">Raw_Data!AL349</f>
        <v>4</v>
      </c>
      <c r="E348" s="0" t="n">
        <f aca="false">Raw_Data!AM349</f>
        <v>3</v>
      </c>
      <c r="F348" s="0" t="n">
        <f aca="false">Raw_Data!AN349</f>
        <v>2</v>
      </c>
      <c r="G348" s="0" t="n">
        <f aca="false">Raw_Data!AO349</f>
        <v>4</v>
      </c>
      <c r="H348" s="0" t="n">
        <f aca="false">SUM(B348:G348)</f>
        <v>21</v>
      </c>
      <c r="I348" s="0" t="n">
        <f aca="false">H348-B348</f>
        <v>17</v>
      </c>
      <c r="J348" s="0" t="n">
        <f aca="false">H348-C348</f>
        <v>17</v>
      </c>
      <c r="K348" s="0" t="n">
        <f aca="false">H348-D348</f>
        <v>17</v>
      </c>
      <c r="L348" s="0" t="n">
        <f aca="false">H348-E348</f>
        <v>18</v>
      </c>
      <c r="M348" s="0" t="n">
        <f aca="false">H348-F348</f>
        <v>19</v>
      </c>
      <c r="N348" s="0" t="n">
        <f aca="false">H348-G348</f>
        <v>17</v>
      </c>
      <c r="O348" s="0" t="n">
        <f aca="false">B348+D348+F348</f>
        <v>10</v>
      </c>
      <c r="P348" s="0" t="n">
        <f aca="false">C348+E348+G348</f>
        <v>11</v>
      </c>
    </row>
    <row r="349" customFormat="false" ht="15" hidden="false" customHeight="false" outlineLevel="0" collapsed="false">
      <c r="A349" s="0" t="n">
        <v>350</v>
      </c>
      <c r="B349" s="0" t="n">
        <f aca="false">Raw_Data!AJ350</f>
        <v>4</v>
      </c>
      <c r="C349" s="0" t="n">
        <f aca="false">Raw_Data!AK350</f>
        <v>5</v>
      </c>
      <c r="D349" s="0" t="n">
        <f aca="false">Raw_Data!AL350</f>
        <v>5</v>
      </c>
      <c r="E349" s="0" t="n">
        <f aca="false">Raw_Data!AM350</f>
        <v>3</v>
      </c>
      <c r="F349" s="0" t="n">
        <f aca="false">Raw_Data!AN350</f>
        <v>2</v>
      </c>
      <c r="G349" s="0" t="n">
        <f aca="false">Raw_Data!AO350</f>
        <v>4</v>
      </c>
      <c r="H349" s="0" t="n">
        <f aca="false">SUM(B349:G349)</f>
        <v>23</v>
      </c>
      <c r="I349" s="0" t="n">
        <f aca="false">H349-B349</f>
        <v>19</v>
      </c>
      <c r="J349" s="0" t="n">
        <f aca="false">H349-C349</f>
        <v>18</v>
      </c>
      <c r="K349" s="0" t="n">
        <f aca="false">H349-D349</f>
        <v>18</v>
      </c>
      <c r="L349" s="0" t="n">
        <f aca="false">H349-E349</f>
        <v>20</v>
      </c>
      <c r="M349" s="0" t="n">
        <f aca="false">H349-F349</f>
        <v>21</v>
      </c>
      <c r="N349" s="0" t="n">
        <f aca="false">H349-G349</f>
        <v>19</v>
      </c>
      <c r="O349" s="0" t="n">
        <f aca="false">B349+D349+F349</f>
        <v>11</v>
      </c>
      <c r="P349" s="0" t="n">
        <f aca="false">C349+E349+G349</f>
        <v>12</v>
      </c>
    </row>
    <row r="350" customFormat="false" ht="15" hidden="false" customHeight="false" outlineLevel="0" collapsed="false">
      <c r="A350" s="0" t="n">
        <v>351</v>
      </c>
      <c r="B350" s="0" t="n">
        <f aca="false">Raw_Data!AJ351</f>
        <v>5</v>
      </c>
      <c r="C350" s="0" t="n">
        <f aca="false">Raw_Data!AK351</f>
        <v>2</v>
      </c>
      <c r="D350" s="0" t="n">
        <f aca="false">Raw_Data!AL351</f>
        <v>5</v>
      </c>
      <c r="E350" s="0" t="n">
        <f aca="false">Raw_Data!AM351</f>
        <v>4</v>
      </c>
      <c r="F350" s="0" t="n">
        <f aca="false">Raw_Data!AN351</f>
        <v>3</v>
      </c>
      <c r="G350" s="0" t="n">
        <f aca="false">Raw_Data!AO351</f>
        <v>4</v>
      </c>
      <c r="H350" s="0" t="n">
        <f aca="false">SUM(B350:G350)</f>
        <v>23</v>
      </c>
      <c r="I350" s="0" t="n">
        <f aca="false">H350-B350</f>
        <v>18</v>
      </c>
      <c r="J350" s="0" t="n">
        <f aca="false">H350-C350</f>
        <v>21</v>
      </c>
      <c r="K350" s="0" t="n">
        <f aca="false">H350-D350</f>
        <v>18</v>
      </c>
      <c r="L350" s="0" t="n">
        <f aca="false">H350-E350</f>
        <v>19</v>
      </c>
      <c r="M350" s="0" t="n">
        <f aca="false">H350-F350</f>
        <v>20</v>
      </c>
      <c r="N350" s="0" t="n">
        <f aca="false">H350-G350</f>
        <v>19</v>
      </c>
      <c r="O350" s="0" t="n">
        <f aca="false">B350+D350+F350</f>
        <v>13</v>
      </c>
      <c r="P350" s="0" t="n">
        <f aca="false">C350+E350+G350</f>
        <v>10</v>
      </c>
    </row>
    <row r="351" customFormat="false" ht="15" hidden="false" customHeight="false" outlineLevel="0" collapsed="false">
      <c r="A351" s="0" t="n">
        <v>352</v>
      </c>
      <c r="B351" s="0" t="n">
        <f aca="false">Raw_Data!AJ352</f>
        <v>4</v>
      </c>
      <c r="C351" s="0" t="n">
        <f aca="false">Raw_Data!AK352</f>
        <v>4</v>
      </c>
      <c r="D351" s="0" t="n">
        <f aca="false">Raw_Data!AL352</f>
        <v>4</v>
      </c>
      <c r="E351" s="0" t="n">
        <f aca="false">Raw_Data!AM352</f>
        <v>3</v>
      </c>
      <c r="F351" s="0" t="n">
        <f aca="false">Raw_Data!AN352</f>
        <v>4</v>
      </c>
      <c r="G351" s="0" t="n">
        <f aca="false">Raw_Data!AO352</f>
        <v>3</v>
      </c>
      <c r="H351" s="0" t="n">
        <f aca="false">SUM(B351:G351)</f>
        <v>22</v>
      </c>
      <c r="I351" s="0" t="n">
        <f aca="false">H351-B351</f>
        <v>18</v>
      </c>
      <c r="J351" s="0" t="n">
        <f aca="false">H351-C351</f>
        <v>18</v>
      </c>
      <c r="K351" s="0" t="n">
        <f aca="false">H351-D351</f>
        <v>18</v>
      </c>
      <c r="L351" s="0" t="n">
        <f aca="false">H351-E351</f>
        <v>19</v>
      </c>
      <c r="M351" s="0" t="n">
        <f aca="false">H351-F351</f>
        <v>18</v>
      </c>
      <c r="N351" s="0" t="n">
        <f aca="false">H351-G351</f>
        <v>19</v>
      </c>
      <c r="O351" s="0" t="n">
        <f aca="false">B351+D351+F351</f>
        <v>12</v>
      </c>
      <c r="P351" s="0" t="n">
        <f aca="false">C351+E351+G351</f>
        <v>10</v>
      </c>
    </row>
    <row r="352" customFormat="false" ht="15" hidden="false" customHeight="false" outlineLevel="0" collapsed="false">
      <c r="A352" s="0" t="n">
        <v>353</v>
      </c>
      <c r="B352" s="0" t="n">
        <f aca="false">Raw_Data!AJ353</f>
        <v>4</v>
      </c>
      <c r="C352" s="0" t="n">
        <f aca="false">Raw_Data!AK353</f>
        <v>3</v>
      </c>
      <c r="D352" s="0" t="n">
        <f aca="false">Raw_Data!AL353</f>
        <v>4</v>
      </c>
      <c r="E352" s="0" t="n">
        <f aca="false">Raw_Data!AM353</f>
        <v>4</v>
      </c>
      <c r="F352" s="0" t="n">
        <f aca="false">Raw_Data!AN353</f>
        <v>4</v>
      </c>
      <c r="G352" s="0" t="n">
        <f aca="false">Raw_Data!AO353</f>
        <v>4</v>
      </c>
      <c r="H352" s="0" t="n">
        <f aca="false">SUM(B352:G352)</f>
        <v>23</v>
      </c>
      <c r="I352" s="0" t="n">
        <f aca="false">H352-B352</f>
        <v>19</v>
      </c>
      <c r="J352" s="0" t="n">
        <f aca="false">H352-C352</f>
        <v>20</v>
      </c>
      <c r="K352" s="0" t="n">
        <f aca="false">H352-D352</f>
        <v>19</v>
      </c>
      <c r="L352" s="0" t="n">
        <f aca="false">H352-E352</f>
        <v>19</v>
      </c>
      <c r="M352" s="0" t="n">
        <f aca="false">H352-F352</f>
        <v>19</v>
      </c>
      <c r="N352" s="0" t="n">
        <f aca="false">H352-G352</f>
        <v>19</v>
      </c>
      <c r="O352" s="0" t="n">
        <f aca="false">B352+D352+F352</f>
        <v>12</v>
      </c>
      <c r="P352" s="0" t="n">
        <f aca="false">C352+E352+G352</f>
        <v>11</v>
      </c>
    </row>
    <row r="353" customFormat="false" ht="15" hidden="false" customHeight="false" outlineLevel="0" collapsed="false">
      <c r="A353" s="0" t="n">
        <v>354</v>
      </c>
      <c r="B353" s="0" t="n">
        <f aca="false">Raw_Data!AJ354</f>
        <v>2</v>
      </c>
      <c r="C353" s="0" t="n">
        <f aca="false">Raw_Data!AK354</f>
        <v>4</v>
      </c>
      <c r="D353" s="0" t="n">
        <f aca="false">Raw_Data!AL354</f>
        <v>5</v>
      </c>
      <c r="E353" s="0" t="n">
        <f aca="false">Raw_Data!AM354</f>
        <v>3</v>
      </c>
      <c r="F353" s="0" t="n">
        <f aca="false">Raw_Data!AN354</f>
        <v>4</v>
      </c>
      <c r="G353" s="0" t="n">
        <f aca="false">Raw_Data!AO354</f>
        <v>4</v>
      </c>
      <c r="H353" s="0" t="n">
        <f aca="false">SUM(B353:G353)</f>
        <v>22</v>
      </c>
      <c r="I353" s="0" t="n">
        <f aca="false">H353-B353</f>
        <v>20</v>
      </c>
      <c r="J353" s="0" t="n">
        <f aca="false">H353-C353</f>
        <v>18</v>
      </c>
      <c r="K353" s="0" t="n">
        <f aca="false">H353-D353</f>
        <v>17</v>
      </c>
      <c r="L353" s="0" t="n">
        <f aca="false">H353-E353</f>
        <v>19</v>
      </c>
      <c r="M353" s="0" t="n">
        <f aca="false">H353-F353</f>
        <v>18</v>
      </c>
      <c r="N353" s="0" t="n">
        <f aca="false">H353-G353</f>
        <v>18</v>
      </c>
      <c r="O353" s="0" t="n">
        <f aca="false">B353+D353+F353</f>
        <v>11</v>
      </c>
      <c r="P353" s="0" t="n">
        <f aca="false">C353+E353+G353</f>
        <v>11</v>
      </c>
    </row>
    <row r="354" customFormat="false" ht="15" hidden="false" customHeight="false" outlineLevel="0" collapsed="false">
      <c r="A354" s="0" t="n">
        <v>355</v>
      </c>
      <c r="B354" s="0" t="n">
        <f aca="false">Raw_Data!AJ355</f>
        <v>4</v>
      </c>
      <c r="C354" s="0" t="n">
        <f aca="false">Raw_Data!AK355</f>
        <v>4</v>
      </c>
      <c r="D354" s="0" t="n">
        <f aca="false">Raw_Data!AL355</f>
        <v>5</v>
      </c>
      <c r="E354" s="0" t="n">
        <f aca="false">Raw_Data!AM355</f>
        <v>3</v>
      </c>
      <c r="F354" s="0" t="n">
        <f aca="false">Raw_Data!AN355</f>
        <v>1</v>
      </c>
      <c r="G354" s="0" t="n">
        <f aca="false">Raw_Data!AO355</f>
        <v>4</v>
      </c>
      <c r="H354" s="0" t="n">
        <f aca="false">SUM(B354:G354)</f>
        <v>21</v>
      </c>
      <c r="I354" s="0" t="n">
        <f aca="false">H354-B354</f>
        <v>17</v>
      </c>
      <c r="J354" s="0" t="n">
        <f aca="false">H354-C354</f>
        <v>17</v>
      </c>
      <c r="K354" s="0" t="n">
        <f aca="false">H354-D354</f>
        <v>16</v>
      </c>
      <c r="L354" s="0" t="n">
        <f aca="false">H354-E354</f>
        <v>18</v>
      </c>
      <c r="M354" s="0" t="n">
        <f aca="false">H354-F354</f>
        <v>20</v>
      </c>
      <c r="N354" s="0" t="n">
        <f aca="false">H354-G354</f>
        <v>17</v>
      </c>
      <c r="O354" s="0" t="n">
        <f aca="false">B354+D354+F354</f>
        <v>10</v>
      </c>
      <c r="P354" s="0" t="n">
        <f aca="false">C354+E354+G354</f>
        <v>11</v>
      </c>
    </row>
    <row r="355" customFormat="false" ht="15" hidden="false" customHeight="false" outlineLevel="0" collapsed="false">
      <c r="A355" s="0" t="n">
        <v>356</v>
      </c>
      <c r="B355" s="0" t="n">
        <f aca="false">Raw_Data!AJ356</f>
        <v>4</v>
      </c>
      <c r="C355" s="0" t="n">
        <f aca="false">Raw_Data!AK356</f>
        <v>3</v>
      </c>
      <c r="D355" s="0" t="n">
        <f aca="false">Raw_Data!AL356</f>
        <v>4</v>
      </c>
      <c r="E355" s="0" t="n">
        <f aca="false">Raw_Data!AM356</f>
        <v>3</v>
      </c>
      <c r="F355" s="0" t="n">
        <f aca="false">Raw_Data!AN356</f>
        <v>2</v>
      </c>
      <c r="G355" s="0" t="n">
        <f aca="false">Raw_Data!AO356</f>
        <v>3</v>
      </c>
      <c r="H355" s="0" t="n">
        <f aca="false">SUM(B355:G355)</f>
        <v>19</v>
      </c>
      <c r="I355" s="0" t="n">
        <f aca="false">H355-B355</f>
        <v>15</v>
      </c>
      <c r="J355" s="0" t="n">
        <f aca="false">H355-C355</f>
        <v>16</v>
      </c>
      <c r="K355" s="0" t="n">
        <f aca="false">H355-D355</f>
        <v>15</v>
      </c>
      <c r="L355" s="0" t="n">
        <f aca="false">H355-E355</f>
        <v>16</v>
      </c>
      <c r="M355" s="0" t="n">
        <f aca="false">H355-F355</f>
        <v>17</v>
      </c>
      <c r="N355" s="0" t="n">
        <f aca="false">H355-G355</f>
        <v>16</v>
      </c>
      <c r="O355" s="0" t="n">
        <f aca="false">B355+D355+F355</f>
        <v>10</v>
      </c>
      <c r="P355" s="0" t="n">
        <f aca="false">C355+E355+G355</f>
        <v>9</v>
      </c>
    </row>
    <row r="356" customFormat="false" ht="15" hidden="false" customHeight="false" outlineLevel="0" collapsed="false">
      <c r="A356" s="0" t="n">
        <v>357</v>
      </c>
      <c r="B356" s="0" t="n">
        <f aca="false">Raw_Data!AJ357</f>
        <v>3</v>
      </c>
      <c r="C356" s="0" t="n">
        <f aca="false">Raw_Data!AK357</f>
        <v>2</v>
      </c>
      <c r="D356" s="0" t="n">
        <f aca="false">Raw_Data!AL357</f>
        <v>3</v>
      </c>
      <c r="E356" s="0" t="n">
        <f aca="false">Raw_Data!AM357</f>
        <v>3</v>
      </c>
      <c r="F356" s="0" t="n">
        <f aca="false">Raw_Data!AN357</f>
        <v>3</v>
      </c>
      <c r="G356" s="0" t="n">
        <f aca="false">Raw_Data!AO357</f>
        <v>3</v>
      </c>
      <c r="H356" s="0" t="n">
        <f aca="false">SUM(B356:G356)</f>
        <v>17</v>
      </c>
      <c r="I356" s="0" t="n">
        <f aca="false">H356-B356</f>
        <v>14</v>
      </c>
      <c r="J356" s="0" t="n">
        <f aca="false">H356-C356</f>
        <v>15</v>
      </c>
      <c r="K356" s="0" t="n">
        <f aca="false">H356-D356</f>
        <v>14</v>
      </c>
      <c r="L356" s="0" t="n">
        <f aca="false">H356-E356</f>
        <v>14</v>
      </c>
      <c r="M356" s="0" t="n">
        <f aca="false">H356-F356</f>
        <v>14</v>
      </c>
      <c r="N356" s="0" t="n">
        <f aca="false">H356-G356</f>
        <v>14</v>
      </c>
      <c r="O356" s="0" t="n">
        <f aca="false">B356+D356+F356</f>
        <v>9</v>
      </c>
      <c r="P356" s="0" t="n">
        <f aca="false">C356+E356+G356</f>
        <v>8</v>
      </c>
    </row>
    <row r="357" customFormat="false" ht="15" hidden="false" customHeight="false" outlineLevel="0" collapsed="false">
      <c r="A357" s="0" t="n">
        <v>358</v>
      </c>
      <c r="B357" s="0" t="n">
        <f aca="false">Raw_Data!AJ358</f>
        <v>4</v>
      </c>
      <c r="C357" s="0" t="n">
        <f aca="false">Raw_Data!AK358</f>
        <v>2</v>
      </c>
      <c r="D357" s="0" t="n">
        <f aca="false">Raw_Data!AL358</f>
        <v>4</v>
      </c>
      <c r="E357" s="0" t="n">
        <f aca="false">Raw_Data!AM358</f>
        <v>3</v>
      </c>
      <c r="F357" s="0" t="n">
        <f aca="false">Raw_Data!AN358</f>
        <v>2</v>
      </c>
      <c r="G357" s="0" t="n">
        <f aca="false">Raw_Data!AO358</f>
        <v>3</v>
      </c>
      <c r="H357" s="0" t="n">
        <f aca="false">SUM(B357:G357)</f>
        <v>18</v>
      </c>
      <c r="I357" s="0" t="n">
        <f aca="false">H357-B357</f>
        <v>14</v>
      </c>
      <c r="J357" s="0" t="n">
        <f aca="false">H357-C357</f>
        <v>16</v>
      </c>
      <c r="K357" s="0" t="n">
        <f aca="false">H357-D357</f>
        <v>14</v>
      </c>
      <c r="L357" s="0" t="n">
        <f aca="false">H357-E357</f>
        <v>15</v>
      </c>
      <c r="M357" s="0" t="n">
        <f aca="false">H357-F357</f>
        <v>16</v>
      </c>
      <c r="N357" s="0" t="n">
        <f aca="false">H357-G357</f>
        <v>15</v>
      </c>
      <c r="O357" s="0" t="n">
        <f aca="false">B357+D357+F357</f>
        <v>10</v>
      </c>
      <c r="P357" s="0" t="n">
        <f aca="false">C357+E357+G357</f>
        <v>8</v>
      </c>
    </row>
    <row r="358" customFormat="false" ht="15" hidden="false" customHeight="false" outlineLevel="0" collapsed="false">
      <c r="A358" s="0" t="n">
        <v>359</v>
      </c>
      <c r="B358" s="0" t="n">
        <f aca="false">Raw_Data!AJ359</f>
        <v>4</v>
      </c>
      <c r="C358" s="0" t="n">
        <f aca="false">Raw_Data!AK359</f>
        <v>4</v>
      </c>
      <c r="D358" s="0" t="n">
        <f aca="false">Raw_Data!AL359</f>
        <v>4</v>
      </c>
      <c r="E358" s="0" t="n">
        <f aca="false">Raw_Data!AM359</f>
        <v>3</v>
      </c>
      <c r="F358" s="0" t="n">
        <f aca="false">Raw_Data!AN359</f>
        <v>1</v>
      </c>
      <c r="G358" s="0" t="n">
        <f aca="false">Raw_Data!AO359</f>
        <v>4</v>
      </c>
      <c r="H358" s="0" t="n">
        <f aca="false">SUM(B358:G358)</f>
        <v>20</v>
      </c>
      <c r="I358" s="0" t="n">
        <f aca="false">H358-B358</f>
        <v>16</v>
      </c>
      <c r="J358" s="0" t="n">
        <f aca="false">H358-C358</f>
        <v>16</v>
      </c>
      <c r="K358" s="0" t="n">
        <f aca="false">H358-D358</f>
        <v>16</v>
      </c>
      <c r="L358" s="0" t="n">
        <f aca="false">H358-E358</f>
        <v>17</v>
      </c>
      <c r="M358" s="0" t="n">
        <f aca="false">H358-F358</f>
        <v>19</v>
      </c>
      <c r="N358" s="0" t="n">
        <f aca="false">H358-G358</f>
        <v>16</v>
      </c>
      <c r="O358" s="0" t="n">
        <f aca="false">B358+D358+F358</f>
        <v>9</v>
      </c>
      <c r="P358" s="0" t="n">
        <f aca="false">C358+E358+G358</f>
        <v>11</v>
      </c>
    </row>
    <row r="359" customFormat="false" ht="15" hidden="false" customHeight="false" outlineLevel="0" collapsed="false">
      <c r="A359" s="0" t="n">
        <v>360</v>
      </c>
      <c r="B359" s="0" t="n">
        <f aca="false">Raw_Data!AJ360</f>
        <v>5</v>
      </c>
      <c r="C359" s="0" t="n">
        <f aca="false">Raw_Data!AK360</f>
        <v>2</v>
      </c>
      <c r="D359" s="0" t="n">
        <f aca="false">Raw_Data!AL360</f>
        <v>4</v>
      </c>
      <c r="E359" s="0" t="n">
        <f aca="false">Raw_Data!AM360</f>
        <v>4</v>
      </c>
      <c r="F359" s="0" t="n">
        <f aca="false">Raw_Data!AN360</f>
        <v>2</v>
      </c>
      <c r="G359" s="0" t="n">
        <f aca="false">Raw_Data!AO360</f>
        <v>3</v>
      </c>
      <c r="H359" s="0" t="n">
        <f aca="false">SUM(B359:G359)</f>
        <v>20</v>
      </c>
      <c r="I359" s="0" t="n">
        <f aca="false">H359-B359</f>
        <v>15</v>
      </c>
      <c r="J359" s="0" t="n">
        <f aca="false">H359-C359</f>
        <v>18</v>
      </c>
      <c r="K359" s="0" t="n">
        <f aca="false">H359-D359</f>
        <v>16</v>
      </c>
      <c r="L359" s="0" t="n">
        <f aca="false">H359-E359</f>
        <v>16</v>
      </c>
      <c r="M359" s="0" t="n">
        <f aca="false">H359-F359</f>
        <v>18</v>
      </c>
      <c r="N359" s="0" t="n">
        <f aca="false">H359-G359</f>
        <v>17</v>
      </c>
      <c r="O359" s="0" t="n">
        <f aca="false">B359+D359+F359</f>
        <v>11</v>
      </c>
      <c r="P359" s="0" t="n">
        <f aca="false">C359+E359+G359</f>
        <v>9</v>
      </c>
    </row>
    <row r="360" customFormat="false" ht="15" hidden="false" customHeight="false" outlineLevel="0" collapsed="false">
      <c r="A360" s="0" t="n">
        <v>361</v>
      </c>
      <c r="B360" s="0" t="n">
        <f aca="false">Raw_Data!AJ361</f>
        <v>4</v>
      </c>
      <c r="C360" s="0" t="n">
        <f aca="false">Raw_Data!AK361</f>
        <v>4</v>
      </c>
      <c r="D360" s="0" t="n">
        <f aca="false">Raw_Data!AL361</f>
        <v>4</v>
      </c>
      <c r="E360" s="0" t="n">
        <f aca="false">Raw_Data!AM361</f>
        <v>5</v>
      </c>
      <c r="F360" s="0" t="n">
        <f aca="false">Raw_Data!AN361</f>
        <v>1</v>
      </c>
      <c r="G360" s="0" t="n">
        <f aca="false">Raw_Data!AO361</f>
        <v>4</v>
      </c>
      <c r="H360" s="0" t="n">
        <f aca="false">SUM(B360:G360)</f>
        <v>22</v>
      </c>
      <c r="I360" s="0" t="n">
        <f aca="false">H360-B360</f>
        <v>18</v>
      </c>
      <c r="J360" s="0" t="n">
        <f aca="false">H360-C360</f>
        <v>18</v>
      </c>
      <c r="K360" s="0" t="n">
        <f aca="false">H360-D360</f>
        <v>18</v>
      </c>
      <c r="L360" s="0" t="n">
        <f aca="false">H360-E360</f>
        <v>17</v>
      </c>
      <c r="M360" s="0" t="n">
        <f aca="false">H360-F360</f>
        <v>21</v>
      </c>
      <c r="N360" s="0" t="n">
        <f aca="false">H360-G360</f>
        <v>18</v>
      </c>
      <c r="O360" s="0" t="n">
        <f aca="false">B360+D360+F360</f>
        <v>9</v>
      </c>
      <c r="P360" s="0" t="n">
        <f aca="false">C360+E360+G360</f>
        <v>13</v>
      </c>
    </row>
    <row r="361" customFormat="false" ht="15" hidden="false" customHeight="false" outlineLevel="0" collapsed="false">
      <c r="A361" s="0" t="n">
        <v>362</v>
      </c>
      <c r="B361" s="0" t="n">
        <f aca="false">Raw_Data!AJ362</f>
        <v>3</v>
      </c>
      <c r="C361" s="0" t="n">
        <f aca="false">Raw_Data!AK362</f>
        <v>4</v>
      </c>
      <c r="D361" s="0" t="n">
        <f aca="false">Raw_Data!AL362</f>
        <v>5</v>
      </c>
      <c r="E361" s="0" t="n">
        <f aca="false">Raw_Data!AM362</f>
        <v>3</v>
      </c>
      <c r="F361" s="0" t="n">
        <f aca="false">Raw_Data!AN362</f>
        <v>2</v>
      </c>
      <c r="G361" s="0" t="n">
        <f aca="false">Raw_Data!AO362</f>
        <v>2</v>
      </c>
      <c r="H361" s="0" t="n">
        <f aca="false">SUM(B361:G361)</f>
        <v>19</v>
      </c>
      <c r="I361" s="0" t="n">
        <f aca="false">H361-B361</f>
        <v>16</v>
      </c>
      <c r="J361" s="0" t="n">
        <f aca="false">H361-C361</f>
        <v>15</v>
      </c>
      <c r="K361" s="0" t="n">
        <f aca="false">H361-D361</f>
        <v>14</v>
      </c>
      <c r="L361" s="0" t="n">
        <f aca="false">H361-E361</f>
        <v>16</v>
      </c>
      <c r="M361" s="0" t="n">
        <f aca="false">H361-F361</f>
        <v>17</v>
      </c>
      <c r="N361" s="0" t="n">
        <f aca="false">H361-G361</f>
        <v>17</v>
      </c>
      <c r="O361" s="0" t="n">
        <f aca="false">B361+D361+F361</f>
        <v>10</v>
      </c>
      <c r="P361" s="0" t="n">
        <f aca="false">C361+E361+G361</f>
        <v>9</v>
      </c>
    </row>
    <row r="362" customFormat="false" ht="15" hidden="false" customHeight="false" outlineLevel="0" collapsed="false">
      <c r="A362" s="0" t="n">
        <v>363</v>
      </c>
      <c r="B362" s="0" t="n">
        <f aca="false">Raw_Data!AJ363</f>
        <v>4</v>
      </c>
      <c r="C362" s="0" t="n">
        <f aca="false">Raw_Data!AK363</f>
        <v>2</v>
      </c>
      <c r="D362" s="0" t="n">
        <f aca="false">Raw_Data!AL363</f>
        <v>3</v>
      </c>
      <c r="E362" s="0" t="n">
        <f aca="false">Raw_Data!AM363</f>
        <v>3</v>
      </c>
      <c r="F362" s="0" t="n">
        <f aca="false">Raw_Data!AN363</f>
        <v>3</v>
      </c>
      <c r="G362" s="0" t="n">
        <f aca="false">Raw_Data!AO363</f>
        <v>3</v>
      </c>
      <c r="H362" s="0" t="n">
        <f aca="false">SUM(B362:G362)</f>
        <v>18</v>
      </c>
      <c r="I362" s="0" t="n">
        <f aca="false">H362-B362</f>
        <v>14</v>
      </c>
      <c r="J362" s="0" t="n">
        <f aca="false">H362-C362</f>
        <v>16</v>
      </c>
      <c r="K362" s="0" t="n">
        <f aca="false">H362-D362</f>
        <v>15</v>
      </c>
      <c r="L362" s="0" t="n">
        <f aca="false">H362-E362</f>
        <v>15</v>
      </c>
      <c r="M362" s="0" t="n">
        <f aca="false">H362-F362</f>
        <v>15</v>
      </c>
      <c r="N362" s="0" t="n">
        <f aca="false">H362-G362</f>
        <v>15</v>
      </c>
      <c r="O362" s="0" t="n">
        <f aca="false">B362+D362+F362</f>
        <v>10</v>
      </c>
      <c r="P362" s="0" t="n">
        <f aca="false">C362+E362+G362</f>
        <v>8</v>
      </c>
    </row>
    <row r="363" customFormat="false" ht="15" hidden="false" customHeight="false" outlineLevel="0" collapsed="false">
      <c r="A363" s="0" t="n">
        <v>364</v>
      </c>
      <c r="B363" s="0" t="n">
        <f aca="false">Raw_Data!AJ364</f>
        <v>3</v>
      </c>
      <c r="C363" s="0" t="n">
        <f aca="false">Raw_Data!AK364</f>
        <v>4</v>
      </c>
      <c r="D363" s="0" t="n">
        <f aca="false">Raw_Data!AL364</f>
        <v>4</v>
      </c>
      <c r="E363" s="0" t="n">
        <f aca="false">Raw_Data!AM364</f>
        <v>4</v>
      </c>
      <c r="F363" s="0" t="n">
        <f aca="false">Raw_Data!AN364</f>
        <v>2</v>
      </c>
      <c r="G363" s="0" t="n">
        <f aca="false">Raw_Data!AO364</f>
        <v>4</v>
      </c>
      <c r="H363" s="0" t="n">
        <f aca="false">SUM(B363:G363)</f>
        <v>21</v>
      </c>
      <c r="I363" s="0" t="n">
        <f aca="false">H363-B363</f>
        <v>18</v>
      </c>
      <c r="J363" s="0" t="n">
        <f aca="false">H363-C363</f>
        <v>17</v>
      </c>
      <c r="K363" s="0" t="n">
        <f aca="false">H363-D363</f>
        <v>17</v>
      </c>
      <c r="L363" s="0" t="n">
        <f aca="false">H363-E363</f>
        <v>17</v>
      </c>
      <c r="M363" s="0" t="n">
        <f aca="false">H363-F363</f>
        <v>19</v>
      </c>
      <c r="N363" s="0" t="n">
        <f aca="false">H363-G363</f>
        <v>17</v>
      </c>
      <c r="O363" s="0" t="n">
        <f aca="false">B363+D363+F363</f>
        <v>9</v>
      </c>
      <c r="P363" s="0" t="n">
        <f aca="false">C363+E363+G363</f>
        <v>12</v>
      </c>
    </row>
    <row r="364" customFormat="false" ht="15" hidden="false" customHeight="false" outlineLevel="0" collapsed="false">
      <c r="A364" s="0" t="n">
        <v>365</v>
      </c>
      <c r="B364" s="0" t="n">
        <f aca="false">Raw_Data!AJ365</f>
        <v>4</v>
      </c>
      <c r="C364" s="0" t="n">
        <f aca="false">Raw_Data!AK365</f>
        <v>3</v>
      </c>
      <c r="D364" s="0" t="n">
        <f aca="false">Raw_Data!AL365</f>
        <v>5</v>
      </c>
      <c r="E364" s="0" t="n">
        <f aca="false">Raw_Data!AM365</f>
        <v>3</v>
      </c>
      <c r="F364" s="0" t="n">
        <f aca="false">Raw_Data!AN365</f>
        <v>3</v>
      </c>
      <c r="G364" s="0" t="n">
        <f aca="false">Raw_Data!AO365</f>
        <v>2</v>
      </c>
      <c r="H364" s="0" t="n">
        <f aca="false">SUM(B364:G364)</f>
        <v>20</v>
      </c>
      <c r="I364" s="0" t="n">
        <f aca="false">H364-B364</f>
        <v>16</v>
      </c>
      <c r="J364" s="0" t="n">
        <f aca="false">H364-C364</f>
        <v>17</v>
      </c>
      <c r="K364" s="0" t="n">
        <f aca="false">H364-D364</f>
        <v>15</v>
      </c>
      <c r="L364" s="0" t="n">
        <f aca="false">H364-E364</f>
        <v>17</v>
      </c>
      <c r="M364" s="0" t="n">
        <f aca="false">H364-F364</f>
        <v>17</v>
      </c>
      <c r="N364" s="0" t="n">
        <f aca="false">H364-G364</f>
        <v>18</v>
      </c>
      <c r="O364" s="0" t="n">
        <f aca="false">B364+D364+F364</f>
        <v>12</v>
      </c>
      <c r="P364" s="0" t="n">
        <f aca="false">C364+E364+G364</f>
        <v>8</v>
      </c>
    </row>
    <row r="365" customFormat="false" ht="15" hidden="false" customHeight="false" outlineLevel="0" collapsed="false">
      <c r="A365" s="0" t="n">
        <v>366</v>
      </c>
      <c r="B365" s="0" t="n">
        <f aca="false">Raw_Data!AJ366</f>
        <v>4</v>
      </c>
      <c r="C365" s="0" t="n">
        <f aca="false">Raw_Data!AK366</f>
        <v>4</v>
      </c>
      <c r="D365" s="0" t="n">
        <f aca="false">Raw_Data!AL366</f>
        <v>3</v>
      </c>
      <c r="E365" s="0" t="n">
        <f aca="false">Raw_Data!AM366</f>
        <v>3</v>
      </c>
      <c r="F365" s="0" t="n">
        <f aca="false">Raw_Data!AN366</f>
        <v>3</v>
      </c>
      <c r="G365" s="0" t="n">
        <f aca="false">Raw_Data!AO366</f>
        <v>3</v>
      </c>
      <c r="H365" s="0" t="n">
        <f aca="false">SUM(B365:G365)</f>
        <v>20</v>
      </c>
      <c r="I365" s="0" t="n">
        <f aca="false">H365-B365</f>
        <v>16</v>
      </c>
      <c r="J365" s="0" t="n">
        <f aca="false">H365-C365</f>
        <v>16</v>
      </c>
      <c r="K365" s="0" t="n">
        <f aca="false">H365-D365</f>
        <v>17</v>
      </c>
      <c r="L365" s="0" t="n">
        <f aca="false">H365-E365</f>
        <v>17</v>
      </c>
      <c r="M365" s="0" t="n">
        <f aca="false">H365-F365</f>
        <v>17</v>
      </c>
      <c r="N365" s="0" t="n">
        <f aca="false">H365-G365</f>
        <v>17</v>
      </c>
      <c r="O365" s="0" t="n">
        <f aca="false">B365+D365+F365</f>
        <v>10</v>
      </c>
      <c r="P365" s="0" t="n">
        <f aca="false">C365+E365+G365</f>
        <v>10</v>
      </c>
    </row>
    <row r="366" customFormat="false" ht="15" hidden="false" customHeight="false" outlineLevel="0" collapsed="false">
      <c r="A366" s="0" t="n">
        <v>367</v>
      </c>
      <c r="B366" s="0" t="n">
        <f aca="false">Raw_Data!AJ367</f>
        <v>4</v>
      </c>
      <c r="C366" s="0" t="n">
        <f aca="false">Raw_Data!AK367</f>
        <v>4</v>
      </c>
      <c r="D366" s="0" t="n">
        <f aca="false">Raw_Data!AL367</f>
        <v>4</v>
      </c>
      <c r="E366" s="0" t="n">
        <f aca="false">Raw_Data!AM367</f>
        <v>3</v>
      </c>
      <c r="F366" s="0" t="n">
        <f aca="false">Raw_Data!AN367</f>
        <v>3</v>
      </c>
      <c r="G366" s="0" t="n">
        <f aca="false">Raw_Data!AO367</f>
        <v>4</v>
      </c>
      <c r="H366" s="0" t="n">
        <f aca="false">SUM(B366:G366)</f>
        <v>22</v>
      </c>
      <c r="I366" s="0" t="n">
        <f aca="false">H366-B366</f>
        <v>18</v>
      </c>
      <c r="J366" s="0" t="n">
        <f aca="false">H366-C366</f>
        <v>18</v>
      </c>
      <c r="K366" s="0" t="n">
        <f aca="false">H366-D366</f>
        <v>18</v>
      </c>
      <c r="L366" s="0" t="n">
        <f aca="false">H366-E366</f>
        <v>19</v>
      </c>
      <c r="M366" s="0" t="n">
        <f aca="false">H366-F366</f>
        <v>19</v>
      </c>
      <c r="N366" s="0" t="n">
        <f aca="false">H366-G366</f>
        <v>18</v>
      </c>
      <c r="O366" s="0" t="n">
        <f aca="false">B366+D366+F366</f>
        <v>11</v>
      </c>
      <c r="P366" s="0" t="n">
        <f aca="false">C366+E366+G366</f>
        <v>11</v>
      </c>
    </row>
    <row r="367" customFormat="false" ht="15" hidden="false" customHeight="false" outlineLevel="0" collapsed="false">
      <c r="A367" s="0" t="n">
        <v>368</v>
      </c>
      <c r="B367" s="0" t="n">
        <f aca="false">Raw_Data!AJ368</f>
        <v>4</v>
      </c>
      <c r="C367" s="0" t="n">
        <f aca="false">Raw_Data!AK368</f>
        <v>2</v>
      </c>
      <c r="D367" s="0" t="n">
        <f aca="false">Raw_Data!AL368</f>
        <v>4</v>
      </c>
      <c r="E367" s="0" t="n">
        <f aca="false">Raw_Data!AM368</f>
        <v>3</v>
      </c>
      <c r="F367" s="0" t="n">
        <f aca="false">Raw_Data!AN368</f>
        <v>3</v>
      </c>
      <c r="G367" s="0" t="n">
        <f aca="false">Raw_Data!AO368</f>
        <v>2</v>
      </c>
      <c r="H367" s="0" t="n">
        <f aca="false">SUM(B367:G367)</f>
        <v>18</v>
      </c>
      <c r="I367" s="0" t="n">
        <f aca="false">H367-B367</f>
        <v>14</v>
      </c>
      <c r="J367" s="0" t="n">
        <f aca="false">H367-C367</f>
        <v>16</v>
      </c>
      <c r="K367" s="0" t="n">
        <f aca="false">H367-D367</f>
        <v>14</v>
      </c>
      <c r="L367" s="0" t="n">
        <f aca="false">H367-E367</f>
        <v>15</v>
      </c>
      <c r="M367" s="0" t="n">
        <f aca="false">H367-F367</f>
        <v>15</v>
      </c>
      <c r="N367" s="0" t="n">
        <f aca="false">H367-G367</f>
        <v>16</v>
      </c>
      <c r="O367" s="0" t="n">
        <f aca="false">B367+D367+F367</f>
        <v>11</v>
      </c>
      <c r="P367" s="0" t="n">
        <f aca="false">C367+E367+G367</f>
        <v>7</v>
      </c>
    </row>
    <row r="368" customFormat="false" ht="15" hidden="false" customHeight="false" outlineLevel="0" collapsed="false">
      <c r="A368" s="0" t="n">
        <v>369</v>
      </c>
      <c r="B368" s="0" t="n">
        <f aca="false">Raw_Data!AJ369</f>
        <v>5</v>
      </c>
      <c r="C368" s="0" t="n">
        <f aca="false">Raw_Data!AK369</f>
        <v>1</v>
      </c>
      <c r="D368" s="0" t="n">
        <f aca="false">Raw_Data!AL369</f>
        <v>5</v>
      </c>
      <c r="E368" s="0" t="n">
        <f aca="false">Raw_Data!AM369</f>
        <v>4</v>
      </c>
      <c r="F368" s="0" t="n">
        <f aca="false">Raw_Data!AN369</f>
        <v>3</v>
      </c>
      <c r="G368" s="0" t="n">
        <f aca="false">Raw_Data!AO369</f>
        <v>2</v>
      </c>
      <c r="H368" s="0" t="n">
        <f aca="false">SUM(B368:G368)</f>
        <v>20</v>
      </c>
      <c r="I368" s="0" t="n">
        <f aca="false">H368-B368</f>
        <v>15</v>
      </c>
      <c r="J368" s="0" t="n">
        <f aca="false">H368-C368</f>
        <v>19</v>
      </c>
      <c r="K368" s="0" t="n">
        <f aca="false">H368-D368</f>
        <v>15</v>
      </c>
      <c r="L368" s="0" t="n">
        <f aca="false">H368-E368</f>
        <v>16</v>
      </c>
      <c r="M368" s="0" t="n">
        <f aca="false">H368-F368</f>
        <v>17</v>
      </c>
      <c r="N368" s="0" t="n">
        <f aca="false">H368-G368</f>
        <v>18</v>
      </c>
      <c r="O368" s="0" t="n">
        <f aca="false">B368+D368+F368</f>
        <v>13</v>
      </c>
      <c r="P368" s="0" t="n">
        <f aca="false">C368+E368+G368</f>
        <v>7</v>
      </c>
    </row>
    <row r="369" customFormat="false" ht="15" hidden="false" customHeight="false" outlineLevel="0" collapsed="false">
      <c r="A369" s="0" t="n">
        <v>370</v>
      </c>
      <c r="B369" s="0" t="n">
        <f aca="false">Raw_Data!AJ370</f>
        <v>4</v>
      </c>
      <c r="C369" s="0" t="n">
        <f aca="false">Raw_Data!AK370</f>
        <v>3</v>
      </c>
      <c r="D369" s="0" t="n">
        <f aca="false">Raw_Data!AL370</f>
        <v>5</v>
      </c>
      <c r="E369" s="0" t="n">
        <f aca="false">Raw_Data!AM370</f>
        <v>4</v>
      </c>
      <c r="F369" s="0" t="n">
        <f aca="false">Raw_Data!AN370</f>
        <v>3</v>
      </c>
      <c r="G369" s="0" t="n">
        <f aca="false">Raw_Data!AO370</f>
        <v>4</v>
      </c>
      <c r="H369" s="0" t="n">
        <f aca="false">SUM(B369:G369)</f>
        <v>23</v>
      </c>
      <c r="I369" s="0" t="n">
        <f aca="false">H369-B369</f>
        <v>19</v>
      </c>
      <c r="J369" s="0" t="n">
        <f aca="false">H369-C369</f>
        <v>20</v>
      </c>
      <c r="K369" s="0" t="n">
        <f aca="false">H369-D369</f>
        <v>18</v>
      </c>
      <c r="L369" s="0" t="n">
        <f aca="false">H369-E369</f>
        <v>19</v>
      </c>
      <c r="M369" s="0" t="n">
        <f aca="false">H369-F369</f>
        <v>20</v>
      </c>
      <c r="N369" s="0" t="n">
        <f aca="false">H369-G369</f>
        <v>19</v>
      </c>
      <c r="O369" s="0" t="n">
        <f aca="false">B369+D369+F369</f>
        <v>12</v>
      </c>
      <c r="P369" s="0" t="n">
        <f aca="false">C369+E369+G369</f>
        <v>11</v>
      </c>
    </row>
    <row r="370" customFormat="false" ht="15" hidden="false" customHeight="false" outlineLevel="0" collapsed="false">
      <c r="A370" s="0" t="n">
        <v>371</v>
      </c>
      <c r="B370" s="0" t="n">
        <f aca="false">Raw_Data!AJ371</f>
        <v>2</v>
      </c>
      <c r="C370" s="0" t="n">
        <f aca="false">Raw_Data!AK371</f>
        <v>4</v>
      </c>
      <c r="D370" s="0" t="n">
        <f aca="false">Raw_Data!AL371</f>
        <v>4</v>
      </c>
      <c r="E370" s="0" t="n">
        <f aca="false">Raw_Data!AM371</f>
        <v>3</v>
      </c>
      <c r="F370" s="0" t="n">
        <f aca="false">Raw_Data!AN371</f>
        <v>2</v>
      </c>
      <c r="G370" s="0" t="n">
        <f aca="false">Raw_Data!AO371</f>
        <v>3</v>
      </c>
      <c r="H370" s="0" t="n">
        <f aca="false">SUM(B370:G370)</f>
        <v>18</v>
      </c>
      <c r="I370" s="0" t="n">
        <f aca="false">H370-B370</f>
        <v>16</v>
      </c>
      <c r="J370" s="0" t="n">
        <f aca="false">H370-C370</f>
        <v>14</v>
      </c>
      <c r="K370" s="0" t="n">
        <f aca="false">H370-D370</f>
        <v>14</v>
      </c>
      <c r="L370" s="0" t="n">
        <f aca="false">H370-E370</f>
        <v>15</v>
      </c>
      <c r="M370" s="0" t="n">
        <f aca="false">H370-F370</f>
        <v>16</v>
      </c>
      <c r="N370" s="0" t="n">
        <f aca="false">H370-G370</f>
        <v>15</v>
      </c>
      <c r="O370" s="0" t="n">
        <f aca="false">B370+D370+F370</f>
        <v>8</v>
      </c>
      <c r="P370" s="0" t="n">
        <f aca="false">C370+E370+G370</f>
        <v>10</v>
      </c>
    </row>
    <row r="371" customFormat="false" ht="15" hidden="false" customHeight="false" outlineLevel="0" collapsed="false">
      <c r="A371" s="0" t="n">
        <v>372</v>
      </c>
      <c r="B371" s="0" t="n">
        <f aca="false">Raw_Data!AJ372</f>
        <v>4</v>
      </c>
      <c r="C371" s="0" t="n">
        <f aca="false">Raw_Data!AK372</f>
        <v>3</v>
      </c>
      <c r="D371" s="0" t="n">
        <f aca="false">Raw_Data!AL372</f>
        <v>2</v>
      </c>
      <c r="E371" s="0" t="n">
        <f aca="false">Raw_Data!AM372</f>
        <v>3</v>
      </c>
      <c r="F371" s="0" t="n">
        <f aca="false">Raw_Data!AN372</f>
        <v>3</v>
      </c>
      <c r="G371" s="0" t="n">
        <f aca="false">Raw_Data!AO372</f>
        <v>3</v>
      </c>
      <c r="H371" s="0" t="n">
        <f aca="false">SUM(B371:G371)</f>
        <v>18</v>
      </c>
      <c r="I371" s="0" t="n">
        <f aca="false">H371-B371</f>
        <v>14</v>
      </c>
      <c r="J371" s="0" t="n">
        <f aca="false">H371-C371</f>
        <v>15</v>
      </c>
      <c r="K371" s="0" t="n">
        <f aca="false">H371-D371</f>
        <v>16</v>
      </c>
      <c r="L371" s="0" t="n">
        <f aca="false">H371-E371</f>
        <v>15</v>
      </c>
      <c r="M371" s="0" t="n">
        <f aca="false">H371-F371</f>
        <v>15</v>
      </c>
      <c r="N371" s="0" t="n">
        <f aca="false">H371-G371</f>
        <v>15</v>
      </c>
      <c r="O371" s="0" t="n">
        <f aca="false">B371+D371+F371</f>
        <v>9</v>
      </c>
      <c r="P371" s="0" t="n">
        <f aca="false">C371+E371+G371</f>
        <v>9</v>
      </c>
    </row>
    <row r="372" customFormat="false" ht="15" hidden="false" customHeight="false" outlineLevel="0" collapsed="false">
      <c r="A372" s="0" t="n">
        <v>373</v>
      </c>
      <c r="B372" s="0" t="n">
        <f aca="false">Raw_Data!AJ373</f>
        <v>3</v>
      </c>
      <c r="C372" s="0" t="n">
        <f aca="false">Raw_Data!AK373</f>
        <v>4</v>
      </c>
      <c r="D372" s="0" t="n">
        <f aca="false">Raw_Data!AL373</f>
        <v>4</v>
      </c>
      <c r="E372" s="0" t="n">
        <f aca="false">Raw_Data!AM373</f>
        <v>3</v>
      </c>
      <c r="F372" s="0" t="n">
        <f aca="false">Raw_Data!AN373</f>
        <v>2</v>
      </c>
      <c r="G372" s="0" t="n">
        <f aca="false">Raw_Data!AO373</f>
        <v>3</v>
      </c>
      <c r="H372" s="0" t="n">
        <f aca="false">SUM(B372:G372)</f>
        <v>19</v>
      </c>
      <c r="I372" s="0" t="n">
        <f aca="false">H372-B372</f>
        <v>16</v>
      </c>
      <c r="J372" s="0" t="n">
        <f aca="false">H372-C372</f>
        <v>15</v>
      </c>
      <c r="K372" s="0" t="n">
        <f aca="false">H372-D372</f>
        <v>15</v>
      </c>
      <c r="L372" s="0" t="n">
        <f aca="false">H372-E372</f>
        <v>16</v>
      </c>
      <c r="M372" s="0" t="n">
        <f aca="false">H372-F372</f>
        <v>17</v>
      </c>
      <c r="N372" s="0" t="n">
        <f aca="false">H372-G372</f>
        <v>16</v>
      </c>
      <c r="O372" s="0" t="n">
        <f aca="false">B372+D372+F372</f>
        <v>9</v>
      </c>
      <c r="P372" s="0" t="n">
        <f aca="false">C372+E372+G372</f>
        <v>10</v>
      </c>
    </row>
    <row r="373" customFormat="false" ht="15" hidden="false" customHeight="false" outlineLevel="0" collapsed="false">
      <c r="A373" s="0" t="n">
        <v>374</v>
      </c>
      <c r="B373" s="0" t="n">
        <f aca="false">Raw_Data!AJ374</f>
        <v>5</v>
      </c>
      <c r="C373" s="0" t="n">
        <f aca="false">Raw_Data!AK374</f>
        <v>5</v>
      </c>
      <c r="D373" s="0" t="n">
        <f aca="false">Raw_Data!AL374</f>
        <v>5</v>
      </c>
      <c r="E373" s="0" t="n">
        <f aca="false">Raw_Data!AM374</f>
        <v>5</v>
      </c>
      <c r="F373" s="0" t="n">
        <f aca="false">Raw_Data!AN374</f>
        <v>1</v>
      </c>
      <c r="G373" s="0" t="n">
        <f aca="false">Raw_Data!AO374</f>
        <v>5</v>
      </c>
      <c r="H373" s="0" t="n">
        <f aca="false">SUM(B373:G373)</f>
        <v>26</v>
      </c>
      <c r="I373" s="0" t="n">
        <f aca="false">H373-B373</f>
        <v>21</v>
      </c>
      <c r="J373" s="0" t="n">
        <f aca="false">H373-C373</f>
        <v>21</v>
      </c>
      <c r="K373" s="0" t="n">
        <f aca="false">H373-D373</f>
        <v>21</v>
      </c>
      <c r="L373" s="0" t="n">
        <f aca="false">H373-E373</f>
        <v>21</v>
      </c>
      <c r="M373" s="0" t="n">
        <f aca="false">H373-F373</f>
        <v>25</v>
      </c>
      <c r="N373" s="0" t="n">
        <f aca="false">H373-G373</f>
        <v>21</v>
      </c>
      <c r="O373" s="0" t="n">
        <f aca="false">B373+D373+F373</f>
        <v>11</v>
      </c>
      <c r="P373" s="0" t="n">
        <f aca="false">C373+E373+G373</f>
        <v>15</v>
      </c>
    </row>
    <row r="374" customFormat="false" ht="15" hidden="false" customHeight="false" outlineLevel="0" collapsed="false">
      <c r="A374" s="0" t="n">
        <v>375</v>
      </c>
      <c r="B374" s="0" t="n">
        <f aca="false">Raw_Data!AJ375</f>
        <v>4</v>
      </c>
      <c r="C374" s="0" t="n">
        <f aca="false">Raw_Data!AK375</f>
        <v>2</v>
      </c>
      <c r="D374" s="0" t="n">
        <f aca="false">Raw_Data!AL375</f>
        <v>5</v>
      </c>
      <c r="E374" s="0" t="n">
        <f aca="false">Raw_Data!AM375</f>
        <v>4</v>
      </c>
      <c r="F374" s="0" t="n">
        <f aca="false">Raw_Data!AN375</f>
        <v>5</v>
      </c>
      <c r="G374" s="0" t="n">
        <f aca="false">Raw_Data!AO375</f>
        <v>5</v>
      </c>
      <c r="H374" s="0" t="n">
        <f aca="false">SUM(B374:G374)</f>
        <v>25</v>
      </c>
      <c r="I374" s="0" t="n">
        <f aca="false">H374-B374</f>
        <v>21</v>
      </c>
      <c r="J374" s="0" t="n">
        <f aca="false">H374-C374</f>
        <v>23</v>
      </c>
      <c r="K374" s="0" t="n">
        <f aca="false">H374-D374</f>
        <v>20</v>
      </c>
      <c r="L374" s="0" t="n">
        <f aca="false">H374-E374</f>
        <v>21</v>
      </c>
      <c r="M374" s="0" t="n">
        <f aca="false">H374-F374</f>
        <v>20</v>
      </c>
      <c r="N374" s="0" t="n">
        <f aca="false">H374-G374</f>
        <v>20</v>
      </c>
      <c r="O374" s="0" t="n">
        <f aca="false">B374+D374+F374</f>
        <v>14</v>
      </c>
      <c r="P374" s="0" t="n">
        <f aca="false">C374+E374+G374</f>
        <v>11</v>
      </c>
    </row>
    <row r="375" customFormat="false" ht="15" hidden="false" customHeight="false" outlineLevel="0" collapsed="false">
      <c r="A375" s="0" t="n">
        <v>376</v>
      </c>
      <c r="B375" s="0" t="n">
        <f aca="false">Raw_Data!AJ376</f>
        <v>4</v>
      </c>
      <c r="C375" s="0" t="n">
        <f aca="false">Raw_Data!AK376</f>
        <v>3</v>
      </c>
      <c r="D375" s="0" t="n">
        <f aca="false">Raw_Data!AL376</f>
        <v>4</v>
      </c>
      <c r="E375" s="0" t="n">
        <f aca="false">Raw_Data!AM376</f>
        <v>3</v>
      </c>
      <c r="F375" s="0" t="n">
        <f aca="false">Raw_Data!AN376</f>
        <v>1</v>
      </c>
      <c r="G375" s="0" t="n">
        <f aca="false">Raw_Data!AO376</f>
        <v>3</v>
      </c>
      <c r="H375" s="0" t="n">
        <f aca="false">SUM(B375:G375)</f>
        <v>18</v>
      </c>
      <c r="I375" s="0" t="n">
        <f aca="false">H375-B375</f>
        <v>14</v>
      </c>
      <c r="J375" s="0" t="n">
        <f aca="false">H375-C375</f>
        <v>15</v>
      </c>
      <c r="K375" s="0" t="n">
        <f aca="false">H375-D375</f>
        <v>14</v>
      </c>
      <c r="L375" s="0" t="n">
        <f aca="false">H375-E375</f>
        <v>15</v>
      </c>
      <c r="M375" s="0" t="n">
        <f aca="false">H375-F375</f>
        <v>17</v>
      </c>
      <c r="N375" s="0" t="n">
        <f aca="false">H375-G375</f>
        <v>15</v>
      </c>
      <c r="O375" s="0" t="n">
        <f aca="false">B375+D375+F375</f>
        <v>9</v>
      </c>
      <c r="P375" s="0" t="n">
        <f aca="false">C375+E375+G375</f>
        <v>9</v>
      </c>
    </row>
    <row r="376" customFormat="false" ht="15" hidden="false" customHeight="false" outlineLevel="0" collapsed="false">
      <c r="A376" s="0" t="n">
        <v>377</v>
      </c>
      <c r="B376" s="0" t="n">
        <f aca="false">Raw_Data!AJ377</f>
        <v>4</v>
      </c>
      <c r="C376" s="0" t="n">
        <f aca="false">Raw_Data!AK377</f>
        <v>3</v>
      </c>
      <c r="D376" s="0" t="n">
        <f aca="false">Raw_Data!AL377</f>
        <v>4</v>
      </c>
      <c r="E376" s="0" t="n">
        <f aca="false">Raw_Data!AM377</f>
        <v>3</v>
      </c>
      <c r="F376" s="0" t="n">
        <f aca="false">Raw_Data!AN377</f>
        <v>3</v>
      </c>
      <c r="G376" s="0" t="n">
        <f aca="false">Raw_Data!AO377</f>
        <v>3</v>
      </c>
      <c r="H376" s="0" t="n">
        <f aca="false">SUM(B376:G376)</f>
        <v>20</v>
      </c>
      <c r="I376" s="0" t="n">
        <f aca="false">H376-B376</f>
        <v>16</v>
      </c>
      <c r="J376" s="0" t="n">
        <f aca="false">H376-C376</f>
        <v>17</v>
      </c>
      <c r="K376" s="0" t="n">
        <f aca="false">H376-D376</f>
        <v>16</v>
      </c>
      <c r="L376" s="0" t="n">
        <f aca="false">H376-E376</f>
        <v>17</v>
      </c>
      <c r="M376" s="0" t="n">
        <f aca="false">H376-F376</f>
        <v>17</v>
      </c>
      <c r="N376" s="0" t="n">
        <f aca="false">H376-G376</f>
        <v>17</v>
      </c>
      <c r="O376" s="0" t="n">
        <f aca="false">B376+D376+F376</f>
        <v>11</v>
      </c>
      <c r="P376" s="0" t="n">
        <f aca="false">C376+E376+G376</f>
        <v>9</v>
      </c>
    </row>
    <row r="377" customFormat="false" ht="15" hidden="false" customHeight="false" outlineLevel="0" collapsed="false">
      <c r="A377" s="0" t="n">
        <v>378</v>
      </c>
      <c r="B377" s="0" t="n">
        <f aca="false">Raw_Data!AJ378</f>
        <v>4</v>
      </c>
      <c r="C377" s="0" t="n">
        <f aca="false">Raw_Data!AK378</f>
        <v>3</v>
      </c>
      <c r="D377" s="0" t="n">
        <f aca="false">Raw_Data!AL378</f>
        <v>5</v>
      </c>
      <c r="E377" s="0" t="n">
        <f aca="false">Raw_Data!AM378</f>
        <v>2</v>
      </c>
      <c r="F377" s="0" t="n">
        <f aca="false">Raw_Data!AN378</f>
        <v>2</v>
      </c>
      <c r="G377" s="0" t="n">
        <f aca="false">Raw_Data!AO378</f>
        <v>2</v>
      </c>
      <c r="H377" s="0" t="n">
        <f aca="false">SUM(B377:G377)</f>
        <v>18</v>
      </c>
      <c r="I377" s="0" t="n">
        <f aca="false">H377-B377</f>
        <v>14</v>
      </c>
      <c r="J377" s="0" t="n">
        <f aca="false">H377-C377</f>
        <v>15</v>
      </c>
      <c r="K377" s="0" t="n">
        <f aca="false">H377-D377</f>
        <v>13</v>
      </c>
      <c r="L377" s="0" t="n">
        <f aca="false">H377-E377</f>
        <v>16</v>
      </c>
      <c r="M377" s="0" t="n">
        <f aca="false">H377-F377</f>
        <v>16</v>
      </c>
      <c r="N377" s="0" t="n">
        <f aca="false">H377-G377</f>
        <v>16</v>
      </c>
      <c r="O377" s="0" t="n">
        <f aca="false">B377+D377+F377</f>
        <v>11</v>
      </c>
      <c r="P377" s="0" t="n">
        <f aca="false">C377+E377+G377</f>
        <v>7</v>
      </c>
    </row>
    <row r="378" customFormat="false" ht="15" hidden="false" customHeight="false" outlineLevel="0" collapsed="false">
      <c r="A378" s="0" t="n">
        <v>379</v>
      </c>
      <c r="B378" s="0" t="n">
        <f aca="false">Raw_Data!AJ379</f>
        <v>4</v>
      </c>
      <c r="C378" s="0" t="n">
        <f aca="false">Raw_Data!AK379</f>
        <v>2</v>
      </c>
      <c r="D378" s="0" t="n">
        <f aca="false">Raw_Data!AL379</f>
        <v>5</v>
      </c>
      <c r="E378" s="0" t="n">
        <f aca="false">Raw_Data!AM379</f>
        <v>3</v>
      </c>
      <c r="F378" s="0" t="n">
        <f aca="false">Raw_Data!AN379</f>
        <v>2</v>
      </c>
      <c r="G378" s="0" t="n">
        <f aca="false">Raw_Data!AO379</f>
        <v>4</v>
      </c>
      <c r="H378" s="0" t="n">
        <f aca="false">SUM(B378:G378)</f>
        <v>20</v>
      </c>
      <c r="I378" s="0" t="n">
        <f aca="false">H378-B378</f>
        <v>16</v>
      </c>
      <c r="J378" s="0" t="n">
        <f aca="false">H378-C378</f>
        <v>18</v>
      </c>
      <c r="K378" s="0" t="n">
        <f aca="false">H378-D378</f>
        <v>15</v>
      </c>
      <c r="L378" s="0" t="n">
        <f aca="false">H378-E378</f>
        <v>17</v>
      </c>
      <c r="M378" s="0" t="n">
        <f aca="false">H378-F378</f>
        <v>18</v>
      </c>
      <c r="N378" s="0" t="n">
        <f aca="false">H378-G378</f>
        <v>16</v>
      </c>
      <c r="O378" s="0" t="n">
        <f aca="false">B378+D378+F378</f>
        <v>11</v>
      </c>
      <c r="P378" s="0" t="n">
        <f aca="false">C378+E378+G378</f>
        <v>9</v>
      </c>
    </row>
    <row r="379" customFormat="false" ht="15" hidden="false" customHeight="false" outlineLevel="0" collapsed="false">
      <c r="A379" s="0" t="n">
        <v>380</v>
      </c>
      <c r="B379" s="0" t="n">
        <f aca="false">Raw_Data!AJ380</f>
        <v>4</v>
      </c>
      <c r="C379" s="0" t="n">
        <f aca="false">Raw_Data!AK380</f>
        <v>3</v>
      </c>
      <c r="D379" s="0" t="n">
        <f aca="false">Raw_Data!AL380</f>
        <v>4</v>
      </c>
      <c r="E379" s="0" t="n">
        <f aca="false">Raw_Data!AM380</f>
        <v>4</v>
      </c>
      <c r="F379" s="0" t="n">
        <f aca="false">Raw_Data!AN380</f>
        <v>3</v>
      </c>
      <c r="G379" s="0" t="n">
        <f aca="false">Raw_Data!AO380</f>
        <v>3</v>
      </c>
      <c r="H379" s="0" t="n">
        <f aca="false">SUM(B379:G379)</f>
        <v>21</v>
      </c>
      <c r="I379" s="0" t="n">
        <f aca="false">H379-B379</f>
        <v>17</v>
      </c>
      <c r="J379" s="0" t="n">
        <f aca="false">H379-C379</f>
        <v>18</v>
      </c>
      <c r="K379" s="0" t="n">
        <f aca="false">H379-D379</f>
        <v>17</v>
      </c>
      <c r="L379" s="0" t="n">
        <f aca="false">H379-E379</f>
        <v>17</v>
      </c>
      <c r="M379" s="0" t="n">
        <f aca="false">H379-F379</f>
        <v>18</v>
      </c>
      <c r="N379" s="0" t="n">
        <f aca="false">H379-G379</f>
        <v>18</v>
      </c>
      <c r="O379" s="0" t="n">
        <f aca="false">B379+D379+F379</f>
        <v>11</v>
      </c>
      <c r="P379" s="0" t="n">
        <f aca="false">C379+E379+G379</f>
        <v>10</v>
      </c>
    </row>
    <row r="380" customFormat="false" ht="15" hidden="false" customHeight="false" outlineLevel="0" collapsed="false">
      <c r="A380" s="0" t="n">
        <v>381</v>
      </c>
      <c r="B380" s="0" t="n">
        <f aca="false">Raw_Data!AJ381</f>
        <v>4</v>
      </c>
      <c r="C380" s="0" t="n">
        <f aca="false">Raw_Data!AK381</f>
        <v>3</v>
      </c>
      <c r="D380" s="0" t="n">
        <f aca="false">Raw_Data!AL381</f>
        <v>4</v>
      </c>
      <c r="E380" s="0" t="n">
        <f aca="false">Raw_Data!AM381</f>
        <v>3</v>
      </c>
      <c r="F380" s="0" t="n">
        <f aca="false">Raw_Data!AN381</f>
        <v>4</v>
      </c>
      <c r="G380" s="0" t="n">
        <f aca="false">Raw_Data!AO381</f>
        <v>4</v>
      </c>
      <c r="H380" s="0" t="n">
        <f aca="false">SUM(B380:G380)</f>
        <v>22</v>
      </c>
      <c r="I380" s="0" t="n">
        <f aca="false">H380-B380</f>
        <v>18</v>
      </c>
      <c r="J380" s="0" t="n">
        <f aca="false">H380-C380</f>
        <v>19</v>
      </c>
      <c r="K380" s="0" t="n">
        <f aca="false">H380-D380</f>
        <v>18</v>
      </c>
      <c r="L380" s="0" t="n">
        <f aca="false">H380-E380</f>
        <v>19</v>
      </c>
      <c r="M380" s="0" t="n">
        <f aca="false">H380-F380</f>
        <v>18</v>
      </c>
      <c r="N380" s="0" t="n">
        <f aca="false">H380-G380</f>
        <v>18</v>
      </c>
      <c r="O380" s="0" t="n">
        <f aca="false">B380+D380+F380</f>
        <v>12</v>
      </c>
      <c r="P380" s="0" t="n">
        <f aca="false">C380+E380+G380</f>
        <v>10</v>
      </c>
    </row>
    <row r="381" customFormat="false" ht="15" hidden="false" customHeight="false" outlineLevel="0" collapsed="false">
      <c r="A381" s="0" t="n">
        <v>382</v>
      </c>
      <c r="B381" s="0" t="n">
        <f aca="false">Raw_Data!AJ382</f>
        <v>5</v>
      </c>
      <c r="C381" s="0" t="n">
        <f aca="false">Raw_Data!AK382</f>
        <v>4</v>
      </c>
      <c r="D381" s="0" t="n">
        <f aca="false">Raw_Data!AL382</f>
        <v>5</v>
      </c>
      <c r="E381" s="0" t="n">
        <f aca="false">Raw_Data!AM382</f>
        <v>4</v>
      </c>
      <c r="F381" s="0" t="n">
        <f aca="false">Raw_Data!AN382</f>
        <v>3</v>
      </c>
      <c r="G381" s="0" t="n">
        <f aca="false">Raw_Data!AO382</f>
        <v>4</v>
      </c>
      <c r="H381" s="0" t="n">
        <f aca="false">SUM(B381:G381)</f>
        <v>25</v>
      </c>
      <c r="I381" s="0" t="n">
        <f aca="false">H381-B381</f>
        <v>20</v>
      </c>
      <c r="J381" s="0" t="n">
        <f aca="false">H381-C381</f>
        <v>21</v>
      </c>
      <c r="K381" s="0" t="n">
        <f aca="false">H381-D381</f>
        <v>20</v>
      </c>
      <c r="L381" s="0" t="n">
        <f aca="false">H381-E381</f>
        <v>21</v>
      </c>
      <c r="M381" s="0" t="n">
        <f aca="false">H381-F381</f>
        <v>22</v>
      </c>
      <c r="N381" s="0" t="n">
        <f aca="false">H381-G381</f>
        <v>21</v>
      </c>
      <c r="O381" s="0" t="n">
        <f aca="false">B381+D381+F381</f>
        <v>13</v>
      </c>
      <c r="P381" s="0" t="n">
        <f aca="false">C381+E381+G381</f>
        <v>12</v>
      </c>
    </row>
    <row r="382" customFormat="false" ht="15" hidden="false" customHeight="false" outlineLevel="0" collapsed="false">
      <c r="A382" s="0" t="n">
        <v>383</v>
      </c>
      <c r="B382" s="0" t="n">
        <f aca="false">Raw_Data!AJ383</f>
        <v>4</v>
      </c>
      <c r="C382" s="0" t="n">
        <f aca="false">Raw_Data!AK383</f>
        <v>3</v>
      </c>
      <c r="D382" s="0" t="n">
        <f aca="false">Raw_Data!AL383</f>
        <v>4</v>
      </c>
      <c r="E382" s="0" t="n">
        <f aca="false">Raw_Data!AM383</f>
        <v>4</v>
      </c>
      <c r="F382" s="0" t="n">
        <f aca="false">Raw_Data!AN383</f>
        <v>3</v>
      </c>
      <c r="G382" s="0" t="n">
        <f aca="false">Raw_Data!AO383</f>
        <v>3</v>
      </c>
      <c r="H382" s="0" t="n">
        <f aca="false">SUM(B382:G382)</f>
        <v>21</v>
      </c>
      <c r="I382" s="0" t="n">
        <f aca="false">H382-B382</f>
        <v>17</v>
      </c>
      <c r="J382" s="0" t="n">
        <f aca="false">H382-C382</f>
        <v>18</v>
      </c>
      <c r="K382" s="0" t="n">
        <f aca="false">H382-D382</f>
        <v>17</v>
      </c>
      <c r="L382" s="0" t="n">
        <f aca="false">H382-E382</f>
        <v>17</v>
      </c>
      <c r="M382" s="0" t="n">
        <f aca="false">H382-F382</f>
        <v>18</v>
      </c>
      <c r="N382" s="0" t="n">
        <f aca="false">H382-G382</f>
        <v>18</v>
      </c>
      <c r="O382" s="0" t="n">
        <f aca="false">B382+D382+F382</f>
        <v>11</v>
      </c>
      <c r="P382" s="0" t="n">
        <f aca="false">C382+E382+G382</f>
        <v>10</v>
      </c>
    </row>
    <row r="383" customFormat="false" ht="15" hidden="false" customHeight="false" outlineLevel="0" collapsed="false">
      <c r="A383" s="0" t="n">
        <v>384</v>
      </c>
      <c r="B383" s="0" t="n">
        <f aca="false">Raw_Data!AJ384</f>
        <v>4</v>
      </c>
      <c r="C383" s="0" t="n">
        <f aca="false">Raw_Data!AK384</f>
        <v>2</v>
      </c>
      <c r="D383" s="0" t="n">
        <f aca="false">Raw_Data!AL384</f>
        <v>3</v>
      </c>
      <c r="E383" s="0" t="n">
        <f aca="false">Raw_Data!AM384</f>
        <v>4</v>
      </c>
      <c r="F383" s="0" t="n">
        <f aca="false">Raw_Data!AN384</f>
        <v>4</v>
      </c>
      <c r="G383" s="0" t="n">
        <f aca="false">Raw_Data!AO384</f>
        <v>4</v>
      </c>
      <c r="H383" s="0" t="n">
        <f aca="false">SUM(B383:G383)</f>
        <v>21</v>
      </c>
      <c r="I383" s="0" t="n">
        <f aca="false">H383-B383</f>
        <v>17</v>
      </c>
      <c r="J383" s="0" t="n">
        <f aca="false">H383-C383</f>
        <v>19</v>
      </c>
      <c r="K383" s="0" t="n">
        <f aca="false">H383-D383</f>
        <v>18</v>
      </c>
      <c r="L383" s="0" t="n">
        <f aca="false">H383-E383</f>
        <v>17</v>
      </c>
      <c r="M383" s="0" t="n">
        <f aca="false">H383-F383</f>
        <v>17</v>
      </c>
      <c r="N383" s="0" t="n">
        <f aca="false">H383-G383</f>
        <v>17</v>
      </c>
      <c r="O383" s="0" t="n">
        <f aca="false">B383+D383+F383</f>
        <v>11</v>
      </c>
      <c r="P383" s="0" t="n">
        <f aca="false">C383+E383+G383</f>
        <v>10</v>
      </c>
    </row>
    <row r="384" customFormat="false" ht="15" hidden="false" customHeight="false" outlineLevel="0" collapsed="false">
      <c r="A384" s="0" t="n">
        <v>385</v>
      </c>
      <c r="B384" s="0" t="n">
        <f aca="false">Raw_Data!AJ385</f>
        <v>4</v>
      </c>
      <c r="C384" s="0" t="n">
        <f aca="false">Raw_Data!AK385</f>
        <v>2</v>
      </c>
      <c r="D384" s="0" t="n">
        <f aca="false">Raw_Data!AL385</f>
        <v>4</v>
      </c>
      <c r="E384" s="0" t="n">
        <f aca="false">Raw_Data!AM385</f>
        <v>3</v>
      </c>
      <c r="F384" s="0" t="n">
        <f aca="false">Raw_Data!AN385</f>
        <v>3</v>
      </c>
      <c r="G384" s="0" t="n">
        <f aca="false">Raw_Data!AO385</f>
        <v>3</v>
      </c>
      <c r="H384" s="0" t="n">
        <f aca="false">SUM(B384:G384)</f>
        <v>19</v>
      </c>
      <c r="I384" s="0" t="n">
        <f aca="false">H384-B384</f>
        <v>15</v>
      </c>
      <c r="J384" s="0" t="n">
        <f aca="false">H384-C384</f>
        <v>17</v>
      </c>
      <c r="K384" s="0" t="n">
        <f aca="false">H384-D384</f>
        <v>15</v>
      </c>
      <c r="L384" s="0" t="n">
        <f aca="false">H384-E384</f>
        <v>16</v>
      </c>
      <c r="M384" s="0" t="n">
        <f aca="false">H384-F384</f>
        <v>16</v>
      </c>
      <c r="N384" s="0" t="n">
        <f aca="false">H384-G384</f>
        <v>16</v>
      </c>
      <c r="O384" s="0" t="n">
        <f aca="false">B384+D384+F384</f>
        <v>11</v>
      </c>
      <c r="P384" s="0" t="n">
        <f aca="false">C384+E384+G384</f>
        <v>8</v>
      </c>
    </row>
    <row r="385" customFormat="false" ht="15" hidden="false" customHeight="false" outlineLevel="0" collapsed="false">
      <c r="A385" s="0" t="n">
        <v>386</v>
      </c>
      <c r="B385" s="0" t="n">
        <f aca="false">Raw_Data!AJ386</f>
        <v>4</v>
      </c>
      <c r="C385" s="0" t="n">
        <f aca="false">Raw_Data!AK386</f>
        <v>3</v>
      </c>
      <c r="D385" s="0" t="n">
        <f aca="false">Raw_Data!AL386</f>
        <v>3</v>
      </c>
      <c r="E385" s="0" t="n">
        <f aca="false">Raw_Data!AM386</f>
        <v>3</v>
      </c>
      <c r="F385" s="0" t="n">
        <f aca="false">Raw_Data!AN386</f>
        <v>4</v>
      </c>
      <c r="G385" s="0" t="n">
        <f aca="false">Raw_Data!AO386</f>
        <v>3</v>
      </c>
      <c r="H385" s="0" t="n">
        <f aca="false">SUM(B385:G385)</f>
        <v>20</v>
      </c>
      <c r="I385" s="0" t="n">
        <f aca="false">H385-B385</f>
        <v>16</v>
      </c>
      <c r="J385" s="0" t="n">
        <f aca="false">H385-C385</f>
        <v>17</v>
      </c>
      <c r="K385" s="0" t="n">
        <f aca="false">H385-D385</f>
        <v>17</v>
      </c>
      <c r="L385" s="0" t="n">
        <f aca="false">H385-E385</f>
        <v>17</v>
      </c>
      <c r="M385" s="0" t="n">
        <f aca="false">H385-F385</f>
        <v>16</v>
      </c>
      <c r="N385" s="0" t="n">
        <f aca="false">H385-G385</f>
        <v>17</v>
      </c>
      <c r="O385" s="0" t="n">
        <f aca="false">B385+D385+F385</f>
        <v>11</v>
      </c>
      <c r="P385" s="0" t="n">
        <f aca="false">C385+E385+G385</f>
        <v>9</v>
      </c>
    </row>
    <row r="386" customFormat="false" ht="15" hidden="false" customHeight="false" outlineLevel="0" collapsed="false">
      <c r="A386" s="0" t="n">
        <v>387</v>
      </c>
      <c r="B386" s="0" t="n">
        <f aca="false">Raw_Data!AJ387</f>
        <v>4</v>
      </c>
      <c r="C386" s="0" t="n">
        <f aca="false">Raw_Data!AK387</f>
        <v>3</v>
      </c>
      <c r="D386" s="0" t="n">
        <f aca="false">Raw_Data!AL387</f>
        <v>3</v>
      </c>
      <c r="E386" s="0" t="n">
        <f aca="false">Raw_Data!AM387</f>
        <v>3</v>
      </c>
      <c r="F386" s="0" t="n">
        <f aca="false">Raw_Data!AN387</f>
        <v>2</v>
      </c>
      <c r="G386" s="0" t="n">
        <f aca="false">Raw_Data!AO387</f>
        <v>3</v>
      </c>
      <c r="H386" s="0" t="n">
        <f aca="false">SUM(B386:G386)</f>
        <v>18</v>
      </c>
      <c r="I386" s="0" t="n">
        <f aca="false">H386-B386</f>
        <v>14</v>
      </c>
      <c r="J386" s="0" t="n">
        <f aca="false">H386-C386</f>
        <v>15</v>
      </c>
      <c r="K386" s="0" t="n">
        <f aca="false">H386-D386</f>
        <v>15</v>
      </c>
      <c r="L386" s="0" t="n">
        <f aca="false">H386-E386</f>
        <v>15</v>
      </c>
      <c r="M386" s="0" t="n">
        <f aca="false">H386-F386</f>
        <v>16</v>
      </c>
      <c r="N386" s="0" t="n">
        <f aca="false">H386-G386</f>
        <v>15</v>
      </c>
      <c r="O386" s="0" t="n">
        <f aca="false">B386+D386+F386</f>
        <v>9</v>
      </c>
      <c r="P386" s="0" t="n">
        <f aca="false">C386+E386+G386</f>
        <v>9</v>
      </c>
    </row>
    <row r="387" customFormat="false" ht="15" hidden="false" customHeight="false" outlineLevel="0" collapsed="false">
      <c r="A387" s="0" t="n">
        <v>388</v>
      </c>
      <c r="B387" s="0" t="n">
        <f aca="false">Raw_Data!AJ388</f>
        <v>4</v>
      </c>
      <c r="C387" s="0" t="n">
        <f aca="false">Raw_Data!AK388</f>
        <v>2</v>
      </c>
      <c r="D387" s="0" t="n">
        <f aca="false">Raw_Data!AL388</f>
        <v>4</v>
      </c>
      <c r="E387" s="0" t="n">
        <f aca="false">Raw_Data!AM388</f>
        <v>3</v>
      </c>
      <c r="F387" s="0" t="n">
        <f aca="false">Raw_Data!AN388</f>
        <v>3</v>
      </c>
      <c r="G387" s="0" t="n">
        <f aca="false">Raw_Data!AO388</f>
        <v>3</v>
      </c>
      <c r="H387" s="0" t="n">
        <f aca="false">SUM(B387:G387)</f>
        <v>19</v>
      </c>
      <c r="I387" s="0" t="n">
        <f aca="false">H387-B387</f>
        <v>15</v>
      </c>
      <c r="J387" s="0" t="n">
        <f aca="false">H387-C387</f>
        <v>17</v>
      </c>
      <c r="K387" s="0" t="n">
        <f aca="false">H387-D387</f>
        <v>15</v>
      </c>
      <c r="L387" s="0" t="n">
        <f aca="false">H387-E387</f>
        <v>16</v>
      </c>
      <c r="M387" s="0" t="n">
        <f aca="false">H387-F387</f>
        <v>16</v>
      </c>
      <c r="N387" s="0" t="n">
        <f aca="false">H387-G387</f>
        <v>16</v>
      </c>
      <c r="O387" s="0" t="n">
        <f aca="false">B387+D387+F387</f>
        <v>11</v>
      </c>
      <c r="P387" s="0" t="n">
        <f aca="false">C387+E387+G387</f>
        <v>8</v>
      </c>
    </row>
    <row r="388" customFormat="false" ht="15" hidden="false" customHeight="false" outlineLevel="0" collapsed="false">
      <c r="A388" s="0" t="n">
        <v>389</v>
      </c>
      <c r="B388" s="0" t="n">
        <f aca="false">Raw_Data!AJ389</f>
        <v>3</v>
      </c>
      <c r="C388" s="0" t="n">
        <f aca="false">Raw_Data!AK389</f>
        <v>3</v>
      </c>
      <c r="D388" s="0" t="n">
        <f aca="false">Raw_Data!AL389</f>
        <v>4</v>
      </c>
      <c r="E388" s="0" t="n">
        <f aca="false">Raw_Data!AM389</f>
        <v>3</v>
      </c>
      <c r="F388" s="0" t="n">
        <f aca="false">Raw_Data!AN389</f>
        <v>3</v>
      </c>
      <c r="G388" s="0" t="n">
        <f aca="false">Raw_Data!AO389</f>
        <v>3</v>
      </c>
      <c r="H388" s="0" t="n">
        <f aca="false">SUM(B388:G388)</f>
        <v>19</v>
      </c>
      <c r="I388" s="0" t="n">
        <f aca="false">H388-B388</f>
        <v>16</v>
      </c>
      <c r="J388" s="0" t="n">
        <f aca="false">H388-C388</f>
        <v>16</v>
      </c>
      <c r="K388" s="0" t="n">
        <f aca="false">H388-D388</f>
        <v>15</v>
      </c>
      <c r="L388" s="0" t="n">
        <f aca="false">H388-E388</f>
        <v>16</v>
      </c>
      <c r="M388" s="0" t="n">
        <f aca="false">H388-F388</f>
        <v>16</v>
      </c>
      <c r="N388" s="0" t="n">
        <f aca="false">H388-G388</f>
        <v>16</v>
      </c>
      <c r="O388" s="0" t="n">
        <f aca="false">B388+D388+F388</f>
        <v>10</v>
      </c>
      <c r="P388" s="0" t="n">
        <f aca="false">C388+E388+G388</f>
        <v>9</v>
      </c>
    </row>
    <row r="389" customFormat="false" ht="15" hidden="false" customHeight="false" outlineLevel="0" collapsed="false">
      <c r="A389" s="0" t="n">
        <v>390</v>
      </c>
      <c r="B389" s="0" t="n">
        <f aca="false">Raw_Data!AJ390</f>
        <v>4</v>
      </c>
      <c r="C389" s="0" t="n">
        <f aca="false">Raw_Data!AK390</f>
        <v>3</v>
      </c>
      <c r="D389" s="0" t="n">
        <f aca="false">Raw_Data!AL390</f>
        <v>4</v>
      </c>
      <c r="E389" s="0" t="n">
        <f aca="false">Raw_Data!AM390</f>
        <v>4</v>
      </c>
      <c r="F389" s="0" t="n">
        <f aca="false">Raw_Data!AN390</f>
        <v>3</v>
      </c>
      <c r="G389" s="0" t="n">
        <f aca="false">Raw_Data!AO390</f>
        <v>4</v>
      </c>
      <c r="H389" s="0" t="n">
        <f aca="false">SUM(B389:G389)</f>
        <v>22</v>
      </c>
      <c r="I389" s="0" t="n">
        <f aca="false">H389-B389</f>
        <v>18</v>
      </c>
      <c r="J389" s="0" t="n">
        <f aca="false">H389-C389</f>
        <v>19</v>
      </c>
      <c r="K389" s="0" t="n">
        <f aca="false">H389-D389</f>
        <v>18</v>
      </c>
      <c r="L389" s="0" t="n">
        <f aca="false">H389-E389</f>
        <v>18</v>
      </c>
      <c r="M389" s="0" t="n">
        <f aca="false">H389-F389</f>
        <v>19</v>
      </c>
      <c r="N389" s="0" t="n">
        <f aca="false">H389-G389</f>
        <v>18</v>
      </c>
      <c r="O389" s="0" t="n">
        <f aca="false">B389+D389+F389</f>
        <v>11</v>
      </c>
      <c r="P389" s="0" t="n">
        <f aca="false">C389+E389+G389</f>
        <v>11</v>
      </c>
    </row>
    <row r="390" customFormat="false" ht="15" hidden="false" customHeight="false" outlineLevel="0" collapsed="false">
      <c r="A390" s="0" t="n">
        <v>391</v>
      </c>
      <c r="B390" s="0" t="n">
        <f aca="false">Raw_Data!AJ391</f>
        <v>5</v>
      </c>
      <c r="C390" s="0" t="n">
        <f aca="false">Raw_Data!AK391</f>
        <v>2</v>
      </c>
      <c r="D390" s="0" t="n">
        <f aca="false">Raw_Data!AL391</f>
        <v>4</v>
      </c>
      <c r="E390" s="0" t="n">
        <f aca="false">Raw_Data!AM391</f>
        <v>3</v>
      </c>
      <c r="F390" s="0" t="n">
        <f aca="false">Raw_Data!AN391</f>
        <v>4</v>
      </c>
      <c r="G390" s="0" t="n">
        <f aca="false">Raw_Data!AO391</f>
        <v>3</v>
      </c>
      <c r="H390" s="0" t="n">
        <f aca="false">SUM(B390:G390)</f>
        <v>21</v>
      </c>
      <c r="I390" s="0" t="n">
        <f aca="false">H390-B390</f>
        <v>16</v>
      </c>
      <c r="J390" s="0" t="n">
        <f aca="false">H390-C390</f>
        <v>19</v>
      </c>
      <c r="K390" s="0" t="n">
        <f aca="false">H390-D390</f>
        <v>17</v>
      </c>
      <c r="L390" s="0" t="n">
        <f aca="false">H390-E390</f>
        <v>18</v>
      </c>
      <c r="M390" s="0" t="n">
        <f aca="false">H390-F390</f>
        <v>17</v>
      </c>
      <c r="N390" s="0" t="n">
        <f aca="false">H390-G390</f>
        <v>18</v>
      </c>
      <c r="O390" s="0" t="n">
        <f aca="false">B390+D390+F390</f>
        <v>13</v>
      </c>
      <c r="P390" s="0" t="n">
        <f aca="false">C390+E390+G390</f>
        <v>8</v>
      </c>
    </row>
    <row r="391" customFormat="false" ht="15" hidden="false" customHeight="false" outlineLevel="0" collapsed="false">
      <c r="A391" s="0" t="n">
        <v>392</v>
      </c>
      <c r="B391" s="0" t="n">
        <f aca="false">Raw_Data!AJ392</f>
        <v>4</v>
      </c>
      <c r="C391" s="0" t="n">
        <f aca="false">Raw_Data!AK392</f>
        <v>2</v>
      </c>
      <c r="D391" s="0" t="n">
        <f aca="false">Raw_Data!AL392</f>
        <v>5</v>
      </c>
      <c r="E391" s="0" t="n">
        <f aca="false">Raw_Data!AM392</f>
        <v>5</v>
      </c>
      <c r="F391" s="0" t="n">
        <f aca="false">Raw_Data!AN392</f>
        <v>3</v>
      </c>
      <c r="G391" s="0" t="n">
        <f aca="false">Raw_Data!AO392</f>
        <v>2</v>
      </c>
      <c r="H391" s="0" t="n">
        <f aca="false">SUM(B391:G391)</f>
        <v>21</v>
      </c>
      <c r="I391" s="0" t="n">
        <f aca="false">H391-B391</f>
        <v>17</v>
      </c>
      <c r="J391" s="0" t="n">
        <f aca="false">H391-C391</f>
        <v>19</v>
      </c>
      <c r="K391" s="0" t="n">
        <f aca="false">H391-D391</f>
        <v>16</v>
      </c>
      <c r="L391" s="0" t="n">
        <f aca="false">H391-E391</f>
        <v>16</v>
      </c>
      <c r="M391" s="0" t="n">
        <f aca="false">H391-F391</f>
        <v>18</v>
      </c>
      <c r="N391" s="0" t="n">
        <f aca="false">H391-G391</f>
        <v>19</v>
      </c>
      <c r="O391" s="0" t="n">
        <f aca="false">B391+D391+F391</f>
        <v>12</v>
      </c>
      <c r="P391" s="0" t="n">
        <f aca="false">C391+E391+G391</f>
        <v>9</v>
      </c>
    </row>
    <row r="392" customFormat="false" ht="15" hidden="false" customHeight="false" outlineLevel="0" collapsed="false">
      <c r="A392" s="0" t="n">
        <v>393</v>
      </c>
      <c r="B392" s="0" t="n">
        <f aca="false">Raw_Data!AJ393</f>
        <v>4</v>
      </c>
      <c r="C392" s="0" t="n">
        <f aca="false">Raw_Data!AK393</f>
        <v>4</v>
      </c>
      <c r="D392" s="0" t="n">
        <f aca="false">Raw_Data!AL393</f>
        <v>5</v>
      </c>
      <c r="E392" s="0" t="n">
        <f aca="false">Raw_Data!AM393</f>
        <v>5</v>
      </c>
      <c r="F392" s="0" t="n">
        <f aca="false">Raw_Data!AN393</f>
        <v>4</v>
      </c>
      <c r="G392" s="0" t="n">
        <f aca="false">Raw_Data!AO393</f>
        <v>2</v>
      </c>
      <c r="H392" s="0" t="n">
        <f aca="false">SUM(B392:G392)</f>
        <v>24</v>
      </c>
      <c r="I392" s="0" t="n">
        <f aca="false">H392-B392</f>
        <v>20</v>
      </c>
      <c r="J392" s="0" t="n">
        <f aca="false">H392-C392</f>
        <v>20</v>
      </c>
      <c r="K392" s="0" t="n">
        <f aca="false">H392-D392</f>
        <v>19</v>
      </c>
      <c r="L392" s="0" t="n">
        <f aca="false">H392-E392</f>
        <v>19</v>
      </c>
      <c r="M392" s="0" t="n">
        <f aca="false">H392-F392</f>
        <v>20</v>
      </c>
      <c r="N392" s="0" t="n">
        <f aca="false">H392-G392</f>
        <v>22</v>
      </c>
      <c r="O392" s="0" t="n">
        <f aca="false">B392+D392+F392</f>
        <v>13</v>
      </c>
      <c r="P392" s="0" t="n">
        <f aca="false">C392+E392+G392</f>
        <v>11</v>
      </c>
    </row>
    <row r="393" customFormat="false" ht="15" hidden="false" customHeight="false" outlineLevel="0" collapsed="false">
      <c r="A393" s="0" t="n">
        <v>394</v>
      </c>
      <c r="B393" s="0" t="n">
        <f aca="false">Raw_Data!AJ394</f>
        <v>3</v>
      </c>
      <c r="C393" s="0" t="n">
        <f aca="false">Raw_Data!AK394</f>
        <v>3</v>
      </c>
      <c r="D393" s="0" t="n">
        <f aca="false">Raw_Data!AL394</f>
        <v>5</v>
      </c>
      <c r="E393" s="0" t="n">
        <f aca="false">Raw_Data!AM394</f>
        <v>4</v>
      </c>
      <c r="F393" s="0" t="n">
        <f aca="false">Raw_Data!AN394</f>
        <v>3</v>
      </c>
      <c r="G393" s="0" t="n">
        <f aca="false">Raw_Data!AO394</f>
        <v>2</v>
      </c>
      <c r="H393" s="0" t="n">
        <f aca="false">SUM(B393:G393)</f>
        <v>20</v>
      </c>
      <c r="I393" s="0" t="n">
        <f aca="false">H393-B393</f>
        <v>17</v>
      </c>
      <c r="J393" s="0" t="n">
        <f aca="false">H393-C393</f>
        <v>17</v>
      </c>
      <c r="K393" s="0" t="n">
        <f aca="false">H393-D393</f>
        <v>15</v>
      </c>
      <c r="L393" s="0" t="n">
        <f aca="false">H393-E393</f>
        <v>16</v>
      </c>
      <c r="M393" s="0" t="n">
        <f aca="false">H393-F393</f>
        <v>17</v>
      </c>
      <c r="N393" s="0" t="n">
        <f aca="false">H393-G393</f>
        <v>18</v>
      </c>
      <c r="O393" s="0" t="n">
        <f aca="false">B393+D393+F393</f>
        <v>11</v>
      </c>
      <c r="P393" s="0" t="n">
        <f aca="false">C393+E393+G393</f>
        <v>9</v>
      </c>
    </row>
    <row r="394" customFormat="false" ht="15" hidden="false" customHeight="false" outlineLevel="0" collapsed="false">
      <c r="A394" s="0" t="n">
        <v>395</v>
      </c>
      <c r="B394" s="0" t="n">
        <f aca="false">Raw_Data!AJ395</f>
        <v>4</v>
      </c>
      <c r="C394" s="0" t="n">
        <f aca="false">Raw_Data!AK395</f>
        <v>4</v>
      </c>
      <c r="D394" s="0" t="n">
        <f aca="false">Raw_Data!AL395</f>
        <v>4</v>
      </c>
      <c r="E394" s="0" t="n">
        <f aca="false">Raw_Data!AM395</f>
        <v>4</v>
      </c>
      <c r="F394" s="0" t="n">
        <f aca="false">Raw_Data!AN395</f>
        <v>3</v>
      </c>
      <c r="G394" s="0" t="n">
        <f aca="false">Raw_Data!AO395</f>
        <v>2</v>
      </c>
      <c r="H394" s="0" t="n">
        <f aca="false">SUM(B394:G394)</f>
        <v>21</v>
      </c>
      <c r="I394" s="0" t="n">
        <f aca="false">H394-B394</f>
        <v>17</v>
      </c>
      <c r="J394" s="0" t="n">
        <f aca="false">H394-C394</f>
        <v>17</v>
      </c>
      <c r="K394" s="0" t="n">
        <f aca="false">H394-D394</f>
        <v>17</v>
      </c>
      <c r="L394" s="0" t="n">
        <f aca="false">H394-E394</f>
        <v>17</v>
      </c>
      <c r="M394" s="0" t="n">
        <f aca="false">H394-F394</f>
        <v>18</v>
      </c>
      <c r="N394" s="0" t="n">
        <f aca="false">H394-G394</f>
        <v>19</v>
      </c>
      <c r="O394" s="0" t="n">
        <f aca="false">B394+D394+F394</f>
        <v>11</v>
      </c>
      <c r="P394" s="0" t="n">
        <f aca="false">C394+E394+G394</f>
        <v>10</v>
      </c>
    </row>
    <row r="395" customFormat="false" ht="15" hidden="false" customHeight="false" outlineLevel="0" collapsed="false">
      <c r="A395" s="0" t="n">
        <v>396</v>
      </c>
      <c r="B395" s="0" t="n">
        <f aca="false">Raw_Data!AJ396</f>
        <v>4</v>
      </c>
      <c r="C395" s="0" t="n">
        <f aca="false">Raw_Data!AK396</f>
        <v>3</v>
      </c>
      <c r="D395" s="0" t="n">
        <f aca="false">Raw_Data!AL396</f>
        <v>4</v>
      </c>
      <c r="E395" s="0" t="n">
        <f aca="false">Raw_Data!AM396</f>
        <v>4</v>
      </c>
      <c r="F395" s="0" t="n">
        <f aca="false">Raw_Data!AN396</f>
        <v>3</v>
      </c>
      <c r="G395" s="0" t="n">
        <f aca="false">Raw_Data!AO396</f>
        <v>4</v>
      </c>
      <c r="H395" s="0" t="n">
        <f aca="false">SUM(B395:G395)</f>
        <v>22</v>
      </c>
      <c r="I395" s="0" t="n">
        <f aca="false">H395-B395</f>
        <v>18</v>
      </c>
      <c r="J395" s="0" t="n">
        <f aca="false">H395-C395</f>
        <v>19</v>
      </c>
      <c r="K395" s="0" t="n">
        <f aca="false">H395-D395</f>
        <v>18</v>
      </c>
      <c r="L395" s="0" t="n">
        <f aca="false">H395-E395</f>
        <v>18</v>
      </c>
      <c r="M395" s="0" t="n">
        <f aca="false">H395-F395</f>
        <v>19</v>
      </c>
      <c r="N395" s="0" t="n">
        <f aca="false">H395-G395</f>
        <v>18</v>
      </c>
      <c r="O395" s="0" t="n">
        <f aca="false">B395+D395+F395</f>
        <v>11</v>
      </c>
      <c r="P395" s="0" t="n">
        <f aca="false">C395+E395+G395</f>
        <v>11</v>
      </c>
    </row>
    <row r="396" customFormat="false" ht="15" hidden="false" customHeight="false" outlineLevel="0" collapsed="false">
      <c r="A396" s="0" t="n">
        <v>397</v>
      </c>
      <c r="B396" s="0" t="n">
        <f aca="false">Raw_Data!AJ397</f>
        <v>5</v>
      </c>
      <c r="C396" s="0" t="n">
        <f aca="false">Raw_Data!AK397</f>
        <v>2</v>
      </c>
      <c r="D396" s="0" t="n">
        <f aca="false">Raw_Data!AL397</f>
        <v>5</v>
      </c>
      <c r="E396" s="0" t="n">
        <f aca="false">Raw_Data!AM397</f>
        <v>5</v>
      </c>
      <c r="F396" s="0" t="n">
        <f aca="false">Raw_Data!AN397</f>
        <v>3</v>
      </c>
      <c r="G396" s="0" t="n">
        <f aca="false">Raw_Data!AO397</f>
        <v>3</v>
      </c>
      <c r="H396" s="0" t="n">
        <f aca="false">SUM(B396:G396)</f>
        <v>23</v>
      </c>
      <c r="I396" s="0" t="n">
        <f aca="false">H396-B396</f>
        <v>18</v>
      </c>
      <c r="J396" s="0" t="n">
        <f aca="false">H396-C396</f>
        <v>21</v>
      </c>
      <c r="K396" s="0" t="n">
        <f aca="false">H396-D396</f>
        <v>18</v>
      </c>
      <c r="L396" s="0" t="n">
        <f aca="false">H396-E396</f>
        <v>18</v>
      </c>
      <c r="M396" s="0" t="n">
        <f aca="false">H396-F396</f>
        <v>20</v>
      </c>
      <c r="N396" s="0" t="n">
        <f aca="false">H396-G396</f>
        <v>20</v>
      </c>
      <c r="O396" s="0" t="n">
        <f aca="false">B396+D396+F396</f>
        <v>13</v>
      </c>
      <c r="P396" s="0" t="n">
        <f aca="false">C396+E396+G396</f>
        <v>10</v>
      </c>
    </row>
    <row r="397" customFormat="false" ht="15" hidden="false" customHeight="false" outlineLevel="0" collapsed="false">
      <c r="A397" s="0" t="n">
        <v>398</v>
      </c>
      <c r="B397" s="0" t="n">
        <f aca="false">Raw_Data!AJ398</f>
        <v>4</v>
      </c>
      <c r="C397" s="0" t="n">
        <f aca="false">Raw_Data!AK398</f>
        <v>3</v>
      </c>
      <c r="D397" s="0" t="n">
        <f aca="false">Raw_Data!AL398</f>
        <v>4</v>
      </c>
      <c r="E397" s="0" t="n">
        <f aca="false">Raw_Data!AM398</f>
        <v>3</v>
      </c>
      <c r="F397" s="0" t="n">
        <f aca="false">Raw_Data!AN398</f>
        <v>4</v>
      </c>
      <c r="G397" s="0" t="n">
        <f aca="false">Raw_Data!AO398</f>
        <v>3</v>
      </c>
      <c r="H397" s="0" t="n">
        <f aca="false">SUM(B397:G397)</f>
        <v>21</v>
      </c>
      <c r="I397" s="0" t="n">
        <f aca="false">H397-B397</f>
        <v>17</v>
      </c>
      <c r="J397" s="0" t="n">
        <f aca="false">H397-C397</f>
        <v>18</v>
      </c>
      <c r="K397" s="0" t="n">
        <f aca="false">H397-D397</f>
        <v>17</v>
      </c>
      <c r="L397" s="0" t="n">
        <f aca="false">H397-E397</f>
        <v>18</v>
      </c>
      <c r="M397" s="0" t="n">
        <f aca="false">H397-F397</f>
        <v>17</v>
      </c>
      <c r="N397" s="0" t="n">
        <f aca="false">H397-G397</f>
        <v>18</v>
      </c>
      <c r="O397" s="0" t="n">
        <f aca="false">B397+D397+F397</f>
        <v>12</v>
      </c>
      <c r="P397" s="0" t="n">
        <f aca="false">C397+E397+G397</f>
        <v>9</v>
      </c>
    </row>
    <row r="398" customFormat="false" ht="15" hidden="false" customHeight="false" outlineLevel="0" collapsed="false">
      <c r="A398" s="0" t="n">
        <v>399</v>
      </c>
      <c r="B398" s="0" t="n">
        <f aca="false">Raw_Data!AJ399</f>
        <v>4</v>
      </c>
      <c r="C398" s="0" t="n">
        <f aca="false">Raw_Data!AK399</f>
        <v>3</v>
      </c>
      <c r="D398" s="0" t="n">
        <f aca="false">Raw_Data!AL399</f>
        <v>5</v>
      </c>
      <c r="E398" s="0" t="n">
        <f aca="false">Raw_Data!AM399</f>
        <v>5</v>
      </c>
      <c r="F398" s="0" t="n">
        <f aca="false">Raw_Data!AN399</f>
        <v>4</v>
      </c>
      <c r="G398" s="0" t="n">
        <f aca="false">Raw_Data!AO399</f>
        <v>3</v>
      </c>
      <c r="H398" s="0" t="n">
        <f aca="false">SUM(B398:G398)</f>
        <v>24</v>
      </c>
      <c r="I398" s="0" t="n">
        <f aca="false">H398-B398</f>
        <v>20</v>
      </c>
      <c r="J398" s="0" t="n">
        <f aca="false">H398-C398</f>
        <v>21</v>
      </c>
      <c r="K398" s="0" t="n">
        <f aca="false">H398-D398</f>
        <v>19</v>
      </c>
      <c r="L398" s="0" t="n">
        <f aca="false">H398-E398</f>
        <v>19</v>
      </c>
      <c r="M398" s="0" t="n">
        <f aca="false">H398-F398</f>
        <v>20</v>
      </c>
      <c r="N398" s="0" t="n">
        <f aca="false">H398-G398</f>
        <v>21</v>
      </c>
      <c r="O398" s="0" t="n">
        <f aca="false">B398+D398+F398</f>
        <v>13</v>
      </c>
      <c r="P398" s="0" t="n">
        <f aca="false">C398+E398+G398</f>
        <v>11</v>
      </c>
    </row>
    <row r="399" customFormat="false" ht="15" hidden="false" customHeight="false" outlineLevel="0" collapsed="false">
      <c r="A399" s="0" t="n">
        <v>400</v>
      </c>
      <c r="B399" s="0" t="n">
        <f aca="false">Raw_Data!AJ400</f>
        <v>2</v>
      </c>
      <c r="C399" s="0" t="n">
        <f aca="false">Raw_Data!AK400</f>
        <v>4</v>
      </c>
      <c r="D399" s="0" t="n">
        <f aca="false">Raw_Data!AL400</f>
        <v>4</v>
      </c>
      <c r="E399" s="0" t="n">
        <f aca="false">Raw_Data!AM400</f>
        <v>3</v>
      </c>
      <c r="F399" s="0" t="n">
        <f aca="false">Raw_Data!AN400</f>
        <v>2</v>
      </c>
      <c r="G399" s="0" t="n">
        <f aca="false">Raw_Data!AO400</f>
        <v>3</v>
      </c>
      <c r="H399" s="0" t="n">
        <f aca="false">SUM(B399:G399)</f>
        <v>18</v>
      </c>
      <c r="I399" s="0" t="n">
        <f aca="false">H399-B399</f>
        <v>16</v>
      </c>
      <c r="J399" s="0" t="n">
        <f aca="false">H399-C399</f>
        <v>14</v>
      </c>
      <c r="K399" s="0" t="n">
        <f aca="false">H399-D399</f>
        <v>14</v>
      </c>
      <c r="L399" s="0" t="n">
        <f aca="false">H399-E399</f>
        <v>15</v>
      </c>
      <c r="M399" s="0" t="n">
        <f aca="false">H399-F399</f>
        <v>16</v>
      </c>
      <c r="N399" s="0" t="n">
        <f aca="false">H399-G399</f>
        <v>15</v>
      </c>
      <c r="O399" s="0" t="n">
        <f aca="false">B399+D399+F399</f>
        <v>8</v>
      </c>
      <c r="P399" s="0" t="n">
        <f aca="false">C399+E399+G399</f>
        <v>10</v>
      </c>
    </row>
    <row r="400" customFormat="false" ht="15" hidden="false" customHeight="false" outlineLevel="0" collapsed="false">
      <c r="A400" s="0" t="n">
        <v>401</v>
      </c>
      <c r="B400" s="0" t="n">
        <f aca="false">Raw_Data!AJ401</f>
        <v>2</v>
      </c>
      <c r="C400" s="0" t="n">
        <f aca="false">Raw_Data!AK401</f>
        <v>3</v>
      </c>
      <c r="D400" s="0" t="n">
        <f aca="false">Raw_Data!AL401</f>
        <v>5</v>
      </c>
      <c r="E400" s="0" t="n">
        <f aca="false">Raw_Data!AM401</f>
        <v>3</v>
      </c>
      <c r="F400" s="0" t="n">
        <f aca="false">Raw_Data!AN401</f>
        <v>3</v>
      </c>
      <c r="G400" s="0" t="n">
        <f aca="false">Raw_Data!AO401</f>
        <v>3</v>
      </c>
      <c r="H400" s="0" t="n">
        <f aca="false">SUM(B400:G400)</f>
        <v>19</v>
      </c>
      <c r="I400" s="0" t="n">
        <f aca="false">H400-B400</f>
        <v>17</v>
      </c>
      <c r="J400" s="0" t="n">
        <f aca="false">H400-C400</f>
        <v>16</v>
      </c>
      <c r="K400" s="0" t="n">
        <f aca="false">H400-D400</f>
        <v>14</v>
      </c>
      <c r="L400" s="0" t="n">
        <f aca="false">H400-E400</f>
        <v>16</v>
      </c>
      <c r="M400" s="0" t="n">
        <f aca="false">H400-F400</f>
        <v>16</v>
      </c>
      <c r="N400" s="0" t="n">
        <f aca="false">H400-G400</f>
        <v>16</v>
      </c>
      <c r="O400" s="0" t="n">
        <f aca="false">B400+D400+F400</f>
        <v>10</v>
      </c>
      <c r="P400" s="0" t="n">
        <f aca="false">C400+E400+G400</f>
        <v>9</v>
      </c>
    </row>
    <row r="401" customFormat="false" ht="15" hidden="false" customHeight="false" outlineLevel="0" collapsed="false">
      <c r="A401" s="0" t="n">
        <v>402</v>
      </c>
      <c r="B401" s="0" t="n">
        <f aca="false">Raw_Data!AJ402</f>
        <v>4</v>
      </c>
      <c r="C401" s="0" t="n">
        <f aca="false">Raw_Data!AK402</f>
        <v>3</v>
      </c>
      <c r="D401" s="0" t="n">
        <f aca="false">Raw_Data!AL402</f>
        <v>4</v>
      </c>
      <c r="E401" s="0" t="n">
        <f aca="false">Raw_Data!AM402</f>
        <v>2</v>
      </c>
      <c r="F401" s="0" t="n">
        <f aca="false">Raw_Data!AN402</f>
        <v>3</v>
      </c>
      <c r="G401" s="0" t="n">
        <f aca="false">Raw_Data!AO402</f>
        <v>2</v>
      </c>
      <c r="H401" s="0" t="n">
        <f aca="false">SUM(B401:G401)</f>
        <v>18</v>
      </c>
      <c r="I401" s="0" t="n">
        <f aca="false">H401-B401</f>
        <v>14</v>
      </c>
      <c r="J401" s="0" t="n">
        <f aca="false">H401-C401</f>
        <v>15</v>
      </c>
      <c r="K401" s="0" t="n">
        <f aca="false">H401-D401</f>
        <v>14</v>
      </c>
      <c r="L401" s="0" t="n">
        <f aca="false">H401-E401</f>
        <v>16</v>
      </c>
      <c r="M401" s="0" t="n">
        <f aca="false">H401-F401</f>
        <v>15</v>
      </c>
      <c r="N401" s="0" t="n">
        <f aca="false">H401-G401</f>
        <v>16</v>
      </c>
      <c r="O401" s="0" t="n">
        <f aca="false">B401+D401+F401</f>
        <v>11</v>
      </c>
      <c r="P401" s="0" t="n">
        <f aca="false">C401+E401+G401</f>
        <v>7</v>
      </c>
    </row>
    <row r="402" customFormat="false" ht="15" hidden="false" customHeight="false" outlineLevel="0" collapsed="false">
      <c r="A402" s="0" t="n">
        <v>403</v>
      </c>
      <c r="B402" s="0" t="n">
        <f aca="false">Raw_Data!AJ403</f>
        <v>2</v>
      </c>
      <c r="C402" s="0" t="n">
        <f aca="false">Raw_Data!AK403</f>
        <v>3</v>
      </c>
      <c r="D402" s="0" t="n">
        <f aca="false">Raw_Data!AL403</f>
        <v>4</v>
      </c>
      <c r="E402" s="0" t="n">
        <f aca="false">Raw_Data!AM403</f>
        <v>4</v>
      </c>
      <c r="F402" s="0" t="n">
        <f aca="false">Raw_Data!AN403</f>
        <v>3</v>
      </c>
      <c r="G402" s="0" t="n">
        <f aca="false">Raw_Data!AO403</f>
        <v>3</v>
      </c>
      <c r="H402" s="0" t="n">
        <f aca="false">SUM(B402:G402)</f>
        <v>19</v>
      </c>
      <c r="I402" s="0" t="n">
        <f aca="false">H402-B402</f>
        <v>17</v>
      </c>
      <c r="J402" s="0" t="n">
        <f aca="false">H402-C402</f>
        <v>16</v>
      </c>
      <c r="K402" s="0" t="n">
        <f aca="false">H402-D402</f>
        <v>15</v>
      </c>
      <c r="L402" s="0" t="n">
        <f aca="false">H402-E402</f>
        <v>15</v>
      </c>
      <c r="M402" s="0" t="n">
        <f aca="false">H402-F402</f>
        <v>16</v>
      </c>
      <c r="N402" s="0" t="n">
        <f aca="false">H402-G402</f>
        <v>16</v>
      </c>
      <c r="O402" s="0" t="n">
        <f aca="false">B402+D402+F402</f>
        <v>9</v>
      </c>
      <c r="P402" s="0" t="n">
        <f aca="false">C402+E402+G402</f>
        <v>10</v>
      </c>
    </row>
    <row r="403" customFormat="false" ht="15" hidden="false" customHeight="false" outlineLevel="0" collapsed="false">
      <c r="A403" s="0" t="n">
        <v>404</v>
      </c>
      <c r="B403" s="0" t="n">
        <f aca="false">Raw_Data!AJ404</f>
        <v>3</v>
      </c>
      <c r="C403" s="0" t="n">
        <f aca="false">Raw_Data!AK404</f>
        <v>2</v>
      </c>
      <c r="D403" s="0" t="n">
        <f aca="false">Raw_Data!AL404</f>
        <v>4</v>
      </c>
      <c r="E403" s="0" t="n">
        <f aca="false">Raw_Data!AM404</f>
        <v>2</v>
      </c>
      <c r="F403" s="0" t="n">
        <f aca="false">Raw_Data!AN404</f>
        <v>2</v>
      </c>
      <c r="G403" s="0" t="n">
        <f aca="false">Raw_Data!AO404</f>
        <v>3</v>
      </c>
      <c r="H403" s="0" t="n">
        <f aca="false">SUM(B403:G403)</f>
        <v>16</v>
      </c>
      <c r="I403" s="0" t="n">
        <f aca="false">H403-B403</f>
        <v>13</v>
      </c>
      <c r="J403" s="0" t="n">
        <f aca="false">H403-C403</f>
        <v>14</v>
      </c>
      <c r="K403" s="0" t="n">
        <f aca="false">H403-D403</f>
        <v>12</v>
      </c>
      <c r="L403" s="0" t="n">
        <f aca="false">H403-E403</f>
        <v>14</v>
      </c>
      <c r="M403" s="0" t="n">
        <f aca="false">H403-F403</f>
        <v>14</v>
      </c>
      <c r="N403" s="0" t="n">
        <f aca="false">H403-G403</f>
        <v>13</v>
      </c>
      <c r="O403" s="0" t="n">
        <f aca="false">B403+D403+F403</f>
        <v>9</v>
      </c>
      <c r="P403" s="0" t="n">
        <f aca="false">C403+E403+G403</f>
        <v>7</v>
      </c>
    </row>
    <row r="404" customFormat="false" ht="15" hidden="false" customHeight="false" outlineLevel="0" collapsed="false">
      <c r="A404" s="0" t="n">
        <v>405</v>
      </c>
      <c r="B404" s="0" t="n">
        <f aca="false">Raw_Data!AJ405</f>
        <v>3</v>
      </c>
      <c r="C404" s="0" t="n">
        <f aca="false">Raw_Data!AK405</f>
        <v>2</v>
      </c>
      <c r="D404" s="0" t="n">
        <f aca="false">Raw_Data!AL405</f>
        <v>4</v>
      </c>
      <c r="E404" s="0" t="n">
        <f aca="false">Raw_Data!AM405</f>
        <v>4</v>
      </c>
      <c r="F404" s="0" t="n">
        <f aca="false">Raw_Data!AN405</f>
        <v>3</v>
      </c>
      <c r="G404" s="0" t="n">
        <f aca="false">Raw_Data!AO405</f>
        <v>3</v>
      </c>
      <c r="H404" s="0" t="n">
        <f aca="false">SUM(B404:G404)</f>
        <v>19</v>
      </c>
      <c r="I404" s="0" t="n">
        <f aca="false">H404-B404</f>
        <v>16</v>
      </c>
      <c r="J404" s="0" t="n">
        <f aca="false">H404-C404</f>
        <v>17</v>
      </c>
      <c r="K404" s="0" t="n">
        <f aca="false">H404-D404</f>
        <v>15</v>
      </c>
      <c r="L404" s="0" t="n">
        <f aca="false">H404-E404</f>
        <v>15</v>
      </c>
      <c r="M404" s="0" t="n">
        <f aca="false">H404-F404</f>
        <v>16</v>
      </c>
      <c r="N404" s="0" t="n">
        <f aca="false">H404-G404</f>
        <v>16</v>
      </c>
      <c r="O404" s="0" t="n">
        <f aca="false">B404+D404+F404</f>
        <v>10</v>
      </c>
      <c r="P404" s="0" t="n">
        <f aca="false">C404+E404+G404</f>
        <v>9</v>
      </c>
    </row>
    <row r="405" customFormat="false" ht="15" hidden="false" customHeight="false" outlineLevel="0" collapsed="false">
      <c r="A405" s="0" t="n">
        <v>406</v>
      </c>
      <c r="B405" s="0" t="n">
        <f aca="false">Raw_Data!AJ406</f>
        <v>2</v>
      </c>
      <c r="C405" s="0" t="n">
        <f aca="false">Raw_Data!AK406</f>
        <v>5</v>
      </c>
      <c r="D405" s="0" t="n">
        <f aca="false">Raw_Data!AL406</f>
        <v>5</v>
      </c>
      <c r="E405" s="0" t="n">
        <f aca="false">Raw_Data!AM406</f>
        <v>4</v>
      </c>
      <c r="F405" s="0" t="n">
        <f aca="false">Raw_Data!AN406</f>
        <v>2</v>
      </c>
      <c r="G405" s="0" t="n">
        <f aca="false">Raw_Data!AO406</f>
        <v>3</v>
      </c>
      <c r="H405" s="0" t="n">
        <f aca="false">SUM(B405:G405)</f>
        <v>21</v>
      </c>
      <c r="I405" s="0" t="n">
        <f aca="false">H405-B405</f>
        <v>19</v>
      </c>
      <c r="J405" s="0" t="n">
        <f aca="false">H405-C405</f>
        <v>16</v>
      </c>
      <c r="K405" s="0" t="n">
        <f aca="false">H405-D405</f>
        <v>16</v>
      </c>
      <c r="L405" s="0" t="n">
        <f aca="false">H405-E405</f>
        <v>17</v>
      </c>
      <c r="M405" s="0" t="n">
        <f aca="false">H405-F405</f>
        <v>19</v>
      </c>
      <c r="N405" s="0" t="n">
        <f aca="false">H405-G405</f>
        <v>18</v>
      </c>
      <c r="O405" s="0" t="n">
        <f aca="false">B405+D405+F405</f>
        <v>9</v>
      </c>
      <c r="P405" s="0" t="n">
        <f aca="false">C405+E405+G405</f>
        <v>12</v>
      </c>
    </row>
    <row r="406" customFormat="false" ht="15" hidden="false" customHeight="false" outlineLevel="0" collapsed="false">
      <c r="A406" s="0" t="n">
        <v>407</v>
      </c>
      <c r="B406" s="0" t="n">
        <f aca="false">Raw_Data!AJ407</f>
        <v>2</v>
      </c>
      <c r="C406" s="0" t="n">
        <f aca="false">Raw_Data!AK407</f>
        <v>3</v>
      </c>
      <c r="D406" s="0" t="n">
        <f aca="false">Raw_Data!AL407</f>
        <v>3</v>
      </c>
      <c r="E406" s="0" t="n">
        <f aca="false">Raw_Data!AM407</f>
        <v>3</v>
      </c>
      <c r="F406" s="0" t="n">
        <f aca="false">Raw_Data!AN407</f>
        <v>3</v>
      </c>
      <c r="G406" s="0" t="n">
        <f aca="false">Raw_Data!AO407</f>
        <v>4</v>
      </c>
      <c r="H406" s="0" t="n">
        <f aca="false">SUM(B406:G406)</f>
        <v>18</v>
      </c>
      <c r="I406" s="0" t="n">
        <f aca="false">H406-B406</f>
        <v>16</v>
      </c>
      <c r="J406" s="0" t="n">
        <f aca="false">H406-C406</f>
        <v>15</v>
      </c>
      <c r="K406" s="0" t="n">
        <f aca="false">H406-D406</f>
        <v>15</v>
      </c>
      <c r="L406" s="0" t="n">
        <f aca="false">H406-E406</f>
        <v>15</v>
      </c>
      <c r="M406" s="0" t="n">
        <f aca="false">H406-F406</f>
        <v>15</v>
      </c>
      <c r="N406" s="0" t="n">
        <f aca="false">H406-G406</f>
        <v>14</v>
      </c>
      <c r="O406" s="0" t="n">
        <f aca="false">B406+D406+F406</f>
        <v>8</v>
      </c>
      <c r="P406" s="0" t="n">
        <f aca="false">C406+E406+G406</f>
        <v>10</v>
      </c>
    </row>
    <row r="407" customFormat="false" ht="15" hidden="false" customHeight="false" outlineLevel="0" collapsed="false">
      <c r="A407" s="0" t="n">
        <v>408</v>
      </c>
      <c r="B407" s="0" t="n">
        <f aca="false">Raw_Data!AJ408</f>
        <v>5</v>
      </c>
      <c r="C407" s="0" t="n">
        <f aca="false">Raw_Data!AK408</f>
        <v>4</v>
      </c>
      <c r="D407" s="0" t="n">
        <f aca="false">Raw_Data!AL408</f>
        <v>4</v>
      </c>
      <c r="E407" s="0" t="n">
        <f aca="false">Raw_Data!AM408</f>
        <v>3</v>
      </c>
      <c r="F407" s="0" t="n">
        <f aca="false">Raw_Data!AN408</f>
        <v>3</v>
      </c>
      <c r="G407" s="0" t="n">
        <f aca="false">Raw_Data!AO408</f>
        <v>4</v>
      </c>
      <c r="H407" s="0" t="n">
        <f aca="false">SUM(B407:G407)</f>
        <v>23</v>
      </c>
      <c r="I407" s="0" t="n">
        <f aca="false">H407-B407</f>
        <v>18</v>
      </c>
      <c r="J407" s="0" t="n">
        <f aca="false">H407-C407</f>
        <v>19</v>
      </c>
      <c r="K407" s="0" t="n">
        <f aca="false">H407-D407</f>
        <v>19</v>
      </c>
      <c r="L407" s="0" t="n">
        <f aca="false">H407-E407</f>
        <v>20</v>
      </c>
      <c r="M407" s="0" t="n">
        <f aca="false">H407-F407</f>
        <v>20</v>
      </c>
      <c r="N407" s="0" t="n">
        <f aca="false">H407-G407</f>
        <v>19</v>
      </c>
      <c r="O407" s="0" t="n">
        <f aca="false">B407+D407+F407</f>
        <v>12</v>
      </c>
      <c r="P407" s="0" t="n">
        <f aca="false">C407+E407+G407</f>
        <v>11</v>
      </c>
    </row>
    <row r="408" customFormat="false" ht="15" hidden="false" customHeight="false" outlineLevel="0" collapsed="false">
      <c r="A408" s="0" t="n">
        <v>409</v>
      </c>
      <c r="B408" s="0" t="n">
        <f aca="false">Raw_Data!AJ409</f>
        <v>5</v>
      </c>
      <c r="C408" s="0" t="n">
        <f aca="false">Raw_Data!AK409</f>
        <v>3</v>
      </c>
      <c r="D408" s="0" t="n">
        <f aca="false">Raw_Data!AL409</f>
        <v>4</v>
      </c>
      <c r="E408" s="0" t="n">
        <f aca="false">Raw_Data!AM409</f>
        <v>4</v>
      </c>
      <c r="F408" s="0" t="n">
        <f aca="false">Raw_Data!AN409</f>
        <v>4</v>
      </c>
      <c r="G408" s="0" t="n">
        <f aca="false">Raw_Data!AO409</f>
        <v>4</v>
      </c>
      <c r="H408" s="0" t="n">
        <f aca="false">SUM(B408:G408)</f>
        <v>24</v>
      </c>
      <c r="I408" s="0" t="n">
        <f aca="false">H408-B408</f>
        <v>19</v>
      </c>
      <c r="J408" s="0" t="n">
        <f aca="false">H408-C408</f>
        <v>21</v>
      </c>
      <c r="K408" s="0" t="n">
        <f aca="false">H408-D408</f>
        <v>20</v>
      </c>
      <c r="L408" s="0" t="n">
        <f aca="false">H408-E408</f>
        <v>20</v>
      </c>
      <c r="M408" s="0" t="n">
        <f aca="false">H408-F408</f>
        <v>20</v>
      </c>
      <c r="N408" s="0" t="n">
        <f aca="false">H408-G408</f>
        <v>20</v>
      </c>
      <c r="O408" s="0" t="n">
        <f aca="false">B408+D408+F408</f>
        <v>13</v>
      </c>
      <c r="P408" s="0" t="n">
        <f aca="false">C408+E408+G408</f>
        <v>11</v>
      </c>
    </row>
    <row r="409" customFormat="false" ht="15" hidden="false" customHeight="false" outlineLevel="0" collapsed="false">
      <c r="A409" s="0" t="n">
        <v>410</v>
      </c>
      <c r="B409" s="0" t="n">
        <f aca="false">Raw_Data!AJ410</f>
        <v>4</v>
      </c>
      <c r="C409" s="0" t="n">
        <f aca="false">Raw_Data!AK410</f>
        <v>3</v>
      </c>
      <c r="D409" s="0" t="n">
        <f aca="false">Raw_Data!AL410</f>
        <v>3</v>
      </c>
      <c r="E409" s="0" t="n">
        <f aca="false">Raw_Data!AM410</f>
        <v>3</v>
      </c>
      <c r="F409" s="0" t="n">
        <f aca="false">Raw_Data!AN410</f>
        <v>3</v>
      </c>
      <c r="G409" s="0" t="n">
        <f aca="false">Raw_Data!AO410</f>
        <v>3</v>
      </c>
      <c r="H409" s="0" t="n">
        <f aca="false">SUM(B409:G409)</f>
        <v>19</v>
      </c>
      <c r="I409" s="0" t="n">
        <f aca="false">H409-B409</f>
        <v>15</v>
      </c>
      <c r="J409" s="0" t="n">
        <f aca="false">H409-C409</f>
        <v>16</v>
      </c>
      <c r="K409" s="0" t="n">
        <f aca="false">H409-D409</f>
        <v>16</v>
      </c>
      <c r="L409" s="0" t="n">
        <f aca="false">H409-E409</f>
        <v>16</v>
      </c>
      <c r="M409" s="0" t="n">
        <f aca="false">H409-F409</f>
        <v>16</v>
      </c>
      <c r="N409" s="0" t="n">
        <f aca="false">H409-G409</f>
        <v>16</v>
      </c>
      <c r="O409" s="0" t="n">
        <f aca="false">B409+D409+F409</f>
        <v>10</v>
      </c>
      <c r="P409" s="0" t="n">
        <f aca="false">C409+E409+G409</f>
        <v>9</v>
      </c>
    </row>
    <row r="410" customFormat="false" ht="15" hidden="false" customHeight="false" outlineLevel="0" collapsed="false">
      <c r="A410" s="0" t="n">
        <v>411</v>
      </c>
      <c r="B410" s="0" t="n">
        <f aca="false">Raw_Data!AJ411</f>
        <v>3</v>
      </c>
      <c r="C410" s="0" t="n">
        <f aca="false">Raw_Data!AK411</f>
        <v>3</v>
      </c>
      <c r="D410" s="0" t="n">
        <f aca="false">Raw_Data!AL411</f>
        <v>5</v>
      </c>
      <c r="E410" s="0" t="n">
        <f aca="false">Raw_Data!AM411</f>
        <v>3</v>
      </c>
      <c r="F410" s="0" t="n">
        <f aca="false">Raw_Data!AN411</f>
        <v>3</v>
      </c>
      <c r="G410" s="0" t="n">
        <f aca="false">Raw_Data!AO411</f>
        <v>3</v>
      </c>
      <c r="H410" s="0" t="n">
        <f aca="false">SUM(B410:G410)</f>
        <v>20</v>
      </c>
      <c r="I410" s="0" t="n">
        <f aca="false">H410-B410</f>
        <v>17</v>
      </c>
      <c r="J410" s="0" t="n">
        <f aca="false">H410-C410</f>
        <v>17</v>
      </c>
      <c r="K410" s="0" t="n">
        <f aca="false">H410-D410</f>
        <v>15</v>
      </c>
      <c r="L410" s="0" t="n">
        <f aca="false">H410-E410</f>
        <v>17</v>
      </c>
      <c r="M410" s="0" t="n">
        <f aca="false">H410-F410</f>
        <v>17</v>
      </c>
      <c r="N410" s="0" t="n">
        <f aca="false">H410-G410</f>
        <v>17</v>
      </c>
      <c r="O410" s="0" t="n">
        <f aca="false">B410+D410+F410</f>
        <v>11</v>
      </c>
      <c r="P410" s="0" t="n">
        <f aca="false">C410+E410+G410</f>
        <v>9</v>
      </c>
    </row>
    <row r="411" customFormat="false" ht="15" hidden="false" customHeight="false" outlineLevel="0" collapsed="false">
      <c r="A411" s="0" t="n">
        <v>412</v>
      </c>
      <c r="B411" s="0" t="n">
        <f aca="false">Raw_Data!AJ412</f>
        <v>3</v>
      </c>
      <c r="C411" s="0" t="n">
        <f aca="false">Raw_Data!AK412</f>
        <v>3</v>
      </c>
      <c r="D411" s="0" t="n">
        <f aca="false">Raw_Data!AL412</f>
        <v>3</v>
      </c>
      <c r="E411" s="0" t="n">
        <f aca="false">Raw_Data!AM412</f>
        <v>3</v>
      </c>
      <c r="F411" s="0" t="n">
        <f aca="false">Raw_Data!AN412</f>
        <v>2</v>
      </c>
      <c r="G411" s="0" t="n">
        <f aca="false">Raw_Data!AO412</f>
        <v>3</v>
      </c>
      <c r="H411" s="0" t="n">
        <f aca="false">SUM(B411:G411)</f>
        <v>17</v>
      </c>
      <c r="I411" s="0" t="n">
        <f aca="false">H411-B411</f>
        <v>14</v>
      </c>
      <c r="J411" s="0" t="n">
        <f aca="false">H411-C411</f>
        <v>14</v>
      </c>
      <c r="K411" s="0" t="n">
        <f aca="false">H411-D411</f>
        <v>14</v>
      </c>
      <c r="L411" s="0" t="n">
        <f aca="false">H411-E411</f>
        <v>14</v>
      </c>
      <c r="M411" s="0" t="n">
        <f aca="false">H411-F411</f>
        <v>15</v>
      </c>
      <c r="N411" s="0" t="n">
        <f aca="false">H411-G411</f>
        <v>14</v>
      </c>
      <c r="O411" s="0" t="n">
        <f aca="false">B411+D411+F411</f>
        <v>8</v>
      </c>
      <c r="P411" s="0" t="n">
        <f aca="false">C411+E411+G411</f>
        <v>9</v>
      </c>
    </row>
    <row r="412" customFormat="false" ht="15" hidden="false" customHeight="false" outlineLevel="0" collapsed="false">
      <c r="A412" s="0" t="n">
        <v>413</v>
      </c>
      <c r="B412" s="0" t="n">
        <f aca="false">Raw_Data!AJ413</f>
        <v>3</v>
      </c>
      <c r="C412" s="0" t="n">
        <f aca="false">Raw_Data!AK413</f>
        <v>4</v>
      </c>
      <c r="D412" s="0" t="n">
        <f aca="false">Raw_Data!AL413</f>
        <v>3</v>
      </c>
      <c r="E412" s="0" t="n">
        <f aca="false">Raw_Data!AM413</f>
        <v>3</v>
      </c>
      <c r="F412" s="0" t="n">
        <f aca="false">Raw_Data!AN413</f>
        <v>4</v>
      </c>
      <c r="G412" s="0" t="n">
        <f aca="false">Raw_Data!AO413</f>
        <v>3</v>
      </c>
      <c r="H412" s="0" t="n">
        <f aca="false">SUM(B412:G412)</f>
        <v>20</v>
      </c>
      <c r="I412" s="0" t="n">
        <f aca="false">H412-B412</f>
        <v>17</v>
      </c>
      <c r="J412" s="0" t="n">
        <f aca="false">H412-C412</f>
        <v>16</v>
      </c>
      <c r="K412" s="0" t="n">
        <f aca="false">H412-D412</f>
        <v>17</v>
      </c>
      <c r="L412" s="0" t="n">
        <f aca="false">H412-E412</f>
        <v>17</v>
      </c>
      <c r="M412" s="0" t="n">
        <f aca="false">H412-F412</f>
        <v>16</v>
      </c>
      <c r="N412" s="0" t="n">
        <f aca="false">H412-G412</f>
        <v>17</v>
      </c>
      <c r="O412" s="0" t="n">
        <f aca="false">B412+D412+F412</f>
        <v>10</v>
      </c>
      <c r="P412" s="0" t="n">
        <f aca="false">C412+E412+G412</f>
        <v>10</v>
      </c>
    </row>
    <row r="413" customFormat="false" ht="15" hidden="false" customHeight="false" outlineLevel="0" collapsed="false">
      <c r="A413" s="0" t="n">
        <v>414</v>
      </c>
      <c r="B413" s="0" t="n">
        <f aca="false">Raw_Data!AJ414</f>
        <v>4</v>
      </c>
      <c r="C413" s="0" t="n">
        <f aca="false">Raw_Data!AK414</f>
        <v>2</v>
      </c>
      <c r="D413" s="0" t="n">
        <f aca="false">Raw_Data!AL414</f>
        <v>4</v>
      </c>
      <c r="E413" s="0" t="n">
        <f aca="false">Raw_Data!AM414</f>
        <v>3</v>
      </c>
      <c r="F413" s="0" t="n">
        <f aca="false">Raw_Data!AN414</f>
        <v>3</v>
      </c>
      <c r="G413" s="0" t="n">
        <f aca="false">Raw_Data!AO414</f>
        <v>3</v>
      </c>
      <c r="H413" s="0" t="n">
        <f aca="false">SUM(B413:G413)</f>
        <v>19</v>
      </c>
      <c r="I413" s="0" t="n">
        <f aca="false">H413-B413</f>
        <v>15</v>
      </c>
      <c r="J413" s="0" t="n">
        <f aca="false">H413-C413</f>
        <v>17</v>
      </c>
      <c r="K413" s="0" t="n">
        <f aca="false">H413-D413</f>
        <v>15</v>
      </c>
      <c r="L413" s="0" t="n">
        <f aca="false">H413-E413</f>
        <v>16</v>
      </c>
      <c r="M413" s="0" t="n">
        <f aca="false">H413-F413</f>
        <v>16</v>
      </c>
      <c r="N413" s="0" t="n">
        <f aca="false">H413-G413</f>
        <v>16</v>
      </c>
      <c r="O413" s="0" t="n">
        <f aca="false">B413+D413+F413</f>
        <v>11</v>
      </c>
      <c r="P413" s="0" t="n">
        <f aca="false">C413+E413+G413</f>
        <v>8</v>
      </c>
    </row>
    <row r="414" customFormat="false" ht="15" hidden="false" customHeight="false" outlineLevel="0" collapsed="false">
      <c r="A414" s="0" t="n">
        <v>415</v>
      </c>
      <c r="B414" s="0" t="n">
        <f aca="false">Raw_Data!AJ415</f>
        <v>3</v>
      </c>
      <c r="C414" s="0" t="n">
        <f aca="false">Raw_Data!AK415</f>
        <v>3</v>
      </c>
      <c r="D414" s="0" t="n">
        <f aca="false">Raw_Data!AL415</f>
        <v>3</v>
      </c>
      <c r="E414" s="0" t="n">
        <f aca="false">Raw_Data!AM415</f>
        <v>3</v>
      </c>
      <c r="F414" s="0" t="n">
        <f aca="false">Raw_Data!AN415</f>
        <v>4</v>
      </c>
      <c r="G414" s="0" t="n">
        <f aca="false">Raw_Data!AO415</f>
        <v>3</v>
      </c>
      <c r="H414" s="0" t="n">
        <f aca="false">SUM(B414:G414)</f>
        <v>19</v>
      </c>
      <c r="I414" s="0" t="n">
        <f aca="false">H414-B414</f>
        <v>16</v>
      </c>
      <c r="J414" s="0" t="n">
        <f aca="false">H414-C414</f>
        <v>16</v>
      </c>
      <c r="K414" s="0" t="n">
        <f aca="false">H414-D414</f>
        <v>16</v>
      </c>
      <c r="L414" s="0" t="n">
        <f aca="false">H414-E414</f>
        <v>16</v>
      </c>
      <c r="M414" s="0" t="n">
        <f aca="false">H414-F414</f>
        <v>15</v>
      </c>
      <c r="N414" s="0" t="n">
        <f aca="false">H414-G414</f>
        <v>16</v>
      </c>
      <c r="O414" s="0" t="n">
        <f aca="false">B414+D414+F414</f>
        <v>10</v>
      </c>
      <c r="P414" s="0" t="n">
        <f aca="false">C414+E414+G414</f>
        <v>9</v>
      </c>
    </row>
    <row r="415" customFormat="false" ht="15" hidden="false" customHeight="false" outlineLevel="0" collapsed="false">
      <c r="A415" s="0" t="n">
        <v>416</v>
      </c>
      <c r="B415" s="0" t="n">
        <f aca="false">Raw_Data!AJ416</f>
        <v>2</v>
      </c>
      <c r="C415" s="0" t="n">
        <f aca="false">Raw_Data!AK416</f>
        <v>3</v>
      </c>
      <c r="D415" s="0" t="n">
        <f aca="false">Raw_Data!AL416</f>
        <v>3</v>
      </c>
      <c r="E415" s="0" t="n">
        <f aca="false">Raw_Data!AM416</f>
        <v>3</v>
      </c>
      <c r="F415" s="0" t="n">
        <f aca="false">Raw_Data!AN416</f>
        <v>5</v>
      </c>
      <c r="G415" s="0" t="n">
        <f aca="false">Raw_Data!AO416</f>
        <v>3</v>
      </c>
      <c r="H415" s="0" t="n">
        <f aca="false">SUM(B415:G415)</f>
        <v>19</v>
      </c>
      <c r="I415" s="0" t="n">
        <f aca="false">H415-B415</f>
        <v>17</v>
      </c>
      <c r="J415" s="0" t="n">
        <f aca="false">H415-C415</f>
        <v>16</v>
      </c>
      <c r="K415" s="0" t="n">
        <f aca="false">H415-D415</f>
        <v>16</v>
      </c>
      <c r="L415" s="0" t="n">
        <f aca="false">H415-E415</f>
        <v>16</v>
      </c>
      <c r="M415" s="0" t="n">
        <f aca="false">H415-F415</f>
        <v>14</v>
      </c>
      <c r="N415" s="0" t="n">
        <f aca="false">H415-G415</f>
        <v>16</v>
      </c>
      <c r="O415" s="0" t="n">
        <f aca="false">B415+D415+F415</f>
        <v>10</v>
      </c>
      <c r="P415" s="0" t="n">
        <f aca="false">C415+E415+G415</f>
        <v>9</v>
      </c>
    </row>
    <row r="416" customFormat="false" ht="15" hidden="false" customHeight="false" outlineLevel="0" collapsed="false">
      <c r="A416" s="0" t="n">
        <v>417</v>
      </c>
      <c r="B416" s="0" t="n">
        <f aca="false">Raw_Data!AJ417</f>
        <v>3</v>
      </c>
      <c r="C416" s="0" t="n">
        <f aca="false">Raw_Data!AK417</f>
        <v>4</v>
      </c>
      <c r="D416" s="0" t="n">
        <f aca="false">Raw_Data!AL417</f>
        <v>4</v>
      </c>
      <c r="E416" s="0" t="n">
        <f aca="false">Raw_Data!AM417</f>
        <v>3</v>
      </c>
      <c r="F416" s="0" t="n">
        <f aca="false">Raw_Data!AN417</f>
        <v>2</v>
      </c>
      <c r="G416" s="0" t="n">
        <f aca="false">Raw_Data!AO417</f>
        <v>3</v>
      </c>
      <c r="H416" s="0" t="n">
        <f aca="false">SUM(B416:G416)</f>
        <v>19</v>
      </c>
      <c r="I416" s="0" t="n">
        <f aca="false">H416-B416</f>
        <v>16</v>
      </c>
      <c r="J416" s="0" t="n">
        <f aca="false">H416-C416</f>
        <v>15</v>
      </c>
      <c r="K416" s="0" t="n">
        <f aca="false">H416-D416</f>
        <v>15</v>
      </c>
      <c r="L416" s="0" t="n">
        <f aca="false">H416-E416</f>
        <v>16</v>
      </c>
      <c r="M416" s="0" t="n">
        <f aca="false">H416-F416</f>
        <v>17</v>
      </c>
      <c r="N416" s="0" t="n">
        <f aca="false">H416-G416</f>
        <v>16</v>
      </c>
      <c r="O416" s="0" t="n">
        <f aca="false">B416+D416+F416</f>
        <v>9</v>
      </c>
      <c r="P416" s="0" t="n">
        <f aca="false">C416+E416+G416</f>
        <v>10</v>
      </c>
    </row>
    <row r="417" customFormat="false" ht="15" hidden="false" customHeight="false" outlineLevel="0" collapsed="false">
      <c r="A417" s="0" t="n">
        <v>418</v>
      </c>
      <c r="B417" s="0" t="n">
        <f aca="false">Raw_Data!AJ418</f>
        <v>4</v>
      </c>
      <c r="C417" s="0" t="n">
        <f aca="false">Raw_Data!AK418</f>
        <v>4</v>
      </c>
      <c r="D417" s="0" t="n">
        <f aca="false">Raw_Data!AL418</f>
        <v>3</v>
      </c>
      <c r="E417" s="0" t="n">
        <f aca="false">Raw_Data!AM418</f>
        <v>3</v>
      </c>
      <c r="F417" s="0" t="n">
        <f aca="false">Raw_Data!AN418</f>
        <v>4</v>
      </c>
      <c r="G417" s="0" t="n">
        <f aca="false">Raw_Data!AO418</f>
        <v>2</v>
      </c>
      <c r="H417" s="0" t="n">
        <f aca="false">SUM(B417:G417)</f>
        <v>20</v>
      </c>
      <c r="I417" s="0" t="n">
        <f aca="false">H417-B417</f>
        <v>16</v>
      </c>
      <c r="J417" s="0" t="n">
        <f aca="false">H417-C417</f>
        <v>16</v>
      </c>
      <c r="K417" s="0" t="n">
        <f aca="false">H417-D417</f>
        <v>17</v>
      </c>
      <c r="L417" s="0" t="n">
        <f aca="false">H417-E417</f>
        <v>17</v>
      </c>
      <c r="M417" s="0" t="n">
        <f aca="false">H417-F417</f>
        <v>16</v>
      </c>
      <c r="N417" s="0" t="n">
        <f aca="false">H417-G417</f>
        <v>18</v>
      </c>
      <c r="O417" s="0" t="n">
        <f aca="false">B417+D417+F417</f>
        <v>11</v>
      </c>
      <c r="P417" s="0" t="n">
        <f aca="false">C417+E417+G417</f>
        <v>9</v>
      </c>
    </row>
    <row r="418" customFormat="false" ht="15" hidden="false" customHeight="false" outlineLevel="0" collapsed="false">
      <c r="A418" s="0" t="n">
        <v>419</v>
      </c>
      <c r="B418" s="0" t="n">
        <f aca="false">Raw_Data!AJ419</f>
        <v>4</v>
      </c>
      <c r="C418" s="0" t="n">
        <f aca="false">Raw_Data!AK419</f>
        <v>2</v>
      </c>
      <c r="D418" s="0" t="n">
        <f aca="false">Raw_Data!AL419</f>
        <v>3</v>
      </c>
      <c r="E418" s="0" t="n">
        <f aca="false">Raw_Data!AM419</f>
        <v>3</v>
      </c>
      <c r="F418" s="0" t="n">
        <f aca="false">Raw_Data!AN419</f>
        <v>2</v>
      </c>
      <c r="G418" s="0" t="n">
        <f aca="false">Raw_Data!AO419</f>
        <v>3</v>
      </c>
      <c r="H418" s="0" t="n">
        <f aca="false">SUM(B418:G418)</f>
        <v>17</v>
      </c>
      <c r="I418" s="0" t="n">
        <f aca="false">H418-B418</f>
        <v>13</v>
      </c>
      <c r="J418" s="0" t="n">
        <f aca="false">H418-C418</f>
        <v>15</v>
      </c>
      <c r="K418" s="0" t="n">
        <f aca="false">H418-D418</f>
        <v>14</v>
      </c>
      <c r="L418" s="0" t="n">
        <f aca="false">H418-E418</f>
        <v>14</v>
      </c>
      <c r="M418" s="0" t="n">
        <f aca="false">H418-F418</f>
        <v>15</v>
      </c>
      <c r="N418" s="0" t="n">
        <f aca="false">H418-G418</f>
        <v>14</v>
      </c>
      <c r="O418" s="0" t="n">
        <f aca="false">B418+D418+F418</f>
        <v>9</v>
      </c>
      <c r="P418" s="0" t="n">
        <f aca="false">C418+E418+G418</f>
        <v>8</v>
      </c>
    </row>
    <row r="419" customFormat="false" ht="15" hidden="false" customHeight="false" outlineLevel="0" collapsed="false">
      <c r="A419" s="0" t="n">
        <v>420</v>
      </c>
      <c r="B419" s="0" t="n">
        <f aca="false">Raw_Data!AJ420</f>
        <v>4</v>
      </c>
      <c r="C419" s="0" t="n">
        <f aca="false">Raw_Data!AK420</f>
        <v>3</v>
      </c>
      <c r="D419" s="0" t="n">
        <f aca="false">Raw_Data!AL420</f>
        <v>3</v>
      </c>
      <c r="E419" s="0" t="n">
        <f aca="false">Raw_Data!AM420</f>
        <v>3</v>
      </c>
      <c r="F419" s="0" t="n">
        <f aca="false">Raw_Data!AN420</f>
        <v>3</v>
      </c>
      <c r="G419" s="0" t="n">
        <f aca="false">Raw_Data!AO420</f>
        <v>3</v>
      </c>
      <c r="H419" s="0" t="n">
        <f aca="false">SUM(B419:G419)</f>
        <v>19</v>
      </c>
      <c r="I419" s="0" t="n">
        <f aca="false">H419-B419</f>
        <v>15</v>
      </c>
      <c r="J419" s="0" t="n">
        <f aca="false">H419-C419</f>
        <v>16</v>
      </c>
      <c r="K419" s="0" t="n">
        <f aca="false">H419-D419</f>
        <v>16</v>
      </c>
      <c r="L419" s="0" t="n">
        <f aca="false">H419-E419</f>
        <v>16</v>
      </c>
      <c r="M419" s="0" t="n">
        <f aca="false">H419-F419</f>
        <v>16</v>
      </c>
      <c r="N419" s="0" t="n">
        <f aca="false">H419-G419</f>
        <v>16</v>
      </c>
      <c r="O419" s="0" t="n">
        <f aca="false">B419+D419+F419</f>
        <v>10</v>
      </c>
      <c r="P419" s="0" t="n">
        <f aca="false">C419+E419+G419</f>
        <v>9</v>
      </c>
    </row>
    <row r="420" customFormat="false" ht="15" hidden="false" customHeight="false" outlineLevel="0" collapsed="false">
      <c r="A420" s="0" t="n">
        <v>421</v>
      </c>
      <c r="B420" s="0" t="n">
        <f aca="false">Raw_Data!AJ421</f>
        <v>5</v>
      </c>
      <c r="C420" s="0" t="n">
        <f aca="false">Raw_Data!AK421</f>
        <v>2</v>
      </c>
      <c r="D420" s="0" t="n">
        <f aca="false">Raw_Data!AL421</f>
        <v>5</v>
      </c>
      <c r="E420" s="0" t="n">
        <f aca="false">Raw_Data!AM421</f>
        <v>4</v>
      </c>
      <c r="F420" s="0" t="n">
        <f aca="false">Raw_Data!AN421</f>
        <v>3</v>
      </c>
      <c r="G420" s="0" t="n">
        <f aca="false">Raw_Data!AO421</f>
        <v>3</v>
      </c>
      <c r="H420" s="0" t="n">
        <f aca="false">SUM(B420:G420)</f>
        <v>22</v>
      </c>
      <c r="I420" s="0" t="n">
        <f aca="false">H420-B420</f>
        <v>17</v>
      </c>
      <c r="J420" s="0" t="n">
        <f aca="false">H420-C420</f>
        <v>20</v>
      </c>
      <c r="K420" s="0" t="n">
        <f aca="false">H420-D420</f>
        <v>17</v>
      </c>
      <c r="L420" s="0" t="n">
        <f aca="false">H420-E420</f>
        <v>18</v>
      </c>
      <c r="M420" s="0" t="n">
        <f aca="false">H420-F420</f>
        <v>19</v>
      </c>
      <c r="N420" s="0" t="n">
        <f aca="false">H420-G420</f>
        <v>19</v>
      </c>
      <c r="O420" s="0" t="n">
        <f aca="false">B420+D420+F420</f>
        <v>13</v>
      </c>
      <c r="P420" s="0" t="n">
        <f aca="false">C420+E420+G420</f>
        <v>9</v>
      </c>
    </row>
    <row r="421" customFormat="false" ht="15" hidden="false" customHeight="false" outlineLevel="0" collapsed="false">
      <c r="A421" s="0" t="n">
        <v>422</v>
      </c>
      <c r="B421" s="0" t="n">
        <f aca="false">Raw_Data!AJ422</f>
        <v>5</v>
      </c>
      <c r="C421" s="0" t="n">
        <f aca="false">Raw_Data!AK422</f>
        <v>3</v>
      </c>
      <c r="D421" s="0" t="n">
        <f aca="false">Raw_Data!AL422</f>
        <v>3</v>
      </c>
      <c r="E421" s="0" t="n">
        <f aca="false">Raw_Data!AM422</f>
        <v>3</v>
      </c>
      <c r="F421" s="0" t="n">
        <f aca="false">Raw_Data!AN422</f>
        <v>4</v>
      </c>
      <c r="G421" s="0" t="n">
        <f aca="false">Raw_Data!AO422</f>
        <v>4</v>
      </c>
      <c r="H421" s="0" t="n">
        <f aca="false">SUM(B421:G421)</f>
        <v>22</v>
      </c>
      <c r="I421" s="0" t="n">
        <f aca="false">H421-B421</f>
        <v>17</v>
      </c>
      <c r="J421" s="0" t="n">
        <f aca="false">H421-C421</f>
        <v>19</v>
      </c>
      <c r="K421" s="0" t="n">
        <f aca="false">H421-D421</f>
        <v>19</v>
      </c>
      <c r="L421" s="0" t="n">
        <f aca="false">H421-E421</f>
        <v>19</v>
      </c>
      <c r="M421" s="0" t="n">
        <f aca="false">H421-F421</f>
        <v>18</v>
      </c>
      <c r="N421" s="0" t="n">
        <f aca="false">H421-G421</f>
        <v>18</v>
      </c>
      <c r="O421" s="0" t="n">
        <f aca="false">B421+D421+F421</f>
        <v>12</v>
      </c>
      <c r="P421" s="0" t="n">
        <f aca="false">C421+E421+G421</f>
        <v>10</v>
      </c>
    </row>
    <row r="422" customFormat="false" ht="15" hidden="false" customHeight="false" outlineLevel="0" collapsed="false">
      <c r="A422" s="0" t="n">
        <v>423</v>
      </c>
      <c r="B422" s="0" t="n">
        <f aca="false">Raw_Data!AJ423</f>
        <v>4</v>
      </c>
      <c r="C422" s="0" t="n">
        <f aca="false">Raw_Data!AK423</f>
        <v>2</v>
      </c>
      <c r="D422" s="0" t="n">
        <f aca="false">Raw_Data!AL423</f>
        <v>4</v>
      </c>
      <c r="E422" s="0" t="n">
        <f aca="false">Raw_Data!AM423</f>
        <v>4</v>
      </c>
      <c r="F422" s="0" t="n">
        <f aca="false">Raw_Data!AN423</f>
        <v>2</v>
      </c>
      <c r="G422" s="0" t="n">
        <f aca="false">Raw_Data!AO423</f>
        <v>3</v>
      </c>
      <c r="H422" s="0" t="n">
        <f aca="false">SUM(B422:G422)</f>
        <v>19</v>
      </c>
      <c r="I422" s="0" t="n">
        <f aca="false">H422-B422</f>
        <v>15</v>
      </c>
      <c r="J422" s="0" t="n">
        <f aca="false">H422-C422</f>
        <v>17</v>
      </c>
      <c r="K422" s="0" t="n">
        <f aca="false">H422-D422</f>
        <v>15</v>
      </c>
      <c r="L422" s="0" t="n">
        <f aca="false">H422-E422</f>
        <v>15</v>
      </c>
      <c r="M422" s="0" t="n">
        <f aca="false">H422-F422</f>
        <v>17</v>
      </c>
      <c r="N422" s="0" t="n">
        <f aca="false">H422-G422</f>
        <v>16</v>
      </c>
      <c r="O422" s="0" t="n">
        <f aca="false">B422+D422+F422</f>
        <v>10</v>
      </c>
      <c r="P422" s="0" t="n">
        <f aca="false">C422+E422+G422</f>
        <v>9</v>
      </c>
    </row>
    <row r="423" customFormat="false" ht="15" hidden="false" customHeight="false" outlineLevel="0" collapsed="false">
      <c r="A423" s="0" t="n">
        <v>424</v>
      </c>
      <c r="B423" s="0" t="n">
        <f aca="false">Raw_Data!AJ424</f>
        <v>3</v>
      </c>
      <c r="C423" s="0" t="n">
        <f aca="false">Raw_Data!AK424</f>
        <v>3</v>
      </c>
      <c r="D423" s="0" t="n">
        <f aca="false">Raw_Data!AL424</f>
        <v>5</v>
      </c>
      <c r="E423" s="0" t="n">
        <f aca="false">Raw_Data!AM424</f>
        <v>4</v>
      </c>
      <c r="F423" s="0" t="n">
        <f aca="false">Raw_Data!AN424</f>
        <v>2</v>
      </c>
      <c r="G423" s="0" t="n">
        <f aca="false">Raw_Data!AO424</f>
        <v>4</v>
      </c>
      <c r="H423" s="0" t="n">
        <f aca="false">SUM(B423:G423)</f>
        <v>21</v>
      </c>
      <c r="I423" s="0" t="n">
        <f aca="false">H423-B423</f>
        <v>18</v>
      </c>
      <c r="J423" s="0" t="n">
        <f aca="false">H423-C423</f>
        <v>18</v>
      </c>
      <c r="K423" s="0" t="n">
        <f aca="false">H423-D423</f>
        <v>16</v>
      </c>
      <c r="L423" s="0" t="n">
        <f aca="false">H423-E423</f>
        <v>17</v>
      </c>
      <c r="M423" s="0" t="n">
        <f aca="false">H423-F423</f>
        <v>19</v>
      </c>
      <c r="N423" s="0" t="n">
        <f aca="false">H423-G423</f>
        <v>17</v>
      </c>
      <c r="O423" s="0" t="n">
        <f aca="false">B423+D423+F423</f>
        <v>10</v>
      </c>
      <c r="P423" s="0" t="n">
        <f aca="false">C423+E423+G423</f>
        <v>11</v>
      </c>
    </row>
    <row r="424" customFormat="false" ht="15" hidden="false" customHeight="false" outlineLevel="0" collapsed="false">
      <c r="A424" s="0" t="n">
        <v>425</v>
      </c>
      <c r="B424" s="0" t="n">
        <f aca="false">Raw_Data!AJ425</f>
        <v>5</v>
      </c>
      <c r="C424" s="0" t="n">
        <f aca="false">Raw_Data!AK425</f>
        <v>3</v>
      </c>
      <c r="D424" s="0" t="n">
        <f aca="false">Raw_Data!AL425</f>
        <v>5</v>
      </c>
      <c r="E424" s="0" t="n">
        <f aca="false">Raw_Data!AM425</f>
        <v>3</v>
      </c>
      <c r="F424" s="0" t="n">
        <f aca="false">Raw_Data!AN425</f>
        <v>4</v>
      </c>
      <c r="G424" s="0" t="n">
        <f aca="false">Raw_Data!AO425</f>
        <v>3</v>
      </c>
      <c r="H424" s="0" t="n">
        <f aca="false">SUM(B424:G424)</f>
        <v>23</v>
      </c>
      <c r="I424" s="0" t="n">
        <f aca="false">H424-B424</f>
        <v>18</v>
      </c>
      <c r="J424" s="0" t="n">
        <f aca="false">H424-C424</f>
        <v>20</v>
      </c>
      <c r="K424" s="0" t="n">
        <f aca="false">H424-D424</f>
        <v>18</v>
      </c>
      <c r="L424" s="0" t="n">
        <f aca="false">H424-E424</f>
        <v>20</v>
      </c>
      <c r="M424" s="0" t="n">
        <f aca="false">H424-F424</f>
        <v>19</v>
      </c>
      <c r="N424" s="0" t="n">
        <f aca="false">H424-G424</f>
        <v>20</v>
      </c>
      <c r="O424" s="0" t="n">
        <f aca="false">B424+D424+F424</f>
        <v>14</v>
      </c>
      <c r="P424" s="0" t="n">
        <f aca="false">C424+E424+G424</f>
        <v>9</v>
      </c>
    </row>
    <row r="425" customFormat="false" ht="15" hidden="false" customHeight="false" outlineLevel="0" collapsed="false">
      <c r="A425" s="0" t="n">
        <v>426</v>
      </c>
      <c r="B425" s="0" t="n">
        <f aca="false">Raw_Data!AJ426</f>
        <v>4</v>
      </c>
      <c r="C425" s="0" t="n">
        <f aca="false">Raw_Data!AK426</f>
        <v>2</v>
      </c>
      <c r="D425" s="0" t="n">
        <f aca="false">Raw_Data!AL426</f>
        <v>5</v>
      </c>
      <c r="E425" s="0" t="n">
        <f aca="false">Raw_Data!AM426</f>
        <v>4</v>
      </c>
      <c r="F425" s="0" t="n">
        <f aca="false">Raw_Data!AN426</f>
        <v>4</v>
      </c>
      <c r="G425" s="0" t="n">
        <f aca="false">Raw_Data!AO426</f>
        <v>2</v>
      </c>
      <c r="H425" s="0" t="n">
        <f aca="false">SUM(B425:G425)</f>
        <v>21</v>
      </c>
      <c r="I425" s="0" t="n">
        <f aca="false">H425-B425</f>
        <v>17</v>
      </c>
      <c r="J425" s="0" t="n">
        <f aca="false">H425-C425</f>
        <v>19</v>
      </c>
      <c r="K425" s="0" t="n">
        <f aca="false">H425-D425</f>
        <v>16</v>
      </c>
      <c r="L425" s="0" t="n">
        <f aca="false">H425-E425</f>
        <v>17</v>
      </c>
      <c r="M425" s="0" t="n">
        <f aca="false">H425-F425</f>
        <v>17</v>
      </c>
      <c r="N425" s="0" t="n">
        <f aca="false">H425-G425</f>
        <v>19</v>
      </c>
      <c r="O425" s="0" t="n">
        <f aca="false">B425+D425+F425</f>
        <v>13</v>
      </c>
      <c r="P425" s="0" t="n">
        <f aca="false">C425+E425+G425</f>
        <v>8</v>
      </c>
    </row>
    <row r="426" customFormat="false" ht="15" hidden="false" customHeight="false" outlineLevel="0" collapsed="false">
      <c r="A426" s="0" t="n">
        <v>427</v>
      </c>
      <c r="B426" s="0" t="n">
        <f aca="false">Raw_Data!AJ427</f>
        <v>3</v>
      </c>
      <c r="C426" s="0" t="n">
        <f aca="false">Raw_Data!AK427</f>
        <v>4</v>
      </c>
      <c r="D426" s="0" t="n">
        <f aca="false">Raw_Data!AL427</f>
        <v>5</v>
      </c>
      <c r="E426" s="0" t="n">
        <f aca="false">Raw_Data!AM427</f>
        <v>4</v>
      </c>
      <c r="F426" s="0" t="n">
        <f aca="false">Raw_Data!AN427</f>
        <v>2</v>
      </c>
      <c r="G426" s="0" t="n">
        <f aca="false">Raw_Data!AO427</f>
        <v>3</v>
      </c>
      <c r="H426" s="0" t="n">
        <f aca="false">SUM(B426:G426)</f>
        <v>21</v>
      </c>
      <c r="I426" s="0" t="n">
        <f aca="false">H426-B426</f>
        <v>18</v>
      </c>
      <c r="J426" s="0" t="n">
        <f aca="false">H426-C426</f>
        <v>17</v>
      </c>
      <c r="K426" s="0" t="n">
        <f aca="false">H426-D426</f>
        <v>16</v>
      </c>
      <c r="L426" s="0" t="n">
        <f aca="false">H426-E426</f>
        <v>17</v>
      </c>
      <c r="M426" s="0" t="n">
        <f aca="false">H426-F426</f>
        <v>19</v>
      </c>
      <c r="N426" s="0" t="n">
        <f aca="false">H426-G426</f>
        <v>18</v>
      </c>
      <c r="O426" s="0" t="n">
        <f aca="false">B426+D426+F426</f>
        <v>10</v>
      </c>
      <c r="P426" s="0" t="n">
        <f aca="false">C426+E426+G426</f>
        <v>11</v>
      </c>
    </row>
    <row r="427" customFormat="false" ht="15" hidden="false" customHeight="false" outlineLevel="0" collapsed="false">
      <c r="A427" s="0" t="n">
        <v>428</v>
      </c>
      <c r="B427" s="0" t="n">
        <f aca="false">Raw_Data!AJ428</f>
        <v>4</v>
      </c>
      <c r="C427" s="0" t="n">
        <f aca="false">Raw_Data!AK428</f>
        <v>3</v>
      </c>
      <c r="D427" s="0" t="n">
        <f aca="false">Raw_Data!AL428</f>
        <v>4</v>
      </c>
      <c r="E427" s="0" t="n">
        <f aca="false">Raw_Data!AM428</f>
        <v>4</v>
      </c>
      <c r="F427" s="0" t="n">
        <f aca="false">Raw_Data!AN428</f>
        <v>2</v>
      </c>
      <c r="G427" s="0" t="n">
        <f aca="false">Raw_Data!AO428</f>
        <v>3</v>
      </c>
      <c r="H427" s="0" t="n">
        <f aca="false">SUM(B427:G427)</f>
        <v>20</v>
      </c>
      <c r="I427" s="0" t="n">
        <f aca="false">H427-B427</f>
        <v>16</v>
      </c>
      <c r="J427" s="0" t="n">
        <f aca="false">H427-C427</f>
        <v>17</v>
      </c>
      <c r="K427" s="0" t="n">
        <f aca="false">H427-D427</f>
        <v>16</v>
      </c>
      <c r="L427" s="0" t="n">
        <f aca="false">H427-E427</f>
        <v>16</v>
      </c>
      <c r="M427" s="0" t="n">
        <f aca="false">H427-F427</f>
        <v>18</v>
      </c>
      <c r="N427" s="0" t="n">
        <f aca="false">H427-G427</f>
        <v>17</v>
      </c>
      <c r="O427" s="0" t="n">
        <f aca="false">B427+D427+F427</f>
        <v>10</v>
      </c>
      <c r="P427" s="0" t="n">
        <f aca="false">C427+E427+G427</f>
        <v>10</v>
      </c>
    </row>
    <row r="428" customFormat="false" ht="15" hidden="false" customHeight="false" outlineLevel="0" collapsed="false">
      <c r="A428" s="0" t="n">
        <v>429</v>
      </c>
      <c r="B428" s="0" t="n">
        <f aca="false">Raw_Data!AJ429</f>
        <v>5</v>
      </c>
      <c r="C428" s="0" t="n">
        <f aca="false">Raw_Data!AK429</f>
        <v>3</v>
      </c>
      <c r="D428" s="0" t="n">
        <f aca="false">Raw_Data!AL429</f>
        <v>5</v>
      </c>
      <c r="E428" s="0" t="n">
        <f aca="false">Raw_Data!AM429</f>
        <v>4</v>
      </c>
      <c r="F428" s="0" t="n">
        <f aca="false">Raw_Data!AN429</f>
        <v>3</v>
      </c>
      <c r="G428" s="0" t="n">
        <f aca="false">Raw_Data!AO429</f>
        <v>4</v>
      </c>
      <c r="H428" s="0" t="n">
        <f aca="false">SUM(B428:G428)</f>
        <v>24</v>
      </c>
      <c r="I428" s="0" t="n">
        <f aca="false">H428-B428</f>
        <v>19</v>
      </c>
      <c r="J428" s="0" t="n">
        <f aca="false">H428-C428</f>
        <v>21</v>
      </c>
      <c r="K428" s="0" t="n">
        <f aca="false">H428-D428</f>
        <v>19</v>
      </c>
      <c r="L428" s="0" t="n">
        <f aca="false">H428-E428</f>
        <v>20</v>
      </c>
      <c r="M428" s="0" t="n">
        <f aca="false">H428-F428</f>
        <v>21</v>
      </c>
      <c r="N428" s="0" t="n">
        <f aca="false">H428-G428</f>
        <v>20</v>
      </c>
      <c r="O428" s="0" t="n">
        <f aca="false">B428+D428+F428</f>
        <v>13</v>
      </c>
      <c r="P428" s="0" t="n">
        <f aca="false">C428+E428+G428</f>
        <v>11</v>
      </c>
    </row>
    <row r="429" customFormat="false" ht="15" hidden="false" customHeight="false" outlineLevel="0" collapsed="false">
      <c r="A429" s="0" t="n">
        <v>430</v>
      </c>
      <c r="B429" s="0" t="n">
        <f aca="false">Raw_Data!AJ430</f>
        <v>2</v>
      </c>
      <c r="C429" s="0" t="n">
        <f aca="false">Raw_Data!AK430</f>
        <v>2</v>
      </c>
      <c r="D429" s="0" t="n">
        <f aca="false">Raw_Data!AL430</f>
        <v>4</v>
      </c>
      <c r="E429" s="0" t="n">
        <f aca="false">Raw_Data!AM430</f>
        <v>4</v>
      </c>
      <c r="F429" s="0" t="n">
        <f aca="false">Raw_Data!AN430</f>
        <v>3</v>
      </c>
      <c r="G429" s="0" t="n">
        <f aca="false">Raw_Data!AO430</f>
        <v>3</v>
      </c>
      <c r="H429" s="0" t="n">
        <f aca="false">SUM(B429:G429)</f>
        <v>18</v>
      </c>
      <c r="I429" s="0" t="n">
        <f aca="false">H429-B429</f>
        <v>16</v>
      </c>
      <c r="J429" s="0" t="n">
        <f aca="false">H429-C429</f>
        <v>16</v>
      </c>
      <c r="K429" s="0" t="n">
        <f aca="false">H429-D429</f>
        <v>14</v>
      </c>
      <c r="L429" s="0" t="n">
        <f aca="false">H429-E429</f>
        <v>14</v>
      </c>
      <c r="M429" s="0" t="n">
        <f aca="false">H429-F429</f>
        <v>15</v>
      </c>
      <c r="N429" s="0" t="n">
        <f aca="false">H429-G429</f>
        <v>15</v>
      </c>
      <c r="O429" s="0" t="n">
        <f aca="false">B429+D429+F429</f>
        <v>9</v>
      </c>
      <c r="P429" s="0" t="n">
        <f aca="false">C429+E429+G429</f>
        <v>9</v>
      </c>
    </row>
    <row r="430" customFormat="false" ht="15" hidden="false" customHeight="false" outlineLevel="0" collapsed="false">
      <c r="A430" s="0" t="n">
        <v>431</v>
      </c>
      <c r="B430" s="0" t="n">
        <f aca="false">Raw_Data!AJ431</f>
        <v>2</v>
      </c>
      <c r="C430" s="0" t="n">
        <f aca="false">Raw_Data!AK431</f>
        <v>2</v>
      </c>
      <c r="D430" s="0" t="n">
        <f aca="false">Raw_Data!AL431</f>
        <v>4</v>
      </c>
      <c r="E430" s="0" t="n">
        <f aca="false">Raw_Data!AM431</f>
        <v>4</v>
      </c>
      <c r="F430" s="0" t="n">
        <f aca="false">Raw_Data!AN431</f>
        <v>3</v>
      </c>
      <c r="G430" s="0" t="n">
        <f aca="false">Raw_Data!AO431</f>
        <v>2</v>
      </c>
      <c r="H430" s="0" t="n">
        <f aca="false">SUM(B430:G430)</f>
        <v>17</v>
      </c>
      <c r="I430" s="0" t="n">
        <f aca="false">H430-B430</f>
        <v>15</v>
      </c>
      <c r="J430" s="0" t="n">
        <f aca="false">H430-C430</f>
        <v>15</v>
      </c>
      <c r="K430" s="0" t="n">
        <f aca="false">H430-D430</f>
        <v>13</v>
      </c>
      <c r="L430" s="0" t="n">
        <f aca="false">H430-E430</f>
        <v>13</v>
      </c>
      <c r="M430" s="0" t="n">
        <f aca="false">H430-F430</f>
        <v>14</v>
      </c>
      <c r="N430" s="0" t="n">
        <f aca="false">H430-G430</f>
        <v>15</v>
      </c>
      <c r="O430" s="0" t="n">
        <f aca="false">B430+D430+F430</f>
        <v>9</v>
      </c>
      <c r="P430" s="0" t="n">
        <f aca="false">C430+E430+G430</f>
        <v>8</v>
      </c>
    </row>
    <row r="431" customFormat="false" ht="15" hidden="false" customHeight="false" outlineLevel="0" collapsed="false">
      <c r="A431" s="0" t="n">
        <v>432</v>
      </c>
      <c r="B431" s="0" t="n">
        <f aca="false">Raw_Data!AJ432</f>
        <v>3</v>
      </c>
      <c r="C431" s="0" t="n">
        <f aca="false">Raw_Data!AK432</f>
        <v>3</v>
      </c>
      <c r="D431" s="0" t="n">
        <f aca="false">Raw_Data!AL432</f>
        <v>5</v>
      </c>
      <c r="E431" s="0" t="n">
        <f aca="false">Raw_Data!AM432</f>
        <v>2</v>
      </c>
      <c r="F431" s="0" t="n">
        <f aca="false">Raw_Data!AN432</f>
        <v>1</v>
      </c>
      <c r="G431" s="0" t="n">
        <f aca="false">Raw_Data!AO432</f>
        <v>4</v>
      </c>
      <c r="H431" s="0" t="n">
        <f aca="false">SUM(B431:G431)</f>
        <v>18</v>
      </c>
      <c r="I431" s="0" t="n">
        <f aca="false">H431-B431</f>
        <v>15</v>
      </c>
      <c r="J431" s="0" t="n">
        <f aca="false">H431-C431</f>
        <v>15</v>
      </c>
      <c r="K431" s="0" t="n">
        <f aca="false">H431-D431</f>
        <v>13</v>
      </c>
      <c r="L431" s="0" t="n">
        <f aca="false">H431-E431</f>
        <v>16</v>
      </c>
      <c r="M431" s="0" t="n">
        <f aca="false">H431-F431</f>
        <v>17</v>
      </c>
      <c r="N431" s="0" t="n">
        <f aca="false">H431-G431</f>
        <v>14</v>
      </c>
      <c r="O431" s="0" t="n">
        <f aca="false">B431+D431+F431</f>
        <v>9</v>
      </c>
      <c r="P431" s="0" t="n">
        <f aca="false">C431+E431+G431</f>
        <v>9</v>
      </c>
    </row>
    <row r="432" customFormat="false" ht="15" hidden="false" customHeight="false" outlineLevel="0" collapsed="false">
      <c r="A432" s="0" t="n">
        <v>433</v>
      </c>
      <c r="B432" s="0" t="n">
        <f aca="false">Raw_Data!AJ433</f>
        <v>5</v>
      </c>
      <c r="C432" s="0" t="n">
        <f aca="false">Raw_Data!AK433</f>
        <v>5</v>
      </c>
      <c r="D432" s="0" t="n">
        <f aca="false">Raw_Data!AL433</f>
        <v>5</v>
      </c>
      <c r="E432" s="0" t="n">
        <f aca="false">Raw_Data!AM433</f>
        <v>4</v>
      </c>
      <c r="F432" s="0" t="n">
        <f aca="false">Raw_Data!AN433</f>
        <v>4</v>
      </c>
      <c r="G432" s="0" t="n">
        <f aca="false">Raw_Data!AO433</f>
        <v>4</v>
      </c>
      <c r="H432" s="0" t="n">
        <f aca="false">SUM(B432:G432)</f>
        <v>27</v>
      </c>
      <c r="I432" s="0" t="n">
        <f aca="false">H432-B432</f>
        <v>22</v>
      </c>
      <c r="J432" s="0" t="n">
        <f aca="false">H432-C432</f>
        <v>22</v>
      </c>
      <c r="K432" s="0" t="n">
        <f aca="false">H432-D432</f>
        <v>22</v>
      </c>
      <c r="L432" s="0" t="n">
        <f aca="false">H432-E432</f>
        <v>23</v>
      </c>
      <c r="M432" s="0" t="n">
        <f aca="false">H432-F432</f>
        <v>23</v>
      </c>
      <c r="N432" s="0" t="n">
        <f aca="false">H432-G432</f>
        <v>23</v>
      </c>
      <c r="O432" s="0" t="n">
        <f aca="false">B432+D432+F432</f>
        <v>14</v>
      </c>
      <c r="P432" s="0" t="n">
        <f aca="false">C432+E432+G432</f>
        <v>13</v>
      </c>
    </row>
    <row r="433" customFormat="false" ht="15" hidden="false" customHeight="false" outlineLevel="0" collapsed="false">
      <c r="A433" s="0" t="n">
        <v>434</v>
      </c>
      <c r="B433" s="0" t="n">
        <f aca="false">Raw_Data!AJ434</f>
        <v>4</v>
      </c>
      <c r="C433" s="0" t="n">
        <f aca="false">Raw_Data!AK434</f>
        <v>2</v>
      </c>
      <c r="D433" s="0" t="n">
        <f aca="false">Raw_Data!AL434</f>
        <v>2</v>
      </c>
      <c r="E433" s="0" t="n">
        <f aca="false">Raw_Data!AM434</f>
        <v>2</v>
      </c>
      <c r="F433" s="0" t="n">
        <f aca="false">Raw_Data!AN434</f>
        <v>4</v>
      </c>
      <c r="G433" s="0" t="n">
        <f aca="false">Raw_Data!AO434</f>
        <v>3</v>
      </c>
      <c r="H433" s="0" t="n">
        <f aca="false">SUM(B433:G433)</f>
        <v>17</v>
      </c>
      <c r="I433" s="0" t="n">
        <f aca="false">H433-B433</f>
        <v>13</v>
      </c>
      <c r="J433" s="0" t="n">
        <f aca="false">H433-C433</f>
        <v>15</v>
      </c>
      <c r="K433" s="0" t="n">
        <f aca="false">H433-D433</f>
        <v>15</v>
      </c>
      <c r="L433" s="0" t="n">
        <f aca="false">H433-E433</f>
        <v>15</v>
      </c>
      <c r="M433" s="0" t="n">
        <f aca="false">H433-F433</f>
        <v>13</v>
      </c>
      <c r="N433" s="0" t="n">
        <f aca="false">H433-G433</f>
        <v>14</v>
      </c>
      <c r="O433" s="0" t="n">
        <f aca="false">B433+D433+F433</f>
        <v>10</v>
      </c>
      <c r="P433" s="0" t="n">
        <f aca="false">C433+E433+G433</f>
        <v>7</v>
      </c>
    </row>
    <row r="434" customFormat="false" ht="15" hidden="false" customHeight="false" outlineLevel="0" collapsed="false">
      <c r="A434" s="0" t="n">
        <v>435</v>
      </c>
      <c r="B434" s="0" t="n">
        <f aca="false">Raw_Data!AJ435</f>
        <v>5</v>
      </c>
      <c r="C434" s="0" t="n">
        <f aca="false">Raw_Data!AK435</f>
        <v>2</v>
      </c>
      <c r="D434" s="0" t="n">
        <f aca="false">Raw_Data!AL435</f>
        <v>4</v>
      </c>
      <c r="E434" s="0" t="n">
        <f aca="false">Raw_Data!AM435</f>
        <v>4</v>
      </c>
      <c r="F434" s="0" t="n">
        <f aca="false">Raw_Data!AN435</f>
        <v>4</v>
      </c>
      <c r="G434" s="0" t="n">
        <f aca="false">Raw_Data!AO435</f>
        <v>4</v>
      </c>
      <c r="H434" s="0" t="n">
        <f aca="false">SUM(B434:G434)</f>
        <v>23</v>
      </c>
      <c r="I434" s="0" t="n">
        <f aca="false">H434-B434</f>
        <v>18</v>
      </c>
      <c r="J434" s="0" t="n">
        <f aca="false">H434-C434</f>
        <v>21</v>
      </c>
      <c r="K434" s="0" t="n">
        <f aca="false">H434-D434</f>
        <v>19</v>
      </c>
      <c r="L434" s="0" t="n">
        <f aca="false">H434-E434</f>
        <v>19</v>
      </c>
      <c r="M434" s="0" t="n">
        <f aca="false">H434-F434</f>
        <v>19</v>
      </c>
      <c r="N434" s="0" t="n">
        <f aca="false">H434-G434</f>
        <v>19</v>
      </c>
      <c r="O434" s="0" t="n">
        <f aca="false">B434+D434+F434</f>
        <v>13</v>
      </c>
      <c r="P434" s="0" t="n">
        <f aca="false">C434+E434+G434</f>
        <v>10</v>
      </c>
    </row>
    <row r="435" customFormat="false" ht="15" hidden="false" customHeight="false" outlineLevel="0" collapsed="false">
      <c r="A435" s="0" t="n">
        <v>436</v>
      </c>
      <c r="B435" s="0" t="n">
        <f aca="false">Raw_Data!AJ436</f>
        <v>1</v>
      </c>
      <c r="C435" s="0" t="n">
        <f aca="false">Raw_Data!AK436</f>
        <v>4</v>
      </c>
      <c r="D435" s="0" t="n">
        <f aca="false">Raw_Data!AL436</f>
        <v>2</v>
      </c>
      <c r="E435" s="0" t="n">
        <f aca="false">Raw_Data!AM436</f>
        <v>4</v>
      </c>
      <c r="F435" s="0" t="n">
        <f aca="false">Raw_Data!AN436</f>
        <v>1</v>
      </c>
      <c r="G435" s="0" t="n">
        <f aca="false">Raw_Data!AO436</f>
        <v>2</v>
      </c>
      <c r="H435" s="0" t="n">
        <f aca="false">SUM(B435:G435)</f>
        <v>14</v>
      </c>
      <c r="I435" s="0" t="n">
        <f aca="false">H435-B435</f>
        <v>13</v>
      </c>
      <c r="J435" s="0" t="n">
        <f aca="false">H435-C435</f>
        <v>10</v>
      </c>
      <c r="K435" s="0" t="n">
        <f aca="false">H435-D435</f>
        <v>12</v>
      </c>
      <c r="L435" s="0" t="n">
        <f aca="false">H435-E435</f>
        <v>10</v>
      </c>
      <c r="M435" s="0" t="n">
        <f aca="false">H435-F435</f>
        <v>13</v>
      </c>
      <c r="N435" s="0" t="n">
        <f aca="false">H435-G435</f>
        <v>12</v>
      </c>
      <c r="O435" s="0" t="n">
        <f aca="false">B435+D435+F435</f>
        <v>4</v>
      </c>
      <c r="P435" s="0" t="n">
        <f aca="false">C435+E435+G435</f>
        <v>10</v>
      </c>
    </row>
    <row r="436" customFormat="false" ht="15" hidden="false" customHeight="false" outlineLevel="0" collapsed="false">
      <c r="A436" s="0" t="n">
        <v>437</v>
      </c>
      <c r="B436" s="0" t="n">
        <f aca="false">Raw_Data!AJ437</f>
        <v>3</v>
      </c>
      <c r="C436" s="0" t="n">
        <f aca="false">Raw_Data!AK437</f>
        <v>3</v>
      </c>
      <c r="D436" s="0" t="n">
        <f aca="false">Raw_Data!AL437</f>
        <v>4</v>
      </c>
      <c r="E436" s="0" t="n">
        <f aca="false">Raw_Data!AM437</f>
        <v>4</v>
      </c>
      <c r="F436" s="0" t="n">
        <f aca="false">Raw_Data!AN437</f>
        <v>4</v>
      </c>
      <c r="G436" s="0" t="n">
        <f aca="false">Raw_Data!AO437</f>
        <v>3</v>
      </c>
      <c r="H436" s="0" t="n">
        <f aca="false">SUM(B436:G436)</f>
        <v>21</v>
      </c>
      <c r="I436" s="0" t="n">
        <f aca="false">H436-B436</f>
        <v>18</v>
      </c>
      <c r="J436" s="0" t="n">
        <f aca="false">H436-C436</f>
        <v>18</v>
      </c>
      <c r="K436" s="0" t="n">
        <f aca="false">H436-D436</f>
        <v>17</v>
      </c>
      <c r="L436" s="0" t="n">
        <f aca="false">H436-E436</f>
        <v>17</v>
      </c>
      <c r="M436" s="0" t="n">
        <f aca="false">H436-F436</f>
        <v>17</v>
      </c>
      <c r="N436" s="0" t="n">
        <f aca="false">H436-G436</f>
        <v>18</v>
      </c>
      <c r="O436" s="0" t="n">
        <f aca="false">B436+D436+F436</f>
        <v>11</v>
      </c>
      <c r="P436" s="0" t="n">
        <f aca="false">C436+E436+G436</f>
        <v>10</v>
      </c>
    </row>
    <row r="437" customFormat="false" ht="15" hidden="false" customHeight="false" outlineLevel="0" collapsed="false">
      <c r="A437" s="0" t="n">
        <v>438</v>
      </c>
      <c r="B437" s="0" t="n">
        <f aca="false">Raw_Data!AJ438</f>
        <v>3</v>
      </c>
      <c r="C437" s="0" t="n">
        <f aca="false">Raw_Data!AK438</f>
        <v>4</v>
      </c>
      <c r="D437" s="0" t="n">
        <f aca="false">Raw_Data!AL438</f>
        <v>3</v>
      </c>
      <c r="E437" s="0" t="n">
        <f aca="false">Raw_Data!AM438</f>
        <v>4</v>
      </c>
      <c r="F437" s="0" t="n">
        <f aca="false">Raw_Data!AN438</f>
        <v>2</v>
      </c>
      <c r="G437" s="0" t="n">
        <f aca="false">Raw_Data!AO438</f>
        <v>4</v>
      </c>
      <c r="H437" s="0" t="n">
        <f aca="false">SUM(B437:G437)</f>
        <v>20</v>
      </c>
      <c r="I437" s="0" t="n">
        <f aca="false">H437-B437</f>
        <v>17</v>
      </c>
      <c r="J437" s="0" t="n">
        <f aca="false">H437-C437</f>
        <v>16</v>
      </c>
      <c r="K437" s="0" t="n">
        <f aca="false">H437-D437</f>
        <v>17</v>
      </c>
      <c r="L437" s="0" t="n">
        <f aca="false">H437-E437</f>
        <v>16</v>
      </c>
      <c r="M437" s="0" t="n">
        <f aca="false">H437-F437</f>
        <v>18</v>
      </c>
      <c r="N437" s="0" t="n">
        <f aca="false">H437-G437</f>
        <v>16</v>
      </c>
      <c r="O437" s="0" t="n">
        <f aca="false">B437+D437+F437</f>
        <v>8</v>
      </c>
      <c r="P437" s="0" t="n">
        <f aca="false">C437+E437+G437</f>
        <v>12</v>
      </c>
    </row>
    <row r="438" customFormat="false" ht="15" hidden="false" customHeight="false" outlineLevel="0" collapsed="false">
      <c r="A438" s="0" t="n">
        <v>439</v>
      </c>
      <c r="B438" s="0" t="n">
        <f aca="false">Raw_Data!AJ439</f>
        <v>3</v>
      </c>
      <c r="C438" s="0" t="n">
        <f aca="false">Raw_Data!AK439</f>
        <v>4</v>
      </c>
      <c r="D438" s="0" t="n">
        <f aca="false">Raw_Data!AL439</f>
        <v>4</v>
      </c>
      <c r="E438" s="0" t="n">
        <f aca="false">Raw_Data!AM439</f>
        <v>3</v>
      </c>
      <c r="F438" s="0" t="n">
        <f aca="false">Raw_Data!AN439</f>
        <v>3</v>
      </c>
      <c r="G438" s="0" t="n">
        <f aca="false">Raw_Data!AO439</f>
        <v>4</v>
      </c>
      <c r="H438" s="0" t="n">
        <f aca="false">SUM(B438:G438)</f>
        <v>21</v>
      </c>
      <c r="I438" s="0" t="n">
        <f aca="false">H438-B438</f>
        <v>18</v>
      </c>
      <c r="J438" s="0" t="n">
        <f aca="false">H438-C438</f>
        <v>17</v>
      </c>
      <c r="K438" s="0" t="n">
        <f aca="false">H438-D438</f>
        <v>17</v>
      </c>
      <c r="L438" s="0" t="n">
        <f aca="false">H438-E438</f>
        <v>18</v>
      </c>
      <c r="M438" s="0" t="n">
        <f aca="false">H438-F438</f>
        <v>18</v>
      </c>
      <c r="N438" s="0" t="n">
        <f aca="false">H438-G438</f>
        <v>17</v>
      </c>
      <c r="O438" s="0" t="n">
        <f aca="false">B438+D438+F438</f>
        <v>10</v>
      </c>
      <c r="P438" s="0" t="n">
        <f aca="false">C438+E438+G438</f>
        <v>11</v>
      </c>
    </row>
    <row r="439" customFormat="false" ht="15" hidden="false" customHeight="false" outlineLevel="0" collapsed="false">
      <c r="A439" s="0" t="n">
        <v>440</v>
      </c>
      <c r="B439" s="0" t="n">
        <f aca="false">Raw_Data!AJ440</f>
        <v>5</v>
      </c>
      <c r="C439" s="0" t="n">
        <f aca="false">Raw_Data!AK440</f>
        <v>5</v>
      </c>
      <c r="D439" s="0" t="n">
        <f aca="false">Raw_Data!AL440</f>
        <v>4</v>
      </c>
      <c r="E439" s="0" t="n">
        <f aca="false">Raw_Data!AM440</f>
        <v>4</v>
      </c>
      <c r="F439" s="0" t="n">
        <f aca="false">Raw_Data!AN440</f>
        <v>1</v>
      </c>
      <c r="G439" s="0" t="n">
        <f aca="false">Raw_Data!AO440</f>
        <v>3</v>
      </c>
      <c r="H439" s="0" t="n">
        <f aca="false">SUM(B439:G439)</f>
        <v>22</v>
      </c>
      <c r="I439" s="0" t="n">
        <f aca="false">H439-B439</f>
        <v>17</v>
      </c>
      <c r="J439" s="0" t="n">
        <f aca="false">H439-C439</f>
        <v>17</v>
      </c>
      <c r="K439" s="0" t="n">
        <f aca="false">H439-D439</f>
        <v>18</v>
      </c>
      <c r="L439" s="0" t="n">
        <f aca="false">H439-E439</f>
        <v>18</v>
      </c>
      <c r="M439" s="0" t="n">
        <f aca="false">H439-F439</f>
        <v>21</v>
      </c>
      <c r="N439" s="0" t="n">
        <f aca="false">H439-G439</f>
        <v>19</v>
      </c>
      <c r="O439" s="0" t="n">
        <f aca="false">B439+D439+F439</f>
        <v>10</v>
      </c>
      <c r="P439" s="0" t="n">
        <f aca="false">C439+E439+G439</f>
        <v>12</v>
      </c>
    </row>
    <row r="440" customFormat="false" ht="15" hidden="false" customHeight="false" outlineLevel="0" collapsed="false">
      <c r="A440" s="0" t="n">
        <v>441</v>
      </c>
      <c r="B440" s="0" t="n">
        <f aca="false">Raw_Data!AJ441</f>
        <v>4</v>
      </c>
      <c r="C440" s="0" t="n">
        <f aca="false">Raw_Data!AK441</f>
        <v>1</v>
      </c>
      <c r="D440" s="0" t="n">
        <f aca="false">Raw_Data!AL441</f>
        <v>5</v>
      </c>
      <c r="E440" s="0" t="n">
        <f aca="false">Raw_Data!AM441</f>
        <v>3</v>
      </c>
      <c r="F440" s="0" t="n">
        <f aca="false">Raw_Data!AN441</f>
        <v>2</v>
      </c>
      <c r="G440" s="0" t="n">
        <f aca="false">Raw_Data!AO441</f>
        <v>2</v>
      </c>
      <c r="H440" s="0" t="n">
        <f aca="false">SUM(B440:G440)</f>
        <v>17</v>
      </c>
      <c r="I440" s="0" t="n">
        <f aca="false">H440-B440</f>
        <v>13</v>
      </c>
      <c r="J440" s="0" t="n">
        <f aca="false">H440-C440</f>
        <v>16</v>
      </c>
      <c r="K440" s="0" t="n">
        <f aca="false">H440-D440</f>
        <v>12</v>
      </c>
      <c r="L440" s="0" t="n">
        <f aca="false">H440-E440</f>
        <v>14</v>
      </c>
      <c r="M440" s="0" t="n">
        <f aca="false">H440-F440</f>
        <v>15</v>
      </c>
      <c r="N440" s="0" t="n">
        <f aca="false">H440-G440</f>
        <v>15</v>
      </c>
      <c r="O440" s="0" t="n">
        <f aca="false">B440+D440+F440</f>
        <v>11</v>
      </c>
      <c r="P440" s="0" t="n">
        <f aca="false">C440+E440+G440</f>
        <v>6</v>
      </c>
    </row>
    <row r="441" customFormat="false" ht="15" hidden="false" customHeight="false" outlineLevel="0" collapsed="false">
      <c r="A441" s="0" t="n">
        <v>442</v>
      </c>
      <c r="B441" s="0" t="n">
        <f aca="false">Raw_Data!AJ442</f>
        <v>2</v>
      </c>
      <c r="C441" s="0" t="n">
        <f aca="false">Raw_Data!AK442</f>
        <v>2</v>
      </c>
      <c r="D441" s="0" t="n">
        <f aca="false">Raw_Data!AL442</f>
        <v>4</v>
      </c>
      <c r="E441" s="0" t="n">
        <f aca="false">Raw_Data!AM442</f>
        <v>2</v>
      </c>
      <c r="F441" s="0" t="n">
        <f aca="false">Raw_Data!AN442</f>
        <v>2</v>
      </c>
      <c r="G441" s="0" t="n">
        <f aca="false">Raw_Data!AO442</f>
        <v>1</v>
      </c>
      <c r="H441" s="0" t="n">
        <f aca="false">SUM(B441:G441)</f>
        <v>13</v>
      </c>
      <c r="I441" s="0" t="n">
        <f aca="false">H441-B441</f>
        <v>11</v>
      </c>
      <c r="J441" s="0" t="n">
        <f aca="false">H441-C441</f>
        <v>11</v>
      </c>
      <c r="K441" s="0" t="n">
        <f aca="false">H441-D441</f>
        <v>9</v>
      </c>
      <c r="L441" s="0" t="n">
        <f aca="false">H441-E441</f>
        <v>11</v>
      </c>
      <c r="M441" s="0" t="n">
        <f aca="false">H441-F441</f>
        <v>11</v>
      </c>
      <c r="N441" s="0" t="n">
        <f aca="false">H441-G441</f>
        <v>12</v>
      </c>
      <c r="O441" s="0" t="n">
        <f aca="false">B441+D441+F441</f>
        <v>8</v>
      </c>
      <c r="P441" s="0" t="n">
        <f aca="false">C441+E441+G441</f>
        <v>5</v>
      </c>
    </row>
    <row r="442" customFormat="false" ht="15" hidden="false" customHeight="false" outlineLevel="0" collapsed="false">
      <c r="A442" s="0" t="n">
        <v>443</v>
      </c>
      <c r="B442" s="0" t="n">
        <f aca="false">Raw_Data!AJ443</f>
        <v>4</v>
      </c>
      <c r="C442" s="0" t="n">
        <f aca="false">Raw_Data!AK443</f>
        <v>3</v>
      </c>
      <c r="D442" s="0" t="n">
        <f aca="false">Raw_Data!AL443</f>
        <v>4</v>
      </c>
      <c r="E442" s="0" t="n">
        <f aca="false">Raw_Data!AM443</f>
        <v>3</v>
      </c>
      <c r="F442" s="0" t="n">
        <f aca="false">Raw_Data!AN443</f>
        <v>3</v>
      </c>
      <c r="G442" s="0" t="n">
        <f aca="false">Raw_Data!AO443</f>
        <v>4</v>
      </c>
      <c r="H442" s="0" t="n">
        <f aca="false">SUM(B442:G442)</f>
        <v>21</v>
      </c>
      <c r="I442" s="0" t="n">
        <f aca="false">H442-B442</f>
        <v>17</v>
      </c>
      <c r="J442" s="0" t="n">
        <f aca="false">H442-C442</f>
        <v>18</v>
      </c>
      <c r="K442" s="0" t="n">
        <f aca="false">H442-D442</f>
        <v>17</v>
      </c>
      <c r="L442" s="0" t="n">
        <f aca="false">H442-E442</f>
        <v>18</v>
      </c>
      <c r="M442" s="0" t="n">
        <f aca="false">H442-F442</f>
        <v>18</v>
      </c>
      <c r="N442" s="0" t="n">
        <f aca="false">H442-G442</f>
        <v>17</v>
      </c>
      <c r="O442" s="0" t="n">
        <f aca="false">B442+D442+F442</f>
        <v>11</v>
      </c>
      <c r="P442" s="0" t="n">
        <f aca="false">C442+E442+G442</f>
        <v>10</v>
      </c>
    </row>
    <row r="443" customFormat="false" ht="15" hidden="false" customHeight="false" outlineLevel="0" collapsed="false">
      <c r="A443" s="0" t="n">
        <v>444</v>
      </c>
      <c r="B443" s="0" t="n">
        <f aca="false">Raw_Data!AJ444</f>
        <v>4</v>
      </c>
      <c r="C443" s="0" t="n">
        <f aca="false">Raw_Data!AK444</f>
        <v>2</v>
      </c>
      <c r="D443" s="0" t="n">
        <f aca="false">Raw_Data!AL444</f>
        <v>3</v>
      </c>
      <c r="E443" s="0" t="n">
        <f aca="false">Raw_Data!AM444</f>
        <v>3</v>
      </c>
      <c r="F443" s="0" t="n">
        <f aca="false">Raw_Data!AN444</f>
        <v>3</v>
      </c>
      <c r="G443" s="0" t="n">
        <f aca="false">Raw_Data!AO444</f>
        <v>3</v>
      </c>
      <c r="H443" s="0" t="n">
        <f aca="false">SUM(B443:G443)</f>
        <v>18</v>
      </c>
      <c r="I443" s="0" t="n">
        <f aca="false">H443-B443</f>
        <v>14</v>
      </c>
      <c r="J443" s="0" t="n">
        <f aca="false">H443-C443</f>
        <v>16</v>
      </c>
      <c r="K443" s="0" t="n">
        <f aca="false">H443-D443</f>
        <v>15</v>
      </c>
      <c r="L443" s="0" t="n">
        <f aca="false">H443-E443</f>
        <v>15</v>
      </c>
      <c r="M443" s="0" t="n">
        <f aca="false">H443-F443</f>
        <v>15</v>
      </c>
      <c r="N443" s="0" t="n">
        <f aca="false">H443-G443</f>
        <v>15</v>
      </c>
      <c r="O443" s="0" t="n">
        <f aca="false">B443+D443+F443</f>
        <v>10</v>
      </c>
      <c r="P443" s="0" t="n">
        <f aca="false">C443+E443+G443</f>
        <v>8</v>
      </c>
    </row>
    <row r="444" customFormat="false" ht="15" hidden="false" customHeight="false" outlineLevel="0" collapsed="false">
      <c r="A444" s="0" t="n">
        <v>445</v>
      </c>
      <c r="B444" s="0" t="n">
        <f aca="false">Raw_Data!AJ445</f>
        <v>4</v>
      </c>
      <c r="C444" s="0" t="n">
        <f aca="false">Raw_Data!AK445</f>
        <v>4</v>
      </c>
      <c r="D444" s="0" t="n">
        <f aca="false">Raw_Data!AL445</f>
        <v>5</v>
      </c>
      <c r="E444" s="0" t="n">
        <f aca="false">Raw_Data!AM445</f>
        <v>3</v>
      </c>
      <c r="F444" s="0" t="n">
        <f aca="false">Raw_Data!AN445</f>
        <v>3</v>
      </c>
      <c r="G444" s="0" t="n">
        <f aca="false">Raw_Data!AO445</f>
        <v>4</v>
      </c>
      <c r="H444" s="0" t="n">
        <f aca="false">SUM(B444:G444)</f>
        <v>23</v>
      </c>
      <c r="I444" s="0" t="n">
        <f aca="false">H444-B444</f>
        <v>19</v>
      </c>
      <c r="J444" s="0" t="n">
        <f aca="false">H444-C444</f>
        <v>19</v>
      </c>
      <c r="K444" s="0" t="n">
        <f aca="false">H444-D444</f>
        <v>18</v>
      </c>
      <c r="L444" s="0" t="n">
        <f aca="false">H444-E444</f>
        <v>20</v>
      </c>
      <c r="M444" s="0" t="n">
        <f aca="false">H444-F444</f>
        <v>20</v>
      </c>
      <c r="N444" s="0" t="n">
        <f aca="false">H444-G444</f>
        <v>19</v>
      </c>
      <c r="O444" s="0" t="n">
        <f aca="false">B444+D444+F444</f>
        <v>12</v>
      </c>
      <c r="P444" s="0" t="n">
        <f aca="false">C444+E444+G444</f>
        <v>11</v>
      </c>
    </row>
    <row r="445" customFormat="false" ht="15" hidden="false" customHeight="false" outlineLevel="0" collapsed="false">
      <c r="A445" s="0" t="n">
        <v>446</v>
      </c>
      <c r="B445" s="0" t="n">
        <f aca="false">Raw_Data!AJ446</f>
        <v>5</v>
      </c>
      <c r="C445" s="0" t="n">
        <f aca="false">Raw_Data!AK446</f>
        <v>1</v>
      </c>
      <c r="D445" s="0" t="n">
        <f aca="false">Raw_Data!AL446</f>
        <v>5</v>
      </c>
      <c r="E445" s="0" t="n">
        <f aca="false">Raw_Data!AM446</f>
        <v>4</v>
      </c>
      <c r="F445" s="0" t="n">
        <f aca="false">Raw_Data!AN446</f>
        <v>1</v>
      </c>
      <c r="G445" s="0" t="n">
        <f aca="false">Raw_Data!AO446</f>
        <v>3</v>
      </c>
      <c r="H445" s="0" t="n">
        <f aca="false">SUM(B445:G445)</f>
        <v>19</v>
      </c>
      <c r="I445" s="0" t="n">
        <f aca="false">H445-B445</f>
        <v>14</v>
      </c>
      <c r="J445" s="0" t="n">
        <f aca="false">H445-C445</f>
        <v>18</v>
      </c>
      <c r="K445" s="0" t="n">
        <f aca="false">H445-D445</f>
        <v>14</v>
      </c>
      <c r="L445" s="0" t="n">
        <f aca="false">H445-E445</f>
        <v>15</v>
      </c>
      <c r="M445" s="0" t="n">
        <f aca="false">H445-F445</f>
        <v>18</v>
      </c>
      <c r="N445" s="0" t="n">
        <f aca="false">H445-G445</f>
        <v>16</v>
      </c>
      <c r="O445" s="0" t="n">
        <f aca="false">B445+D445+F445</f>
        <v>11</v>
      </c>
      <c r="P445" s="0" t="n">
        <f aca="false">C445+E445+G445</f>
        <v>8</v>
      </c>
    </row>
    <row r="446" customFormat="false" ht="15" hidden="false" customHeight="false" outlineLevel="0" collapsed="false">
      <c r="A446" s="0" t="n">
        <v>447</v>
      </c>
      <c r="B446" s="0" t="n">
        <f aca="false">Raw_Data!AJ447</f>
        <v>5</v>
      </c>
      <c r="C446" s="0" t="n">
        <f aca="false">Raw_Data!AK447</f>
        <v>3</v>
      </c>
      <c r="D446" s="0" t="n">
        <f aca="false">Raw_Data!AL447</f>
        <v>3</v>
      </c>
      <c r="E446" s="0" t="n">
        <f aca="false">Raw_Data!AM447</f>
        <v>3</v>
      </c>
      <c r="F446" s="0" t="n">
        <f aca="false">Raw_Data!AN447</f>
        <v>3</v>
      </c>
      <c r="G446" s="0" t="n">
        <f aca="false">Raw_Data!AO447</f>
        <v>3</v>
      </c>
      <c r="H446" s="0" t="n">
        <f aca="false">SUM(B446:G446)</f>
        <v>20</v>
      </c>
      <c r="I446" s="0" t="n">
        <f aca="false">H446-B446</f>
        <v>15</v>
      </c>
      <c r="J446" s="0" t="n">
        <f aca="false">H446-C446</f>
        <v>17</v>
      </c>
      <c r="K446" s="0" t="n">
        <f aca="false">H446-D446</f>
        <v>17</v>
      </c>
      <c r="L446" s="0" t="n">
        <f aca="false">H446-E446</f>
        <v>17</v>
      </c>
      <c r="M446" s="0" t="n">
        <f aca="false">H446-F446</f>
        <v>17</v>
      </c>
      <c r="N446" s="0" t="n">
        <f aca="false">H446-G446</f>
        <v>17</v>
      </c>
      <c r="O446" s="0" t="n">
        <f aca="false">B446+D446+F446</f>
        <v>11</v>
      </c>
      <c r="P446" s="0" t="n">
        <f aca="false">C446+E446+G446</f>
        <v>9</v>
      </c>
    </row>
    <row r="447" customFormat="false" ht="15" hidden="false" customHeight="false" outlineLevel="0" collapsed="false">
      <c r="A447" s="0" t="n">
        <v>448</v>
      </c>
      <c r="B447" s="0" t="n">
        <f aca="false">Raw_Data!AJ448</f>
        <v>3</v>
      </c>
      <c r="C447" s="0" t="n">
        <f aca="false">Raw_Data!AK448</f>
        <v>3</v>
      </c>
      <c r="D447" s="0" t="n">
        <f aca="false">Raw_Data!AL448</f>
        <v>4</v>
      </c>
      <c r="E447" s="0" t="n">
        <f aca="false">Raw_Data!AM448</f>
        <v>3</v>
      </c>
      <c r="F447" s="0" t="n">
        <f aca="false">Raw_Data!AN448</f>
        <v>3</v>
      </c>
      <c r="G447" s="0" t="n">
        <f aca="false">Raw_Data!AO448</f>
        <v>2</v>
      </c>
      <c r="H447" s="0" t="n">
        <f aca="false">SUM(B447:G447)</f>
        <v>18</v>
      </c>
      <c r="I447" s="0" t="n">
        <f aca="false">H447-B447</f>
        <v>15</v>
      </c>
      <c r="J447" s="0" t="n">
        <f aca="false">H447-C447</f>
        <v>15</v>
      </c>
      <c r="K447" s="0" t="n">
        <f aca="false">H447-D447</f>
        <v>14</v>
      </c>
      <c r="L447" s="0" t="n">
        <f aca="false">H447-E447</f>
        <v>15</v>
      </c>
      <c r="M447" s="0" t="n">
        <f aca="false">H447-F447</f>
        <v>15</v>
      </c>
      <c r="N447" s="0" t="n">
        <f aca="false">H447-G447</f>
        <v>16</v>
      </c>
      <c r="O447" s="0" t="n">
        <f aca="false">B447+D447+F447</f>
        <v>10</v>
      </c>
      <c r="P447" s="0" t="n">
        <f aca="false">C447+E447+G447</f>
        <v>8</v>
      </c>
    </row>
    <row r="448" customFormat="false" ht="15" hidden="false" customHeight="false" outlineLevel="0" collapsed="false">
      <c r="A448" s="0" t="n">
        <v>449</v>
      </c>
      <c r="B448" s="0" t="n">
        <f aca="false">Raw_Data!AJ449</f>
        <v>4</v>
      </c>
      <c r="C448" s="0" t="n">
        <f aca="false">Raw_Data!AK449</f>
        <v>4</v>
      </c>
      <c r="D448" s="0" t="n">
        <f aca="false">Raw_Data!AL449</f>
        <v>4</v>
      </c>
      <c r="E448" s="0" t="n">
        <f aca="false">Raw_Data!AM449</f>
        <v>4</v>
      </c>
      <c r="F448" s="0" t="n">
        <f aca="false">Raw_Data!AN449</f>
        <v>2</v>
      </c>
      <c r="G448" s="0" t="n">
        <f aca="false">Raw_Data!AO449</f>
        <v>4</v>
      </c>
      <c r="H448" s="0" t="n">
        <f aca="false">SUM(B448:G448)</f>
        <v>22</v>
      </c>
      <c r="I448" s="0" t="n">
        <f aca="false">H448-B448</f>
        <v>18</v>
      </c>
      <c r="J448" s="0" t="n">
        <f aca="false">H448-C448</f>
        <v>18</v>
      </c>
      <c r="K448" s="0" t="n">
        <f aca="false">H448-D448</f>
        <v>18</v>
      </c>
      <c r="L448" s="0" t="n">
        <f aca="false">H448-E448</f>
        <v>18</v>
      </c>
      <c r="M448" s="0" t="n">
        <f aca="false">H448-F448</f>
        <v>20</v>
      </c>
      <c r="N448" s="0" t="n">
        <f aca="false">H448-G448</f>
        <v>18</v>
      </c>
      <c r="O448" s="0" t="n">
        <f aca="false">B448+D448+F448</f>
        <v>10</v>
      </c>
      <c r="P448" s="0" t="n">
        <f aca="false">C448+E448+G448</f>
        <v>12</v>
      </c>
    </row>
    <row r="449" customFormat="false" ht="15" hidden="false" customHeight="false" outlineLevel="0" collapsed="false">
      <c r="A449" s="0" t="n">
        <v>450</v>
      </c>
      <c r="B449" s="0" t="n">
        <f aca="false">Raw_Data!AJ450</f>
        <v>4</v>
      </c>
      <c r="C449" s="0" t="n">
        <f aca="false">Raw_Data!AK450</f>
        <v>3</v>
      </c>
      <c r="D449" s="0" t="n">
        <f aca="false">Raw_Data!AL450</f>
        <v>3</v>
      </c>
      <c r="E449" s="0" t="n">
        <f aca="false">Raw_Data!AM450</f>
        <v>3</v>
      </c>
      <c r="F449" s="0" t="n">
        <f aca="false">Raw_Data!AN450</f>
        <v>4</v>
      </c>
      <c r="G449" s="0" t="n">
        <f aca="false">Raw_Data!AO450</f>
        <v>2</v>
      </c>
      <c r="H449" s="0" t="n">
        <f aca="false">SUM(B449:G449)</f>
        <v>19</v>
      </c>
      <c r="I449" s="0" t="n">
        <f aca="false">H449-B449</f>
        <v>15</v>
      </c>
      <c r="J449" s="0" t="n">
        <f aca="false">H449-C449</f>
        <v>16</v>
      </c>
      <c r="K449" s="0" t="n">
        <f aca="false">H449-D449</f>
        <v>16</v>
      </c>
      <c r="L449" s="0" t="n">
        <f aca="false">H449-E449</f>
        <v>16</v>
      </c>
      <c r="M449" s="0" t="n">
        <f aca="false">H449-F449</f>
        <v>15</v>
      </c>
      <c r="N449" s="0" t="n">
        <f aca="false">H449-G449</f>
        <v>17</v>
      </c>
      <c r="O449" s="0" t="n">
        <f aca="false">B449+D449+F449</f>
        <v>11</v>
      </c>
      <c r="P449" s="0" t="n">
        <f aca="false">C449+E449+G449</f>
        <v>8</v>
      </c>
    </row>
    <row r="450" customFormat="false" ht="15" hidden="false" customHeight="false" outlineLevel="0" collapsed="false">
      <c r="A450" s="0" t="n">
        <v>451</v>
      </c>
      <c r="B450" s="0" t="n">
        <f aca="false">Raw_Data!AJ451</f>
        <v>4</v>
      </c>
      <c r="C450" s="0" t="n">
        <f aca="false">Raw_Data!AK451</f>
        <v>2</v>
      </c>
      <c r="D450" s="0" t="n">
        <f aca="false">Raw_Data!AL451</f>
        <v>4</v>
      </c>
      <c r="E450" s="0" t="n">
        <f aca="false">Raw_Data!AM451</f>
        <v>4</v>
      </c>
      <c r="F450" s="0" t="n">
        <f aca="false">Raw_Data!AN451</f>
        <v>3</v>
      </c>
      <c r="G450" s="0" t="n">
        <f aca="false">Raw_Data!AO451</f>
        <v>3</v>
      </c>
      <c r="H450" s="0" t="n">
        <f aca="false">SUM(B450:G450)</f>
        <v>20</v>
      </c>
      <c r="I450" s="0" t="n">
        <f aca="false">H450-B450</f>
        <v>16</v>
      </c>
      <c r="J450" s="0" t="n">
        <f aca="false">H450-C450</f>
        <v>18</v>
      </c>
      <c r="K450" s="0" t="n">
        <f aca="false">H450-D450</f>
        <v>16</v>
      </c>
      <c r="L450" s="0" t="n">
        <f aca="false">H450-E450</f>
        <v>16</v>
      </c>
      <c r="M450" s="0" t="n">
        <f aca="false">H450-F450</f>
        <v>17</v>
      </c>
      <c r="N450" s="0" t="n">
        <f aca="false">H450-G450</f>
        <v>17</v>
      </c>
      <c r="O450" s="0" t="n">
        <f aca="false">B450+D450+F450</f>
        <v>11</v>
      </c>
      <c r="P450" s="0" t="n">
        <f aca="false">C450+E450+G450</f>
        <v>9</v>
      </c>
    </row>
    <row r="451" customFormat="false" ht="15" hidden="false" customHeight="false" outlineLevel="0" collapsed="false">
      <c r="A451" s="0" t="n">
        <v>452</v>
      </c>
      <c r="B451" s="0" t="n">
        <f aca="false">Raw_Data!AJ452</f>
        <v>3</v>
      </c>
      <c r="C451" s="0" t="n">
        <f aca="false">Raw_Data!AK452</f>
        <v>3</v>
      </c>
      <c r="D451" s="0" t="n">
        <f aca="false">Raw_Data!AL452</f>
        <v>2</v>
      </c>
      <c r="E451" s="0" t="n">
        <f aca="false">Raw_Data!AM452</f>
        <v>3</v>
      </c>
      <c r="F451" s="0" t="n">
        <f aca="false">Raw_Data!AN452</f>
        <v>4</v>
      </c>
      <c r="G451" s="0" t="n">
        <f aca="false">Raw_Data!AO452</f>
        <v>2</v>
      </c>
      <c r="H451" s="0" t="n">
        <f aca="false">SUM(B451:G451)</f>
        <v>17</v>
      </c>
      <c r="I451" s="0" t="n">
        <f aca="false">H451-B451</f>
        <v>14</v>
      </c>
      <c r="J451" s="0" t="n">
        <f aca="false">H451-C451</f>
        <v>14</v>
      </c>
      <c r="K451" s="0" t="n">
        <f aca="false">H451-D451</f>
        <v>15</v>
      </c>
      <c r="L451" s="0" t="n">
        <f aca="false">H451-E451</f>
        <v>14</v>
      </c>
      <c r="M451" s="0" t="n">
        <f aca="false">H451-F451</f>
        <v>13</v>
      </c>
      <c r="N451" s="0" t="n">
        <f aca="false">H451-G451</f>
        <v>15</v>
      </c>
      <c r="O451" s="0" t="n">
        <f aca="false">B451+D451+F451</f>
        <v>9</v>
      </c>
      <c r="P451" s="0" t="n">
        <f aca="false">C451+E451+G451</f>
        <v>8</v>
      </c>
    </row>
    <row r="452" customFormat="false" ht="15" hidden="false" customHeight="false" outlineLevel="0" collapsed="false">
      <c r="A452" s="0" t="n">
        <v>453</v>
      </c>
      <c r="B452" s="0" t="n">
        <f aca="false">Raw_Data!AJ453</f>
        <v>4</v>
      </c>
      <c r="C452" s="0" t="n">
        <f aca="false">Raw_Data!AK453</f>
        <v>3</v>
      </c>
      <c r="D452" s="0" t="n">
        <f aca="false">Raw_Data!AL453</f>
        <v>5</v>
      </c>
      <c r="E452" s="0" t="n">
        <f aca="false">Raw_Data!AM453</f>
        <v>3</v>
      </c>
      <c r="F452" s="0" t="n">
        <f aca="false">Raw_Data!AN453</f>
        <v>3</v>
      </c>
      <c r="G452" s="0" t="n">
        <f aca="false">Raw_Data!AO453</f>
        <v>4</v>
      </c>
      <c r="H452" s="0" t="n">
        <f aca="false">SUM(B452:G452)</f>
        <v>22</v>
      </c>
      <c r="I452" s="0" t="n">
        <f aca="false">H452-B452</f>
        <v>18</v>
      </c>
      <c r="J452" s="0" t="n">
        <f aca="false">H452-C452</f>
        <v>19</v>
      </c>
      <c r="K452" s="0" t="n">
        <f aca="false">H452-D452</f>
        <v>17</v>
      </c>
      <c r="L452" s="0" t="n">
        <f aca="false">H452-E452</f>
        <v>19</v>
      </c>
      <c r="M452" s="0" t="n">
        <f aca="false">H452-F452</f>
        <v>19</v>
      </c>
      <c r="N452" s="0" t="n">
        <f aca="false">H452-G452</f>
        <v>18</v>
      </c>
      <c r="O452" s="0" t="n">
        <f aca="false">B452+D452+F452</f>
        <v>12</v>
      </c>
      <c r="P452" s="0" t="n">
        <f aca="false">C452+E452+G452</f>
        <v>10</v>
      </c>
    </row>
    <row r="453" customFormat="false" ht="15" hidden="false" customHeight="false" outlineLevel="0" collapsed="false">
      <c r="A453" s="0" t="n">
        <v>454</v>
      </c>
      <c r="B453" s="0" t="n">
        <f aca="false">Raw_Data!AJ454</f>
        <v>5</v>
      </c>
      <c r="C453" s="0" t="n">
        <f aca="false">Raw_Data!AK454</f>
        <v>4</v>
      </c>
      <c r="D453" s="0" t="n">
        <f aca="false">Raw_Data!AL454</f>
        <v>4</v>
      </c>
      <c r="E453" s="0" t="n">
        <f aca="false">Raw_Data!AM454</f>
        <v>4</v>
      </c>
      <c r="F453" s="0" t="n">
        <f aca="false">Raw_Data!AN454</f>
        <v>4</v>
      </c>
      <c r="G453" s="0" t="n">
        <f aca="false">Raw_Data!AO454</f>
        <v>2</v>
      </c>
      <c r="H453" s="0" t="n">
        <f aca="false">SUM(B453:G453)</f>
        <v>23</v>
      </c>
      <c r="I453" s="0" t="n">
        <f aca="false">H453-B453</f>
        <v>18</v>
      </c>
      <c r="J453" s="0" t="n">
        <f aca="false">H453-C453</f>
        <v>19</v>
      </c>
      <c r="K453" s="0" t="n">
        <f aca="false">H453-D453</f>
        <v>19</v>
      </c>
      <c r="L453" s="0" t="n">
        <f aca="false">H453-E453</f>
        <v>19</v>
      </c>
      <c r="M453" s="0" t="n">
        <f aca="false">H453-F453</f>
        <v>19</v>
      </c>
      <c r="N453" s="0" t="n">
        <f aca="false">H453-G453</f>
        <v>21</v>
      </c>
      <c r="O453" s="0" t="n">
        <f aca="false">B453+D453+F453</f>
        <v>13</v>
      </c>
      <c r="P453" s="0" t="n">
        <f aca="false">C453+E453+G453</f>
        <v>10</v>
      </c>
    </row>
    <row r="454" customFormat="false" ht="15" hidden="false" customHeight="false" outlineLevel="0" collapsed="false">
      <c r="A454" s="0" t="n">
        <v>455</v>
      </c>
      <c r="B454" s="0" t="n">
        <f aca="false">Raw_Data!AJ455</f>
        <v>4</v>
      </c>
      <c r="C454" s="0" t="n">
        <f aca="false">Raw_Data!AK455</f>
        <v>4</v>
      </c>
      <c r="D454" s="0" t="n">
        <f aca="false">Raw_Data!AL455</f>
        <v>5</v>
      </c>
      <c r="E454" s="0" t="n">
        <f aca="false">Raw_Data!AM455</f>
        <v>4</v>
      </c>
      <c r="F454" s="0" t="n">
        <f aca="false">Raw_Data!AN455</f>
        <v>4</v>
      </c>
      <c r="G454" s="0" t="n">
        <f aca="false">Raw_Data!AO455</f>
        <v>4</v>
      </c>
      <c r="H454" s="0" t="n">
        <f aca="false">SUM(B454:G454)</f>
        <v>25</v>
      </c>
      <c r="I454" s="0" t="n">
        <f aca="false">H454-B454</f>
        <v>21</v>
      </c>
      <c r="J454" s="0" t="n">
        <f aca="false">H454-C454</f>
        <v>21</v>
      </c>
      <c r="K454" s="0" t="n">
        <f aca="false">H454-D454</f>
        <v>20</v>
      </c>
      <c r="L454" s="0" t="n">
        <f aca="false">H454-E454</f>
        <v>21</v>
      </c>
      <c r="M454" s="0" t="n">
        <f aca="false">H454-F454</f>
        <v>21</v>
      </c>
      <c r="N454" s="0" t="n">
        <f aca="false">H454-G454</f>
        <v>21</v>
      </c>
      <c r="O454" s="0" t="n">
        <f aca="false">B454+D454+F454</f>
        <v>13</v>
      </c>
      <c r="P454" s="0" t="n">
        <f aca="false">C454+E454+G454</f>
        <v>12</v>
      </c>
    </row>
    <row r="455" customFormat="false" ht="15" hidden="false" customHeight="false" outlineLevel="0" collapsed="false">
      <c r="A455" s="0" t="n">
        <v>456</v>
      </c>
      <c r="B455" s="0" t="n">
        <f aca="false">Raw_Data!AJ456</f>
        <v>2</v>
      </c>
      <c r="C455" s="0" t="n">
        <f aca="false">Raw_Data!AK456</f>
        <v>3</v>
      </c>
      <c r="D455" s="0" t="n">
        <f aca="false">Raw_Data!AL456</f>
        <v>2</v>
      </c>
      <c r="E455" s="0" t="n">
        <f aca="false">Raw_Data!AM456</f>
        <v>3</v>
      </c>
      <c r="F455" s="0" t="n">
        <f aca="false">Raw_Data!AN456</f>
        <v>2</v>
      </c>
      <c r="G455" s="0" t="n">
        <f aca="false">Raw_Data!AO456</f>
        <v>3</v>
      </c>
      <c r="H455" s="0" t="n">
        <f aca="false">SUM(B455:G455)</f>
        <v>15</v>
      </c>
      <c r="I455" s="0" t="n">
        <f aca="false">H455-B455</f>
        <v>13</v>
      </c>
      <c r="J455" s="0" t="n">
        <f aca="false">H455-C455</f>
        <v>12</v>
      </c>
      <c r="K455" s="0" t="n">
        <f aca="false">H455-D455</f>
        <v>13</v>
      </c>
      <c r="L455" s="0" t="n">
        <f aca="false">H455-E455</f>
        <v>12</v>
      </c>
      <c r="M455" s="0" t="n">
        <f aca="false">H455-F455</f>
        <v>13</v>
      </c>
      <c r="N455" s="0" t="n">
        <f aca="false">H455-G455</f>
        <v>12</v>
      </c>
      <c r="O455" s="0" t="n">
        <f aca="false">B455+D455+F455</f>
        <v>6</v>
      </c>
      <c r="P455" s="0" t="n">
        <f aca="false">C455+E455+G455</f>
        <v>9</v>
      </c>
    </row>
    <row r="456" customFormat="false" ht="15" hidden="false" customHeight="false" outlineLevel="0" collapsed="false">
      <c r="A456" s="0" t="n">
        <v>457</v>
      </c>
      <c r="B456" s="0" t="n">
        <f aca="false">Raw_Data!AJ457</f>
        <v>4</v>
      </c>
      <c r="C456" s="0" t="n">
        <f aca="false">Raw_Data!AK457</f>
        <v>4</v>
      </c>
      <c r="D456" s="0" t="n">
        <f aca="false">Raw_Data!AL457</f>
        <v>4</v>
      </c>
      <c r="E456" s="0" t="n">
        <f aca="false">Raw_Data!AM457</f>
        <v>4</v>
      </c>
      <c r="F456" s="0" t="n">
        <f aca="false">Raw_Data!AN457</f>
        <v>3</v>
      </c>
      <c r="G456" s="0" t="n">
        <f aca="false">Raw_Data!AO457</f>
        <v>3</v>
      </c>
      <c r="H456" s="0" t="n">
        <f aca="false">SUM(B456:G456)</f>
        <v>22</v>
      </c>
      <c r="I456" s="0" t="n">
        <f aca="false">H456-B456</f>
        <v>18</v>
      </c>
      <c r="J456" s="0" t="n">
        <f aca="false">H456-C456</f>
        <v>18</v>
      </c>
      <c r="K456" s="0" t="n">
        <f aca="false">H456-D456</f>
        <v>18</v>
      </c>
      <c r="L456" s="0" t="n">
        <f aca="false">H456-E456</f>
        <v>18</v>
      </c>
      <c r="M456" s="0" t="n">
        <f aca="false">H456-F456</f>
        <v>19</v>
      </c>
      <c r="N456" s="0" t="n">
        <f aca="false">H456-G456</f>
        <v>19</v>
      </c>
      <c r="O456" s="0" t="n">
        <f aca="false">B456+D456+F456</f>
        <v>11</v>
      </c>
      <c r="P456" s="0" t="n">
        <f aca="false">C456+E456+G456</f>
        <v>11</v>
      </c>
    </row>
    <row r="457" customFormat="false" ht="15" hidden="false" customHeight="false" outlineLevel="0" collapsed="false">
      <c r="A457" s="0" t="n">
        <v>458</v>
      </c>
      <c r="B457" s="0" t="n">
        <f aca="false">Raw_Data!AJ458</f>
        <v>4</v>
      </c>
      <c r="C457" s="0" t="n">
        <f aca="false">Raw_Data!AK458</f>
        <v>1</v>
      </c>
      <c r="D457" s="0" t="n">
        <f aca="false">Raw_Data!AL458</f>
        <v>4</v>
      </c>
      <c r="E457" s="0" t="n">
        <f aca="false">Raw_Data!AM458</f>
        <v>4</v>
      </c>
      <c r="F457" s="0" t="n">
        <f aca="false">Raw_Data!AN458</f>
        <v>2</v>
      </c>
      <c r="G457" s="0" t="n">
        <f aca="false">Raw_Data!AO458</f>
        <v>2</v>
      </c>
      <c r="H457" s="0" t="n">
        <f aca="false">SUM(B457:G457)</f>
        <v>17</v>
      </c>
      <c r="I457" s="0" t="n">
        <f aca="false">H457-B457</f>
        <v>13</v>
      </c>
      <c r="J457" s="0" t="n">
        <f aca="false">H457-C457</f>
        <v>16</v>
      </c>
      <c r="K457" s="0" t="n">
        <f aca="false">H457-D457</f>
        <v>13</v>
      </c>
      <c r="L457" s="0" t="n">
        <f aca="false">H457-E457</f>
        <v>13</v>
      </c>
      <c r="M457" s="0" t="n">
        <f aca="false">H457-F457</f>
        <v>15</v>
      </c>
      <c r="N457" s="0" t="n">
        <f aca="false">H457-G457</f>
        <v>15</v>
      </c>
      <c r="O457" s="0" t="n">
        <f aca="false">B457+D457+F457</f>
        <v>10</v>
      </c>
      <c r="P457" s="0" t="n">
        <f aca="false">C457+E457+G457</f>
        <v>7</v>
      </c>
    </row>
    <row r="458" customFormat="false" ht="15" hidden="false" customHeight="false" outlineLevel="0" collapsed="false">
      <c r="A458" s="0" t="n">
        <v>459</v>
      </c>
      <c r="B458" s="0" t="n">
        <f aca="false">Raw_Data!AJ459</f>
        <v>3</v>
      </c>
      <c r="C458" s="0" t="n">
        <f aca="false">Raw_Data!AK459</f>
        <v>4</v>
      </c>
      <c r="D458" s="0" t="n">
        <f aca="false">Raw_Data!AL459</f>
        <v>4</v>
      </c>
      <c r="E458" s="0" t="n">
        <f aca="false">Raw_Data!AM459</f>
        <v>3</v>
      </c>
      <c r="F458" s="0" t="n">
        <f aca="false">Raw_Data!AN459</f>
        <v>1</v>
      </c>
      <c r="G458" s="0" t="n">
        <f aca="false">Raw_Data!AO459</f>
        <v>4</v>
      </c>
      <c r="H458" s="0" t="n">
        <f aca="false">SUM(B458:G458)</f>
        <v>19</v>
      </c>
      <c r="I458" s="0" t="n">
        <f aca="false">H458-B458</f>
        <v>16</v>
      </c>
      <c r="J458" s="0" t="n">
        <f aca="false">H458-C458</f>
        <v>15</v>
      </c>
      <c r="K458" s="0" t="n">
        <f aca="false">H458-D458</f>
        <v>15</v>
      </c>
      <c r="L458" s="0" t="n">
        <f aca="false">H458-E458</f>
        <v>16</v>
      </c>
      <c r="M458" s="0" t="n">
        <f aca="false">H458-F458</f>
        <v>18</v>
      </c>
      <c r="N458" s="0" t="n">
        <f aca="false">H458-G458</f>
        <v>15</v>
      </c>
      <c r="O458" s="0" t="n">
        <f aca="false">B458+D458+F458</f>
        <v>8</v>
      </c>
      <c r="P458" s="0" t="n">
        <f aca="false">C458+E458+G458</f>
        <v>11</v>
      </c>
    </row>
    <row r="459" customFormat="false" ht="15" hidden="false" customHeight="false" outlineLevel="0" collapsed="false">
      <c r="A459" s="0" t="n">
        <v>460</v>
      </c>
      <c r="B459" s="0" t="n">
        <f aca="false">Raw_Data!AJ460</f>
        <v>5</v>
      </c>
      <c r="C459" s="0" t="n">
        <f aca="false">Raw_Data!AK460</f>
        <v>4</v>
      </c>
      <c r="D459" s="0" t="n">
        <f aca="false">Raw_Data!AL460</f>
        <v>4</v>
      </c>
      <c r="E459" s="0" t="n">
        <f aca="false">Raw_Data!AM460</f>
        <v>3</v>
      </c>
      <c r="F459" s="0" t="n">
        <f aca="false">Raw_Data!AN460</f>
        <v>3</v>
      </c>
      <c r="G459" s="0" t="n">
        <f aca="false">Raw_Data!AO460</f>
        <v>3</v>
      </c>
      <c r="H459" s="0" t="n">
        <f aca="false">SUM(B459:G459)</f>
        <v>22</v>
      </c>
      <c r="I459" s="0" t="n">
        <f aca="false">H459-B459</f>
        <v>17</v>
      </c>
      <c r="J459" s="0" t="n">
        <f aca="false">H459-C459</f>
        <v>18</v>
      </c>
      <c r="K459" s="0" t="n">
        <f aca="false">H459-D459</f>
        <v>18</v>
      </c>
      <c r="L459" s="0" t="n">
        <f aca="false">H459-E459</f>
        <v>19</v>
      </c>
      <c r="M459" s="0" t="n">
        <f aca="false">H459-F459</f>
        <v>19</v>
      </c>
      <c r="N459" s="0" t="n">
        <f aca="false">H459-G459</f>
        <v>19</v>
      </c>
      <c r="O459" s="0" t="n">
        <f aca="false">B459+D459+F459</f>
        <v>12</v>
      </c>
      <c r="P459" s="0" t="n">
        <f aca="false">C459+E459+G459</f>
        <v>10</v>
      </c>
    </row>
    <row r="460" customFormat="false" ht="15" hidden="false" customHeight="false" outlineLevel="0" collapsed="false">
      <c r="A460" s="0" t="n">
        <v>461</v>
      </c>
      <c r="B460" s="0" t="n">
        <f aca="false">Raw_Data!AJ461</f>
        <v>5</v>
      </c>
      <c r="C460" s="0" t="n">
        <f aca="false">Raw_Data!AK461</f>
        <v>3</v>
      </c>
      <c r="D460" s="0" t="n">
        <f aca="false">Raw_Data!AL461</f>
        <v>3</v>
      </c>
      <c r="E460" s="0" t="n">
        <f aca="false">Raw_Data!AM461</f>
        <v>4</v>
      </c>
      <c r="F460" s="0" t="n">
        <f aca="false">Raw_Data!AN461</f>
        <v>4</v>
      </c>
      <c r="G460" s="0" t="n">
        <f aca="false">Raw_Data!AO461</f>
        <v>3</v>
      </c>
      <c r="H460" s="0" t="n">
        <f aca="false">SUM(B460:G460)</f>
        <v>22</v>
      </c>
      <c r="I460" s="0" t="n">
        <f aca="false">H460-B460</f>
        <v>17</v>
      </c>
      <c r="J460" s="0" t="n">
        <f aca="false">H460-C460</f>
        <v>19</v>
      </c>
      <c r="K460" s="0" t="n">
        <f aca="false">H460-D460</f>
        <v>19</v>
      </c>
      <c r="L460" s="0" t="n">
        <f aca="false">H460-E460</f>
        <v>18</v>
      </c>
      <c r="M460" s="0" t="n">
        <f aca="false">H460-F460</f>
        <v>18</v>
      </c>
      <c r="N460" s="0" t="n">
        <f aca="false">H460-G460</f>
        <v>19</v>
      </c>
      <c r="O460" s="0" t="n">
        <f aca="false">B460+D460+F460</f>
        <v>12</v>
      </c>
      <c r="P460" s="0" t="n">
        <f aca="false">C460+E460+G460</f>
        <v>10</v>
      </c>
    </row>
    <row r="461" customFormat="false" ht="15" hidden="false" customHeight="false" outlineLevel="0" collapsed="false">
      <c r="A461" s="0" t="n">
        <v>462</v>
      </c>
      <c r="B461" s="0" t="n">
        <f aca="false">Raw_Data!AJ462</f>
        <v>3</v>
      </c>
      <c r="C461" s="0" t="n">
        <f aca="false">Raw_Data!AK462</f>
        <v>2</v>
      </c>
      <c r="D461" s="0" t="n">
        <f aca="false">Raw_Data!AL462</f>
        <v>4</v>
      </c>
      <c r="E461" s="0" t="n">
        <f aca="false">Raw_Data!AM462</f>
        <v>4</v>
      </c>
      <c r="F461" s="0" t="n">
        <f aca="false">Raw_Data!AN462</f>
        <v>4</v>
      </c>
      <c r="G461" s="0" t="n">
        <f aca="false">Raw_Data!AO462</f>
        <v>2</v>
      </c>
      <c r="H461" s="0" t="n">
        <f aca="false">SUM(B461:G461)</f>
        <v>19</v>
      </c>
      <c r="I461" s="0" t="n">
        <f aca="false">H461-B461</f>
        <v>16</v>
      </c>
      <c r="J461" s="0" t="n">
        <f aca="false">H461-C461</f>
        <v>17</v>
      </c>
      <c r="K461" s="0" t="n">
        <f aca="false">H461-D461</f>
        <v>15</v>
      </c>
      <c r="L461" s="0" t="n">
        <f aca="false">H461-E461</f>
        <v>15</v>
      </c>
      <c r="M461" s="0" t="n">
        <f aca="false">H461-F461</f>
        <v>15</v>
      </c>
      <c r="N461" s="0" t="n">
        <f aca="false">H461-G461</f>
        <v>17</v>
      </c>
      <c r="O461" s="0" t="n">
        <f aca="false">B461+D461+F461</f>
        <v>11</v>
      </c>
      <c r="P461" s="0" t="n">
        <f aca="false">C461+E461+G461</f>
        <v>8</v>
      </c>
    </row>
    <row r="462" customFormat="false" ht="15" hidden="false" customHeight="false" outlineLevel="0" collapsed="false">
      <c r="A462" s="0" t="n">
        <v>463</v>
      </c>
      <c r="B462" s="0" t="n">
        <f aca="false">Raw_Data!AJ463</f>
        <v>4</v>
      </c>
      <c r="C462" s="0" t="n">
        <f aca="false">Raw_Data!AK463</f>
        <v>2</v>
      </c>
      <c r="D462" s="0" t="n">
        <f aca="false">Raw_Data!AL463</f>
        <v>4</v>
      </c>
      <c r="E462" s="0" t="n">
        <f aca="false">Raw_Data!AM463</f>
        <v>4</v>
      </c>
      <c r="F462" s="0" t="n">
        <f aca="false">Raw_Data!AN463</f>
        <v>2</v>
      </c>
      <c r="G462" s="0" t="n">
        <f aca="false">Raw_Data!AO463</f>
        <v>3</v>
      </c>
      <c r="H462" s="0" t="n">
        <f aca="false">SUM(B462:G462)</f>
        <v>19</v>
      </c>
      <c r="I462" s="0" t="n">
        <f aca="false">H462-B462</f>
        <v>15</v>
      </c>
      <c r="J462" s="0" t="n">
        <f aca="false">H462-C462</f>
        <v>17</v>
      </c>
      <c r="K462" s="0" t="n">
        <f aca="false">H462-D462</f>
        <v>15</v>
      </c>
      <c r="L462" s="0" t="n">
        <f aca="false">H462-E462</f>
        <v>15</v>
      </c>
      <c r="M462" s="0" t="n">
        <f aca="false">H462-F462</f>
        <v>17</v>
      </c>
      <c r="N462" s="0" t="n">
        <f aca="false">H462-G462</f>
        <v>16</v>
      </c>
      <c r="O462" s="0" t="n">
        <f aca="false">B462+D462+F462</f>
        <v>10</v>
      </c>
      <c r="P462" s="0" t="n">
        <f aca="false">C462+E462+G462</f>
        <v>9</v>
      </c>
    </row>
    <row r="463" customFormat="false" ht="15" hidden="false" customHeight="false" outlineLevel="0" collapsed="false">
      <c r="A463" s="0" t="n">
        <v>464</v>
      </c>
      <c r="B463" s="0" t="n">
        <f aca="false">Raw_Data!AJ464</f>
        <v>3</v>
      </c>
      <c r="C463" s="0" t="n">
        <f aca="false">Raw_Data!AK464</f>
        <v>4</v>
      </c>
      <c r="D463" s="0" t="n">
        <f aca="false">Raw_Data!AL464</f>
        <v>5</v>
      </c>
      <c r="E463" s="0" t="n">
        <f aca="false">Raw_Data!AM464</f>
        <v>3</v>
      </c>
      <c r="F463" s="0" t="n">
        <f aca="false">Raw_Data!AN464</f>
        <v>4</v>
      </c>
      <c r="G463" s="0" t="n">
        <f aca="false">Raw_Data!AO464</f>
        <v>4</v>
      </c>
      <c r="H463" s="0" t="n">
        <f aca="false">SUM(B463:G463)</f>
        <v>23</v>
      </c>
      <c r="I463" s="0" t="n">
        <f aca="false">H463-B463</f>
        <v>20</v>
      </c>
      <c r="J463" s="0" t="n">
        <f aca="false">H463-C463</f>
        <v>19</v>
      </c>
      <c r="K463" s="0" t="n">
        <f aca="false">H463-D463</f>
        <v>18</v>
      </c>
      <c r="L463" s="0" t="n">
        <f aca="false">H463-E463</f>
        <v>20</v>
      </c>
      <c r="M463" s="0" t="n">
        <f aca="false">H463-F463</f>
        <v>19</v>
      </c>
      <c r="N463" s="0" t="n">
        <f aca="false">H463-G463</f>
        <v>19</v>
      </c>
      <c r="O463" s="0" t="n">
        <f aca="false">B463+D463+F463</f>
        <v>12</v>
      </c>
      <c r="P463" s="0" t="n">
        <f aca="false">C463+E463+G463</f>
        <v>11</v>
      </c>
    </row>
    <row r="464" customFormat="false" ht="15" hidden="false" customHeight="false" outlineLevel="0" collapsed="false">
      <c r="A464" s="0" t="n">
        <v>465</v>
      </c>
      <c r="B464" s="0" t="n">
        <f aca="false">Raw_Data!AJ465</f>
        <v>4</v>
      </c>
      <c r="C464" s="0" t="n">
        <f aca="false">Raw_Data!AK465</f>
        <v>3</v>
      </c>
      <c r="D464" s="0" t="n">
        <f aca="false">Raw_Data!AL465</f>
        <v>4</v>
      </c>
      <c r="E464" s="0" t="n">
        <f aca="false">Raw_Data!AM465</f>
        <v>2</v>
      </c>
      <c r="F464" s="0" t="n">
        <f aca="false">Raw_Data!AN465</f>
        <v>3</v>
      </c>
      <c r="G464" s="0" t="n">
        <f aca="false">Raw_Data!AO465</f>
        <v>2</v>
      </c>
      <c r="H464" s="0" t="n">
        <f aca="false">SUM(B464:G464)</f>
        <v>18</v>
      </c>
      <c r="I464" s="0" t="n">
        <f aca="false">H464-B464</f>
        <v>14</v>
      </c>
      <c r="J464" s="0" t="n">
        <f aca="false">H464-C464</f>
        <v>15</v>
      </c>
      <c r="K464" s="0" t="n">
        <f aca="false">H464-D464</f>
        <v>14</v>
      </c>
      <c r="L464" s="0" t="n">
        <f aca="false">H464-E464</f>
        <v>16</v>
      </c>
      <c r="M464" s="0" t="n">
        <f aca="false">H464-F464</f>
        <v>15</v>
      </c>
      <c r="N464" s="0" t="n">
        <f aca="false">H464-G464</f>
        <v>16</v>
      </c>
      <c r="O464" s="0" t="n">
        <f aca="false">B464+D464+F464</f>
        <v>11</v>
      </c>
      <c r="P464" s="0" t="n">
        <f aca="false">C464+E464+G464</f>
        <v>7</v>
      </c>
    </row>
    <row r="465" customFormat="false" ht="15" hidden="false" customHeight="false" outlineLevel="0" collapsed="false">
      <c r="A465" s="0" t="n">
        <v>466</v>
      </c>
      <c r="B465" s="0" t="n">
        <f aca="false">Raw_Data!AJ466</f>
        <v>4</v>
      </c>
      <c r="C465" s="0" t="n">
        <f aca="false">Raw_Data!AK466</f>
        <v>2</v>
      </c>
      <c r="D465" s="0" t="n">
        <f aca="false">Raw_Data!AL466</f>
        <v>3</v>
      </c>
      <c r="E465" s="0" t="n">
        <f aca="false">Raw_Data!AM466</f>
        <v>3</v>
      </c>
      <c r="F465" s="0" t="n">
        <f aca="false">Raw_Data!AN466</f>
        <v>4</v>
      </c>
      <c r="G465" s="0" t="n">
        <f aca="false">Raw_Data!AO466</f>
        <v>3</v>
      </c>
      <c r="H465" s="0" t="n">
        <f aca="false">SUM(B465:G465)</f>
        <v>19</v>
      </c>
      <c r="I465" s="0" t="n">
        <f aca="false">H465-B465</f>
        <v>15</v>
      </c>
      <c r="J465" s="0" t="n">
        <f aca="false">H465-C465</f>
        <v>17</v>
      </c>
      <c r="K465" s="0" t="n">
        <f aca="false">H465-D465</f>
        <v>16</v>
      </c>
      <c r="L465" s="0" t="n">
        <f aca="false">H465-E465</f>
        <v>16</v>
      </c>
      <c r="M465" s="0" t="n">
        <f aca="false">H465-F465</f>
        <v>15</v>
      </c>
      <c r="N465" s="0" t="n">
        <f aca="false">H465-G465</f>
        <v>16</v>
      </c>
      <c r="O465" s="0" t="n">
        <f aca="false">B465+D465+F465</f>
        <v>11</v>
      </c>
      <c r="P465" s="0" t="n">
        <f aca="false">C465+E465+G465</f>
        <v>8</v>
      </c>
    </row>
    <row r="466" customFormat="false" ht="15" hidden="false" customHeight="false" outlineLevel="0" collapsed="false">
      <c r="A466" s="0" t="n">
        <v>467</v>
      </c>
      <c r="B466" s="0" t="n">
        <f aca="false">Raw_Data!AJ467</f>
        <v>4</v>
      </c>
      <c r="C466" s="0" t="n">
        <f aca="false">Raw_Data!AK467</f>
        <v>1</v>
      </c>
      <c r="D466" s="0" t="n">
        <f aca="false">Raw_Data!AL467</f>
        <v>4</v>
      </c>
      <c r="E466" s="0" t="n">
        <f aca="false">Raw_Data!AM467</f>
        <v>3</v>
      </c>
      <c r="F466" s="0" t="n">
        <f aca="false">Raw_Data!AN467</f>
        <v>2</v>
      </c>
      <c r="G466" s="0" t="n">
        <f aca="false">Raw_Data!AO467</f>
        <v>4</v>
      </c>
      <c r="H466" s="0" t="n">
        <f aca="false">SUM(B466:G466)</f>
        <v>18</v>
      </c>
      <c r="I466" s="0" t="n">
        <f aca="false">H466-B466</f>
        <v>14</v>
      </c>
      <c r="J466" s="0" t="n">
        <f aca="false">H466-C466</f>
        <v>17</v>
      </c>
      <c r="K466" s="0" t="n">
        <f aca="false">H466-D466</f>
        <v>14</v>
      </c>
      <c r="L466" s="0" t="n">
        <f aca="false">H466-E466</f>
        <v>15</v>
      </c>
      <c r="M466" s="0" t="n">
        <f aca="false">H466-F466</f>
        <v>16</v>
      </c>
      <c r="N466" s="0" t="n">
        <f aca="false">H466-G466</f>
        <v>14</v>
      </c>
      <c r="O466" s="0" t="n">
        <f aca="false">B466+D466+F466</f>
        <v>10</v>
      </c>
      <c r="P466" s="0" t="n">
        <f aca="false">C466+E466+G466</f>
        <v>8</v>
      </c>
    </row>
    <row r="467" customFormat="false" ht="15" hidden="false" customHeight="false" outlineLevel="0" collapsed="false">
      <c r="A467" s="0" t="n">
        <v>468</v>
      </c>
      <c r="B467" s="0" t="n">
        <f aca="false">Raw_Data!AJ468</f>
        <v>4</v>
      </c>
      <c r="C467" s="0" t="n">
        <f aca="false">Raw_Data!AK468</f>
        <v>3</v>
      </c>
      <c r="D467" s="0" t="n">
        <f aca="false">Raw_Data!AL468</f>
        <v>3</v>
      </c>
      <c r="E467" s="0" t="n">
        <f aca="false">Raw_Data!AM468</f>
        <v>3</v>
      </c>
      <c r="F467" s="0" t="n">
        <f aca="false">Raw_Data!AN468</f>
        <v>3</v>
      </c>
      <c r="G467" s="0" t="n">
        <f aca="false">Raw_Data!AO468</f>
        <v>3</v>
      </c>
      <c r="H467" s="0" t="n">
        <f aca="false">SUM(B467:G467)</f>
        <v>19</v>
      </c>
      <c r="I467" s="0" t="n">
        <f aca="false">H467-B467</f>
        <v>15</v>
      </c>
      <c r="J467" s="0" t="n">
        <f aca="false">H467-C467</f>
        <v>16</v>
      </c>
      <c r="K467" s="0" t="n">
        <f aca="false">H467-D467</f>
        <v>16</v>
      </c>
      <c r="L467" s="0" t="n">
        <f aca="false">H467-E467</f>
        <v>16</v>
      </c>
      <c r="M467" s="0" t="n">
        <f aca="false">H467-F467</f>
        <v>16</v>
      </c>
      <c r="N467" s="0" t="n">
        <f aca="false">H467-G467</f>
        <v>16</v>
      </c>
      <c r="O467" s="0" t="n">
        <f aca="false">B467+D467+F467</f>
        <v>10</v>
      </c>
      <c r="P467" s="0" t="n">
        <f aca="false">C467+E467+G467</f>
        <v>9</v>
      </c>
    </row>
    <row r="468" customFormat="false" ht="15" hidden="false" customHeight="false" outlineLevel="0" collapsed="false">
      <c r="A468" s="0" t="n">
        <v>469</v>
      </c>
      <c r="B468" s="0" t="n">
        <f aca="false">Raw_Data!AJ469</f>
        <v>5</v>
      </c>
      <c r="C468" s="0" t="n">
        <f aca="false">Raw_Data!AK469</f>
        <v>3</v>
      </c>
      <c r="D468" s="0" t="n">
        <f aca="false">Raw_Data!AL469</f>
        <v>4</v>
      </c>
      <c r="E468" s="0" t="n">
        <f aca="false">Raw_Data!AM469</f>
        <v>1</v>
      </c>
      <c r="F468" s="0" t="n">
        <f aca="false">Raw_Data!AN469</f>
        <v>4</v>
      </c>
      <c r="G468" s="0" t="n">
        <f aca="false">Raw_Data!AO469</f>
        <v>4</v>
      </c>
      <c r="H468" s="0" t="n">
        <f aca="false">SUM(B468:G468)</f>
        <v>21</v>
      </c>
      <c r="I468" s="0" t="n">
        <f aca="false">H468-B468</f>
        <v>16</v>
      </c>
      <c r="J468" s="0" t="n">
        <f aca="false">H468-C468</f>
        <v>18</v>
      </c>
      <c r="K468" s="0" t="n">
        <f aca="false">H468-D468</f>
        <v>17</v>
      </c>
      <c r="L468" s="0" t="n">
        <f aca="false">H468-E468</f>
        <v>20</v>
      </c>
      <c r="M468" s="0" t="n">
        <f aca="false">H468-F468</f>
        <v>17</v>
      </c>
      <c r="N468" s="0" t="n">
        <f aca="false">H468-G468</f>
        <v>17</v>
      </c>
      <c r="O468" s="0" t="n">
        <f aca="false">B468+D468+F468</f>
        <v>13</v>
      </c>
      <c r="P468" s="0" t="n">
        <f aca="false">C468+E468+G468</f>
        <v>8</v>
      </c>
    </row>
    <row r="469" customFormat="false" ht="15" hidden="false" customHeight="false" outlineLevel="0" collapsed="false">
      <c r="A469" s="0" t="n">
        <v>470</v>
      </c>
      <c r="B469" s="0" t="n">
        <f aca="false">Raw_Data!AJ470</f>
        <v>2</v>
      </c>
      <c r="C469" s="0" t="n">
        <f aca="false">Raw_Data!AK470</f>
        <v>3</v>
      </c>
      <c r="D469" s="0" t="n">
        <f aca="false">Raw_Data!AL470</f>
        <v>4</v>
      </c>
      <c r="E469" s="0" t="n">
        <f aca="false">Raw_Data!AM470</f>
        <v>2</v>
      </c>
      <c r="F469" s="0" t="n">
        <f aca="false">Raw_Data!AN470</f>
        <v>3</v>
      </c>
      <c r="G469" s="0" t="n">
        <f aca="false">Raw_Data!AO470</f>
        <v>3</v>
      </c>
      <c r="H469" s="0" t="n">
        <f aca="false">SUM(B469:G469)</f>
        <v>17</v>
      </c>
      <c r="I469" s="0" t="n">
        <f aca="false">H469-B469</f>
        <v>15</v>
      </c>
      <c r="J469" s="0" t="n">
        <f aca="false">H469-C469</f>
        <v>14</v>
      </c>
      <c r="K469" s="0" t="n">
        <f aca="false">H469-D469</f>
        <v>13</v>
      </c>
      <c r="L469" s="0" t="n">
        <f aca="false">H469-E469</f>
        <v>15</v>
      </c>
      <c r="M469" s="0" t="n">
        <f aca="false">H469-F469</f>
        <v>14</v>
      </c>
      <c r="N469" s="0" t="n">
        <f aca="false">H469-G469</f>
        <v>14</v>
      </c>
      <c r="O469" s="0" t="n">
        <f aca="false">B469+D469+F469</f>
        <v>9</v>
      </c>
      <c r="P469" s="0" t="n">
        <f aca="false">C469+E469+G469</f>
        <v>8</v>
      </c>
    </row>
    <row r="470" customFormat="false" ht="15" hidden="false" customHeight="false" outlineLevel="0" collapsed="false">
      <c r="A470" s="0" t="n">
        <v>471</v>
      </c>
      <c r="B470" s="0" t="n">
        <f aca="false">Raw_Data!AJ471</f>
        <v>3</v>
      </c>
      <c r="C470" s="0" t="n">
        <f aca="false">Raw_Data!AK471</f>
        <v>3</v>
      </c>
      <c r="D470" s="0" t="n">
        <f aca="false">Raw_Data!AL471</f>
        <v>5</v>
      </c>
      <c r="E470" s="0" t="n">
        <f aca="false">Raw_Data!AM471</f>
        <v>3</v>
      </c>
      <c r="F470" s="0" t="n">
        <f aca="false">Raw_Data!AN471</f>
        <v>2</v>
      </c>
      <c r="G470" s="0" t="n">
        <f aca="false">Raw_Data!AO471</f>
        <v>4</v>
      </c>
      <c r="H470" s="0" t="n">
        <f aca="false">SUM(B470:G470)</f>
        <v>20</v>
      </c>
      <c r="I470" s="0" t="n">
        <f aca="false">H470-B470</f>
        <v>17</v>
      </c>
      <c r="J470" s="0" t="n">
        <f aca="false">H470-C470</f>
        <v>17</v>
      </c>
      <c r="K470" s="0" t="n">
        <f aca="false">H470-D470</f>
        <v>15</v>
      </c>
      <c r="L470" s="0" t="n">
        <f aca="false">H470-E470</f>
        <v>17</v>
      </c>
      <c r="M470" s="0" t="n">
        <f aca="false">H470-F470</f>
        <v>18</v>
      </c>
      <c r="N470" s="0" t="n">
        <f aca="false">H470-G470</f>
        <v>16</v>
      </c>
      <c r="O470" s="0" t="n">
        <f aca="false">B470+D470+F470</f>
        <v>10</v>
      </c>
      <c r="P470" s="0" t="n">
        <f aca="false">C470+E470+G470</f>
        <v>10</v>
      </c>
    </row>
    <row r="471" customFormat="false" ht="15" hidden="false" customHeight="false" outlineLevel="0" collapsed="false">
      <c r="A471" s="0" t="n">
        <v>472</v>
      </c>
      <c r="B471" s="0" t="n">
        <f aca="false">Raw_Data!AJ472</f>
        <v>4</v>
      </c>
      <c r="C471" s="0" t="n">
        <f aca="false">Raw_Data!AK472</f>
        <v>4</v>
      </c>
      <c r="D471" s="0" t="n">
        <f aca="false">Raw_Data!AL472</f>
        <v>4</v>
      </c>
      <c r="E471" s="0" t="n">
        <f aca="false">Raw_Data!AM472</f>
        <v>3</v>
      </c>
      <c r="F471" s="0" t="n">
        <f aca="false">Raw_Data!AN472</f>
        <v>4</v>
      </c>
      <c r="G471" s="0" t="n">
        <f aca="false">Raw_Data!AO472</f>
        <v>3</v>
      </c>
      <c r="H471" s="0" t="n">
        <f aca="false">SUM(B471:G471)</f>
        <v>22</v>
      </c>
      <c r="I471" s="0" t="n">
        <f aca="false">H471-B471</f>
        <v>18</v>
      </c>
      <c r="J471" s="0" t="n">
        <f aca="false">H471-C471</f>
        <v>18</v>
      </c>
      <c r="K471" s="0" t="n">
        <f aca="false">H471-D471</f>
        <v>18</v>
      </c>
      <c r="L471" s="0" t="n">
        <f aca="false">H471-E471</f>
        <v>19</v>
      </c>
      <c r="M471" s="0" t="n">
        <f aca="false">H471-F471</f>
        <v>18</v>
      </c>
      <c r="N471" s="0" t="n">
        <f aca="false">H471-G471</f>
        <v>19</v>
      </c>
      <c r="O471" s="0" t="n">
        <f aca="false">B471+D471+F471</f>
        <v>12</v>
      </c>
      <c r="P471" s="0" t="n">
        <f aca="false">C471+E471+G471</f>
        <v>10</v>
      </c>
    </row>
    <row r="472" customFormat="false" ht="15" hidden="false" customHeight="false" outlineLevel="0" collapsed="false">
      <c r="A472" s="0" t="n">
        <v>473</v>
      </c>
      <c r="B472" s="0" t="n">
        <f aca="false">Raw_Data!AJ473</f>
        <v>3</v>
      </c>
      <c r="C472" s="0" t="n">
        <f aca="false">Raw_Data!AK473</f>
        <v>2</v>
      </c>
      <c r="D472" s="0" t="n">
        <f aca="false">Raw_Data!AL473</f>
        <v>3</v>
      </c>
      <c r="E472" s="0" t="n">
        <f aca="false">Raw_Data!AM473</f>
        <v>2</v>
      </c>
      <c r="F472" s="0" t="n">
        <f aca="false">Raw_Data!AN473</f>
        <v>3</v>
      </c>
      <c r="G472" s="0" t="n">
        <f aca="false">Raw_Data!AO473</f>
        <v>4</v>
      </c>
      <c r="H472" s="0" t="n">
        <f aca="false">SUM(B472:G472)</f>
        <v>17</v>
      </c>
      <c r="I472" s="0" t="n">
        <f aca="false">H472-B472</f>
        <v>14</v>
      </c>
      <c r="J472" s="0" t="n">
        <f aca="false">H472-C472</f>
        <v>15</v>
      </c>
      <c r="K472" s="0" t="n">
        <f aca="false">H472-D472</f>
        <v>14</v>
      </c>
      <c r="L472" s="0" t="n">
        <f aca="false">H472-E472</f>
        <v>15</v>
      </c>
      <c r="M472" s="0" t="n">
        <f aca="false">H472-F472</f>
        <v>14</v>
      </c>
      <c r="N472" s="0" t="n">
        <f aca="false">H472-G472</f>
        <v>13</v>
      </c>
      <c r="O472" s="0" t="n">
        <f aca="false">B472+D472+F472</f>
        <v>9</v>
      </c>
      <c r="P472" s="0" t="n">
        <f aca="false">C472+E472+G472</f>
        <v>8</v>
      </c>
    </row>
    <row r="473" customFormat="false" ht="15" hidden="false" customHeight="false" outlineLevel="0" collapsed="false">
      <c r="A473" s="0" t="n">
        <v>474</v>
      </c>
      <c r="B473" s="0" t="n">
        <f aca="false">Raw_Data!AJ474</f>
        <v>5</v>
      </c>
      <c r="C473" s="0" t="n">
        <f aca="false">Raw_Data!AK474</f>
        <v>3</v>
      </c>
      <c r="D473" s="0" t="n">
        <f aca="false">Raw_Data!AL474</f>
        <v>4</v>
      </c>
      <c r="E473" s="0" t="n">
        <f aca="false">Raw_Data!AM474</f>
        <v>3</v>
      </c>
      <c r="F473" s="0" t="n">
        <f aca="false">Raw_Data!AN474</f>
        <v>4</v>
      </c>
      <c r="G473" s="0" t="n">
        <f aca="false">Raw_Data!AO474</f>
        <v>3</v>
      </c>
      <c r="H473" s="0" t="n">
        <f aca="false">SUM(B473:G473)</f>
        <v>22</v>
      </c>
      <c r="I473" s="0" t="n">
        <f aca="false">H473-B473</f>
        <v>17</v>
      </c>
      <c r="J473" s="0" t="n">
        <f aca="false">H473-C473</f>
        <v>19</v>
      </c>
      <c r="K473" s="0" t="n">
        <f aca="false">H473-D473</f>
        <v>18</v>
      </c>
      <c r="L473" s="0" t="n">
        <f aca="false">H473-E473</f>
        <v>19</v>
      </c>
      <c r="M473" s="0" t="n">
        <f aca="false">H473-F473</f>
        <v>18</v>
      </c>
      <c r="N473" s="0" t="n">
        <f aca="false">H473-G473</f>
        <v>19</v>
      </c>
      <c r="O473" s="0" t="n">
        <f aca="false">B473+D473+F473</f>
        <v>13</v>
      </c>
      <c r="P473" s="0" t="n">
        <f aca="false">C473+E473+G473</f>
        <v>9</v>
      </c>
    </row>
    <row r="474" customFormat="false" ht="15" hidden="false" customHeight="false" outlineLevel="0" collapsed="false">
      <c r="A474" s="0" t="n">
        <v>475</v>
      </c>
      <c r="B474" s="0" t="n">
        <f aca="false">Raw_Data!AJ475</f>
        <v>5</v>
      </c>
      <c r="C474" s="0" t="n">
        <f aca="false">Raw_Data!AK475</f>
        <v>1</v>
      </c>
      <c r="D474" s="0" t="n">
        <f aca="false">Raw_Data!AL475</f>
        <v>3</v>
      </c>
      <c r="E474" s="0" t="n">
        <f aca="false">Raw_Data!AM475</f>
        <v>3</v>
      </c>
      <c r="F474" s="0" t="n">
        <f aca="false">Raw_Data!AN475</f>
        <v>3</v>
      </c>
      <c r="G474" s="0" t="n">
        <f aca="false">Raw_Data!AO475</f>
        <v>3</v>
      </c>
      <c r="H474" s="0" t="n">
        <f aca="false">SUM(B474:G474)</f>
        <v>18</v>
      </c>
      <c r="I474" s="0" t="n">
        <f aca="false">H474-B474</f>
        <v>13</v>
      </c>
      <c r="J474" s="0" t="n">
        <f aca="false">H474-C474</f>
        <v>17</v>
      </c>
      <c r="K474" s="0" t="n">
        <f aca="false">H474-D474</f>
        <v>15</v>
      </c>
      <c r="L474" s="0" t="n">
        <f aca="false">H474-E474</f>
        <v>15</v>
      </c>
      <c r="M474" s="0" t="n">
        <f aca="false">H474-F474</f>
        <v>15</v>
      </c>
      <c r="N474" s="0" t="n">
        <f aca="false">H474-G474</f>
        <v>15</v>
      </c>
      <c r="O474" s="0" t="n">
        <f aca="false">B474+D474+F474</f>
        <v>11</v>
      </c>
      <c r="P474" s="0" t="n">
        <f aca="false">C474+E474+G474</f>
        <v>7</v>
      </c>
    </row>
    <row r="475" customFormat="false" ht="15" hidden="false" customHeight="false" outlineLevel="0" collapsed="false">
      <c r="A475" s="0" t="n">
        <v>476</v>
      </c>
      <c r="B475" s="0" t="n">
        <f aca="false">Raw_Data!AJ476</f>
        <v>4</v>
      </c>
      <c r="C475" s="0" t="n">
        <f aca="false">Raw_Data!AK476</f>
        <v>1</v>
      </c>
      <c r="D475" s="0" t="n">
        <f aca="false">Raw_Data!AL476</f>
        <v>4</v>
      </c>
      <c r="E475" s="0" t="n">
        <f aca="false">Raw_Data!AM476</f>
        <v>3</v>
      </c>
      <c r="F475" s="0" t="n">
        <f aca="false">Raw_Data!AN476</f>
        <v>3</v>
      </c>
      <c r="G475" s="0" t="n">
        <f aca="false">Raw_Data!AO476</f>
        <v>2</v>
      </c>
      <c r="H475" s="0" t="n">
        <f aca="false">SUM(B475:G475)</f>
        <v>17</v>
      </c>
      <c r="I475" s="0" t="n">
        <f aca="false">H475-B475</f>
        <v>13</v>
      </c>
      <c r="J475" s="0" t="n">
        <f aca="false">H475-C475</f>
        <v>16</v>
      </c>
      <c r="K475" s="0" t="n">
        <f aca="false">H475-D475</f>
        <v>13</v>
      </c>
      <c r="L475" s="0" t="n">
        <f aca="false">H475-E475</f>
        <v>14</v>
      </c>
      <c r="M475" s="0" t="n">
        <f aca="false">H475-F475</f>
        <v>14</v>
      </c>
      <c r="N475" s="0" t="n">
        <f aca="false">H475-G475</f>
        <v>15</v>
      </c>
      <c r="O475" s="0" t="n">
        <f aca="false">B475+D475+F475</f>
        <v>11</v>
      </c>
      <c r="P475" s="0" t="n">
        <f aca="false">C475+E475+G475</f>
        <v>6</v>
      </c>
    </row>
    <row r="476" customFormat="false" ht="15" hidden="false" customHeight="false" outlineLevel="0" collapsed="false">
      <c r="A476" s="0" t="n">
        <v>477</v>
      </c>
      <c r="B476" s="0" t="n">
        <f aca="false">Raw_Data!AJ477</f>
        <v>4</v>
      </c>
      <c r="C476" s="0" t="n">
        <f aca="false">Raw_Data!AK477</f>
        <v>4</v>
      </c>
      <c r="D476" s="0" t="n">
        <f aca="false">Raw_Data!AL477</f>
        <v>3</v>
      </c>
      <c r="E476" s="0" t="n">
        <f aca="false">Raw_Data!AM477</f>
        <v>3</v>
      </c>
      <c r="F476" s="0" t="n">
        <f aca="false">Raw_Data!AN477</f>
        <v>3</v>
      </c>
      <c r="G476" s="0" t="n">
        <f aca="false">Raw_Data!AO477</f>
        <v>4</v>
      </c>
      <c r="H476" s="0" t="n">
        <f aca="false">SUM(B476:G476)</f>
        <v>21</v>
      </c>
      <c r="I476" s="0" t="n">
        <f aca="false">H476-B476</f>
        <v>17</v>
      </c>
      <c r="J476" s="0" t="n">
        <f aca="false">H476-C476</f>
        <v>17</v>
      </c>
      <c r="K476" s="0" t="n">
        <f aca="false">H476-D476</f>
        <v>18</v>
      </c>
      <c r="L476" s="0" t="n">
        <f aca="false">H476-E476</f>
        <v>18</v>
      </c>
      <c r="M476" s="0" t="n">
        <f aca="false">H476-F476</f>
        <v>18</v>
      </c>
      <c r="N476" s="0" t="n">
        <f aca="false">H476-G476</f>
        <v>17</v>
      </c>
      <c r="O476" s="0" t="n">
        <f aca="false">B476+D476+F476</f>
        <v>10</v>
      </c>
      <c r="P476" s="0" t="n">
        <f aca="false">C476+E476+G476</f>
        <v>11</v>
      </c>
    </row>
    <row r="477" customFormat="false" ht="15" hidden="false" customHeight="false" outlineLevel="0" collapsed="false">
      <c r="A477" s="0" t="n">
        <v>478</v>
      </c>
      <c r="B477" s="0" t="n">
        <f aca="false">Raw_Data!AJ478</f>
        <v>4</v>
      </c>
      <c r="C477" s="0" t="n">
        <f aca="false">Raw_Data!AK478</f>
        <v>3</v>
      </c>
      <c r="D477" s="0" t="n">
        <f aca="false">Raw_Data!AL478</f>
        <v>3</v>
      </c>
      <c r="E477" s="0" t="n">
        <f aca="false">Raw_Data!AM478</f>
        <v>4</v>
      </c>
      <c r="F477" s="0" t="n">
        <f aca="false">Raw_Data!AN478</f>
        <v>4</v>
      </c>
      <c r="G477" s="0" t="n">
        <f aca="false">Raw_Data!AO478</f>
        <v>3</v>
      </c>
      <c r="H477" s="0" t="n">
        <f aca="false">SUM(B477:G477)</f>
        <v>21</v>
      </c>
      <c r="I477" s="0" t="n">
        <f aca="false">H477-B477</f>
        <v>17</v>
      </c>
      <c r="J477" s="0" t="n">
        <f aca="false">H477-C477</f>
        <v>18</v>
      </c>
      <c r="K477" s="0" t="n">
        <f aca="false">H477-D477</f>
        <v>18</v>
      </c>
      <c r="L477" s="0" t="n">
        <f aca="false">H477-E477</f>
        <v>17</v>
      </c>
      <c r="M477" s="0" t="n">
        <f aca="false">H477-F477</f>
        <v>17</v>
      </c>
      <c r="N477" s="0" t="n">
        <f aca="false">H477-G477</f>
        <v>18</v>
      </c>
      <c r="O477" s="0" t="n">
        <f aca="false">B477+D477+F477</f>
        <v>11</v>
      </c>
      <c r="P477" s="0" t="n">
        <f aca="false">C477+E477+G477</f>
        <v>10</v>
      </c>
    </row>
    <row r="478" customFormat="false" ht="15" hidden="false" customHeight="false" outlineLevel="0" collapsed="false">
      <c r="A478" s="0" t="n">
        <v>479</v>
      </c>
      <c r="B478" s="0" t="n">
        <f aca="false">Raw_Data!AJ479</f>
        <v>4</v>
      </c>
      <c r="C478" s="0" t="n">
        <f aca="false">Raw_Data!AK479</f>
        <v>3</v>
      </c>
      <c r="D478" s="0" t="n">
        <f aca="false">Raw_Data!AL479</f>
        <v>3</v>
      </c>
      <c r="E478" s="0" t="n">
        <f aca="false">Raw_Data!AM479</f>
        <v>3</v>
      </c>
      <c r="F478" s="0" t="n">
        <f aca="false">Raw_Data!AN479</f>
        <v>3</v>
      </c>
      <c r="G478" s="0" t="n">
        <f aca="false">Raw_Data!AO479</f>
        <v>3</v>
      </c>
      <c r="H478" s="0" t="n">
        <f aca="false">SUM(B478:G478)</f>
        <v>19</v>
      </c>
      <c r="I478" s="0" t="n">
        <f aca="false">H478-B478</f>
        <v>15</v>
      </c>
      <c r="J478" s="0" t="n">
        <f aca="false">H478-C478</f>
        <v>16</v>
      </c>
      <c r="K478" s="0" t="n">
        <f aca="false">H478-D478</f>
        <v>16</v>
      </c>
      <c r="L478" s="0" t="n">
        <f aca="false">H478-E478</f>
        <v>16</v>
      </c>
      <c r="M478" s="0" t="n">
        <f aca="false">H478-F478</f>
        <v>16</v>
      </c>
      <c r="N478" s="0" t="n">
        <f aca="false">H478-G478</f>
        <v>16</v>
      </c>
      <c r="O478" s="0" t="n">
        <f aca="false">B478+D478+F478</f>
        <v>10</v>
      </c>
      <c r="P478" s="0" t="n">
        <f aca="false">C478+E478+G478</f>
        <v>9</v>
      </c>
    </row>
    <row r="479" customFormat="false" ht="15" hidden="false" customHeight="false" outlineLevel="0" collapsed="false">
      <c r="A479" s="0" t="n">
        <v>480</v>
      </c>
      <c r="B479" s="0" t="n">
        <f aca="false">Raw_Data!AJ480</f>
        <v>4</v>
      </c>
      <c r="C479" s="0" t="n">
        <f aca="false">Raw_Data!AK480</f>
        <v>1</v>
      </c>
      <c r="D479" s="0" t="n">
        <f aca="false">Raw_Data!AL480</f>
        <v>4</v>
      </c>
      <c r="E479" s="0" t="n">
        <f aca="false">Raw_Data!AM480</f>
        <v>4</v>
      </c>
      <c r="F479" s="0" t="n">
        <f aca="false">Raw_Data!AN480</f>
        <v>3</v>
      </c>
      <c r="G479" s="0" t="n">
        <f aca="false">Raw_Data!AO480</f>
        <v>2</v>
      </c>
      <c r="H479" s="0" t="n">
        <f aca="false">SUM(B479:G479)</f>
        <v>18</v>
      </c>
      <c r="I479" s="0" t="n">
        <f aca="false">H479-B479</f>
        <v>14</v>
      </c>
      <c r="J479" s="0" t="n">
        <f aca="false">H479-C479</f>
        <v>17</v>
      </c>
      <c r="K479" s="0" t="n">
        <f aca="false">H479-D479</f>
        <v>14</v>
      </c>
      <c r="L479" s="0" t="n">
        <f aca="false">H479-E479</f>
        <v>14</v>
      </c>
      <c r="M479" s="0" t="n">
        <f aca="false">H479-F479</f>
        <v>15</v>
      </c>
      <c r="N479" s="0" t="n">
        <f aca="false">H479-G479</f>
        <v>16</v>
      </c>
      <c r="O479" s="0" t="n">
        <f aca="false">B479+D479+F479</f>
        <v>11</v>
      </c>
      <c r="P479" s="0" t="n">
        <f aca="false">C479+E479+G479</f>
        <v>7</v>
      </c>
    </row>
    <row r="480" customFormat="false" ht="15" hidden="false" customHeight="false" outlineLevel="0" collapsed="false">
      <c r="A480" s="0" t="n">
        <v>481</v>
      </c>
      <c r="B480" s="0" t="n">
        <f aca="false">Raw_Data!AJ481</f>
        <v>4</v>
      </c>
      <c r="C480" s="0" t="n">
        <f aca="false">Raw_Data!AK481</f>
        <v>2</v>
      </c>
      <c r="D480" s="0" t="n">
        <f aca="false">Raw_Data!AL481</f>
        <v>4</v>
      </c>
      <c r="E480" s="0" t="n">
        <f aca="false">Raw_Data!AM481</f>
        <v>3</v>
      </c>
      <c r="F480" s="0" t="n">
        <f aca="false">Raw_Data!AN481</f>
        <v>3</v>
      </c>
      <c r="G480" s="0" t="n">
        <f aca="false">Raw_Data!AO481</f>
        <v>4</v>
      </c>
      <c r="H480" s="0" t="n">
        <f aca="false">SUM(B480:G480)</f>
        <v>20</v>
      </c>
      <c r="I480" s="0" t="n">
        <f aca="false">H480-B480</f>
        <v>16</v>
      </c>
      <c r="J480" s="0" t="n">
        <f aca="false">H480-C480</f>
        <v>18</v>
      </c>
      <c r="K480" s="0" t="n">
        <f aca="false">H480-D480</f>
        <v>16</v>
      </c>
      <c r="L480" s="0" t="n">
        <f aca="false">H480-E480</f>
        <v>17</v>
      </c>
      <c r="M480" s="0" t="n">
        <f aca="false">H480-F480</f>
        <v>17</v>
      </c>
      <c r="N480" s="0" t="n">
        <f aca="false">H480-G480</f>
        <v>16</v>
      </c>
      <c r="O480" s="0" t="n">
        <f aca="false">B480+D480+F480</f>
        <v>11</v>
      </c>
      <c r="P480" s="0" t="n">
        <f aca="false">C480+E480+G480</f>
        <v>9</v>
      </c>
    </row>
    <row r="481" customFormat="false" ht="15" hidden="false" customHeight="false" outlineLevel="0" collapsed="false">
      <c r="A481" s="0" t="n">
        <v>482</v>
      </c>
      <c r="B481" s="0" t="n">
        <f aca="false">Raw_Data!AJ482</f>
        <v>5</v>
      </c>
      <c r="C481" s="0" t="n">
        <f aca="false">Raw_Data!AK482</f>
        <v>4</v>
      </c>
      <c r="D481" s="0" t="n">
        <f aca="false">Raw_Data!AL482</f>
        <v>5</v>
      </c>
      <c r="E481" s="0" t="n">
        <f aca="false">Raw_Data!AM482</f>
        <v>5</v>
      </c>
      <c r="F481" s="0" t="n">
        <f aca="false">Raw_Data!AN482</f>
        <v>2</v>
      </c>
      <c r="G481" s="0" t="n">
        <f aca="false">Raw_Data!AO482</f>
        <v>4</v>
      </c>
      <c r="H481" s="0" t="n">
        <f aca="false">SUM(B481:G481)</f>
        <v>25</v>
      </c>
      <c r="I481" s="0" t="n">
        <f aca="false">H481-B481</f>
        <v>20</v>
      </c>
      <c r="J481" s="0" t="n">
        <f aca="false">H481-C481</f>
        <v>21</v>
      </c>
      <c r="K481" s="0" t="n">
        <f aca="false">H481-D481</f>
        <v>20</v>
      </c>
      <c r="L481" s="0" t="n">
        <f aca="false">H481-E481</f>
        <v>20</v>
      </c>
      <c r="M481" s="0" t="n">
        <f aca="false">H481-F481</f>
        <v>23</v>
      </c>
      <c r="N481" s="0" t="n">
        <f aca="false">H481-G481</f>
        <v>21</v>
      </c>
      <c r="O481" s="0" t="n">
        <f aca="false">B481+D481+F481</f>
        <v>12</v>
      </c>
      <c r="P481" s="0" t="n">
        <f aca="false">C481+E481+G481</f>
        <v>13</v>
      </c>
    </row>
    <row r="482" customFormat="false" ht="15" hidden="false" customHeight="false" outlineLevel="0" collapsed="false">
      <c r="A482" s="0" t="n">
        <v>483</v>
      </c>
      <c r="B482" s="0" t="n">
        <f aca="false">Raw_Data!AJ483</f>
        <v>4</v>
      </c>
      <c r="C482" s="0" t="n">
        <f aca="false">Raw_Data!AK483</f>
        <v>3</v>
      </c>
      <c r="D482" s="0" t="n">
        <f aca="false">Raw_Data!AL483</f>
        <v>4</v>
      </c>
      <c r="E482" s="0" t="n">
        <f aca="false">Raw_Data!AM483</f>
        <v>4</v>
      </c>
      <c r="F482" s="0" t="n">
        <f aca="false">Raw_Data!AN483</f>
        <v>2</v>
      </c>
      <c r="G482" s="0" t="n">
        <f aca="false">Raw_Data!AO483</f>
        <v>4</v>
      </c>
      <c r="H482" s="0" t="n">
        <f aca="false">SUM(B482:G482)</f>
        <v>21</v>
      </c>
      <c r="I482" s="0" t="n">
        <f aca="false">H482-B482</f>
        <v>17</v>
      </c>
      <c r="J482" s="0" t="n">
        <f aca="false">H482-C482</f>
        <v>18</v>
      </c>
      <c r="K482" s="0" t="n">
        <f aca="false">H482-D482</f>
        <v>17</v>
      </c>
      <c r="L482" s="0" t="n">
        <f aca="false">H482-E482</f>
        <v>17</v>
      </c>
      <c r="M482" s="0" t="n">
        <f aca="false">H482-F482</f>
        <v>19</v>
      </c>
      <c r="N482" s="0" t="n">
        <f aca="false">H482-G482</f>
        <v>17</v>
      </c>
      <c r="O482" s="0" t="n">
        <f aca="false">B482+D482+F482</f>
        <v>10</v>
      </c>
      <c r="P482" s="0" t="n">
        <f aca="false">C482+E482+G482</f>
        <v>11</v>
      </c>
    </row>
    <row r="483" customFormat="false" ht="15" hidden="false" customHeight="false" outlineLevel="0" collapsed="false">
      <c r="A483" s="0" t="n">
        <v>484</v>
      </c>
      <c r="B483" s="0" t="n">
        <f aca="false">Raw_Data!AJ484</f>
        <v>5</v>
      </c>
      <c r="C483" s="0" t="n">
        <f aca="false">Raw_Data!AK484</f>
        <v>5</v>
      </c>
      <c r="D483" s="0" t="n">
        <f aca="false">Raw_Data!AL484</f>
        <v>5</v>
      </c>
      <c r="E483" s="0" t="n">
        <f aca="false">Raw_Data!AM484</f>
        <v>4</v>
      </c>
      <c r="F483" s="0" t="n">
        <f aca="false">Raw_Data!AN484</f>
        <v>3</v>
      </c>
      <c r="G483" s="0" t="n">
        <f aca="false">Raw_Data!AO484</f>
        <v>4</v>
      </c>
      <c r="H483" s="0" t="n">
        <f aca="false">SUM(B483:G483)</f>
        <v>26</v>
      </c>
      <c r="I483" s="0" t="n">
        <f aca="false">H483-B483</f>
        <v>21</v>
      </c>
      <c r="J483" s="0" t="n">
        <f aca="false">H483-C483</f>
        <v>21</v>
      </c>
      <c r="K483" s="0" t="n">
        <f aca="false">H483-D483</f>
        <v>21</v>
      </c>
      <c r="L483" s="0" t="n">
        <f aca="false">H483-E483</f>
        <v>22</v>
      </c>
      <c r="M483" s="0" t="n">
        <f aca="false">H483-F483</f>
        <v>23</v>
      </c>
      <c r="N483" s="0" t="n">
        <f aca="false">H483-G483</f>
        <v>22</v>
      </c>
      <c r="O483" s="0" t="n">
        <f aca="false">B483+D483+F483</f>
        <v>13</v>
      </c>
      <c r="P483" s="0" t="n">
        <f aca="false">C483+E483+G483</f>
        <v>13</v>
      </c>
    </row>
    <row r="484" customFormat="false" ht="15" hidden="false" customHeight="false" outlineLevel="0" collapsed="false">
      <c r="A484" s="0" t="n">
        <v>485</v>
      </c>
      <c r="B484" s="0" t="n">
        <f aca="false">Raw_Data!AJ485</f>
        <v>5</v>
      </c>
      <c r="C484" s="0" t="n">
        <f aca="false">Raw_Data!AK485</f>
        <v>2</v>
      </c>
      <c r="D484" s="0" t="n">
        <f aca="false">Raw_Data!AL485</f>
        <v>4</v>
      </c>
      <c r="E484" s="0" t="n">
        <f aca="false">Raw_Data!AM485</f>
        <v>5</v>
      </c>
      <c r="F484" s="0" t="n">
        <f aca="false">Raw_Data!AN485</f>
        <v>4</v>
      </c>
      <c r="G484" s="0" t="n">
        <f aca="false">Raw_Data!AO485</f>
        <v>4</v>
      </c>
      <c r="H484" s="0" t="n">
        <f aca="false">SUM(B484:G484)</f>
        <v>24</v>
      </c>
      <c r="I484" s="0" t="n">
        <f aca="false">H484-B484</f>
        <v>19</v>
      </c>
      <c r="J484" s="0" t="n">
        <f aca="false">H484-C484</f>
        <v>22</v>
      </c>
      <c r="K484" s="0" t="n">
        <f aca="false">H484-D484</f>
        <v>20</v>
      </c>
      <c r="L484" s="0" t="n">
        <f aca="false">H484-E484</f>
        <v>19</v>
      </c>
      <c r="M484" s="0" t="n">
        <f aca="false">H484-F484</f>
        <v>20</v>
      </c>
      <c r="N484" s="0" t="n">
        <f aca="false">H484-G484</f>
        <v>20</v>
      </c>
      <c r="O484" s="0" t="n">
        <f aca="false">B484+D484+F484</f>
        <v>13</v>
      </c>
      <c r="P484" s="0" t="n">
        <f aca="false">C484+E484+G484</f>
        <v>11</v>
      </c>
    </row>
    <row r="485" customFormat="false" ht="15" hidden="false" customHeight="false" outlineLevel="0" collapsed="false">
      <c r="A485" s="0" t="n">
        <v>486</v>
      </c>
      <c r="B485" s="0" t="n">
        <f aca="false">Raw_Data!AJ486</f>
        <v>4</v>
      </c>
      <c r="C485" s="0" t="n">
        <f aca="false">Raw_Data!AK486</f>
        <v>2</v>
      </c>
      <c r="D485" s="0" t="n">
        <f aca="false">Raw_Data!AL486</f>
        <v>4</v>
      </c>
      <c r="E485" s="0" t="n">
        <f aca="false">Raw_Data!AM486</f>
        <v>3</v>
      </c>
      <c r="F485" s="0" t="n">
        <f aca="false">Raw_Data!AN486</f>
        <v>2</v>
      </c>
      <c r="G485" s="0" t="n">
        <f aca="false">Raw_Data!AO486</f>
        <v>3</v>
      </c>
      <c r="H485" s="0" t="n">
        <f aca="false">SUM(B485:G485)</f>
        <v>18</v>
      </c>
      <c r="I485" s="0" t="n">
        <f aca="false">H485-B485</f>
        <v>14</v>
      </c>
      <c r="J485" s="0" t="n">
        <f aca="false">H485-C485</f>
        <v>16</v>
      </c>
      <c r="K485" s="0" t="n">
        <f aca="false">H485-D485</f>
        <v>14</v>
      </c>
      <c r="L485" s="0" t="n">
        <f aca="false">H485-E485</f>
        <v>15</v>
      </c>
      <c r="M485" s="0" t="n">
        <f aca="false">H485-F485</f>
        <v>16</v>
      </c>
      <c r="N485" s="0" t="n">
        <f aca="false">H485-G485</f>
        <v>15</v>
      </c>
      <c r="O485" s="0" t="n">
        <f aca="false">B485+D485+F485</f>
        <v>10</v>
      </c>
      <c r="P485" s="0" t="n">
        <f aca="false">C485+E485+G485</f>
        <v>8</v>
      </c>
    </row>
    <row r="486" customFormat="false" ht="15" hidden="false" customHeight="false" outlineLevel="0" collapsed="false">
      <c r="A486" s="0" t="n">
        <v>487</v>
      </c>
      <c r="B486" s="0" t="n">
        <f aca="false">Raw_Data!AJ487</f>
        <v>4</v>
      </c>
      <c r="C486" s="0" t="n">
        <f aca="false">Raw_Data!AK487</f>
        <v>2</v>
      </c>
      <c r="D486" s="0" t="n">
        <f aca="false">Raw_Data!AL487</f>
        <v>2</v>
      </c>
      <c r="E486" s="0" t="n">
        <f aca="false">Raw_Data!AM487</f>
        <v>4</v>
      </c>
      <c r="F486" s="0" t="n">
        <f aca="false">Raw_Data!AN487</f>
        <v>3</v>
      </c>
      <c r="G486" s="0" t="n">
        <f aca="false">Raw_Data!AO487</f>
        <v>3</v>
      </c>
      <c r="H486" s="0" t="n">
        <f aca="false">SUM(B486:G486)</f>
        <v>18</v>
      </c>
      <c r="I486" s="0" t="n">
        <f aca="false">H486-B486</f>
        <v>14</v>
      </c>
      <c r="J486" s="0" t="n">
        <f aca="false">H486-C486</f>
        <v>16</v>
      </c>
      <c r="K486" s="0" t="n">
        <f aca="false">H486-D486</f>
        <v>16</v>
      </c>
      <c r="L486" s="0" t="n">
        <f aca="false">H486-E486</f>
        <v>14</v>
      </c>
      <c r="M486" s="0" t="n">
        <f aca="false">H486-F486</f>
        <v>15</v>
      </c>
      <c r="N486" s="0" t="n">
        <f aca="false">H486-G486</f>
        <v>15</v>
      </c>
      <c r="O486" s="0" t="n">
        <f aca="false">B486+D486+F486</f>
        <v>9</v>
      </c>
      <c r="P486" s="0" t="n">
        <f aca="false">C486+E486+G486</f>
        <v>9</v>
      </c>
    </row>
    <row r="487" customFormat="false" ht="15" hidden="false" customHeight="false" outlineLevel="0" collapsed="false">
      <c r="A487" s="0" t="n">
        <v>488</v>
      </c>
      <c r="B487" s="0" t="n">
        <f aca="false">Raw_Data!AJ488</f>
        <v>2</v>
      </c>
      <c r="C487" s="0" t="n">
        <f aca="false">Raw_Data!AK488</f>
        <v>4</v>
      </c>
      <c r="D487" s="0" t="n">
        <f aca="false">Raw_Data!AL488</f>
        <v>5</v>
      </c>
      <c r="E487" s="0" t="n">
        <f aca="false">Raw_Data!AM488</f>
        <v>4</v>
      </c>
      <c r="F487" s="0" t="n">
        <f aca="false">Raw_Data!AN488</f>
        <v>1</v>
      </c>
      <c r="G487" s="0" t="n">
        <f aca="false">Raw_Data!AO488</f>
        <v>2</v>
      </c>
      <c r="H487" s="0" t="n">
        <f aca="false">SUM(B487:G487)</f>
        <v>18</v>
      </c>
      <c r="I487" s="0" t="n">
        <f aca="false">H487-B487</f>
        <v>16</v>
      </c>
      <c r="J487" s="0" t="n">
        <f aca="false">H487-C487</f>
        <v>14</v>
      </c>
      <c r="K487" s="0" t="n">
        <f aca="false">H487-D487</f>
        <v>13</v>
      </c>
      <c r="L487" s="0" t="n">
        <f aca="false">H487-E487</f>
        <v>14</v>
      </c>
      <c r="M487" s="0" t="n">
        <f aca="false">H487-F487</f>
        <v>17</v>
      </c>
      <c r="N487" s="0" t="n">
        <f aca="false">H487-G487</f>
        <v>16</v>
      </c>
      <c r="O487" s="0" t="n">
        <f aca="false">B487+D487+F487</f>
        <v>8</v>
      </c>
      <c r="P487" s="0" t="n">
        <f aca="false">C487+E487+G487</f>
        <v>10</v>
      </c>
    </row>
    <row r="488" customFormat="false" ht="15" hidden="false" customHeight="false" outlineLevel="0" collapsed="false">
      <c r="A488" s="0" t="n">
        <v>489</v>
      </c>
      <c r="B488" s="0" t="n">
        <f aca="false">Raw_Data!AJ489</f>
        <v>4</v>
      </c>
      <c r="C488" s="0" t="n">
        <f aca="false">Raw_Data!AK489</f>
        <v>4</v>
      </c>
      <c r="D488" s="0" t="n">
        <f aca="false">Raw_Data!AL489</f>
        <v>5</v>
      </c>
      <c r="E488" s="0" t="n">
        <f aca="false">Raw_Data!AM489</f>
        <v>4</v>
      </c>
      <c r="F488" s="0" t="n">
        <f aca="false">Raw_Data!AN489</f>
        <v>2</v>
      </c>
      <c r="G488" s="0" t="n">
        <f aca="false">Raw_Data!AO489</f>
        <v>4</v>
      </c>
      <c r="H488" s="0" t="n">
        <f aca="false">SUM(B488:G488)</f>
        <v>23</v>
      </c>
      <c r="I488" s="0" t="n">
        <f aca="false">H488-B488</f>
        <v>19</v>
      </c>
      <c r="J488" s="0" t="n">
        <f aca="false">H488-C488</f>
        <v>19</v>
      </c>
      <c r="K488" s="0" t="n">
        <f aca="false">H488-D488</f>
        <v>18</v>
      </c>
      <c r="L488" s="0" t="n">
        <f aca="false">H488-E488</f>
        <v>19</v>
      </c>
      <c r="M488" s="0" t="n">
        <f aca="false">H488-F488</f>
        <v>21</v>
      </c>
      <c r="N488" s="0" t="n">
        <f aca="false">H488-G488</f>
        <v>19</v>
      </c>
      <c r="O488" s="0" t="n">
        <f aca="false">B488+D488+F488</f>
        <v>11</v>
      </c>
      <c r="P488" s="0" t="n">
        <f aca="false">C488+E488+G488</f>
        <v>12</v>
      </c>
    </row>
    <row r="489" customFormat="false" ht="15" hidden="false" customHeight="false" outlineLevel="0" collapsed="false">
      <c r="A489" s="0" t="n">
        <v>490</v>
      </c>
      <c r="B489" s="0" t="n">
        <f aca="false">Raw_Data!AJ490</f>
        <v>1</v>
      </c>
      <c r="C489" s="0" t="n">
        <f aca="false">Raw_Data!AK490</f>
        <v>2</v>
      </c>
      <c r="D489" s="0" t="n">
        <f aca="false">Raw_Data!AL490</f>
        <v>5</v>
      </c>
      <c r="E489" s="0" t="n">
        <f aca="false">Raw_Data!AM490</f>
        <v>3</v>
      </c>
      <c r="F489" s="0" t="n">
        <f aca="false">Raw_Data!AN490</f>
        <v>2</v>
      </c>
      <c r="G489" s="0" t="n">
        <f aca="false">Raw_Data!AO490</f>
        <v>3</v>
      </c>
      <c r="H489" s="0" t="n">
        <f aca="false">SUM(B489:G489)</f>
        <v>16</v>
      </c>
      <c r="I489" s="0" t="n">
        <f aca="false">H489-B489</f>
        <v>15</v>
      </c>
      <c r="J489" s="0" t="n">
        <f aca="false">H489-C489</f>
        <v>14</v>
      </c>
      <c r="K489" s="0" t="n">
        <f aca="false">H489-D489</f>
        <v>11</v>
      </c>
      <c r="L489" s="0" t="n">
        <f aca="false">H489-E489</f>
        <v>13</v>
      </c>
      <c r="M489" s="0" t="n">
        <f aca="false">H489-F489</f>
        <v>14</v>
      </c>
      <c r="N489" s="0" t="n">
        <f aca="false">H489-G489</f>
        <v>13</v>
      </c>
      <c r="O489" s="0" t="n">
        <f aca="false">B489+D489+F489</f>
        <v>8</v>
      </c>
      <c r="P489" s="0" t="n">
        <f aca="false">C489+E489+G489</f>
        <v>8</v>
      </c>
    </row>
    <row r="490" customFormat="false" ht="15" hidden="false" customHeight="false" outlineLevel="0" collapsed="false">
      <c r="A490" s="0" t="n">
        <v>491</v>
      </c>
      <c r="B490" s="0" t="n">
        <f aca="false">Raw_Data!AJ491</f>
        <v>3</v>
      </c>
      <c r="C490" s="0" t="n">
        <f aca="false">Raw_Data!AK491</f>
        <v>5</v>
      </c>
      <c r="D490" s="0" t="n">
        <f aca="false">Raw_Data!AL491</f>
        <v>4</v>
      </c>
      <c r="E490" s="0" t="n">
        <f aca="false">Raw_Data!AM491</f>
        <v>4</v>
      </c>
      <c r="F490" s="0" t="n">
        <f aca="false">Raw_Data!AN491</f>
        <v>4</v>
      </c>
      <c r="G490" s="0" t="n">
        <f aca="false">Raw_Data!AO491</f>
        <v>2</v>
      </c>
      <c r="H490" s="0" t="n">
        <f aca="false">SUM(B490:G490)</f>
        <v>22</v>
      </c>
      <c r="I490" s="0" t="n">
        <f aca="false">H490-B490</f>
        <v>19</v>
      </c>
      <c r="J490" s="0" t="n">
        <f aca="false">H490-C490</f>
        <v>17</v>
      </c>
      <c r="K490" s="0" t="n">
        <f aca="false">H490-D490</f>
        <v>18</v>
      </c>
      <c r="L490" s="0" t="n">
        <f aca="false">H490-E490</f>
        <v>18</v>
      </c>
      <c r="M490" s="0" t="n">
        <f aca="false">H490-F490</f>
        <v>18</v>
      </c>
      <c r="N490" s="0" t="n">
        <f aca="false">H490-G490</f>
        <v>20</v>
      </c>
      <c r="O490" s="0" t="n">
        <f aca="false">B490+D490+F490</f>
        <v>11</v>
      </c>
      <c r="P490" s="0" t="n">
        <f aca="false">C490+E490+G490</f>
        <v>11</v>
      </c>
    </row>
    <row r="491" customFormat="false" ht="15" hidden="false" customHeight="false" outlineLevel="0" collapsed="false">
      <c r="A491" s="0" t="n">
        <v>492</v>
      </c>
      <c r="B491" s="0" t="n">
        <f aca="false">Raw_Data!AJ492</f>
        <v>4</v>
      </c>
      <c r="C491" s="0" t="n">
        <f aca="false">Raw_Data!AK492</f>
        <v>2</v>
      </c>
      <c r="D491" s="0" t="n">
        <f aca="false">Raw_Data!AL492</f>
        <v>4</v>
      </c>
      <c r="E491" s="0" t="n">
        <f aca="false">Raw_Data!AM492</f>
        <v>4</v>
      </c>
      <c r="F491" s="0" t="n">
        <f aca="false">Raw_Data!AN492</f>
        <v>4</v>
      </c>
      <c r="G491" s="0" t="n">
        <f aca="false">Raw_Data!AO492</f>
        <v>4</v>
      </c>
      <c r="H491" s="0" t="n">
        <f aca="false">SUM(B491:G491)</f>
        <v>22</v>
      </c>
      <c r="I491" s="0" t="n">
        <f aca="false">H491-B491</f>
        <v>18</v>
      </c>
      <c r="J491" s="0" t="n">
        <f aca="false">H491-C491</f>
        <v>20</v>
      </c>
      <c r="K491" s="0" t="n">
        <f aca="false">H491-D491</f>
        <v>18</v>
      </c>
      <c r="L491" s="0" t="n">
        <f aca="false">H491-E491</f>
        <v>18</v>
      </c>
      <c r="M491" s="0" t="n">
        <f aca="false">H491-F491</f>
        <v>18</v>
      </c>
      <c r="N491" s="0" t="n">
        <f aca="false">H491-G491</f>
        <v>18</v>
      </c>
      <c r="O491" s="0" t="n">
        <f aca="false">B491+D491+F491</f>
        <v>12</v>
      </c>
      <c r="P491" s="0" t="n">
        <f aca="false">C491+E491+G491</f>
        <v>10</v>
      </c>
    </row>
    <row r="492" customFormat="false" ht="15" hidden="false" customHeight="false" outlineLevel="0" collapsed="false">
      <c r="A492" s="0" t="n">
        <v>493</v>
      </c>
      <c r="B492" s="0" t="n">
        <f aca="false">Raw_Data!AJ493</f>
        <v>4</v>
      </c>
      <c r="C492" s="0" t="n">
        <f aca="false">Raw_Data!AK493</f>
        <v>4</v>
      </c>
      <c r="D492" s="0" t="n">
        <f aca="false">Raw_Data!AL493</f>
        <v>5</v>
      </c>
      <c r="E492" s="0" t="n">
        <f aca="false">Raw_Data!AM493</f>
        <v>4</v>
      </c>
      <c r="F492" s="0" t="n">
        <f aca="false">Raw_Data!AN493</f>
        <v>5</v>
      </c>
      <c r="G492" s="0" t="n">
        <f aca="false">Raw_Data!AO493</f>
        <v>4</v>
      </c>
      <c r="H492" s="0" t="n">
        <f aca="false">SUM(B492:G492)</f>
        <v>26</v>
      </c>
      <c r="I492" s="0" t="n">
        <f aca="false">H492-B492</f>
        <v>22</v>
      </c>
      <c r="J492" s="0" t="n">
        <f aca="false">H492-C492</f>
        <v>22</v>
      </c>
      <c r="K492" s="0" t="n">
        <f aca="false">H492-D492</f>
        <v>21</v>
      </c>
      <c r="L492" s="0" t="n">
        <f aca="false">H492-E492</f>
        <v>22</v>
      </c>
      <c r="M492" s="0" t="n">
        <f aca="false">H492-F492</f>
        <v>21</v>
      </c>
      <c r="N492" s="0" t="n">
        <f aca="false">H492-G492</f>
        <v>22</v>
      </c>
      <c r="O492" s="0" t="n">
        <f aca="false">B492+D492+F492</f>
        <v>14</v>
      </c>
      <c r="P492" s="0" t="n">
        <f aca="false">C492+E492+G492</f>
        <v>12</v>
      </c>
    </row>
    <row r="493" customFormat="false" ht="15" hidden="false" customHeight="false" outlineLevel="0" collapsed="false">
      <c r="A493" s="0" t="n">
        <v>494</v>
      </c>
      <c r="B493" s="0" t="n">
        <f aca="false">Raw_Data!AJ494</f>
        <v>3</v>
      </c>
      <c r="C493" s="0" t="n">
        <f aca="false">Raw_Data!AK494</f>
        <v>4</v>
      </c>
      <c r="D493" s="0" t="n">
        <f aca="false">Raw_Data!AL494</f>
        <v>3</v>
      </c>
      <c r="E493" s="0" t="n">
        <f aca="false">Raw_Data!AM494</f>
        <v>3</v>
      </c>
      <c r="F493" s="0" t="n">
        <f aca="false">Raw_Data!AN494</f>
        <v>2</v>
      </c>
      <c r="G493" s="0" t="n">
        <f aca="false">Raw_Data!AO494</f>
        <v>1</v>
      </c>
      <c r="H493" s="0" t="n">
        <f aca="false">SUM(B493:G493)</f>
        <v>16</v>
      </c>
      <c r="I493" s="0" t="n">
        <f aca="false">H493-B493</f>
        <v>13</v>
      </c>
      <c r="J493" s="0" t="n">
        <f aca="false">H493-C493</f>
        <v>12</v>
      </c>
      <c r="K493" s="0" t="n">
        <f aca="false">H493-D493</f>
        <v>13</v>
      </c>
      <c r="L493" s="0" t="n">
        <f aca="false">H493-E493</f>
        <v>13</v>
      </c>
      <c r="M493" s="0" t="n">
        <f aca="false">H493-F493</f>
        <v>14</v>
      </c>
      <c r="N493" s="0" t="n">
        <f aca="false">H493-G493</f>
        <v>15</v>
      </c>
      <c r="O493" s="0" t="n">
        <f aca="false">B493+D493+F493</f>
        <v>8</v>
      </c>
      <c r="P493" s="0" t="n">
        <f aca="false">C493+E493+G493</f>
        <v>8</v>
      </c>
    </row>
    <row r="494" customFormat="false" ht="15" hidden="false" customHeight="false" outlineLevel="0" collapsed="false">
      <c r="A494" s="0" t="n">
        <v>495</v>
      </c>
      <c r="B494" s="0" t="n">
        <f aca="false">Raw_Data!AJ495</f>
        <v>3</v>
      </c>
      <c r="C494" s="0" t="n">
        <f aca="false">Raw_Data!AK495</f>
        <v>3</v>
      </c>
      <c r="D494" s="0" t="n">
        <f aca="false">Raw_Data!AL495</f>
        <v>4</v>
      </c>
      <c r="E494" s="0" t="n">
        <f aca="false">Raw_Data!AM495</f>
        <v>4</v>
      </c>
      <c r="F494" s="0" t="n">
        <f aca="false">Raw_Data!AN495</f>
        <v>3</v>
      </c>
      <c r="G494" s="0" t="n">
        <f aca="false">Raw_Data!AO495</f>
        <v>2</v>
      </c>
      <c r="H494" s="0" t="n">
        <f aca="false">SUM(B494:G494)</f>
        <v>19</v>
      </c>
      <c r="I494" s="0" t="n">
        <f aca="false">H494-B494</f>
        <v>16</v>
      </c>
      <c r="J494" s="0" t="n">
        <f aca="false">H494-C494</f>
        <v>16</v>
      </c>
      <c r="K494" s="0" t="n">
        <f aca="false">H494-D494</f>
        <v>15</v>
      </c>
      <c r="L494" s="0" t="n">
        <f aca="false">H494-E494</f>
        <v>15</v>
      </c>
      <c r="M494" s="0" t="n">
        <f aca="false">H494-F494</f>
        <v>16</v>
      </c>
      <c r="N494" s="0" t="n">
        <f aca="false">H494-G494</f>
        <v>17</v>
      </c>
      <c r="O494" s="0" t="n">
        <f aca="false">B494+D494+F494</f>
        <v>10</v>
      </c>
      <c r="P494" s="0" t="n">
        <f aca="false">C494+E494+G494</f>
        <v>9</v>
      </c>
    </row>
    <row r="495" customFormat="false" ht="15" hidden="false" customHeight="false" outlineLevel="0" collapsed="false">
      <c r="A495" s="0" t="n">
        <v>496</v>
      </c>
      <c r="B495" s="0" t="n">
        <f aca="false">Raw_Data!AJ496</f>
        <v>4</v>
      </c>
      <c r="C495" s="0" t="n">
        <f aca="false">Raw_Data!AK496</f>
        <v>2</v>
      </c>
      <c r="D495" s="0" t="n">
        <f aca="false">Raw_Data!AL496</f>
        <v>5</v>
      </c>
      <c r="E495" s="0" t="n">
        <f aca="false">Raw_Data!AM496</f>
        <v>3</v>
      </c>
      <c r="F495" s="0" t="n">
        <f aca="false">Raw_Data!AN496</f>
        <v>2</v>
      </c>
      <c r="G495" s="0" t="n">
        <f aca="false">Raw_Data!AO496</f>
        <v>4</v>
      </c>
      <c r="H495" s="0" t="n">
        <f aca="false">SUM(B495:G495)</f>
        <v>20</v>
      </c>
      <c r="I495" s="0" t="n">
        <f aca="false">H495-B495</f>
        <v>16</v>
      </c>
      <c r="J495" s="0" t="n">
        <f aca="false">H495-C495</f>
        <v>18</v>
      </c>
      <c r="K495" s="0" t="n">
        <f aca="false">H495-D495</f>
        <v>15</v>
      </c>
      <c r="L495" s="0" t="n">
        <f aca="false">H495-E495</f>
        <v>17</v>
      </c>
      <c r="M495" s="0" t="n">
        <f aca="false">H495-F495</f>
        <v>18</v>
      </c>
      <c r="N495" s="0" t="n">
        <f aca="false">H495-G495</f>
        <v>16</v>
      </c>
      <c r="O495" s="0" t="n">
        <f aca="false">B495+D495+F495</f>
        <v>11</v>
      </c>
      <c r="P495" s="0" t="n">
        <f aca="false">C495+E495+G495</f>
        <v>9</v>
      </c>
    </row>
    <row r="496" customFormat="false" ht="15" hidden="false" customHeight="false" outlineLevel="0" collapsed="false">
      <c r="A496" s="0" t="n">
        <v>497</v>
      </c>
      <c r="B496" s="0" t="n">
        <f aca="false">Raw_Data!AJ497</f>
        <v>2</v>
      </c>
      <c r="C496" s="0" t="n">
        <f aca="false">Raw_Data!AK497</f>
        <v>3</v>
      </c>
      <c r="D496" s="0" t="n">
        <f aca="false">Raw_Data!AL497</f>
        <v>4</v>
      </c>
      <c r="E496" s="0" t="n">
        <f aca="false">Raw_Data!AM497</f>
        <v>3</v>
      </c>
      <c r="F496" s="0" t="n">
        <f aca="false">Raw_Data!AN497</f>
        <v>3</v>
      </c>
      <c r="G496" s="0" t="n">
        <f aca="false">Raw_Data!AO497</f>
        <v>3</v>
      </c>
      <c r="H496" s="0" t="n">
        <f aca="false">SUM(B496:G496)</f>
        <v>18</v>
      </c>
      <c r="I496" s="0" t="n">
        <f aca="false">H496-B496</f>
        <v>16</v>
      </c>
      <c r="J496" s="0" t="n">
        <f aca="false">H496-C496</f>
        <v>15</v>
      </c>
      <c r="K496" s="0" t="n">
        <f aca="false">H496-D496</f>
        <v>14</v>
      </c>
      <c r="L496" s="0" t="n">
        <f aca="false">H496-E496</f>
        <v>15</v>
      </c>
      <c r="M496" s="0" t="n">
        <f aca="false">H496-F496</f>
        <v>15</v>
      </c>
      <c r="N496" s="0" t="n">
        <f aca="false">H496-G496</f>
        <v>15</v>
      </c>
      <c r="O496" s="0" t="n">
        <f aca="false">B496+D496+F496</f>
        <v>9</v>
      </c>
      <c r="P496" s="0" t="n">
        <f aca="false">C496+E496+G496</f>
        <v>9</v>
      </c>
    </row>
    <row r="497" customFormat="false" ht="15" hidden="false" customHeight="false" outlineLevel="0" collapsed="false">
      <c r="A497" s="0" t="n">
        <v>498</v>
      </c>
      <c r="B497" s="0" t="n">
        <f aca="false">Raw_Data!AJ498</f>
        <v>4</v>
      </c>
      <c r="C497" s="0" t="n">
        <f aca="false">Raw_Data!AK498</f>
        <v>3</v>
      </c>
      <c r="D497" s="0" t="n">
        <f aca="false">Raw_Data!AL498</f>
        <v>3</v>
      </c>
      <c r="E497" s="0" t="n">
        <f aca="false">Raw_Data!AM498</f>
        <v>3</v>
      </c>
      <c r="F497" s="0" t="n">
        <f aca="false">Raw_Data!AN498</f>
        <v>3</v>
      </c>
      <c r="G497" s="0" t="n">
        <f aca="false">Raw_Data!AO498</f>
        <v>3</v>
      </c>
      <c r="H497" s="0" t="n">
        <f aca="false">SUM(B497:G497)</f>
        <v>19</v>
      </c>
      <c r="I497" s="0" t="n">
        <f aca="false">H497-B497</f>
        <v>15</v>
      </c>
      <c r="J497" s="0" t="n">
        <f aca="false">H497-C497</f>
        <v>16</v>
      </c>
      <c r="K497" s="0" t="n">
        <f aca="false">H497-D497</f>
        <v>16</v>
      </c>
      <c r="L497" s="0" t="n">
        <f aca="false">H497-E497</f>
        <v>16</v>
      </c>
      <c r="M497" s="0" t="n">
        <f aca="false">H497-F497</f>
        <v>16</v>
      </c>
      <c r="N497" s="0" t="n">
        <f aca="false">H497-G497</f>
        <v>16</v>
      </c>
      <c r="O497" s="0" t="n">
        <f aca="false">B497+D497+F497</f>
        <v>10</v>
      </c>
      <c r="P497" s="0" t="n">
        <f aca="false">C497+E497+G497</f>
        <v>9</v>
      </c>
    </row>
    <row r="498" customFormat="false" ht="15" hidden="false" customHeight="false" outlineLevel="0" collapsed="false">
      <c r="A498" s="0" t="n">
        <v>499</v>
      </c>
      <c r="B498" s="0" t="n">
        <f aca="false">Raw_Data!AJ499</f>
        <v>5</v>
      </c>
      <c r="C498" s="0" t="n">
        <f aca="false">Raw_Data!AK499</f>
        <v>2</v>
      </c>
      <c r="D498" s="0" t="n">
        <f aca="false">Raw_Data!AL499</f>
        <v>4</v>
      </c>
      <c r="E498" s="0" t="n">
        <f aca="false">Raw_Data!AM499</f>
        <v>3</v>
      </c>
      <c r="F498" s="0" t="n">
        <f aca="false">Raw_Data!AN499</f>
        <v>3</v>
      </c>
      <c r="G498" s="0" t="n">
        <f aca="false">Raw_Data!AO499</f>
        <v>3</v>
      </c>
      <c r="H498" s="0" t="n">
        <f aca="false">SUM(B498:G498)</f>
        <v>20</v>
      </c>
      <c r="I498" s="0" t="n">
        <f aca="false">H498-B498</f>
        <v>15</v>
      </c>
      <c r="J498" s="0" t="n">
        <f aca="false">H498-C498</f>
        <v>18</v>
      </c>
      <c r="K498" s="0" t="n">
        <f aca="false">H498-D498</f>
        <v>16</v>
      </c>
      <c r="L498" s="0" t="n">
        <f aca="false">H498-E498</f>
        <v>17</v>
      </c>
      <c r="M498" s="0" t="n">
        <f aca="false">H498-F498</f>
        <v>17</v>
      </c>
      <c r="N498" s="0" t="n">
        <f aca="false">H498-G498</f>
        <v>17</v>
      </c>
      <c r="O498" s="0" t="n">
        <f aca="false">B498+D498+F498</f>
        <v>12</v>
      </c>
      <c r="P498" s="0" t="n">
        <f aca="false">C498+E498+G498</f>
        <v>8</v>
      </c>
    </row>
    <row r="499" customFormat="false" ht="15" hidden="false" customHeight="false" outlineLevel="0" collapsed="false">
      <c r="A499" s="0" t="n">
        <v>500</v>
      </c>
      <c r="B499" s="0" t="n">
        <f aca="false">Raw_Data!AJ500</f>
        <v>2</v>
      </c>
      <c r="C499" s="0" t="n">
        <f aca="false">Raw_Data!AK500</f>
        <v>2</v>
      </c>
      <c r="D499" s="0" t="n">
        <f aca="false">Raw_Data!AL500</f>
        <v>5</v>
      </c>
      <c r="E499" s="0" t="n">
        <f aca="false">Raw_Data!AM500</f>
        <v>4</v>
      </c>
      <c r="F499" s="0" t="n">
        <f aca="false">Raw_Data!AN500</f>
        <v>2</v>
      </c>
      <c r="G499" s="0" t="n">
        <f aca="false">Raw_Data!AO500</f>
        <v>4</v>
      </c>
      <c r="H499" s="0" t="n">
        <f aca="false">SUM(B499:G499)</f>
        <v>19</v>
      </c>
      <c r="I499" s="0" t="n">
        <f aca="false">H499-B499</f>
        <v>17</v>
      </c>
      <c r="J499" s="0" t="n">
        <f aca="false">H499-C499</f>
        <v>17</v>
      </c>
      <c r="K499" s="0" t="n">
        <f aca="false">H499-D499</f>
        <v>14</v>
      </c>
      <c r="L499" s="0" t="n">
        <f aca="false">H499-E499</f>
        <v>15</v>
      </c>
      <c r="M499" s="0" t="n">
        <f aca="false">H499-F499</f>
        <v>17</v>
      </c>
      <c r="N499" s="0" t="n">
        <f aca="false">H499-G499</f>
        <v>15</v>
      </c>
      <c r="O499" s="0" t="n">
        <f aca="false">B499+D499+F499</f>
        <v>9</v>
      </c>
      <c r="P499" s="0" t="n">
        <f aca="false">C499+E499+G499</f>
        <v>10</v>
      </c>
    </row>
    <row r="500" customFormat="false" ht="15" hidden="false" customHeight="false" outlineLevel="0" collapsed="false">
      <c r="A500" s="0" t="n">
        <v>501</v>
      </c>
      <c r="B500" s="0" t="n">
        <f aca="false">Raw_Data!AJ501</f>
        <v>4</v>
      </c>
      <c r="C500" s="0" t="n">
        <f aca="false">Raw_Data!AK501</f>
        <v>2</v>
      </c>
      <c r="D500" s="0" t="n">
        <f aca="false">Raw_Data!AL501</f>
        <v>4</v>
      </c>
      <c r="E500" s="0" t="n">
        <f aca="false">Raw_Data!AM501</f>
        <v>3</v>
      </c>
      <c r="F500" s="0" t="n">
        <f aca="false">Raw_Data!AN501</f>
        <v>4</v>
      </c>
      <c r="G500" s="0" t="n">
        <f aca="false">Raw_Data!AO501</f>
        <v>3</v>
      </c>
      <c r="H500" s="0" t="n">
        <f aca="false">SUM(B500:G500)</f>
        <v>20</v>
      </c>
      <c r="I500" s="0" t="n">
        <f aca="false">H500-B500</f>
        <v>16</v>
      </c>
      <c r="J500" s="0" t="n">
        <f aca="false">H500-C500</f>
        <v>18</v>
      </c>
      <c r="K500" s="0" t="n">
        <f aca="false">H500-D500</f>
        <v>16</v>
      </c>
      <c r="L500" s="0" t="n">
        <f aca="false">H500-E500</f>
        <v>17</v>
      </c>
      <c r="M500" s="0" t="n">
        <f aca="false">H500-F500</f>
        <v>16</v>
      </c>
      <c r="N500" s="0" t="n">
        <f aca="false">H500-G500</f>
        <v>17</v>
      </c>
      <c r="O500" s="0" t="n">
        <f aca="false">B500+D500+F500</f>
        <v>12</v>
      </c>
      <c r="P500" s="0" t="n">
        <f aca="false">C500+E500+G500</f>
        <v>8</v>
      </c>
    </row>
    <row r="501" customFormat="false" ht="15" hidden="false" customHeight="false" outlineLevel="0" collapsed="false">
      <c r="A501" s="0" t="n">
        <v>502</v>
      </c>
      <c r="B501" s="0" t="n">
        <f aca="false">Raw_Data!AJ502</f>
        <v>5</v>
      </c>
      <c r="C501" s="0" t="n">
        <f aca="false">Raw_Data!AK502</f>
        <v>5</v>
      </c>
      <c r="D501" s="0" t="n">
        <f aca="false">Raw_Data!AL502</f>
        <v>5</v>
      </c>
      <c r="E501" s="0" t="n">
        <f aca="false">Raw_Data!AM502</f>
        <v>4</v>
      </c>
      <c r="F501" s="0" t="n">
        <f aca="false">Raw_Data!AN502</f>
        <v>3</v>
      </c>
      <c r="G501" s="0" t="n">
        <f aca="false">Raw_Data!AO502</f>
        <v>5</v>
      </c>
      <c r="H501" s="0" t="n">
        <f aca="false">SUM(B501:G501)</f>
        <v>27</v>
      </c>
      <c r="I501" s="0" t="n">
        <f aca="false">H501-B501</f>
        <v>22</v>
      </c>
      <c r="J501" s="0" t="n">
        <f aca="false">H501-C501</f>
        <v>22</v>
      </c>
      <c r="K501" s="0" t="n">
        <f aca="false">H501-D501</f>
        <v>22</v>
      </c>
      <c r="L501" s="0" t="n">
        <f aca="false">H501-E501</f>
        <v>23</v>
      </c>
      <c r="M501" s="0" t="n">
        <f aca="false">H501-F501</f>
        <v>24</v>
      </c>
      <c r="N501" s="0" t="n">
        <f aca="false">H501-G501</f>
        <v>22</v>
      </c>
      <c r="O501" s="0" t="n">
        <f aca="false">B501+D501+F501</f>
        <v>13</v>
      </c>
      <c r="P501" s="0" t="n">
        <f aca="false">C501+E501+G501</f>
        <v>14</v>
      </c>
    </row>
    <row r="502" customFormat="false" ht="15" hidden="false" customHeight="false" outlineLevel="0" collapsed="false">
      <c r="A502" s="0" t="n">
        <v>503</v>
      </c>
      <c r="B502" s="0" t="n">
        <f aca="false">Raw_Data!AJ503</f>
        <v>2</v>
      </c>
      <c r="C502" s="0" t="n">
        <f aca="false">Raw_Data!AK503</f>
        <v>4</v>
      </c>
      <c r="D502" s="0" t="n">
        <f aca="false">Raw_Data!AL503</f>
        <v>5</v>
      </c>
      <c r="E502" s="0" t="n">
        <f aca="false">Raw_Data!AM503</f>
        <v>2</v>
      </c>
      <c r="F502" s="0" t="n">
        <f aca="false">Raw_Data!AN503</f>
        <v>2</v>
      </c>
      <c r="G502" s="0" t="n">
        <f aca="false">Raw_Data!AO503</f>
        <v>4</v>
      </c>
      <c r="H502" s="0" t="n">
        <f aca="false">SUM(B502:G502)</f>
        <v>19</v>
      </c>
      <c r="I502" s="0" t="n">
        <f aca="false">H502-B502</f>
        <v>17</v>
      </c>
      <c r="J502" s="0" t="n">
        <f aca="false">H502-C502</f>
        <v>15</v>
      </c>
      <c r="K502" s="0" t="n">
        <f aca="false">H502-D502</f>
        <v>14</v>
      </c>
      <c r="L502" s="0" t="n">
        <f aca="false">H502-E502</f>
        <v>17</v>
      </c>
      <c r="M502" s="0" t="n">
        <f aca="false">H502-F502</f>
        <v>17</v>
      </c>
      <c r="N502" s="0" t="n">
        <f aca="false">H502-G502</f>
        <v>15</v>
      </c>
      <c r="O502" s="0" t="n">
        <f aca="false">B502+D502+F502</f>
        <v>9</v>
      </c>
      <c r="P502" s="0" t="n">
        <f aca="false">C502+E502+G502</f>
        <v>10</v>
      </c>
    </row>
    <row r="503" customFormat="false" ht="15" hidden="false" customHeight="false" outlineLevel="0" collapsed="false">
      <c r="A503" s="0" t="n">
        <v>504</v>
      </c>
      <c r="B503" s="0" t="n">
        <f aca="false">Raw_Data!AJ504</f>
        <v>5</v>
      </c>
      <c r="C503" s="0" t="n">
        <f aca="false">Raw_Data!AK504</f>
        <v>3</v>
      </c>
      <c r="D503" s="0" t="n">
        <f aca="false">Raw_Data!AL504</f>
        <v>4</v>
      </c>
      <c r="E503" s="0" t="n">
        <f aca="false">Raw_Data!AM504</f>
        <v>3</v>
      </c>
      <c r="F503" s="0" t="n">
        <f aca="false">Raw_Data!AN504</f>
        <v>3</v>
      </c>
      <c r="G503" s="0" t="n">
        <f aca="false">Raw_Data!AO504</f>
        <v>3</v>
      </c>
      <c r="H503" s="0" t="n">
        <f aca="false">SUM(B503:G503)</f>
        <v>21</v>
      </c>
      <c r="I503" s="0" t="n">
        <f aca="false">H503-B503</f>
        <v>16</v>
      </c>
      <c r="J503" s="0" t="n">
        <f aca="false">H503-C503</f>
        <v>18</v>
      </c>
      <c r="K503" s="0" t="n">
        <f aca="false">H503-D503</f>
        <v>17</v>
      </c>
      <c r="L503" s="0" t="n">
        <f aca="false">H503-E503</f>
        <v>18</v>
      </c>
      <c r="M503" s="0" t="n">
        <f aca="false">H503-F503</f>
        <v>18</v>
      </c>
      <c r="N503" s="0" t="n">
        <f aca="false">H503-G503</f>
        <v>18</v>
      </c>
      <c r="O503" s="0" t="n">
        <f aca="false">B503+D503+F503</f>
        <v>12</v>
      </c>
      <c r="P503" s="0" t="n">
        <f aca="false">C503+E503+G503</f>
        <v>9</v>
      </c>
    </row>
    <row r="504" customFormat="false" ht="15" hidden="false" customHeight="false" outlineLevel="0" collapsed="false">
      <c r="A504" s="0" t="n">
        <v>505</v>
      </c>
      <c r="B504" s="0" t="n">
        <f aca="false">Raw_Data!AJ505</f>
        <v>4</v>
      </c>
      <c r="C504" s="0" t="n">
        <f aca="false">Raw_Data!AK505</f>
        <v>3</v>
      </c>
      <c r="D504" s="0" t="n">
        <f aca="false">Raw_Data!AL505</f>
        <v>4</v>
      </c>
      <c r="E504" s="0" t="n">
        <f aca="false">Raw_Data!AM505</f>
        <v>4</v>
      </c>
      <c r="F504" s="0" t="n">
        <f aca="false">Raw_Data!AN505</f>
        <v>4</v>
      </c>
      <c r="G504" s="0" t="n">
        <f aca="false">Raw_Data!AO505</f>
        <v>3</v>
      </c>
      <c r="H504" s="0" t="n">
        <f aca="false">SUM(B504:G504)</f>
        <v>22</v>
      </c>
      <c r="I504" s="0" t="n">
        <f aca="false">H504-B504</f>
        <v>18</v>
      </c>
      <c r="J504" s="0" t="n">
        <f aca="false">H504-C504</f>
        <v>19</v>
      </c>
      <c r="K504" s="0" t="n">
        <f aca="false">H504-D504</f>
        <v>18</v>
      </c>
      <c r="L504" s="0" t="n">
        <f aca="false">H504-E504</f>
        <v>18</v>
      </c>
      <c r="M504" s="0" t="n">
        <f aca="false">H504-F504</f>
        <v>18</v>
      </c>
      <c r="N504" s="0" t="n">
        <f aca="false">H504-G504</f>
        <v>19</v>
      </c>
      <c r="O504" s="0" t="n">
        <f aca="false">B504+D504+F504</f>
        <v>12</v>
      </c>
      <c r="P504" s="0" t="n">
        <f aca="false">C504+E504+G504</f>
        <v>10</v>
      </c>
    </row>
    <row r="505" customFormat="false" ht="15" hidden="false" customHeight="false" outlineLevel="0" collapsed="false">
      <c r="A505" s="0" t="n">
        <v>506</v>
      </c>
      <c r="B505" s="0" t="n">
        <f aca="false">Raw_Data!AJ506</f>
        <v>3</v>
      </c>
      <c r="C505" s="0" t="n">
        <f aca="false">Raw_Data!AK506</f>
        <v>2</v>
      </c>
      <c r="D505" s="0" t="n">
        <f aca="false">Raw_Data!AL506</f>
        <v>5</v>
      </c>
      <c r="E505" s="0" t="n">
        <f aca="false">Raw_Data!AM506</f>
        <v>5</v>
      </c>
      <c r="F505" s="0" t="n">
        <f aca="false">Raw_Data!AN506</f>
        <v>2</v>
      </c>
      <c r="G505" s="0" t="n">
        <f aca="false">Raw_Data!AO506</f>
        <v>2</v>
      </c>
      <c r="H505" s="0" t="n">
        <f aca="false">SUM(B505:G505)</f>
        <v>19</v>
      </c>
      <c r="I505" s="0" t="n">
        <f aca="false">H505-B505</f>
        <v>16</v>
      </c>
      <c r="J505" s="0" t="n">
        <f aca="false">H505-C505</f>
        <v>17</v>
      </c>
      <c r="K505" s="0" t="n">
        <f aca="false">H505-D505</f>
        <v>14</v>
      </c>
      <c r="L505" s="0" t="n">
        <f aca="false">H505-E505</f>
        <v>14</v>
      </c>
      <c r="M505" s="0" t="n">
        <f aca="false">H505-F505</f>
        <v>17</v>
      </c>
      <c r="N505" s="0" t="n">
        <f aca="false">H505-G505</f>
        <v>17</v>
      </c>
      <c r="O505" s="0" t="n">
        <f aca="false">B505+D505+F505</f>
        <v>10</v>
      </c>
      <c r="P505" s="0" t="n">
        <f aca="false">C505+E505+G505</f>
        <v>9</v>
      </c>
    </row>
    <row r="506" customFormat="false" ht="15" hidden="false" customHeight="false" outlineLevel="0" collapsed="false">
      <c r="A506" s="0" t="n">
        <v>507</v>
      </c>
      <c r="B506" s="0" t="n">
        <f aca="false">Raw_Data!AJ507</f>
        <v>2</v>
      </c>
      <c r="C506" s="0" t="n">
        <f aca="false">Raw_Data!AK507</f>
        <v>3</v>
      </c>
      <c r="D506" s="0" t="n">
        <f aca="false">Raw_Data!AL507</f>
        <v>4</v>
      </c>
      <c r="E506" s="0" t="n">
        <f aca="false">Raw_Data!AM507</f>
        <v>3</v>
      </c>
      <c r="F506" s="0" t="n">
        <f aca="false">Raw_Data!AN507</f>
        <v>3</v>
      </c>
      <c r="G506" s="0" t="n">
        <f aca="false">Raw_Data!AO507</f>
        <v>3</v>
      </c>
      <c r="H506" s="0" t="n">
        <f aca="false">SUM(B506:G506)</f>
        <v>18</v>
      </c>
      <c r="I506" s="0" t="n">
        <f aca="false">H506-B506</f>
        <v>16</v>
      </c>
      <c r="J506" s="0" t="n">
        <f aca="false">H506-C506</f>
        <v>15</v>
      </c>
      <c r="K506" s="0" t="n">
        <f aca="false">H506-D506</f>
        <v>14</v>
      </c>
      <c r="L506" s="0" t="n">
        <f aca="false">H506-E506</f>
        <v>15</v>
      </c>
      <c r="M506" s="0" t="n">
        <f aca="false">H506-F506</f>
        <v>15</v>
      </c>
      <c r="N506" s="0" t="n">
        <f aca="false">H506-G506</f>
        <v>15</v>
      </c>
      <c r="O506" s="0" t="n">
        <f aca="false">B506+D506+F506</f>
        <v>9</v>
      </c>
      <c r="P506" s="0" t="n">
        <f aca="false">C506+E506+G506</f>
        <v>9</v>
      </c>
    </row>
    <row r="507" customFormat="false" ht="15" hidden="false" customHeight="false" outlineLevel="0" collapsed="false">
      <c r="A507" s="0" t="n">
        <v>508</v>
      </c>
      <c r="B507" s="0" t="n">
        <f aca="false">Raw_Data!AJ508</f>
        <v>4</v>
      </c>
      <c r="C507" s="0" t="n">
        <f aca="false">Raw_Data!AK508</f>
        <v>4</v>
      </c>
      <c r="D507" s="0" t="n">
        <f aca="false">Raw_Data!AL508</f>
        <v>4</v>
      </c>
      <c r="E507" s="0" t="n">
        <f aca="false">Raw_Data!AM508</f>
        <v>4</v>
      </c>
      <c r="F507" s="0" t="n">
        <f aca="false">Raw_Data!AN508</f>
        <v>4</v>
      </c>
      <c r="G507" s="0" t="n">
        <f aca="false">Raw_Data!AO508</f>
        <v>4</v>
      </c>
      <c r="H507" s="0" t="n">
        <f aca="false">SUM(B507:G507)</f>
        <v>24</v>
      </c>
      <c r="I507" s="0" t="n">
        <f aca="false">H507-B507</f>
        <v>20</v>
      </c>
      <c r="J507" s="0" t="n">
        <f aca="false">H507-C507</f>
        <v>20</v>
      </c>
      <c r="K507" s="0" t="n">
        <f aca="false">H507-D507</f>
        <v>20</v>
      </c>
      <c r="L507" s="0" t="n">
        <f aca="false">H507-E507</f>
        <v>20</v>
      </c>
      <c r="M507" s="0" t="n">
        <f aca="false">H507-F507</f>
        <v>20</v>
      </c>
      <c r="N507" s="0" t="n">
        <f aca="false">H507-G507</f>
        <v>20</v>
      </c>
      <c r="O507" s="0" t="n">
        <f aca="false">B507+D507+F507</f>
        <v>12</v>
      </c>
      <c r="P507" s="0" t="n">
        <f aca="false">C507+E507+G507</f>
        <v>12</v>
      </c>
    </row>
    <row r="508" customFormat="false" ht="15" hidden="false" customHeight="false" outlineLevel="0" collapsed="false">
      <c r="A508" s="0" t="n">
        <v>509</v>
      </c>
      <c r="B508" s="0" t="n">
        <f aca="false">Raw_Data!AJ509</f>
        <v>4</v>
      </c>
      <c r="C508" s="0" t="n">
        <f aca="false">Raw_Data!AK509</f>
        <v>3</v>
      </c>
      <c r="D508" s="0" t="n">
        <f aca="false">Raw_Data!AL509</f>
        <v>4</v>
      </c>
      <c r="E508" s="0" t="n">
        <f aca="false">Raw_Data!AM509</f>
        <v>3</v>
      </c>
      <c r="F508" s="0" t="n">
        <f aca="false">Raw_Data!AN509</f>
        <v>2</v>
      </c>
      <c r="G508" s="0" t="n">
        <f aca="false">Raw_Data!AO509</f>
        <v>3</v>
      </c>
      <c r="H508" s="0" t="n">
        <f aca="false">SUM(B508:G508)</f>
        <v>19</v>
      </c>
      <c r="I508" s="0" t="n">
        <f aca="false">H508-B508</f>
        <v>15</v>
      </c>
      <c r="J508" s="0" t="n">
        <f aca="false">H508-C508</f>
        <v>16</v>
      </c>
      <c r="K508" s="0" t="n">
        <f aca="false">H508-D508</f>
        <v>15</v>
      </c>
      <c r="L508" s="0" t="n">
        <f aca="false">H508-E508</f>
        <v>16</v>
      </c>
      <c r="M508" s="0" t="n">
        <f aca="false">H508-F508</f>
        <v>17</v>
      </c>
      <c r="N508" s="0" t="n">
        <f aca="false">H508-G508</f>
        <v>16</v>
      </c>
      <c r="O508" s="0" t="n">
        <f aca="false">B508+D508+F508</f>
        <v>10</v>
      </c>
      <c r="P508" s="0" t="n">
        <f aca="false">C508+E508+G508</f>
        <v>9</v>
      </c>
    </row>
    <row r="509" customFormat="false" ht="15" hidden="false" customHeight="false" outlineLevel="0" collapsed="false">
      <c r="A509" s="0" t="n">
        <v>510</v>
      </c>
      <c r="B509" s="0" t="n">
        <f aca="false">Raw_Data!AJ510</f>
        <v>4</v>
      </c>
      <c r="C509" s="0" t="n">
        <f aca="false">Raw_Data!AK510</f>
        <v>3</v>
      </c>
      <c r="D509" s="0" t="n">
        <f aca="false">Raw_Data!AL510</f>
        <v>3</v>
      </c>
      <c r="E509" s="0" t="n">
        <f aca="false">Raw_Data!AM510</f>
        <v>4</v>
      </c>
      <c r="F509" s="0" t="n">
        <f aca="false">Raw_Data!AN510</f>
        <v>3</v>
      </c>
      <c r="G509" s="0" t="n">
        <f aca="false">Raw_Data!AO510</f>
        <v>3</v>
      </c>
      <c r="H509" s="0" t="n">
        <f aca="false">SUM(B509:G509)</f>
        <v>20</v>
      </c>
      <c r="I509" s="0" t="n">
        <f aca="false">H509-B509</f>
        <v>16</v>
      </c>
      <c r="J509" s="0" t="n">
        <f aca="false">H509-C509</f>
        <v>17</v>
      </c>
      <c r="K509" s="0" t="n">
        <f aca="false">H509-D509</f>
        <v>17</v>
      </c>
      <c r="L509" s="0" t="n">
        <f aca="false">H509-E509</f>
        <v>16</v>
      </c>
      <c r="M509" s="0" t="n">
        <f aca="false">H509-F509</f>
        <v>17</v>
      </c>
      <c r="N509" s="0" t="n">
        <f aca="false">H509-G509</f>
        <v>17</v>
      </c>
      <c r="O509" s="0" t="n">
        <f aca="false">B509+D509+F509</f>
        <v>10</v>
      </c>
      <c r="P509" s="0" t="n">
        <f aca="false">C509+E509+G509</f>
        <v>10</v>
      </c>
    </row>
    <row r="510" customFormat="false" ht="15" hidden="false" customHeight="false" outlineLevel="0" collapsed="false">
      <c r="A510" s="0" t="n">
        <v>511</v>
      </c>
      <c r="B510" s="0" t="n">
        <f aca="false">Raw_Data!AJ511</f>
        <v>5</v>
      </c>
      <c r="C510" s="0" t="n">
        <f aca="false">Raw_Data!AK511</f>
        <v>2</v>
      </c>
      <c r="D510" s="0" t="n">
        <f aca="false">Raw_Data!AL511</f>
        <v>4</v>
      </c>
      <c r="E510" s="0" t="n">
        <f aca="false">Raw_Data!AM511</f>
        <v>4</v>
      </c>
      <c r="F510" s="0" t="n">
        <f aca="false">Raw_Data!AN511</f>
        <v>4</v>
      </c>
      <c r="G510" s="0" t="n">
        <f aca="false">Raw_Data!AO511</f>
        <v>3</v>
      </c>
      <c r="H510" s="0" t="n">
        <f aca="false">SUM(B510:G510)</f>
        <v>22</v>
      </c>
      <c r="I510" s="0" t="n">
        <f aca="false">H510-B510</f>
        <v>17</v>
      </c>
      <c r="J510" s="0" t="n">
        <f aca="false">H510-C510</f>
        <v>20</v>
      </c>
      <c r="K510" s="0" t="n">
        <f aca="false">H510-D510</f>
        <v>18</v>
      </c>
      <c r="L510" s="0" t="n">
        <f aca="false">H510-E510</f>
        <v>18</v>
      </c>
      <c r="M510" s="0" t="n">
        <f aca="false">H510-F510</f>
        <v>18</v>
      </c>
      <c r="N510" s="0" t="n">
        <f aca="false">H510-G510</f>
        <v>19</v>
      </c>
      <c r="O510" s="0" t="n">
        <f aca="false">B510+D510+F510</f>
        <v>13</v>
      </c>
      <c r="P510" s="0" t="n">
        <f aca="false">C510+E510+G510</f>
        <v>9</v>
      </c>
    </row>
    <row r="512" customFormat="false" ht="15" hidden="false" customHeight="false" outlineLevel="0" collapsed="false">
      <c r="A512" s="11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5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6" t="s">
        <v>165</v>
      </c>
      <c r="B1" s="16" t="s">
        <v>166</v>
      </c>
      <c r="C1" s="16" t="s">
        <v>167</v>
      </c>
      <c r="D1" s="16" t="s">
        <v>168</v>
      </c>
      <c r="E1" s="16" t="s">
        <v>169</v>
      </c>
      <c r="F1" s="16" t="s">
        <v>170</v>
      </c>
      <c r="G1" s="16" t="s">
        <v>171</v>
      </c>
      <c r="H1" s="16" t="s">
        <v>172</v>
      </c>
      <c r="I1" s="16" t="s">
        <v>173</v>
      </c>
      <c r="J1" s="16" t="s">
        <v>174</v>
      </c>
      <c r="K1" s="16" t="s">
        <v>175</v>
      </c>
      <c r="L1" s="16" t="s">
        <v>176</v>
      </c>
      <c r="M1" s="16" t="s">
        <v>177</v>
      </c>
      <c r="N1" s="16" t="s">
        <v>178</v>
      </c>
      <c r="O1" s="16" t="s">
        <v>179</v>
      </c>
      <c r="P1" s="16" t="s">
        <v>180</v>
      </c>
      <c r="Q1" s="16" t="s">
        <v>181</v>
      </c>
      <c r="R1" s="16" t="s">
        <v>182</v>
      </c>
      <c r="S1" s="16" t="s">
        <v>183</v>
      </c>
      <c r="T1" s="16" t="s">
        <v>184</v>
      </c>
      <c r="U1" s="16" t="s">
        <v>185</v>
      </c>
      <c r="V1" s="16" t="s">
        <v>186</v>
      </c>
      <c r="W1" s="16" t="s">
        <v>187</v>
      </c>
      <c r="X1" s="16" t="s">
        <v>188</v>
      </c>
      <c r="Y1" s="16" t="s">
        <v>189</v>
      </c>
      <c r="Z1" s="16" t="s">
        <v>190</v>
      </c>
      <c r="AA1" s="16" t="s">
        <v>191</v>
      </c>
      <c r="AB1" s="16" t="s">
        <v>192</v>
      </c>
      <c r="AC1" s="16" t="s">
        <v>193</v>
      </c>
      <c r="AD1" s="16" t="s">
        <v>194</v>
      </c>
      <c r="AE1" s="16" t="s">
        <v>195</v>
      </c>
      <c r="AF1" s="16" t="s">
        <v>196</v>
      </c>
      <c r="AG1" s="16" t="s">
        <v>197</v>
      </c>
      <c r="AH1" s="16" t="s">
        <v>198</v>
      </c>
      <c r="AI1" s="16" t="s">
        <v>199</v>
      </c>
      <c r="AJ1" s="16" t="s">
        <v>38</v>
      </c>
      <c r="AK1" s="16" t="s">
        <v>40</v>
      </c>
      <c r="AL1" s="16" t="s">
        <v>42</v>
      </c>
      <c r="AM1" s="16" t="s">
        <v>44</v>
      </c>
      <c r="AN1" s="16" t="s">
        <v>46</v>
      </c>
      <c r="AO1" s="16" t="s">
        <v>48</v>
      </c>
    </row>
    <row r="2" customFormat="false" ht="15" hidden="false" customHeight="false" outlineLevel="0" collapsed="false">
      <c r="A2" s="3" t="n">
        <v>0</v>
      </c>
      <c r="B2" s="3" t="n">
        <v>4</v>
      </c>
      <c r="C2" s="3" t="n">
        <v>2</v>
      </c>
      <c r="D2" s="3" t="n">
        <v>1</v>
      </c>
      <c r="E2" s="3" t="n">
        <v>2</v>
      </c>
      <c r="F2" s="3" t="n">
        <v>2</v>
      </c>
      <c r="G2" s="3" t="n">
        <v>4</v>
      </c>
      <c r="H2" s="3" t="n">
        <v>2</v>
      </c>
      <c r="I2" s="3" t="n">
        <v>3</v>
      </c>
      <c r="J2" s="3" t="n">
        <v>27</v>
      </c>
      <c r="K2" s="3" t="n">
        <v>4</v>
      </c>
      <c r="L2" s="3" t="n">
        <v>5</v>
      </c>
      <c r="M2" s="3" t="n">
        <v>4</v>
      </c>
      <c r="N2" s="3" t="n">
        <v>4</v>
      </c>
      <c r="O2" s="3" t="n">
        <v>5</v>
      </c>
      <c r="P2" s="3" t="n">
        <v>2</v>
      </c>
      <c r="Q2" s="3" t="n">
        <v>4</v>
      </c>
      <c r="R2" s="3" t="n">
        <v>5</v>
      </c>
      <c r="S2" s="3" t="n">
        <v>4</v>
      </c>
      <c r="T2" s="3" t="n">
        <v>5</v>
      </c>
      <c r="U2" s="3" t="n">
        <v>5</v>
      </c>
      <c r="V2" s="3" t="n">
        <v>4</v>
      </c>
      <c r="W2" s="3" t="n">
        <v>4</v>
      </c>
      <c r="X2" s="3" t="n">
        <v>5</v>
      </c>
      <c r="Y2" s="3" t="n">
        <v>3</v>
      </c>
      <c r="Z2" s="3" t="n">
        <v>4</v>
      </c>
      <c r="AA2" s="3" t="n">
        <v>4</v>
      </c>
      <c r="AB2" s="3" t="n">
        <v>4</v>
      </c>
      <c r="AC2" s="3" t="n">
        <v>4</v>
      </c>
      <c r="AD2" s="3" t="n">
        <v>5</v>
      </c>
      <c r="AE2" s="3" t="n">
        <v>5</v>
      </c>
      <c r="AF2" s="3" t="n">
        <v>3</v>
      </c>
      <c r="AG2" s="3" t="n">
        <v>3</v>
      </c>
      <c r="AH2" s="3" t="n">
        <v>5</v>
      </c>
      <c r="AI2" s="3" t="n">
        <v>5</v>
      </c>
      <c r="AJ2" s="3" t="n">
        <v>4</v>
      </c>
      <c r="AK2" s="3" t="n">
        <v>5</v>
      </c>
      <c r="AL2" s="3" t="n">
        <v>4</v>
      </c>
      <c r="AM2" s="3" t="n">
        <v>4</v>
      </c>
      <c r="AN2" s="3" t="n">
        <v>4</v>
      </c>
      <c r="AO2" s="3" t="n">
        <v>4</v>
      </c>
    </row>
    <row r="3" customFormat="false" ht="15" hidden="false" customHeight="false" outlineLevel="0" collapsed="false">
      <c r="A3" s="3" t="n">
        <v>0</v>
      </c>
      <c r="B3" s="3" t="n">
        <v>4</v>
      </c>
      <c r="C3" s="3" t="n">
        <v>1</v>
      </c>
      <c r="D3" s="3" t="n">
        <v>1</v>
      </c>
      <c r="E3" s="3" t="n">
        <v>2</v>
      </c>
      <c r="F3" s="3" t="n">
        <v>2</v>
      </c>
      <c r="G3" s="3" t="n">
        <v>3</v>
      </c>
      <c r="H3" s="3" t="n">
        <v>2</v>
      </c>
      <c r="I3" s="3" t="n">
        <v>1</v>
      </c>
      <c r="J3" s="3" t="n">
        <v>22</v>
      </c>
      <c r="K3" s="3" t="n">
        <v>2</v>
      </c>
      <c r="L3" s="3" t="n">
        <v>3</v>
      </c>
      <c r="M3" s="3" t="n">
        <v>4</v>
      </c>
      <c r="N3" s="3" t="n">
        <v>3</v>
      </c>
      <c r="O3" s="3" t="n">
        <v>5</v>
      </c>
      <c r="P3" s="3" t="n">
        <v>4</v>
      </c>
      <c r="Q3" s="3" t="n">
        <v>4</v>
      </c>
      <c r="R3" s="3" t="n">
        <v>2</v>
      </c>
      <c r="S3" s="3" t="n">
        <v>5</v>
      </c>
      <c r="T3" s="3" t="n">
        <v>5</v>
      </c>
      <c r="U3" s="3" t="n">
        <v>5</v>
      </c>
      <c r="V3" s="3" t="n">
        <v>4</v>
      </c>
      <c r="W3" s="3" t="n">
        <v>3</v>
      </c>
      <c r="X3" s="3" t="n">
        <v>4</v>
      </c>
      <c r="Y3" s="3" t="n">
        <v>5</v>
      </c>
      <c r="Z3" s="3" t="n">
        <v>4</v>
      </c>
      <c r="AA3" s="3" t="n">
        <v>3</v>
      </c>
      <c r="AB3" s="3" t="n">
        <v>2</v>
      </c>
      <c r="AC3" s="3" t="n">
        <v>1</v>
      </c>
      <c r="AD3" s="3" t="n">
        <v>1</v>
      </c>
      <c r="AE3" s="3" t="n">
        <v>4</v>
      </c>
      <c r="AF3" s="3" t="n">
        <v>4</v>
      </c>
      <c r="AG3" s="3" t="n">
        <v>3</v>
      </c>
      <c r="AH3" s="3" t="n">
        <v>4</v>
      </c>
      <c r="AI3" s="3" t="n">
        <v>3</v>
      </c>
      <c r="AJ3" s="3" t="n">
        <v>4</v>
      </c>
      <c r="AK3" s="3" t="n">
        <v>1</v>
      </c>
      <c r="AL3" s="3" t="n">
        <v>5</v>
      </c>
      <c r="AM3" s="3" t="n">
        <v>3</v>
      </c>
      <c r="AN3" s="3" t="n">
        <v>2</v>
      </c>
      <c r="AO3" s="3" t="n">
        <v>3</v>
      </c>
    </row>
    <row r="4" customFormat="false" ht="15" hidden="false" customHeight="false" outlineLevel="0" collapsed="false">
      <c r="A4" s="3" t="n">
        <v>1</v>
      </c>
      <c r="B4" s="3" t="n">
        <v>1</v>
      </c>
      <c r="C4" s="3" t="n">
        <v>1</v>
      </c>
      <c r="D4" s="3" t="n">
        <v>1</v>
      </c>
      <c r="E4" s="3" t="n">
        <v>2</v>
      </c>
      <c r="F4" s="3" t="n">
        <v>2</v>
      </c>
      <c r="G4" s="3" t="n">
        <v>3</v>
      </c>
      <c r="H4" s="3" t="n">
        <v>2</v>
      </c>
      <c r="I4" s="3" t="n">
        <v>3</v>
      </c>
      <c r="J4" s="3" t="n">
        <v>27</v>
      </c>
      <c r="K4" s="3" t="n">
        <v>3</v>
      </c>
      <c r="L4" s="3" t="n">
        <v>3</v>
      </c>
      <c r="M4" s="3" t="n">
        <v>3</v>
      </c>
      <c r="N4" s="3" t="n">
        <v>3</v>
      </c>
      <c r="O4" s="3" t="n">
        <v>4</v>
      </c>
      <c r="P4" s="3" t="n">
        <v>3</v>
      </c>
      <c r="Q4" s="3" t="n">
        <v>2</v>
      </c>
      <c r="R4" s="3" t="n">
        <v>4</v>
      </c>
      <c r="S4" s="3" t="n">
        <v>4</v>
      </c>
      <c r="T4" s="3" t="n">
        <v>4</v>
      </c>
      <c r="U4" s="3" t="n">
        <v>3</v>
      </c>
      <c r="V4" s="3" t="n">
        <v>4</v>
      </c>
      <c r="W4" s="3" t="n">
        <v>5</v>
      </c>
      <c r="X4" s="3" t="n">
        <v>4</v>
      </c>
      <c r="Y4" s="3" t="n">
        <v>4</v>
      </c>
      <c r="Z4" s="3" t="n">
        <v>4</v>
      </c>
      <c r="AA4" s="3" t="n">
        <v>4</v>
      </c>
      <c r="AB4" s="3" t="n">
        <v>2</v>
      </c>
      <c r="AC4" s="3" t="n">
        <v>2</v>
      </c>
      <c r="AD4" s="3" t="n">
        <v>2</v>
      </c>
      <c r="AE4" s="3" t="n">
        <v>3</v>
      </c>
      <c r="AF4" s="3" t="n">
        <v>2</v>
      </c>
      <c r="AG4" s="3" t="n">
        <v>4</v>
      </c>
      <c r="AH4" s="3" t="n">
        <v>4</v>
      </c>
      <c r="AI4" s="3" t="n">
        <v>4</v>
      </c>
      <c r="AJ4" s="3" t="n">
        <v>4</v>
      </c>
      <c r="AK4" s="3" t="n">
        <v>3</v>
      </c>
      <c r="AL4" s="3" t="n">
        <v>4</v>
      </c>
      <c r="AM4" s="3" t="n">
        <v>4</v>
      </c>
      <c r="AN4" s="3" t="n">
        <v>3</v>
      </c>
      <c r="AO4" s="3" t="n">
        <v>3</v>
      </c>
    </row>
    <row r="5" customFormat="false" ht="15" hidden="false" customHeight="false" outlineLevel="0" collapsed="false">
      <c r="A5" s="3" t="n">
        <v>0</v>
      </c>
      <c r="B5" s="3" t="n">
        <v>4</v>
      </c>
      <c r="C5" s="3" t="n">
        <v>1</v>
      </c>
      <c r="D5" s="3" t="n">
        <v>1</v>
      </c>
      <c r="E5" s="3" t="n">
        <v>2</v>
      </c>
      <c r="F5" s="3" t="n">
        <v>2</v>
      </c>
      <c r="G5" s="3" t="n">
        <v>2</v>
      </c>
      <c r="H5" s="3" t="n">
        <v>3</v>
      </c>
      <c r="I5" s="3" t="n">
        <v>2</v>
      </c>
      <c r="J5" s="3" t="n">
        <v>24</v>
      </c>
      <c r="K5" s="3" t="n">
        <v>3</v>
      </c>
      <c r="L5" s="3" t="n">
        <v>4</v>
      </c>
      <c r="M5" s="3" t="n">
        <v>2</v>
      </c>
      <c r="N5" s="3" t="n">
        <v>2</v>
      </c>
      <c r="O5" s="3" t="n">
        <v>3</v>
      </c>
      <c r="P5" s="3" t="n">
        <v>2</v>
      </c>
      <c r="Q5" s="3" t="n">
        <v>4</v>
      </c>
      <c r="R5" s="3" t="n">
        <v>2</v>
      </c>
      <c r="S5" s="3" t="n">
        <v>4</v>
      </c>
      <c r="T5" s="3" t="n">
        <v>4</v>
      </c>
      <c r="U5" s="3" t="n">
        <v>5</v>
      </c>
      <c r="V5" s="3" t="n">
        <v>4</v>
      </c>
      <c r="W5" s="3" t="n">
        <v>4</v>
      </c>
      <c r="X5" s="3" t="n">
        <v>4</v>
      </c>
      <c r="Y5" s="3" t="n">
        <v>3</v>
      </c>
      <c r="Z5" s="3" t="n">
        <v>3</v>
      </c>
      <c r="AA5" s="3" t="n">
        <v>4</v>
      </c>
      <c r="AB5" s="3" t="n">
        <v>4</v>
      </c>
      <c r="AC5" s="3" t="n">
        <v>2</v>
      </c>
      <c r="AD5" s="3" t="n">
        <v>2</v>
      </c>
      <c r="AE5" s="3" t="n">
        <v>4</v>
      </c>
      <c r="AF5" s="3" t="n">
        <v>3</v>
      </c>
      <c r="AG5" s="3" t="n">
        <v>4</v>
      </c>
      <c r="AH5" s="3" t="n">
        <v>4</v>
      </c>
      <c r="AI5" s="3" t="n">
        <v>4</v>
      </c>
      <c r="AJ5" s="3" t="n">
        <v>4</v>
      </c>
      <c r="AK5" s="3" t="n">
        <v>3</v>
      </c>
      <c r="AL5" s="3" t="n">
        <v>4</v>
      </c>
      <c r="AM5" s="3" t="n">
        <v>3</v>
      </c>
      <c r="AN5" s="3" t="n">
        <v>2</v>
      </c>
      <c r="AO5" s="3" t="n">
        <v>2</v>
      </c>
    </row>
    <row r="6" customFormat="false" ht="15" hidden="false" customHeight="false" outlineLevel="0" collapsed="false">
      <c r="A6" s="3" t="n">
        <v>1</v>
      </c>
      <c r="B6" s="3" t="n">
        <v>4</v>
      </c>
      <c r="C6" s="3" t="n">
        <v>1</v>
      </c>
      <c r="D6" s="3" t="n">
        <v>2</v>
      </c>
      <c r="E6" s="3" t="n">
        <v>2</v>
      </c>
      <c r="F6" s="3" t="n">
        <v>2</v>
      </c>
      <c r="G6" s="3" t="n">
        <v>4</v>
      </c>
      <c r="H6" s="3" t="n">
        <v>2</v>
      </c>
      <c r="I6" s="3" t="n">
        <v>3</v>
      </c>
      <c r="J6" s="3" t="n">
        <v>24</v>
      </c>
      <c r="K6" s="3" t="n">
        <v>3</v>
      </c>
      <c r="L6" s="3" t="n">
        <v>4</v>
      </c>
      <c r="M6" s="3" t="n">
        <v>4</v>
      </c>
      <c r="N6" s="3" t="n">
        <v>3</v>
      </c>
      <c r="O6" s="3" t="n">
        <v>5</v>
      </c>
      <c r="P6" s="3" t="n">
        <v>2</v>
      </c>
      <c r="Q6" s="3" t="n">
        <v>3</v>
      </c>
      <c r="R6" s="3" t="n">
        <v>4</v>
      </c>
      <c r="S6" s="3" t="n">
        <v>5</v>
      </c>
      <c r="T6" s="3" t="n">
        <v>5</v>
      </c>
      <c r="U6" s="3" t="n">
        <v>5</v>
      </c>
      <c r="V6" s="3" t="n">
        <v>3</v>
      </c>
      <c r="W6" s="3" t="n">
        <v>3</v>
      </c>
      <c r="X6" s="3" t="n">
        <v>4</v>
      </c>
      <c r="Y6" s="3" t="n">
        <v>1</v>
      </c>
      <c r="Z6" s="3" t="n">
        <v>4</v>
      </c>
      <c r="AA6" s="3" t="n">
        <v>3</v>
      </c>
      <c r="AB6" s="3" t="n">
        <v>3</v>
      </c>
      <c r="AC6" s="3" t="n">
        <v>1</v>
      </c>
      <c r="AD6" s="3" t="n">
        <v>1</v>
      </c>
      <c r="AE6" s="3" t="n">
        <v>4</v>
      </c>
      <c r="AF6" s="3" t="n">
        <v>3</v>
      </c>
      <c r="AG6" s="3" t="n">
        <v>4</v>
      </c>
      <c r="AH6" s="3" t="n">
        <v>3</v>
      </c>
      <c r="AI6" s="3" t="n">
        <v>3</v>
      </c>
      <c r="AJ6" s="3" t="n">
        <v>3</v>
      </c>
      <c r="AK6" s="3" t="n">
        <v>5</v>
      </c>
      <c r="AL6" s="3" t="n">
        <v>5</v>
      </c>
      <c r="AM6" s="3" t="n">
        <v>4</v>
      </c>
      <c r="AN6" s="3" t="n">
        <v>4</v>
      </c>
      <c r="AO6" s="3" t="n">
        <v>4</v>
      </c>
    </row>
    <row r="7" customFormat="false" ht="15" hidden="false" customHeight="false" outlineLevel="0" collapsed="false">
      <c r="A7" s="3" t="n">
        <v>0</v>
      </c>
      <c r="B7" s="3" t="n">
        <v>4</v>
      </c>
      <c r="C7" s="3" t="n">
        <v>1</v>
      </c>
      <c r="D7" s="3" t="n">
        <v>1</v>
      </c>
      <c r="E7" s="3" t="n">
        <v>2</v>
      </c>
      <c r="F7" s="3" t="n">
        <v>2</v>
      </c>
      <c r="G7" s="3" t="n">
        <v>4</v>
      </c>
      <c r="H7" s="3" t="n">
        <v>2</v>
      </c>
      <c r="I7" s="3" t="n">
        <v>1</v>
      </c>
      <c r="J7" s="3" t="n">
        <v>23</v>
      </c>
      <c r="K7" s="3" t="n">
        <v>3</v>
      </c>
      <c r="L7" s="3" t="n">
        <v>5</v>
      </c>
      <c r="M7" s="3" t="n">
        <v>4</v>
      </c>
      <c r="N7" s="3" t="n">
        <v>4</v>
      </c>
      <c r="O7" s="3" t="n">
        <v>5</v>
      </c>
      <c r="P7" s="3" t="n">
        <v>4</v>
      </c>
      <c r="Q7" s="3" t="n">
        <v>4</v>
      </c>
      <c r="R7" s="3" t="n">
        <v>5</v>
      </c>
      <c r="S7" s="3" t="n">
        <v>3</v>
      </c>
      <c r="T7" s="3" t="n">
        <v>5</v>
      </c>
      <c r="U7" s="3" t="n">
        <v>5</v>
      </c>
      <c r="V7" s="3" t="n">
        <v>4</v>
      </c>
      <c r="W7" s="3" t="n">
        <v>4</v>
      </c>
      <c r="X7" s="3" t="n">
        <v>5</v>
      </c>
      <c r="Y7" s="3" t="n">
        <v>2</v>
      </c>
      <c r="Z7" s="3" t="n">
        <v>4</v>
      </c>
      <c r="AA7" s="3" t="n">
        <v>4</v>
      </c>
      <c r="AB7" s="3" t="n">
        <v>4</v>
      </c>
      <c r="AC7" s="3" t="n">
        <v>4</v>
      </c>
      <c r="AD7" s="3" t="n">
        <v>4</v>
      </c>
      <c r="AE7" s="3" t="n">
        <v>5</v>
      </c>
      <c r="AF7" s="3" t="n">
        <v>3</v>
      </c>
      <c r="AG7" s="3" t="n">
        <v>4</v>
      </c>
      <c r="AH7" s="3" t="n">
        <v>4</v>
      </c>
      <c r="AI7" s="3" t="n">
        <v>5</v>
      </c>
      <c r="AJ7" s="3" t="n">
        <v>3</v>
      </c>
      <c r="AK7" s="3" t="n">
        <v>5</v>
      </c>
      <c r="AL7" s="3" t="n">
        <v>3</v>
      </c>
      <c r="AM7" s="3" t="n">
        <v>3</v>
      </c>
      <c r="AN7" s="3" t="n">
        <v>4</v>
      </c>
      <c r="AO7" s="3" t="n">
        <v>3</v>
      </c>
    </row>
    <row r="8" customFormat="false" ht="15" hidden="false" customHeight="false" outlineLevel="0" collapsed="false">
      <c r="A8" s="3" t="n">
        <v>1</v>
      </c>
      <c r="B8" s="3" t="n">
        <v>6</v>
      </c>
      <c r="C8" s="3" t="n">
        <v>1</v>
      </c>
      <c r="D8" s="3" t="n">
        <v>1</v>
      </c>
      <c r="E8" s="3" t="n">
        <v>2</v>
      </c>
      <c r="F8" s="3" t="n">
        <v>2</v>
      </c>
      <c r="G8" s="3" t="n">
        <v>3</v>
      </c>
      <c r="H8" s="3" t="n">
        <v>1</v>
      </c>
      <c r="I8" s="3" t="n">
        <v>1</v>
      </c>
      <c r="J8" s="3" t="n">
        <v>21</v>
      </c>
      <c r="K8" s="3" t="n">
        <v>3</v>
      </c>
      <c r="L8" s="3" t="n">
        <v>4</v>
      </c>
      <c r="M8" s="3" t="n">
        <v>4</v>
      </c>
      <c r="N8" s="3" t="n">
        <v>4</v>
      </c>
      <c r="O8" s="3" t="n">
        <v>3</v>
      </c>
      <c r="P8" s="3" t="n">
        <v>2</v>
      </c>
      <c r="Q8" s="3" t="n">
        <v>3</v>
      </c>
      <c r="R8" s="3" t="n">
        <v>3</v>
      </c>
      <c r="S8" s="3" t="n">
        <v>4</v>
      </c>
      <c r="T8" s="3" t="n">
        <v>4</v>
      </c>
      <c r="U8" s="3" t="n">
        <v>4</v>
      </c>
      <c r="V8" s="3" t="n">
        <v>3</v>
      </c>
      <c r="W8" s="3" t="n">
        <v>4</v>
      </c>
      <c r="X8" s="3" t="n">
        <v>4</v>
      </c>
      <c r="Y8" s="3" t="n">
        <v>2</v>
      </c>
      <c r="Z8" s="3" t="n">
        <v>4</v>
      </c>
      <c r="AA8" s="3" t="n">
        <v>4</v>
      </c>
      <c r="AB8" s="3" t="n">
        <v>4</v>
      </c>
      <c r="AC8" s="3" t="n">
        <v>2</v>
      </c>
      <c r="AD8" s="3" t="n">
        <v>2</v>
      </c>
      <c r="AE8" s="3" t="n">
        <v>4</v>
      </c>
      <c r="AF8" s="3" t="n">
        <v>4</v>
      </c>
      <c r="AG8" s="3" t="n">
        <v>4</v>
      </c>
      <c r="AH8" s="3" t="n">
        <v>2</v>
      </c>
      <c r="AI8" s="3" t="n">
        <v>3</v>
      </c>
      <c r="AJ8" s="3" t="n">
        <v>4</v>
      </c>
      <c r="AK8" s="3" t="n">
        <v>2</v>
      </c>
      <c r="AL8" s="3" t="n">
        <v>5</v>
      </c>
      <c r="AM8" s="3" t="n">
        <v>3</v>
      </c>
      <c r="AN8" s="3" t="n">
        <v>3</v>
      </c>
      <c r="AO8" s="3" t="n">
        <v>3</v>
      </c>
    </row>
    <row r="9" customFormat="false" ht="15" hidden="false" customHeight="false" outlineLevel="0" collapsed="false">
      <c r="B9" s="3" t="n">
        <v>1</v>
      </c>
      <c r="C9" s="3" t="n">
        <v>1</v>
      </c>
      <c r="D9" s="3" t="n">
        <v>1</v>
      </c>
      <c r="E9" s="3" t="n">
        <v>2</v>
      </c>
      <c r="F9" s="3" t="n">
        <v>2</v>
      </c>
      <c r="G9" s="3" t="n">
        <v>1</v>
      </c>
      <c r="H9" s="3" t="n">
        <v>2</v>
      </c>
      <c r="I9" s="3" t="n">
        <v>1</v>
      </c>
      <c r="J9" s="3" t="n">
        <v>23</v>
      </c>
      <c r="K9" s="3" t="n">
        <v>2</v>
      </c>
      <c r="L9" s="3" t="n">
        <v>2</v>
      </c>
      <c r="M9" s="3" t="n">
        <v>4</v>
      </c>
      <c r="N9" s="3" t="n">
        <v>3</v>
      </c>
      <c r="O9" s="3" t="n">
        <v>4</v>
      </c>
      <c r="P9" s="3" t="n">
        <v>4</v>
      </c>
      <c r="Q9" s="3" t="n">
        <v>4</v>
      </c>
      <c r="R9" s="3" t="n">
        <v>2</v>
      </c>
      <c r="S9" s="3" t="n">
        <v>4</v>
      </c>
      <c r="T9" s="3" t="n">
        <v>5</v>
      </c>
      <c r="U9" s="3" t="n">
        <v>4</v>
      </c>
      <c r="V9" s="3" t="n">
        <v>3</v>
      </c>
      <c r="W9" s="3" t="n">
        <v>4</v>
      </c>
      <c r="X9" s="3" t="n">
        <v>4</v>
      </c>
      <c r="Y9" s="3" t="n">
        <v>4</v>
      </c>
      <c r="Z9" s="3" t="n">
        <v>4</v>
      </c>
      <c r="AA9" s="3" t="n">
        <v>4</v>
      </c>
      <c r="AB9" s="3" t="n">
        <v>4</v>
      </c>
      <c r="AC9" s="3" t="n">
        <v>2</v>
      </c>
      <c r="AD9" s="3" t="n">
        <v>3</v>
      </c>
      <c r="AE9" s="3" t="n">
        <v>3</v>
      </c>
      <c r="AF9" s="3" t="n">
        <v>3</v>
      </c>
      <c r="AG9" s="3" t="n">
        <v>3</v>
      </c>
      <c r="AH9" s="3" t="n">
        <v>3</v>
      </c>
      <c r="AI9" s="3" t="n">
        <v>2</v>
      </c>
      <c r="AJ9" s="3" t="n">
        <v>3</v>
      </c>
      <c r="AK9" s="3" t="n">
        <v>4</v>
      </c>
      <c r="AL9" s="3" t="n">
        <v>4</v>
      </c>
      <c r="AM9" s="3" t="n">
        <v>4</v>
      </c>
      <c r="AN9" s="3" t="n">
        <v>2</v>
      </c>
      <c r="AO9" s="3" t="n">
        <v>4</v>
      </c>
    </row>
    <row r="10" customFormat="false" ht="15" hidden="false" customHeight="false" outlineLevel="0" collapsed="false">
      <c r="A10" s="3" t="n">
        <v>1</v>
      </c>
      <c r="B10" s="3" t="n">
        <v>4</v>
      </c>
      <c r="C10" s="3" t="n">
        <v>2</v>
      </c>
      <c r="D10" s="3" t="n">
        <v>2</v>
      </c>
      <c r="E10" s="3" t="n">
        <v>2</v>
      </c>
      <c r="F10" s="3" t="n">
        <v>2</v>
      </c>
      <c r="G10" s="3" t="n">
        <v>3</v>
      </c>
      <c r="H10" s="3" t="n">
        <v>2</v>
      </c>
      <c r="I10" s="3" t="n">
        <v>1</v>
      </c>
      <c r="J10" s="3" t="n">
        <v>22</v>
      </c>
      <c r="K10" s="3" t="n">
        <v>3</v>
      </c>
      <c r="L10" s="3" t="n">
        <v>2</v>
      </c>
      <c r="M10" s="3" t="n">
        <v>3</v>
      </c>
      <c r="N10" s="3" t="n">
        <v>4</v>
      </c>
      <c r="O10" s="3" t="n">
        <v>4</v>
      </c>
      <c r="P10" s="3" t="n">
        <v>4</v>
      </c>
      <c r="Q10" s="3" t="n">
        <v>3</v>
      </c>
      <c r="R10" s="3" t="n">
        <v>2</v>
      </c>
      <c r="S10" s="3" t="n">
        <v>4</v>
      </c>
      <c r="T10" s="3" t="n">
        <v>5</v>
      </c>
      <c r="U10" s="3" t="n">
        <v>5</v>
      </c>
      <c r="V10" s="3" t="n">
        <v>3</v>
      </c>
      <c r="W10" s="3" t="n">
        <v>5</v>
      </c>
      <c r="X10" s="3" t="n">
        <v>3</v>
      </c>
      <c r="Y10" s="3" t="n">
        <v>4</v>
      </c>
      <c r="Z10" s="3" t="n">
        <v>5</v>
      </c>
      <c r="AA10" s="3" t="n">
        <v>4</v>
      </c>
      <c r="AB10" s="3" t="n">
        <v>2</v>
      </c>
      <c r="AC10" s="3" t="n">
        <v>2</v>
      </c>
      <c r="AD10" s="3" t="n">
        <v>3</v>
      </c>
      <c r="AE10" s="3" t="n">
        <v>3</v>
      </c>
      <c r="AF10" s="3" t="n">
        <v>4</v>
      </c>
      <c r="AG10" s="3" t="n">
        <v>4</v>
      </c>
      <c r="AH10" s="3" t="n">
        <v>4</v>
      </c>
      <c r="AI10" s="3" t="n">
        <v>4</v>
      </c>
      <c r="AJ10" s="3" t="n">
        <v>4</v>
      </c>
      <c r="AK10" s="3" t="n">
        <v>5</v>
      </c>
      <c r="AL10" s="3" t="n">
        <v>4</v>
      </c>
      <c r="AM10" s="3" t="n">
        <v>4</v>
      </c>
      <c r="AN10" s="3" t="n">
        <v>3</v>
      </c>
      <c r="AO10" s="3" t="n">
        <v>3</v>
      </c>
    </row>
    <row r="11" customFormat="false" ht="15" hidden="false" customHeight="false" outlineLevel="0" collapsed="false">
      <c r="A11" s="3" t="n">
        <v>1</v>
      </c>
      <c r="B11" s="3" t="n">
        <v>3</v>
      </c>
      <c r="C11" s="3" t="n">
        <v>2</v>
      </c>
      <c r="D11" s="3" t="n">
        <v>2</v>
      </c>
      <c r="E11" s="3" t="n">
        <v>2</v>
      </c>
      <c r="F11" s="3" t="n">
        <v>2</v>
      </c>
      <c r="G11" s="3" t="n">
        <v>1</v>
      </c>
      <c r="H11" s="3" t="n">
        <v>1</v>
      </c>
      <c r="I11" s="3" t="n">
        <v>1</v>
      </c>
      <c r="J11" s="3" t="n">
        <v>23</v>
      </c>
      <c r="K11" s="3" t="n">
        <v>4</v>
      </c>
      <c r="L11" s="3" t="n">
        <v>4</v>
      </c>
      <c r="M11" s="3" t="n">
        <v>4</v>
      </c>
      <c r="N11" s="3" t="n">
        <v>5</v>
      </c>
      <c r="O11" s="3" t="n">
        <v>3</v>
      </c>
      <c r="P11" s="3" t="n">
        <v>2</v>
      </c>
      <c r="Q11" s="3" t="n">
        <v>3</v>
      </c>
      <c r="R11" s="3" t="n">
        <v>3</v>
      </c>
      <c r="S11" s="3" t="n">
        <v>4</v>
      </c>
      <c r="T11" s="3" t="n">
        <v>5</v>
      </c>
      <c r="U11" s="3" t="n">
        <v>2</v>
      </c>
      <c r="V11" s="3" t="n">
        <v>4</v>
      </c>
      <c r="W11" s="3" t="n">
        <v>5</v>
      </c>
      <c r="X11" s="3" t="n">
        <v>3</v>
      </c>
      <c r="Y11" s="3" t="n">
        <v>3</v>
      </c>
      <c r="Z11" s="3" t="n">
        <v>3</v>
      </c>
      <c r="AA11" s="3" t="n">
        <v>4</v>
      </c>
      <c r="AB11" s="3" t="n">
        <v>3</v>
      </c>
      <c r="AC11" s="3" t="n">
        <v>2</v>
      </c>
      <c r="AD11" s="3" t="n">
        <v>2</v>
      </c>
      <c r="AE11" s="3" t="n">
        <v>2</v>
      </c>
      <c r="AF11" s="3" t="n">
        <v>2</v>
      </c>
      <c r="AG11" s="3" t="n">
        <v>2</v>
      </c>
      <c r="AH11" s="3" t="n">
        <v>4</v>
      </c>
      <c r="AI11" s="3" t="n">
        <v>4</v>
      </c>
      <c r="AJ11" s="3" t="n">
        <v>4</v>
      </c>
      <c r="AK11" s="3" t="n">
        <v>3</v>
      </c>
      <c r="AL11" s="3" t="n">
        <v>3</v>
      </c>
      <c r="AM11" s="3" t="n">
        <v>3</v>
      </c>
      <c r="AN11" s="3" t="n">
        <v>3</v>
      </c>
      <c r="AO11" s="3" t="n">
        <v>3</v>
      </c>
    </row>
    <row r="12" customFormat="false" ht="15" hidden="false" customHeight="false" outlineLevel="0" collapsed="false">
      <c r="A12" s="3" t="n">
        <v>1</v>
      </c>
      <c r="B12" s="3" t="n">
        <v>4</v>
      </c>
      <c r="C12" s="3" t="n">
        <v>1</v>
      </c>
      <c r="D12" s="3" t="n">
        <v>1</v>
      </c>
      <c r="E12" s="3" t="n">
        <v>2</v>
      </c>
      <c r="F12" s="3" t="n">
        <v>2</v>
      </c>
      <c r="G12" s="3" t="n">
        <v>3</v>
      </c>
      <c r="H12" s="3" t="n">
        <v>2</v>
      </c>
      <c r="I12" s="3" t="n">
        <v>2</v>
      </c>
      <c r="J12" s="3" t="n">
        <v>25</v>
      </c>
      <c r="K12" s="3" t="n">
        <v>4</v>
      </c>
      <c r="L12" s="3" t="n">
        <v>5</v>
      </c>
      <c r="M12" s="3" t="n">
        <v>5</v>
      </c>
      <c r="N12" s="3" t="n">
        <v>5</v>
      </c>
      <c r="O12" s="3" t="n">
        <v>5</v>
      </c>
      <c r="P12" s="3" t="n">
        <v>4</v>
      </c>
      <c r="Q12" s="3" t="n">
        <v>4</v>
      </c>
      <c r="R12" s="3" t="n">
        <v>4</v>
      </c>
      <c r="S12" s="3" t="n">
        <v>5</v>
      </c>
      <c r="T12" s="3" t="n">
        <v>5</v>
      </c>
      <c r="U12" s="3" t="n">
        <v>5</v>
      </c>
      <c r="V12" s="3" t="n">
        <v>2</v>
      </c>
      <c r="W12" s="3" t="n">
        <v>4</v>
      </c>
      <c r="X12" s="3" t="n">
        <v>4</v>
      </c>
      <c r="Y12" s="3" t="n">
        <v>3</v>
      </c>
      <c r="Z12" s="3" t="n">
        <v>4</v>
      </c>
      <c r="AA12" s="3" t="n">
        <v>4</v>
      </c>
      <c r="AB12" s="3" t="n">
        <v>4</v>
      </c>
      <c r="AC12" s="3" t="n">
        <v>1</v>
      </c>
      <c r="AD12" s="3" t="n">
        <v>1</v>
      </c>
      <c r="AE12" s="3" t="n">
        <v>5</v>
      </c>
      <c r="AF12" s="3" t="n">
        <v>4</v>
      </c>
      <c r="AG12" s="3" t="n">
        <v>4</v>
      </c>
      <c r="AH12" s="3" t="n">
        <v>4</v>
      </c>
      <c r="AI12" s="3" t="n">
        <v>4</v>
      </c>
      <c r="AJ12" s="3" t="n">
        <v>4</v>
      </c>
      <c r="AK12" s="3" t="n">
        <v>4</v>
      </c>
      <c r="AL12" s="3" t="n">
        <v>5</v>
      </c>
      <c r="AM12" s="3" t="n">
        <v>4</v>
      </c>
      <c r="AN12" s="3" t="n">
        <v>3</v>
      </c>
      <c r="AO12" s="3" t="n">
        <v>2</v>
      </c>
    </row>
    <row r="13" customFormat="false" ht="15" hidden="false" customHeight="false" outlineLevel="0" collapsed="false">
      <c r="A13" s="3" t="n">
        <v>0</v>
      </c>
      <c r="B13" s="3" t="n">
        <v>4</v>
      </c>
      <c r="C13" s="3" t="n">
        <v>1</v>
      </c>
      <c r="D13" s="3" t="n">
        <v>1</v>
      </c>
      <c r="E13" s="3" t="n">
        <v>2</v>
      </c>
      <c r="F13" s="3" t="n">
        <v>2</v>
      </c>
      <c r="G13" s="3" t="n">
        <v>3</v>
      </c>
      <c r="H13" s="3" t="n">
        <v>2</v>
      </c>
      <c r="I13" s="3" t="n">
        <v>3</v>
      </c>
      <c r="J13" s="3" t="n">
        <v>27</v>
      </c>
      <c r="K13" s="3" t="n">
        <v>3</v>
      </c>
      <c r="L13" s="3" t="n">
        <v>2</v>
      </c>
      <c r="M13" s="3" t="n">
        <v>4</v>
      </c>
      <c r="N13" s="3" t="n">
        <v>3</v>
      </c>
      <c r="O13" s="3" t="n">
        <v>3</v>
      </c>
      <c r="P13" s="3" t="n">
        <v>4</v>
      </c>
      <c r="Q13" s="3" t="n">
        <v>3</v>
      </c>
      <c r="R13" s="3" t="n">
        <v>2</v>
      </c>
      <c r="S13" s="3" t="n">
        <v>4</v>
      </c>
      <c r="T13" s="3" t="n">
        <v>5</v>
      </c>
      <c r="U13" s="3" t="n">
        <v>4</v>
      </c>
      <c r="V13" s="3" t="n">
        <v>2</v>
      </c>
      <c r="W13" s="3" t="n">
        <v>3</v>
      </c>
      <c r="X13" s="3" t="n">
        <v>2</v>
      </c>
      <c r="Y13" s="3" t="n">
        <v>2</v>
      </c>
      <c r="Z13" s="3" t="n">
        <v>3</v>
      </c>
      <c r="AA13" s="3" t="n">
        <v>4</v>
      </c>
      <c r="AB13" s="3" t="n">
        <v>1</v>
      </c>
      <c r="AC13" s="3" t="n">
        <v>1</v>
      </c>
      <c r="AD13" s="3" t="n">
        <v>2</v>
      </c>
      <c r="AE13" s="3" t="n">
        <v>3</v>
      </c>
      <c r="AF13" s="3" t="n">
        <v>2</v>
      </c>
      <c r="AG13" s="3" t="n">
        <v>4</v>
      </c>
      <c r="AH13" s="3" t="n">
        <v>4</v>
      </c>
      <c r="AI13" s="3" t="n">
        <v>4</v>
      </c>
      <c r="AJ13" s="3" t="n">
        <v>2</v>
      </c>
      <c r="AK13" s="3" t="n">
        <v>4</v>
      </c>
      <c r="AL13" s="3" t="n">
        <v>5</v>
      </c>
      <c r="AM13" s="3" t="n">
        <v>2</v>
      </c>
      <c r="AN13" s="3" t="n">
        <v>1</v>
      </c>
      <c r="AO13" s="3" t="n">
        <v>2</v>
      </c>
    </row>
    <row r="14" customFormat="false" ht="15" hidden="false" customHeight="false" outlineLevel="0" collapsed="false">
      <c r="B14" s="3" t="n">
        <v>1</v>
      </c>
      <c r="C14" s="3" t="n">
        <v>1</v>
      </c>
      <c r="D14" s="3" t="n">
        <v>2</v>
      </c>
      <c r="E14" s="3" t="n">
        <v>2</v>
      </c>
      <c r="F14" s="3" t="n">
        <v>2</v>
      </c>
      <c r="G14" s="3" t="n">
        <v>1</v>
      </c>
      <c r="H14" s="3" t="n">
        <v>2</v>
      </c>
      <c r="I14" s="3" t="n">
        <v>1</v>
      </c>
      <c r="J14" s="3" t="n">
        <v>23</v>
      </c>
      <c r="K14" s="3" t="n">
        <v>3</v>
      </c>
      <c r="L14" s="3" t="n">
        <v>4</v>
      </c>
      <c r="M14" s="3" t="n">
        <v>4</v>
      </c>
      <c r="N14" s="3" t="n">
        <v>4</v>
      </c>
      <c r="O14" s="3" t="n">
        <v>4</v>
      </c>
      <c r="P14" s="3" t="n">
        <v>4</v>
      </c>
      <c r="Q14" s="3" t="n">
        <v>4</v>
      </c>
      <c r="R14" s="3" t="n">
        <v>5</v>
      </c>
      <c r="S14" s="3" t="n">
        <v>4</v>
      </c>
      <c r="T14" s="3" t="n">
        <v>5</v>
      </c>
      <c r="U14" s="3" t="n">
        <v>5</v>
      </c>
      <c r="V14" s="3" t="n">
        <v>4</v>
      </c>
      <c r="W14" s="3" t="n">
        <v>4</v>
      </c>
      <c r="X14" s="3" t="n">
        <v>4</v>
      </c>
      <c r="Y14" s="3" t="n">
        <v>4</v>
      </c>
      <c r="Z14" s="3" t="n">
        <v>5</v>
      </c>
      <c r="AA14" s="3" t="n">
        <v>5</v>
      </c>
      <c r="AB14" s="3" t="n">
        <v>4</v>
      </c>
      <c r="AC14" s="3" t="n">
        <v>2</v>
      </c>
      <c r="AD14" s="3" t="n">
        <v>2</v>
      </c>
      <c r="AE14" s="3" t="n">
        <v>4</v>
      </c>
      <c r="AF14" s="3" t="n">
        <v>3</v>
      </c>
      <c r="AG14" s="3" t="n">
        <v>4</v>
      </c>
      <c r="AH14" s="3" t="n">
        <v>3</v>
      </c>
      <c r="AI14" s="3" t="n">
        <v>4</v>
      </c>
      <c r="AJ14" s="3" t="n">
        <v>3</v>
      </c>
      <c r="AK14" s="3" t="n">
        <v>4</v>
      </c>
      <c r="AL14" s="3" t="n">
        <v>4</v>
      </c>
      <c r="AM14" s="3" t="n">
        <v>3</v>
      </c>
      <c r="AN14" s="3" t="n">
        <v>4</v>
      </c>
      <c r="AO14" s="3" t="n">
        <v>3</v>
      </c>
    </row>
    <row r="15" customFormat="false" ht="15" hidden="false" customHeight="false" outlineLevel="0" collapsed="false">
      <c r="A15" s="3" t="n">
        <v>0</v>
      </c>
      <c r="B15" s="3" t="n">
        <v>3</v>
      </c>
      <c r="C15" s="3" t="n">
        <v>1</v>
      </c>
      <c r="D15" s="3" t="n">
        <v>1</v>
      </c>
      <c r="E15" s="3" t="n">
        <v>2</v>
      </c>
      <c r="F15" s="3" t="n">
        <v>2</v>
      </c>
      <c r="G15" s="3" t="n">
        <v>3</v>
      </c>
      <c r="H15" s="3" t="n">
        <v>3</v>
      </c>
      <c r="I15" s="3" t="n">
        <v>2</v>
      </c>
      <c r="J15" s="3" t="n">
        <v>24</v>
      </c>
      <c r="K15" s="3" t="n">
        <v>3</v>
      </c>
      <c r="L15" s="3" t="n">
        <v>4</v>
      </c>
      <c r="M15" s="3" t="n">
        <v>3</v>
      </c>
      <c r="N15" s="3" t="n">
        <v>4</v>
      </c>
      <c r="O15" s="3" t="n">
        <v>5</v>
      </c>
      <c r="P15" s="3" t="n">
        <v>3</v>
      </c>
      <c r="Q15" s="3" t="n">
        <v>3</v>
      </c>
      <c r="R15" s="3" t="n">
        <v>4</v>
      </c>
      <c r="S15" s="3" t="n">
        <v>5</v>
      </c>
      <c r="T15" s="3" t="n">
        <v>5</v>
      </c>
      <c r="U15" s="3" t="n">
        <v>5</v>
      </c>
      <c r="V15" s="3" t="n">
        <v>3</v>
      </c>
      <c r="W15" s="3" t="n">
        <v>4</v>
      </c>
      <c r="X15" s="3" t="n">
        <v>4</v>
      </c>
      <c r="Y15" s="3" t="n">
        <v>5</v>
      </c>
      <c r="Z15" s="3" t="n">
        <v>4</v>
      </c>
      <c r="AA15" s="3" t="n">
        <v>3</v>
      </c>
      <c r="AB15" s="3" t="n">
        <v>4</v>
      </c>
      <c r="AC15" s="3" t="n">
        <v>1</v>
      </c>
      <c r="AD15" s="3" t="n">
        <v>3</v>
      </c>
      <c r="AE15" s="3" t="n">
        <v>5</v>
      </c>
      <c r="AF15" s="3" t="n">
        <v>5</v>
      </c>
      <c r="AG15" s="3" t="n">
        <v>5</v>
      </c>
      <c r="AH15" s="3" t="n">
        <v>3</v>
      </c>
      <c r="AI15" s="3" t="n">
        <v>5</v>
      </c>
      <c r="AJ15" s="3" t="n">
        <v>5</v>
      </c>
      <c r="AK15" s="3" t="n">
        <v>3</v>
      </c>
      <c r="AL15" s="3" t="n">
        <v>5</v>
      </c>
      <c r="AM15" s="3" t="n">
        <v>4</v>
      </c>
      <c r="AN15" s="3" t="n">
        <v>4</v>
      </c>
      <c r="AO15" s="3" t="n">
        <v>4</v>
      </c>
    </row>
    <row r="16" customFormat="false" ht="15" hidden="false" customHeight="false" outlineLevel="0" collapsed="false">
      <c r="A16" s="3" t="n">
        <v>0</v>
      </c>
      <c r="B16" s="3" t="n">
        <v>2</v>
      </c>
      <c r="C16" s="3" t="n">
        <v>2</v>
      </c>
      <c r="D16" s="3" t="n">
        <v>1</v>
      </c>
      <c r="E16" s="3" t="n">
        <v>2</v>
      </c>
      <c r="F16" s="3" t="n">
        <v>2</v>
      </c>
      <c r="G16" s="3" t="n">
        <v>3</v>
      </c>
      <c r="H16" s="3" t="n">
        <v>2</v>
      </c>
      <c r="I16" s="3" t="n">
        <v>3</v>
      </c>
      <c r="J16" s="3" t="n">
        <v>23</v>
      </c>
      <c r="K16" s="3" t="n">
        <v>3</v>
      </c>
      <c r="L16" s="3" t="n">
        <v>4</v>
      </c>
      <c r="M16" s="3" t="n">
        <v>4</v>
      </c>
      <c r="N16" s="3" t="n">
        <v>3</v>
      </c>
      <c r="O16" s="3" t="n">
        <v>4</v>
      </c>
      <c r="P16" s="3" t="n">
        <v>3</v>
      </c>
      <c r="Q16" s="3" t="n">
        <v>3</v>
      </c>
      <c r="R16" s="3" t="n">
        <v>3</v>
      </c>
      <c r="S16" s="3" t="n">
        <v>4</v>
      </c>
      <c r="T16" s="3" t="n">
        <v>4</v>
      </c>
      <c r="U16" s="3" t="n">
        <v>5</v>
      </c>
      <c r="V16" s="3" t="n">
        <v>3</v>
      </c>
      <c r="W16" s="3" t="n">
        <v>5</v>
      </c>
      <c r="X16" s="3" t="n">
        <v>4</v>
      </c>
      <c r="Y16" s="3" t="n">
        <v>3</v>
      </c>
      <c r="Z16" s="3" t="n">
        <v>4</v>
      </c>
      <c r="AA16" s="3" t="n">
        <v>2</v>
      </c>
      <c r="AB16" s="3" t="n">
        <v>2</v>
      </c>
      <c r="AC16" s="3" t="n">
        <v>3</v>
      </c>
      <c r="AD16" s="3" t="n">
        <v>3</v>
      </c>
      <c r="AE16" s="3" t="n">
        <v>4</v>
      </c>
      <c r="AF16" s="3" t="n">
        <v>3</v>
      </c>
      <c r="AG16" s="3" t="n">
        <v>4</v>
      </c>
      <c r="AH16" s="3" t="n">
        <v>4</v>
      </c>
      <c r="AI16" s="3" t="n">
        <v>4</v>
      </c>
      <c r="AJ16" s="3" t="n">
        <v>4</v>
      </c>
      <c r="AK16" s="3" t="n">
        <v>4</v>
      </c>
      <c r="AL16" s="3" t="n">
        <v>4</v>
      </c>
      <c r="AM16" s="3" t="n">
        <v>3</v>
      </c>
      <c r="AN16" s="3" t="n">
        <v>3</v>
      </c>
      <c r="AO16" s="3" t="n">
        <v>3</v>
      </c>
    </row>
    <row r="17" customFormat="false" ht="15" hidden="false" customHeight="false" outlineLevel="0" collapsed="false">
      <c r="B17" s="3" t="n">
        <v>3</v>
      </c>
      <c r="C17" s="3" t="n">
        <v>1</v>
      </c>
      <c r="D17" s="3" t="n">
        <v>2</v>
      </c>
      <c r="E17" s="3" t="n">
        <v>1</v>
      </c>
      <c r="F17" s="3" t="n">
        <v>2</v>
      </c>
      <c r="G17" s="3" t="n">
        <v>2</v>
      </c>
      <c r="H17" s="3" t="n">
        <v>2</v>
      </c>
      <c r="I17" s="3" t="n">
        <v>1</v>
      </c>
      <c r="J17" s="3" t="n">
        <v>22</v>
      </c>
      <c r="K17" s="3" t="n">
        <v>3</v>
      </c>
      <c r="L17" s="3" t="n">
        <v>2</v>
      </c>
      <c r="M17" s="3" t="n">
        <v>5</v>
      </c>
      <c r="N17" s="3" t="n">
        <v>3</v>
      </c>
      <c r="O17" s="3" t="n">
        <v>4</v>
      </c>
      <c r="P17" s="3" t="n">
        <v>2</v>
      </c>
      <c r="Q17" s="3" t="n">
        <v>4</v>
      </c>
      <c r="R17" s="3" t="n">
        <v>4</v>
      </c>
      <c r="S17" s="3" t="n">
        <v>5</v>
      </c>
      <c r="T17" s="3" t="n">
        <v>4</v>
      </c>
      <c r="U17" s="3" t="n">
        <v>4</v>
      </c>
      <c r="V17" s="3" t="n">
        <v>4</v>
      </c>
      <c r="W17" s="3" t="n">
        <v>4</v>
      </c>
      <c r="X17" s="3" t="n">
        <v>2</v>
      </c>
      <c r="Y17" s="3" t="n">
        <v>2</v>
      </c>
      <c r="Z17" s="3" t="n">
        <v>4</v>
      </c>
      <c r="AA17" s="3" t="n">
        <v>3</v>
      </c>
      <c r="AB17" s="3" t="n">
        <v>2</v>
      </c>
      <c r="AC17" s="3" t="n">
        <v>4</v>
      </c>
      <c r="AD17" s="3" t="n">
        <v>4</v>
      </c>
      <c r="AE17" s="3" t="n">
        <v>4</v>
      </c>
      <c r="AF17" s="3" t="n">
        <v>4</v>
      </c>
      <c r="AG17" s="3" t="n">
        <v>4</v>
      </c>
      <c r="AH17" s="3" t="n">
        <v>4</v>
      </c>
      <c r="AI17" s="3" t="n">
        <v>2</v>
      </c>
      <c r="AJ17" s="3" t="n">
        <v>5</v>
      </c>
      <c r="AK17" s="3" t="n">
        <v>4</v>
      </c>
      <c r="AL17" s="3" t="n">
        <v>4</v>
      </c>
      <c r="AM17" s="3" t="n">
        <v>4</v>
      </c>
      <c r="AN17" s="3" t="n">
        <v>4</v>
      </c>
      <c r="AO17" s="3" t="n">
        <v>3</v>
      </c>
    </row>
    <row r="18" customFormat="false" ht="15" hidden="false" customHeight="false" outlineLevel="0" collapsed="false">
      <c r="A18" s="3" t="n">
        <v>0</v>
      </c>
      <c r="B18" s="3" t="n">
        <v>4</v>
      </c>
      <c r="C18" s="3" t="n">
        <v>2</v>
      </c>
      <c r="D18" s="3" t="n">
        <v>1</v>
      </c>
      <c r="E18" s="3" t="n">
        <v>2</v>
      </c>
      <c r="F18" s="3" t="n">
        <v>2</v>
      </c>
      <c r="G18" s="3" t="n">
        <v>2</v>
      </c>
      <c r="H18" s="3" t="n">
        <v>2</v>
      </c>
      <c r="I18" s="3" t="n">
        <v>3</v>
      </c>
      <c r="J18" s="3" t="n">
        <v>24</v>
      </c>
      <c r="K18" s="3" t="n">
        <v>3</v>
      </c>
      <c r="L18" s="3" t="n">
        <v>4</v>
      </c>
      <c r="M18" s="3" t="n">
        <v>2</v>
      </c>
      <c r="N18" s="3" t="n">
        <v>2</v>
      </c>
      <c r="O18" s="3" t="n">
        <v>4</v>
      </c>
      <c r="P18" s="3" t="n">
        <v>2</v>
      </c>
      <c r="Q18" s="3" t="n">
        <v>2</v>
      </c>
      <c r="R18" s="3" t="n">
        <v>3</v>
      </c>
      <c r="S18" s="3" t="n">
        <v>3</v>
      </c>
      <c r="T18" s="3" t="n">
        <v>5</v>
      </c>
      <c r="U18" s="3" t="n">
        <v>4</v>
      </c>
      <c r="V18" s="3" t="n">
        <v>3</v>
      </c>
      <c r="W18" s="3" t="n">
        <v>4</v>
      </c>
      <c r="X18" s="3" t="n">
        <v>5</v>
      </c>
      <c r="Y18" s="3" t="n">
        <v>4</v>
      </c>
      <c r="Z18" s="3" t="n">
        <v>4</v>
      </c>
      <c r="AA18" s="3" t="n">
        <v>2</v>
      </c>
      <c r="AB18" s="3" t="n">
        <v>2</v>
      </c>
      <c r="AC18" s="3" t="n">
        <v>2</v>
      </c>
      <c r="AD18" s="3" t="n">
        <v>2</v>
      </c>
      <c r="AE18" s="3" t="n">
        <v>4</v>
      </c>
      <c r="AF18" s="3" t="n">
        <v>3</v>
      </c>
      <c r="AG18" s="3" t="n">
        <v>3</v>
      </c>
      <c r="AH18" s="3" t="n">
        <v>4</v>
      </c>
      <c r="AI18" s="3" t="n">
        <v>4</v>
      </c>
      <c r="AJ18" s="3" t="n">
        <v>1</v>
      </c>
      <c r="AK18" s="3" t="n">
        <v>2</v>
      </c>
      <c r="AL18" s="3" t="n">
        <v>4</v>
      </c>
      <c r="AM18" s="3" t="n">
        <v>4</v>
      </c>
      <c r="AN18" s="3" t="n">
        <v>3</v>
      </c>
      <c r="AO18" s="3" t="n">
        <v>3</v>
      </c>
    </row>
    <row r="19" customFormat="false" ht="15" hidden="false" customHeight="false" outlineLevel="0" collapsed="false">
      <c r="A19" s="3" t="n">
        <v>0</v>
      </c>
      <c r="B19" s="3" t="n">
        <v>4</v>
      </c>
      <c r="C19" s="3" t="n">
        <v>1</v>
      </c>
      <c r="D19" s="3" t="n">
        <v>1</v>
      </c>
      <c r="E19" s="3" t="n">
        <v>2</v>
      </c>
      <c r="F19" s="3" t="n">
        <v>2</v>
      </c>
      <c r="G19" s="3" t="n">
        <v>3</v>
      </c>
      <c r="H19" s="3" t="n">
        <v>3</v>
      </c>
      <c r="I19" s="3" t="n">
        <v>3</v>
      </c>
      <c r="J19" s="3" t="n">
        <v>24</v>
      </c>
      <c r="K19" s="3" t="n">
        <v>4</v>
      </c>
      <c r="L19" s="3" t="n">
        <v>2</v>
      </c>
      <c r="M19" s="3" t="n">
        <v>4</v>
      </c>
      <c r="N19" s="3" t="n">
        <v>4</v>
      </c>
      <c r="O19" s="3" t="n">
        <v>4</v>
      </c>
      <c r="P19" s="3" t="n">
        <v>3</v>
      </c>
      <c r="Q19" s="3" t="n">
        <v>3</v>
      </c>
      <c r="R19" s="3" t="n">
        <v>3</v>
      </c>
      <c r="S19" s="3" t="n">
        <v>3</v>
      </c>
      <c r="T19" s="3" t="n">
        <v>3</v>
      </c>
      <c r="U19" s="3" t="n">
        <v>4</v>
      </c>
      <c r="V19" s="3" t="n">
        <v>4</v>
      </c>
      <c r="W19" s="3" t="n">
        <v>4</v>
      </c>
      <c r="X19" s="3" t="n">
        <v>4</v>
      </c>
      <c r="Y19" s="3" t="n">
        <v>3</v>
      </c>
      <c r="Z19" s="3" t="n">
        <v>3</v>
      </c>
      <c r="AA19" s="3" t="n">
        <v>5</v>
      </c>
      <c r="AB19" s="3" t="n">
        <v>3</v>
      </c>
      <c r="AC19" s="3" t="n">
        <v>1</v>
      </c>
      <c r="AD19" s="3" t="n">
        <v>2</v>
      </c>
      <c r="AE19" s="3" t="n">
        <v>3</v>
      </c>
      <c r="AF19" s="3" t="n">
        <v>4</v>
      </c>
      <c r="AG19" s="3" t="n">
        <v>4</v>
      </c>
      <c r="AH19" s="3" t="n">
        <v>3</v>
      </c>
      <c r="AI19" s="3" t="n">
        <v>2</v>
      </c>
      <c r="AJ19" s="3" t="n">
        <v>5</v>
      </c>
      <c r="AK19" s="3" t="n">
        <v>2</v>
      </c>
      <c r="AL19" s="3" t="n">
        <v>5</v>
      </c>
      <c r="AM19" s="3" t="n">
        <v>3</v>
      </c>
      <c r="AN19" s="3" t="n">
        <v>3</v>
      </c>
      <c r="AO19" s="3" t="n">
        <v>4</v>
      </c>
    </row>
    <row r="20" customFormat="false" ht="15" hidden="false" customHeight="false" outlineLevel="0" collapsed="false">
      <c r="A20" s="3" t="n">
        <v>0</v>
      </c>
      <c r="B20" s="3" t="n">
        <v>4</v>
      </c>
      <c r="C20" s="3" t="n">
        <v>1</v>
      </c>
      <c r="D20" s="3" t="n">
        <v>2</v>
      </c>
      <c r="E20" s="3" t="n">
        <v>2</v>
      </c>
      <c r="F20" s="3" t="n">
        <v>2</v>
      </c>
      <c r="G20" s="3" t="n">
        <v>4</v>
      </c>
      <c r="H20" s="3" t="n">
        <v>2</v>
      </c>
      <c r="I20" s="3" t="n">
        <v>3</v>
      </c>
      <c r="J20" s="3" t="n">
        <v>23</v>
      </c>
      <c r="K20" s="3" t="n">
        <v>3</v>
      </c>
      <c r="L20" s="3" t="n">
        <v>3</v>
      </c>
      <c r="M20" s="3" t="n">
        <v>4</v>
      </c>
      <c r="N20" s="3" t="n">
        <v>3</v>
      </c>
      <c r="O20" s="3" t="n">
        <v>4</v>
      </c>
      <c r="P20" s="3" t="n">
        <v>1</v>
      </c>
      <c r="Q20" s="3" t="n">
        <v>4</v>
      </c>
      <c r="R20" s="3" t="n">
        <v>3</v>
      </c>
      <c r="S20" s="3" t="n">
        <v>4</v>
      </c>
      <c r="T20" s="3" t="n">
        <v>5</v>
      </c>
      <c r="U20" s="3" t="n">
        <v>4</v>
      </c>
      <c r="V20" s="3" t="n">
        <v>4</v>
      </c>
      <c r="W20" s="3" t="n">
        <v>4</v>
      </c>
      <c r="X20" s="3" t="n">
        <v>4</v>
      </c>
      <c r="Y20" s="3" t="n">
        <v>3</v>
      </c>
      <c r="Z20" s="3" t="n">
        <v>4</v>
      </c>
      <c r="AA20" s="3" t="n">
        <v>4</v>
      </c>
      <c r="AB20" s="3" t="n">
        <v>2</v>
      </c>
      <c r="AC20" s="3" t="n">
        <v>2</v>
      </c>
      <c r="AD20" s="3" t="n">
        <v>3</v>
      </c>
      <c r="AE20" s="3" t="n">
        <v>3</v>
      </c>
      <c r="AF20" s="3" t="n">
        <v>3</v>
      </c>
      <c r="AG20" s="3" t="n">
        <v>4</v>
      </c>
      <c r="AH20" s="3" t="n">
        <v>3</v>
      </c>
      <c r="AI20" s="3" t="n">
        <v>2</v>
      </c>
      <c r="AJ20" s="3" t="n">
        <v>4</v>
      </c>
      <c r="AK20" s="3" t="n">
        <v>4</v>
      </c>
      <c r="AL20" s="3" t="n">
        <v>2</v>
      </c>
      <c r="AM20" s="3" t="n">
        <v>3</v>
      </c>
      <c r="AN20" s="3" t="n">
        <v>3</v>
      </c>
      <c r="AO20" s="3" t="n">
        <v>3</v>
      </c>
    </row>
    <row r="21" customFormat="false" ht="15" hidden="false" customHeight="false" outlineLevel="0" collapsed="false">
      <c r="A21" s="3" t="n">
        <v>0</v>
      </c>
      <c r="B21" s="3" t="n">
        <v>3</v>
      </c>
      <c r="C21" s="3" t="n">
        <v>1</v>
      </c>
      <c r="D21" s="3" t="n">
        <v>1</v>
      </c>
      <c r="E21" s="3" t="n">
        <v>2</v>
      </c>
      <c r="F21" s="3" t="n">
        <v>2</v>
      </c>
      <c r="G21" s="3" t="n">
        <v>3</v>
      </c>
      <c r="H21" s="3" t="n">
        <v>3</v>
      </c>
      <c r="I21" s="3" t="n">
        <v>1</v>
      </c>
      <c r="J21" s="3" t="n">
        <v>23</v>
      </c>
      <c r="K21" s="3" t="n">
        <v>4</v>
      </c>
      <c r="L21" s="3" t="n">
        <v>4</v>
      </c>
      <c r="M21" s="3" t="n">
        <v>4</v>
      </c>
      <c r="N21" s="3" t="n">
        <v>4</v>
      </c>
      <c r="O21" s="3" t="n">
        <v>4</v>
      </c>
      <c r="P21" s="3" t="n">
        <v>3</v>
      </c>
      <c r="Q21" s="3" t="n">
        <v>4</v>
      </c>
      <c r="R21" s="3" t="n">
        <v>2</v>
      </c>
      <c r="S21" s="3" t="n">
        <v>5</v>
      </c>
      <c r="T21" s="3" t="n">
        <v>5</v>
      </c>
      <c r="U21" s="3" t="n">
        <v>5</v>
      </c>
      <c r="V21" s="3" t="n">
        <v>3</v>
      </c>
      <c r="W21" s="3" t="n">
        <v>3</v>
      </c>
      <c r="X21" s="3" t="n">
        <v>4</v>
      </c>
      <c r="Y21" s="3" t="n">
        <v>2</v>
      </c>
      <c r="Z21" s="3" t="n">
        <v>4</v>
      </c>
      <c r="AA21" s="3" t="n">
        <v>4</v>
      </c>
      <c r="AB21" s="3" t="n">
        <v>1</v>
      </c>
      <c r="AC21" s="3" t="n">
        <v>2</v>
      </c>
      <c r="AD21" s="3" t="n">
        <v>2</v>
      </c>
      <c r="AE21" s="3" t="n">
        <v>5</v>
      </c>
      <c r="AF21" s="3" t="n">
        <v>3</v>
      </c>
      <c r="AG21" s="3" t="n">
        <v>5</v>
      </c>
      <c r="AH21" s="3" t="n">
        <v>4</v>
      </c>
      <c r="AI21" s="3" t="n">
        <v>3</v>
      </c>
      <c r="AJ21" s="3" t="n">
        <v>5</v>
      </c>
      <c r="AK21" s="3" t="n">
        <v>3</v>
      </c>
      <c r="AL21" s="3" t="n">
        <v>5</v>
      </c>
      <c r="AM21" s="3" t="n">
        <v>5</v>
      </c>
      <c r="AN21" s="3" t="n">
        <v>1</v>
      </c>
      <c r="AO21" s="3" t="n">
        <v>2</v>
      </c>
    </row>
    <row r="22" customFormat="false" ht="15" hidden="false" customHeight="false" outlineLevel="0" collapsed="false">
      <c r="A22" s="3" t="n">
        <v>1</v>
      </c>
      <c r="B22" s="3" t="n">
        <v>4</v>
      </c>
      <c r="C22" s="3" t="n">
        <v>1</v>
      </c>
      <c r="D22" s="3" t="n">
        <v>1</v>
      </c>
      <c r="E22" s="3" t="n">
        <v>2</v>
      </c>
      <c r="F22" s="3" t="n">
        <v>2</v>
      </c>
      <c r="G22" s="3" t="n">
        <v>3</v>
      </c>
      <c r="H22" s="3" t="n">
        <v>3</v>
      </c>
      <c r="I22" s="3" t="n">
        <v>3</v>
      </c>
      <c r="J22" s="3" t="n">
        <v>24</v>
      </c>
      <c r="K22" s="3" t="n">
        <v>4</v>
      </c>
      <c r="L22" s="3" t="n">
        <v>4</v>
      </c>
      <c r="M22" s="3" t="n">
        <v>4</v>
      </c>
      <c r="N22" s="3" t="n">
        <v>5</v>
      </c>
      <c r="O22" s="3" t="n">
        <v>4</v>
      </c>
      <c r="P22" s="3" t="n">
        <v>3</v>
      </c>
      <c r="Q22" s="3" t="n">
        <v>3</v>
      </c>
      <c r="R22" s="3" t="n">
        <v>3</v>
      </c>
      <c r="S22" s="3" t="n">
        <v>3</v>
      </c>
      <c r="T22" s="3" t="n">
        <v>5</v>
      </c>
      <c r="U22" s="3" t="n">
        <v>4</v>
      </c>
      <c r="V22" s="3" t="n">
        <v>4</v>
      </c>
      <c r="W22" s="3" t="n">
        <v>3</v>
      </c>
      <c r="X22" s="3" t="n">
        <v>5</v>
      </c>
      <c r="Y22" s="3" t="n">
        <v>4</v>
      </c>
      <c r="Z22" s="3" t="n">
        <v>5</v>
      </c>
      <c r="AA22" s="3" t="n">
        <v>5</v>
      </c>
      <c r="AB22" s="3" t="n">
        <v>4</v>
      </c>
      <c r="AC22" s="3" t="n">
        <v>1</v>
      </c>
      <c r="AD22" s="3" t="n">
        <v>2</v>
      </c>
      <c r="AE22" s="3" t="n">
        <v>4</v>
      </c>
      <c r="AF22" s="3" t="n">
        <v>4</v>
      </c>
      <c r="AG22" s="3" t="n">
        <v>5</v>
      </c>
      <c r="AH22" s="3" t="n">
        <v>4</v>
      </c>
      <c r="AI22" s="3" t="n">
        <v>4</v>
      </c>
      <c r="AJ22" s="3" t="n">
        <v>4</v>
      </c>
      <c r="AK22" s="3" t="n">
        <v>4</v>
      </c>
      <c r="AL22" s="3" t="n">
        <v>5</v>
      </c>
      <c r="AM22" s="3" t="n">
        <v>4</v>
      </c>
      <c r="AN22" s="3" t="n">
        <v>3</v>
      </c>
      <c r="AO22" s="3" t="n">
        <v>5</v>
      </c>
    </row>
    <row r="23" customFormat="false" ht="15" hidden="false" customHeight="false" outlineLevel="0" collapsed="false">
      <c r="A23" s="3" t="n">
        <v>1</v>
      </c>
      <c r="B23" s="3" t="n">
        <v>4</v>
      </c>
      <c r="C23" s="3" t="n">
        <v>2</v>
      </c>
      <c r="D23" s="3" t="n">
        <v>1</v>
      </c>
      <c r="E23" s="3" t="n">
        <v>2</v>
      </c>
      <c r="F23" s="3" t="n">
        <v>2</v>
      </c>
      <c r="G23" s="3" t="n">
        <v>4</v>
      </c>
      <c r="H23" s="3" t="n">
        <v>2</v>
      </c>
      <c r="I23" s="3" t="n">
        <v>3</v>
      </c>
      <c r="J23" s="3" t="n">
        <v>25</v>
      </c>
      <c r="K23" s="3" t="n">
        <v>2</v>
      </c>
      <c r="L23" s="3" t="n">
        <v>3</v>
      </c>
      <c r="M23" s="3" t="n">
        <v>2</v>
      </c>
      <c r="N23" s="3" t="n">
        <v>2</v>
      </c>
      <c r="O23" s="3" t="n">
        <v>2</v>
      </c>
      <c r="P23" s="3" t="n">
        <v>2</v>
      </c>
      <c r="Q23" s="3" t="n">
        <v>3</v>
      </c>
      <c r="R23" s="3" t="n">
        <v>2</v>
      </c>
      <c r="S23" s="3" t="n">
        <v>4</v>
      </c>
      <c r="T23" s="3" t="n">
        <v>4</v>
      </c>
      <c r="U23" s="3" t="n">
        <v>4</v>
      </c>
      <c r="V23" s="3" t="n">
        <v>4</v>
      </c>
      <c r="W23" s="3" t="n">
        <v>4</v>
      </c>
      <c r="X23" s="3" t="n">
        <v>4</v>
      </c>
      <c r="Y23" s="3" t="n">
        <v>3</v>
      </c>
      <c r="Z23" s="3" t="n">
        <v>4</v>
      </c>
      <c r="AA23" s="3" t="n">
        <v>2</v>
      </c>
      <c r="AB23" s="3" t="n">
        <v>2</v>
      </c>
      <c r="AC23" s="3" t="n">
        <v>2</v>
      </c>
      <c r="AD23" s="3" t="n">
        <v>2</v>
      </c>
      <c r="AE23" s="3" t="n">
        <v>3</v>
      </c>
      <c r="AF23" s="3" t="n">
        <v>3</v>
      </c>
      <c r="AG23" s="3" t="n">
        <v>3</v>
      </c>
      <c r="AH23" s="3" t="n">
        <v>3</v>
      </c>
      <c r="AI23" s="3" t="n">
        <v>3</v>
      </c>
      <c r="AJ23" s="3" t="n">
        <v>3</v>
      </c>
      <c r="AK23" s="3" t="n">
        <v>3</v>
      </c>
      <c r="AL23" s="3" t="n">
        <v>4</v>
      </c>
      <c r="AM23" s="3" t="n">
        <v>3</v>
      </c>
      <c r="AN23" s="3" t="n">
        <v>2</v>
      </c>
      <c r="AO23" s="3" t="n">
        <v>3</v>
      </c>
    </row>
    <row r="24" customFormat="false" ht="15" hidden="false" customHeight="false" outlineLevel="0" collapsed="false">
      <c r="A24" s="3" t="n">
        <v>0</v>
      </c>
      <c r="B24" s="3" t="n">
        <v>4</v>
      </c>
      <c r="C24" s="3" t="n">
        <v>2</v>
      </c>
      <c r="D24" s="3" t="n">
        <v>1</v>
      </c>
      <c r="E24" s="3" t="n">
        <v>2</v>
      </c>
      <c r="F24" s="3" t="n">
        <v>2</v>
      </c>
      <c r="G24" s="3" t="n">
        <v>2</v>
      </c>
      <c r="H24" s="3" t="n">
        <v>1</v>
      </c>
      <c r="I24" s="3" t="n">
        <v>1</v>
      </c>
      <c r="J24" s="3" t="n">
        <v>23</v>
      </c>
      <c r="K24" s="3" t="n">
        <v>4</v>
      </c>
      <c r="L24" s="3" t="n">
        <v>3</v>
      </c>
      <c r="M24" s="3" t="n">
        <v>4</v>
      </c>
      <c r="N24" s="3" t="n">
        <v>3</v>
      </c>
      <c r="O24" s="3" t="n">
        <v>3</v>
      </c>
      <c r="P24" s="3" t="n">
        <v>4</v>
      </c>
      <c r="Q24" s="3" t="n">
        <v>5</v>
      </c>
      <c r="R24" s="3" t="n">
        <v>2</v>
      </c>
      <c r="S24" s="3" t="n">
        <v>4</v>
      </c>
      <c r="T24" s="3" t="n">
        <v>4</v>
      </c>
      <c r="U24" s="3" t="n">
        <v>4</v>
      </c>
      <c r="V24" s="3" t="n">
        <v>4</v>
      </c>
      <c r="W24" s="3" t="n">
        <v>4</v>
      </c>
      <c r="X24" s="3" t="n">
        <v>4</v>
      </c>
      <c r="Y24" s="3" t="n">
        <v>3</v>
      </c>
      <c r="Z24" s="3" t="n">
        <v>3</v>
      </c>
      <c r="AA24" s="3" t="n">
        <v>5</v>
      </c>
      <c r="AB24" s="3" t="n">
        <v>4</v>
      </c>
      <c r="AC24" s="3" t="n">
        <v>2</v>
      </c>
      <c r="AD24" s="3" t="n">
        <v>2</v>
      </c>
      <c r="AE24" s="3" t="n">
        <v>3</v>
      </c>
      <c r="AF24" s="3" t="n">
        <v>2</v>
      </c>
      <c r="AG24" s="3" t="n">
        <v>4</v>
      </c>
      <c r="AH24" s="3" t="n">
        <v>3</v>
      </c>
      <c r="AI24" s="3" t="n">
        <v>4</v>
      </c>
      <c r="AJ24" s="3" t="n">
        <v>3</v>
      </c>
      <c r="AK24" s="3" t="n">
        <v>3</v>
      </c>
      <c r="AL24" s="3" t="n">
        <v>4</v>
      </c>
      <c r="AM24" s="3" t="n">
        <v>3</v>
      </c>
      <c r="AN24" s="3" t="n">
        <v>3</v>
      </c>
      <c r="AO24" s="3" t="n">
        <v>2</v>
      </c>
    </row>
    <row r="25" customFormat="false" ht="15" hidden="false" customHeight="false" outlineLevel="0" collapsed="false">
      <c r="A25" s="3" t="n">
        <v>0</v>
      </c>
      <c r="B25" s="3" t="n">
        <v>4</v>
      </c>
      <c r="C25" s="3" t="n">
        <v>1</v>
      </c>
      <c r="D25" s="3" t="n">
        <v>2</v>
      </c>
      <c r="E25" s="3" t="n">
        <v>2</v>
      </c>
      <c r="F25" s="3" t="n">
        <v>2</v>
      </c>
      <c r="G25" s="3" t="n">
        <v>2</v>
      </c>
      <c r="H25" s="3" t="n">
        <v>1</v>
      </c>
      <c r="I25" s="3" t="n">
        <v>1</v>
      </c>
      <c r="J25" s="3" t="n">
        <v>26</v>
      </c>
      <c r="K25" s="3" t="n">
        <v>4</v>
      </c>
      <c r="L25" s="3" t="n">
        <v>2</v>
      </c>
      <c r="M25" s="3" t="n">
        <v>3</v>
      </c>
      <c r="N25" s="3" t="n">
        <v>3</v>
      </c>
      <c r="O25" s="3" t="n">
        <v>5</v>
      </c>
      <c r="P25" s="3" t="n">
        <v>4</v>
      </c>
      <c r="Q25" s="3" t="n">
        <v>4</v>
      </c>
      <c r="R25" s="3" t="n">
        <v>2</v>
      </c>
      <c r="S25" s="3" t="n">
        <v>4</v>
      </c>
      <c r="T25" s="3" t="n">
        <v>5</v>
      </c>
      <c r="U25" s="3" t="n">
        <v>4</v>
      </c>
      <c r="V25" s="3" t="n">
        <v>4</v>
      </c>
      <c r="W25" s="3" t="n">
        <v>4</v>
      </c>
      <c r="X25" s="3" t="n">
        <v>3</v>
      </c>
      <c r="Y25" s="3" t="n">
        <v>4</v>
      </c>
      <c r="Z25" s="3" t="n">
        <v>3</v>
      </c>
      <c r="AA25" s="3" t="n">
        <v>4</v>
      </c>
      <c r="AB25" s="3" t="n">
        <v>2</v>
      </c>
      <c r="AC25" s="3" t="n">
        <v>2</v>
      </c>
      <c r="AD25" s="3" t="n">
        <v>2</v>
      </c>
      <c r="AE25" s="3" t="n">
        <v>4</v>
      </c>
      <c r="AF25" s="3" t="n">
        <v>4</v>
      </c>
      <c r="AG25" s="3" t="n">
        <v>4</v>
      </c>
      <c r="AH25" s="3" t="n">
        <v>3</v>
      </c>
      <c r="AI25" s="3" t="n">
        <v>4</v>
      </c>
      <c r="AJ25" s="3" t="n">
        <v>4</v>
      </c>
      <c r="AK25" s="3" t="n">
        <v>4</v>
      </c>
      <c r="AL25" s="3" t="n">
        <v>5</v>
      </c>
      <c r="AM25" s="3" t="n">
        <v>3</v>
      </c>
      <c r="AN25" s="3" t="n">
        <v>3</v>
      </c>
      <c r="AO25" s="3" t="n">
        <v>2</v>
      </c>
    </row>
    <row r="26" customFormat="false" ht="15" hidden="false" customHeight="false" outlineLevel="0" collapsed="false">
      <c r="A26" s="3" t="n">
        <v>0</v>
      </c>
      <c r="B26" s="3" t="n">
        <v>4</v>
      </c>
      <c r="C26" s="3" t="n">
        <v>1</v>
      </c>
      <c r="D26" s="3" t="n">
        <v>1</v>
      </c>
      <c r="E26" s="3" t="n">
        <v>2</v>
      </c>
      <c r="F26" s="3" t="n">
        <v>2</v>
      </c>
      <c r="G26" s="3" t="n">
        <v>4</v>
      </c>
      <c r="H26" s="3" t="n">
        <v>3</v>
      </c>
      <c r="I26" s="3" t="n">
        <v>3</v>
      </c>
      <c r="J26" s="3" t="n">
        <v>25</v>
      </c>
      <c r="K26" s="3" t="n">
        <v>3</v>
      </c>
      <c r="L26" s="3" t="n">
        <v>4</v>
      </c>
      <c r="M26" s="3" t="n">
        <v>4</v>
      </c>
      <c r="N26" s="3" t="n">
        <v>3</v>
      </c>
      <c r="O26" s="3" t="n">
        <v>5</v>
      </c>
      <c r="P26" s="3" t="n">
        <v>4</v>
      </c>
      <c r="Q26" s="3" t="n">
        <v>4</v>
      </c>
      <c r="R26" s="3" t="n">
        <v>4</v>
      </c>
      <c r="S26" s="3" t="n">
        <v>4</v>
      </c>
      <c r="T26" s="3" t="n">
        <v>4</v>
      </c>
      <c r="U26" s="3" t="n">
        <v>4</v>
      </c>
      <c r="V26" s="3" t="n">
        <v>4</v>
      </c>
      <c r="W26" s="3" t="n">
        <v>4</v>
      </c>
      <c r="X26" s="3" t="n">
        <v>4</v>
      </c>
      <c r="Y26" s="3" t="n">
        <v>4</v>
      </c>
      <c r="Z26" s="3" t="n">
        <v>4</v>
      </c>
      <c r="AA26" s="3" t="n">
        <v>4</v>
      </c>
      <c r="AB26" s="3" t="n">
        <v>4</v>
      </c>
      <c r="AC26" s="3" t="n">
        <v>2</v>
      </c>
      <c r="AD26" s="3" t="n">
        <v>2</v>
      </c>
      <c r="AE26" s="3" t="n">
        <v>4</v>
      </c>
      <c r="AF26" s="3" t="n">
        <v>3</v>
      </c>
      <c r="AG26" s="3" t="n">
        <v>4</v>
      </c>
      <c r="AH26" s="3" t="n">
        <v>4</v>
      </c>
      <c r="AI26" s="3" t="n">
        <v>4</v>
      </c>
      <c r="AJ26" s="3" t="n">
        <v>4</v>
      </c>
      <c r="AK26" s="3" t="n">
        <v>4</v>
      </c>
      <c r="AL26" s="3" t="n">
        <v>5</v>
      </c>
      <c r="AM26" s="3" t="n">
        <v>4</v>
      </c>
      <c r="AN26" s="3" t="n">
        <v>3</v>
      </c>
      <c r="AO26" s="3" t="n">
        <v>4</v>
      </c>
    </row>
    <row r="27" customFormat="false" ht="15" hidden="false" customHeight="false" outlineLevel="0" collapsed="false">
      <c r="A27" s="3" t="n">
        <v>0</v>
      </c>
      <c r="B27" s="3" t="n">
        <v>4</v>
      </c>
      <c r="C27" s="3" t="n">
        <v>1</v>
      </c>
      <c r="D27" s="3" t="n">
        <v>2</v>
      </c>
      <c r="E27" s="3" t="n">
        <v>2</v>
      </c>
      <c r="F27" s="3" t="n">
        <v>2</v>
      </c>
      <c r="G27" s="3" t="n">
        <v>1</v>
      </c>
      <c r="H27" s="3" t="n">
        <v>1</v>
      </c>
      <c r="I27" s="3" t="n">
        <v>3</v>
      </c>
      <c r="J27" s="3" t="n">
        <v>25</v>
      </c>
      <c r="K27" s="3" t="n">
        <v>3</v>
      </c>
      <c r="L27" s="3" t="n">
        <v>3</v>
      </c>
      <c r="M27" s="3" t="n">
        <v>4</v>
      </c>
      <c r="N27" s="3" t="n">
        <v>3</v>
      </c>
      <c r="O27" s="3" t="n">
        <v>4</v>
      </c>
      <c r="P27" s="3" t="n">
        <v>4</v>
      </c>
      <c r="Q27" s="3" t="n">
        <v>3</v>
      </c>
      <c r="R27" s="3" t="n">
        <v>4</v>
      </c>
      <c r="S27" s="3" t="n">
        <v>4</v>
      </c>
      <c r="T27" s="3" t="n">
        <v>5</v>
      </c>
      <c r="U27" s="3" t="n">
        <v>5</v>
      </c>
      <c r="V27" s="3" t="n">
        <v>4</v>
      </c>
      <c r="W27" s="3" t="n">
        <v>4</v>
      </c>
      <c r="X27" s="3" t="n">
        <v>3</v>
      </c>
      <c r="Y27" s="3" t="n">
        <v>3</v>
      </c>
      <c r="Z27" s="3" t="n">
        <v>4</v>
      </c>
      <c r="AA27" s="3" t="n">
        <v>4</v>
      </c>
      <c r="AB27" s="3" t="n">
        <v>4</v>
      </c>
      <c r="AC27" s="3" t="n">
        <v>2</v>
      </c>
      <c r="AD27" s="3" t="n">
        <v>2</v>
      </c>
      <c r="AE27" s="3" t="n">
        <v>4</v>
      </c>
      <c r="AF27" s="3" t="n">
        <v>3</v>
      </c>
      <c r="AG27" s="3" t="n">
        <v>4</v>
      </c>
      <c r="AH27" s="3" t="n">
        <v>3</v>
      </c>
      <c r="AI27" s="3" t="n">
        <v>4</v>
      </c>
      <c r="AJ27" s="3" t="n">
        <v>4</v>
      </c>
      <c r="AK27" s="3" t="n">
        <v>4</v>
      </c>
      <c r="AL27" s="3" t="n">
        <v>5</v>
      </c>
      <c r="AM27" s="3" t="n">
        <v>5</v>
      </c>
      <c r="AN27" s="3" t="n">
        <v>3</v>
      </c>
      <c r="AO27" s="3" t="n">
        <v>3</v>
      </c>
    </row>
    <row r="28" customFormat="false" ht="15" hidden="false" customHeight="false" outlineLevel="0" collapsed="false">
      <c r="A28" s="3" t="n">
        <v>0</v>
      </c>
      <c r="B28" s="3" t="n">
        <v>3</v>
      </c>
      <c r="C28" s="3" t="n">
        <v>1</v>
      </c>
      <c r="D28" s="3" t="n">
        <v>1</v>
      </c>
      <c r="E28" s="3" t="n">
        <v>2</v>
      </c>
      <c r="F28" s="3" t="n">
        <v>2</v>
      </c>
      <c r="G28" s="3" t="n">
        <v>3</v>
      </c>
      <c r="H28" s="3" t="n">
        <v>2</v>
      </c>
      <c r="I28" s="3" t="n">
        <v>1</v>
      </c>
      <c r="J28" s="3" t="n">
        <v>24</v>
      </c>
      <c r="K28" s="3" t="n">
        <v>3</v>
      </c>
      <c r="L28" s="3" t="n">
        <v>3</v>
      </c>
      <c r="M28" s="3" t="n">
        <v>4</v>
      </c>
      <c r="N28" s="3" t="n">
        <v>2</v>
      </c>
      <c r="O28" s="3" t="n">
        <v>4</v>
      </c>
      <c r="P28" s="3" t="n">
        <v>2</v>
      </c>
      <c r="Q28" s="3" t="n">
        <v>2</v>
      </c>
      <c r="R28" s="3" t="n">
        <v>2</v>
      </c>
      <c r="S28" s="3" t="n">
        <v>4</v>
      </c>
      <c r="T28" s="3" t="n">
        <v>4</v>
      </c>
      <c r="U28" s="3" t="n">
        <v>4</v>
      </c>
      <c r="V28" s="3" t="n">
        <v>4</v>
      </c>
      <c r="W28" s="3" t="n">
        <v>4</v>
      </c>
      <c r="X28" s="3" t="n">
        <v>2</v>
      </c>
      <c r="Y28" s="3" t="n">
        <v>4</v>
      </c>
      <c r="Z28" s="3" t="n">
        <v>4</v>
      </c>
      <c r="AA28" s="3" t="n">
        <v>4</v>
      </c>
      <c r="AB28" s="3" t="n">
        <v>2</v>
      </c>
      <c r="AC28" s="3" t="n">
        <v>1</v>
      </c>
      <c r="AD28" s="3" t="n">
        <v>2</v>
      </c>
      <c r="AE28" s="3" t="n">
        <v>4</v>
      </c>
      <c r="AF28" s="3" t="n">
        <v>2</v>
      </c>
      <c r="AG28" s="3" t="n">
        <v>4</v>
      </c>
      <c r="AH28" s="3" t="n">
        <v>2</v>
      </c>
      <c r="AI28" s="3" t="n">
        <v>2</v>
      </c>
      <c r="AJ28" s="3" t="n">
        <v>2</v>
      </c>
      <c r="AK28" s="3" t="n">
        <v>2</v>
      </c>
      <c r="AL28" s="3" t="n">
        <v>4</v>
      </c>
      <c r="AM28" s="3" t="n">
        <v>4</v>
      </c>
      <c r="AN28" s="3" t="n">
        <v>2</v>
      </c>
      <c r="AO28" s="3" t="n">
        <v>3</v>
      </c>
    </row>
    <row r="29" customFormat="false" ht="15" hidden="false" customHeight="false" outlineLevel="0" collapsed="false">
      <c r="A29" s="3" t="n">
        <v>0</v>
      </c>
      <c r="B29" s="3" t="n">
        <v>3</v>
      </c>
      <c r="C29" s="3" t="n">
        <v>1</v>
      </c>
      <c r="D29" s="3" t="n">
        <v>1</v>
      </c>
      <c r="E29" s="3" t="n">
        <v>2</v>
      </c>
      <c r="F29" s="3" t="n">
        <v>2</v>
      </c>
      <c r="G29" s="3" t="n">
        <v>2</v>
      </c>
      <c r="H29" s="3" t="n">
        <v>2</v>
      </c>
      <c r="I29" s="3" t="n">
        <v>1</v>
      </c>
      <c r="J29" s="3" t="n">
        <v>22</v>
      </c>
      <c r="K29" s="3" t="n">
        <v>2</v>
      </c>
      <c r="L29" s="3" t="n">
        <v>3</v>
      </c>
      <c r="M29" s="3" t="n">
        <v>2</v>
      </c>
      <c r="N29" s="3" t="n">
        <v>3</v>
      </c>
      <c r="O29" s="3" t="n">
        <v>4</v>
      </c>
      <c r="P29" s="3" t="n">
        <v>4</v>
      </c>
      <c r="Q29" s="3" t="n">
        <v>4</v>
      </c>
      <c r="R29" s="3" t="n">
        <v>3</v>
      </c>
      <c r="S29" s="3" t="n">
        <v>3</v>
      </c>
      <c r="T29" s="3" t="n">
        <v>5</v>
      </c>
      <c r="U29" s="3" t="n">
        <v>4</v>
      </c>
      <c r="V29" s="3" t="n">
        <v>4</v>
      </c>
      <c r="W29" s="3" t="n">
        <v>3</v>
      </c>
      <c r="X29" s="3" t="n">
        <v>2</v>
      </c>
      <c r="Y29" s="3" t="n">
        <v>3</v>
      </c>
      <c r="Z29" s="3" t="n">
        <v>4</v>
      </c>
      <c r="AA29" s="3" t="n">
        <v>4</v>
      </c>
      <c r="AB29" s="3" t="n">
        <v>2</v>
      </c>
      <c r="AC29" s="3" t="n">
        <v>1</v>
      </c>
      <c r="AD29" s="3" t="n">
        <v>2</v>
      </c>
      <c r="AE29" s="3" t="n">
        <v>4</v>
      </c>
      <c r="AF29" s="3" t="n">
        <v>3</v>
      </c>
      <c r="AG29" s="3" t="n">
        <v>4</v>
      </c>
      <c r="AH29" s="3" t="n">
        <v>4</v>
      </c>
      <c r="AI29" s="3" t="n">
        <v>4</v>
      </c>
      <c r="AJ29" s="3" t="n">
        <v>4</v>
      </c>
      <c r="AK29" s="3" t="n">
        <v>2</v>
      </c>
      <c r="AL29" s="3" t="n">
        <v>5</v>
      </c>
      <c r="AM29" s="3" t="n">
        <v>4</v>
      </c>
      <c r="AN29" s="3" t="n">
        <v>3</v>
      </c>
      <c r="AO29" s="3" t="n">
        <v>2</v>
      </c>
    </row>
    <row r="30" customFormat="false" ht="15" hidden="false" customHeight="false" outlineLevel="0" collapsed="false">
      <c r="A30" s="3" t="n">
        <v>1</v>
      </c>
      <c r="B30" s="3" t="n">
        <v>3</v>
      </c>
      <c r="C30" s="3" t="n">
        <v>2</v>
      </c>
      <c r="D30" s="3" t="n">
        <v>1</v>
      </c>
      <c r="E30" s="3" t="n">
        <v>2</v>
      </c>
      <c r="F30" s="3" t="n">
        <v>2</v>
      </c>
      <c r="G30" s="3" t="n">
        <v>3</v>
      </c>
      <c r="H30" s="3" t="n">
        <v>3</v>
      </c>
      <c r="I30" s="3" t="n">
        <v>1</v>
      </c>
      <c r="J30" s="3" t="n">
        <v>22</v>
      </c>
      <c r="K30" s="3" t="n">
        <v>3</v>
      </c>
      <c r="L30" s="3" t="n">
        <v>4</v>
      </c>
      <c r="M30" s="3" t="n">
        <v>5</v>
      </c>
      <c r="N30" s="3" t="n">
        <v>5</v>
      </c>
      <c r="O30" s="3" t="n">
        <v>3</v>
      </c>
      <c r="P30" s="3" t="n">
        <v>2</v>
      </c>
      <c r="Q30" s="3" t="n">
        <v>3</v>
      </c>
      <c r="R30" s="3" t="n">
        <v>3</v>
      </c>
      <c r="S30" s="3" t="n">
        <v>5</v>
      </c>
      <c r="T30" s="3" t="n">
        <v>5</v>
      </c>
      <c r="U30" s="3" t="n">
        <v>5</v>
      </c>
      <c r="V30" s="3" t="n">
        <v>4</v>
      </c>
      <c r="W30" s="3" t="n">
        <v>5</v>
      </c>
      <c r="X30" s="3" t="n">
        <v>4</v>
      </c>
      <c r="Y30" s="3" t="n">
        <v>2</v>
      </c>
      <c r="Z30" s="3" t="n">
        <v>5</v>
      </c>
      <c r="AA30" s="3" t="n">
        <v>4</v>
      </c>
      <c r="AB30" s="3" t="n">
        <v>1</v>
      </c>
      <c r="AC30" s="3" t="n">
        <v>2</v>
      </c>
      <c r="AD30" s="3" t="n">
        <v>2</v>
      </c>
      <c r="AE30" s="3" t="n">
        <v>5</v>
      </c>
      <c r="AF30" s="3" t="n">
        <v>4</v>
      </c>
      <c r="AG30" s="3" t="n">
        <v>5</v>
      </c>
      <c r="AH30" s="3" t="n">
        <v>2</v>
      </c>
      <c r="AI30" s="3" t="n">
        <v>2</v>
      </c>
      <c r="AJ30" s="3" t="n">
        <v>4</v>
      </c>
      <c r="AK30" s="3" t="n">
        <v>2</v>
      </c>
      <c r="AL30" s="3" t="n">
        <v>4</v>
      </c>
      <c r="AM30" s="3" t="n">
        <v>4</v>
      </c>
      <c r="AN30" s="3" t="n">
        <v>3</v>
      </c>
      <c r="AO30" s="3" t="n">
        <v>3</v>
      </c>
    </row>
    <row r="31" customFormat="false" ht="15" hidden="false" customHeight="false" outlineLevel="0" collapsed="false">
      <c r="A31" s="3" t="n">
        <v>0</v>
      </c>
      <c r="B31" s="3" t="n">
        <v>3</v>
      </c>
      <c r="C31" s="3" t="n">
        <v>1</v>
      </c>
      <c r="D31" s="3" t="n">
        <v>1</v>
      </c>
      <c r="E31" s="3" t="n">
        <v>2</v>
      </c>
      <c r="F31" s="3" t="n">
        <v>2</v>
      </c>
      <c r="G31" s="3" t="n">
        <v>1</v>
      </c>
      <c r="H31" s="3" t="n">
        <v>2</v>
      </c>
      <c r="I31" s="3" t="n">
        <v>3</v>
      </c>
      <c r="J31" s="3" t="n">
        <v>23</v>
      </c>
      <c r="K31" s="3" t="n">
        <v>4</v>
      </c>
      <c r="L31" s="3" t="n">
        <v>3</v>
      </c>
      <c r="M31" s="3" t="n">
        <v>4</v>
      </c>
      <c r="N31" s="3" t="n">
        <v>4</v>
      </c>
      <c r="O31" s="3" t="n">
        <v>3</v>
      </c>
      <c r="P31" s="3" t="n">
        <v>4</v>
      </c>
      <c r="Q31" s="3" t="n">
        <v>4</v>
      </c>
      <c r="R31" s="3" t="n">
        <v>3</v>
      </c>
      <c r="S31" s="3" t="n">
        <v>5</v>
      </c>
      <c r="T31" s="3" t="n">
        <v>4</v>
      </c>
      <c r="U31" s="3" t="n">
        <v>4</v>
      </c>
      <c r="V31" s="3" t="n">
        <v>3</v>
      </c>
      <c r="W31" s="3" t="n">
        <v>4</v>
      </c>
      <c r="X31" s="3" t="n">
        <v>2</v>
      </c>
      <c r="Y31" s="3" t="n">
        <v>3</v>
      </c>
      <c r="Z31" s="3" t="n">
        <v>4</v>
      </c>
      <c r="AA31" s="3" t="n">
        <v>4</v>
      </c>
      <c r="AB31" s="3" t="n">
        <v>4</v>
      </c>
      <c r="AC31" s="3" t="n">
        <v>3</v>
      </c>
      <c r="AD31" s="3" t="n">
        <v>2</v>
      </c>
      <c r="AE31" s="3" t="n">
        <v>3</v>
      </c>
      <c r="AF31" s="3" t="n">
        <v>3</v>
      </c>
      <c r="AG31" s="3" t="n">
        <v>3</v>
      </c>
      <c r="AH31" s="3" t="n">
        <v>4</v>
      </c>
      <c r="AI31" s="3" t="n">
        <v>3</v>
      </c>
      <c r="AJ31" s="3" t="n">
        <v>4</v>
      </c>
      <c r="AK31" s="3" t="n">
        <v>3</v>
      </c>
      <c r="AL31" s="3" t="n">
        <v>4</v>
      </c>
      <c r="AM31" s="3" t="n">
        <v>3</v>
      </c>
      <c r="AN31" s="3" t="n">
        <v>3</v>
      </c>
      <c r="AO31" s="3" t="n">
        <v>3</v>
      </c>
    </row>
    <row r="32" customFormat="false" ht="15" hidden="false" customHeight="false" outlineLevel="0" collapsed="false">
      <c r="A32" s="3" t="n">
        <v>1</v>
      </c>
      <c r="B32" s="3" t="n">
        <v>3</v>
      </c>
      <c r="C32" s="3" t="n">
        <v>1</v>
      </c>
      <c r="D32" s="3" t="n">
        <v>1</v>
      </c>
      <c r="E32" s="3" t="n">
        <v>2</v>
      </c>
      <c r="F32" s="3" t="n">
        <v>2</v>
      </c>
      <c r="G32" s="3" t="n">
        <v>3</v>
      </c>
      <c r="H32" s="3" t="n">
        <v>3</v>
      </c>
      <c r="I32" s="3" t="n">
        <v>2</v>
      </c>
      <c r="J32" s="3" t="n">
        <v>22</v>
      </c>
      <c r="K32" s="3" t="n">
        <v>3</v>
      </c>
      <c r="L32" s="3" t="n">
        <v>4</v>
      </c>
      <c r="M32" s="3" t="n">
        <v>3</v>
      </c>
      <c r="N32" s="3" t="n">
        <v>3</v>
      </c>
      <c r="O32" s="3" t="n">
        <v>3</v>
      </c>
      <c r="P32" s="3" t="n">
        <v>4</v>
      </c>
      <c r="Q32" s="3" t="n">
        <v>4</v>
      </c>
      <c r="R32" s="3" t="n">
        <v>2</v>
      </c>
      <c r="S32" s="3" t="n">
        <v>3</v>
      </c>
      <c r="T32" s="3" t="n">
        <v>3</v>
      </c>
      <c r="U32" s="3" t="n">
        <v>4</v>
      </c>
      <c r="V32" s="3" t="n">
        <v>4</v>
      </c>
      <c r="W32" s="3" t="n">
        <v>4</v>
      </c>
      <c r="X32" s="3" t="n">
        <v>4</v>
      </c>
      <c r="Y32" s="3" t="n">
        <v>4</v>
      </c>
      <c r="Z32" s="3" t="n">
        <v>2</v>
      </c>
      <c r="AA32" s="3" t="n">
        <v>3</v>
      </c>
      <c r="AB32" s="3" t="n">
        <v>4</v>
      </c>
      <c r="AC32" s="3" t="n">
        <v>3</v>
      </c>
      <c r="AD32" s="3" t="n">
        <v>3</v>
      </c>
      <c r="AE32" s="3" t="n">
        <v>3</v>
      </c>
      <c r="AF32" s="3" t="n">
        <v>3</v>
      </c>
      <c r="AG32" s="3" t="n">
        <v>3</v>
      </c>
      <c r="AH32" s="3" t="n">
        <v>4</v>
      </c>
      <c r="AI32" s="3" t="n">
        <v>4</v>
      </c>
      <c r="AJ32" s="3" t="n">
        <v>4</v>
      </c>
      <c r="AK32" s="3" t="n">
        <v>4</v>
      </c>
      <c r="AL32" s="3" t="n">
        <v>4</v>
      </c>
      <c r="AM32" s="3" t="n">
        <v>4</v>
      </c>
      <c r="AN32" s="3" t="n">
        <v>3</v>
      </c>
      <c r="AO32" s="3" t="n">
        <v>4</v>
      </c>
    </row>
    <row r="33" customFormat="false" ht="15" hidden="false" customHeight="false" outlineLevel="0" collapsed="false">
      <c r="A33" s="3" t="n">
        <v>1</v>
      </c>
      <c r="B33" s="3" t="n">
        <v>4</v>
      </c>
      <c r="C33" s="3" t="n">
        <v>1</v>
      </c>
      <c r="D33" s="3" t="n">
        <v>1</v>
      </c>
      <c r="E33" s="3" t="n">
        <v>2</v>
      </c>
      <c r="F33" s="3" t="n">
        <v>2</v>
      </c>
      <c r="G33" s="3" t="n">
        <v>2</v>
      </c>
      <c r="H33" s="3" t="n">
        <v>3</v>
      </c>
      <c r="I33" s="3" t="n">
        <v>3</v>
      </c>
      <c r="J33" s="3" t="n">
        <v>26</v>
      </c>
      <c r="K33" s="3" t="n">
        <v>2</v>
      </c>
      <c r="L33" s="3" t="n">
        <v>4</v>
      </c>
      <c r="M33" s="3" t="n">
        <v>3</v>
      </c>
      <c r="N33" s="3" t="n">
        <v>3</v>
      </c>
      <c r="O33" s="3" t="n">
        <v>4</v>
      </c>
      <c r="P33" s="3" t="n">
        <v>2</v>
      </c>
      <c r="Q33" s="3" t="n">
        <v>4</v>
      </c>
      <c r="R33" s="3" t="n">
        <v>1</v>
      </c>
      <c r="S33" s="3" t="n">
        <v>5</v>
      </c>
      <c r="T33" s="3" t="n">
        <v>5</v>
      </c>
      <c r="U33" s="3" t="n">
        <v>5</v>
      </c>
      <c r="V33" s="3" t="n">
        <v>5</v>
      </c>
      <c r="W33" s="3" t="n">
        <v>3</v>
      </c>
      <c r="X33" s="3" t="n">
        <v>3</v>
      </c>
      <c r="Y33" s="3" t="n">
        <v>4</v>
      </c>
      <c r="Z33" s="3" t="n">
        <v>5</v>
      </c>
      <c r="AA33" s="3" t="n">
        <v>4</v>
      </c>
      <c r="AB33" s="3" t="n">
        <v>1</v>
      </c>
      <c r="AC33" s="3" t="n">
        <v>1</v>
      </c>
      <c r="AD33" s="3" t="n">
        <v>1</v>
      </c>
      <c r="AE33" s="3" t="n">
        <v>5</v>
      </c>
      <c r="AF33" s="3" t="n">
        <v>4</v>
      </c>
      <c r="AG33" s="3" t="n">
        <v>4</v>
      </c>
      <c r="AH33" s="3" t="n">
        <v>4</v>
      </c>
      <c r="AI33" s="3" t="n">
        <v>3</v>
      </c>
      <c r="AJ33" s="3" t="n">
        <v>3</v>
      </c>
      <c r="AK33" s="3" t="n">
        <v>3</v>
      </c>
      <c r="AL33" s="3" t="n">
        <v>5</v>
      </c>
      <c r="AM33" s="3" t="n">
        <v>2</v>
      </c>
      <c r="AN33" s="3" t="n">
        <v>1</v>
      </c>
      <c r="AO33" s="3" t="n">
        <v>1</v>
      </c>
    </row>
    <row r="34" customFormat="false" ht="15" hidden="false" customHeight="false" outlineLevel="0" collapsed="false">
      <c r="A34" s="3" t="n">
        <v>1</v>
      </c>
      <c r="B34" s="3" t="n">
        <v>4</v>
      </c>
      <c r="C34" s="3" t="n">
        <v>1</v>
      </c>
      <c r="D34" s="3" t="n">
        <v>1</v>
      </c>
      <c r="E34" s="3" t="n">
        <v>2</v>
      </c>
      <c r="F34" s="3" t="n">
        <v>2</v>
      </c>
      <c r="G34" s="3" t="n">
        <v>2</v>
      </c>
      <c r="H34" s="3" t="n">
        <v>2</v>
      </c>
      <c r="I34" s="3" t="n">
        <v>3</v>
      </c>
      <c r="J34" s="3" t="n">
        <v>25</v>
      </c>
      <c r="K34" s="3" t="n">
        <v>3</v>
      </c>
      <c r="L34" s="3" t="n">
        <v>4</v>
      </c>
      <c r="M34" s="3" t="n">
        <v>5</v>
      </c>
      <c r="N34" s="3" t="n">
        <v>5</v>
      </c>
      <c r="O34" s="3" t="n">
        <v>4</v>
      </c>
      <c r="P34" s="3" t="n">
        <v>3</v>
      </c>
      <c r="Q34" s="3" t="n">
        <v>4</v>
      </c>
      <c r="R34" s="3" t="n">
        <v>2</v>
      </c>
      <c r="S34" s="3" t="n">
        <v>4</v>
      </c>
      <c r="T34" s="3" t="n">
        <v>5</v>
      </c>
      <c r="U34" s="3" t="n">
        <v>5</v>
      </c>
      <c r="V34" s="3" t="n">
        <v>5</v>
      </c>
      <c r="W34" s="3" t="n">
        <v>5</v>
      </c>
      <c r="X34" s="3" t="n">
        <v>4</v>
      </c>
      <c r="Y34" s="3" t="n">
        <v>5</v>
      </c>
      <c r="Z34" s="3" t="n">
        <v>5</v>
      </c>
      <c r="AA34" s="3" t="n">
        <v>5</v>
      </c>
      <c r="AB34" s="3" t="n">
        <v>4</v>
      </c>
      <c r="AC34" s="3" t="n">
        <v>2</v>
      </c>
      <c r="AD34" s="3" t="n">
        <v>2</v>
      </c>
      <c r="AE34" s="3" t="n">
        <v>5</v>
      </c>
      <c r="AF34" s="3" t="n">
        <v>2</v>
      </c>
      <c r="AG34" s="3" t="n">
        <v>5</v>
      </c>
      <c r="AH34" s="3" t="n">
        <v>3</v>
      </c>
      <c r="AI34" s="3" t="n">
        <v>3</v>
      </c>
      <c r="AJ34" s="3" t="n">
        <v>5</v>
      </c>
      <c r="AK34" s="3" t="n">
        <v>5</v>
      </c>
      <c r="AL34" s="3" t="n">
        <v>5</v>
      </c>
      <c r="AM34" s="3" t="n">
        <v>4</v>
      </c>
      <c r="AN34" s="3" t="n">
        <v>4</v>
      </c>
      <c r="AO34" s="3" t="n">
        <v>4</v>
      </c>
    </row>
    <row r="35" customFormat="false" ht="15" hidden="false" customHeight="false" outlineLevel="0" collapsed="false">
      <c r="A35" s="3" t="n">
        <v>1</v>
      </c>
      <c r="B35" s="3" t="n">
        <v>4</v>
      </c>
      <c r="C35" s="3" t="n">
        <v>2</v>
      </c>
      <c r="D35" s="3" t="n">
        <v>1</v>
      </c>
      <c r="E35" s="3" t="n">
        <v>2</v>
      </c>
      <c r="F35" s="3" t="n">
        <v>2</v>
      </c>
      <c r="G35" s="3" t="n">
        <v>4</v>
      </c>
      <c r="H35" s="3" t="n">
        <v>3</v>
      </c>
      <c r="I35" s="3" t="n">
        <v>3</v>
      </c>
      <c r="J35" s="3" t="n">
        <v>24</v>
      </c>
      <c r="K35" s="3" t="n">
        <v>3</v>
      </c>
      <c r="L35" s="3" t="n">
        <v>3</v>
      </c>
      <c r="M35" s="3" t="n">
        <v>4</v>
      </c>
      <c r="N35" s="3" t="n">
        <v>3</v>
      </c>
      <c r="O35" s="3" t="n">
        <v>2</v>
      </c>
      <c r="P35" s="3" t="n">
        <v>3</v>
      </c>
      <c r="Q35" s="3" t="n">
        <v>5</v>
      </c>
      <c r="R35" s="3" t="n">
        <v>2</v>
      </c>
      <c r="S35" s="3" t="n">
        <v>5</v>
      </c>
      <c r="T35" s="3" t="n">
        <v>3</v>
      </c>
      <c r="U35" s="3" t="n">
        <v>4</v>
      </c>
      <c r="V35" s="3" t="n">
        <v>3</v>
      </c>
      <c r="W35" s="3" t="n">
        <v>3</v>
      </c>
      <c r="X35" s="3" t="n">
        <v>2</v>
      </c>
      <c r="Y35" s="3" t="n">
        <v>3</v>
      </c>
      <c r="Z35" s="3" t="n">
        <v>4</v>
      </c>
      <c r="AA35" s="3" t="n">
        <v>4</v>
      </c>
      <c r="AB35" s="3" t="n">
        <v>4</v>
      </c>
      <c r="AC35" s="3" t="n">
        <v>2</v>
      </c>
      <c r="AD35" s="3" t="n">
        <v>2</v>
      </c>
      <c r="AE35" s="3" t="n">
        <v>4</v>
      </c>
      <c r="AF35" s="3" t="n">
        <v>3</v>
      </c>
      <c r="AG35" s="3" t="n">
        <v>4</v>
      </c>
      <c r="AH35" s="3" t="n">
        <v>3</v>
      </c>
      <c r="AI35" s="3" t="n">
        <v>4</v>
      </c>
      <c r="AJ35" s="3" t="n">
        <v>4</v>
      </c>
      <c r="AK35" s="3" t="n">
        <v>2</v>
      </c>
      <c r="AL35" s="3" t="n">
        <v>2</v>
      </c>
      <c r="AM35" s="3" t="n">
        <v>3</v>
      </c>
      <c r="AN35" s="3" t="n">
        <v>3</v>
      </c>
      <c r="AO35" s="3" t="n">
        <v>2</v>
      </c>
    </row>
    <row r="36" customFormat="false" ht="15" hidden="false" customHeight="false" outlineLevel="0" collapsed="false">
      <c r="A36" s="3" t="n">
        <v>0</v>
      </c>
      <c r="B36" s="3" t="n">
        <v>4</v>
      </c>
      <c r="C36" s="3" t="n">
        <v>2</v>
      </c>
      <c r="D36" s="3" t="n">
        <v>1</v>
      </c>
      <c r="E36" s="3" t="n">
        <v>2</v>
      </c>
      <c r="F36" s="3" t="n">
        <v>2</v>
      </c>
      <c r="G36" s="3" t="n">
        <v>1</v>
      </c>
      <c r="H36" s="3" t="n">
        <v>2</v>
      </c>
      <c r="I36" s="3" t="n">
        <v>3</v>
      </c>
      <c r="J36" s="3" t="n">
        <v>25</v>
      </c>
      <c r="K36" s="3" t="n">
        <v>4</v>
      </c>
      <c r="L36" s="3" t="n">
        <v>4</v>
      </c>
      <c r="M36" s="3" t="n">
        <v>4</v>
      </c>
      <c r="N36" s="3" t="n">
        <v>4</v>
      </c>
      <c r="O36" s="3" t="n">
        <v>4</v>
      </c>
      <c r="P36" s="3" t="n">
        <v>3</v>
      </c>
      <c r="Q36" s="3" t="n">
        <v>3</v>
      </c>
      <c r="R36" s="3" t="n">
        <v>4</v>
      </c>
      <c r="S36" s="3" t="n">
        <v>4</v>
      </c>
      <c r="T36" s="3" t="n">
        <v>4</v>
      </c>
      <c r="U36" s="3" t="n">
        <v>5</v>
      </c>
      <c r="V36" s="3" t="n">
        <v>3</v>
      </c>
      <c r="W36" s="3" t="n">
        <v>4</v>
      </c>
      <c r="X36" s="3" t="n">
        <v>4</v>
      </c>
      <c r="Y36" s="3" t="n">
        <v>3</v>
      </c>
      <c r="Z36" s="3" t="n">
        <v>4</v>
      </c>
      <c r="AA36" s="3" t="n">
        <v>4</v>
      </c>
      <c r="AB36" s="3" t="n">
        <v>3</v>
      </c>
      <c r="AC36" s="3" t="n">
        <v>2</v>
      </c>
      <c r="AD36" s="3" t="n">
        <v>2</v>
      </c>
      <c r="AE36" s="3" t="n">
        <v>4</v>
      </c>
      <c r="AF36" s="3" t="n">
        <v>4</v>
      </c>
      <c r="AG36" s="3" t="n">
        <v>3</v>
      </c>
      <c r="AH36" s="3" t="n">
        <v>3</v>
      </c>
      <c r="AI36" s="3" t="n">
        <v>3</v>
      </c>
      <c r="AJ36" s="3" t="n">
        <v>5</v>
      </c>
      <c r="AK36" s="3" t="n">
        <v>4</v>
      </c>
      <c r="AL36" s="3" t="n">
        <v>3</v>
      </c>
      <c r="AM36" s="3" t="n">
        <v>4</v>
      </c>
      <c r="AN36" s="3" t="n">
        <v>3</v>
      </c>
      <c r="AO36" s="3" t="n">
        <v>3</v>
      </c>
    </row>
    <row r="37" customFormat="false" ht="15" hidden="false" customHeight="false" outlineLevel="0" collapsed="false">
      <c r="A37" s="3" t="n">
        <v>1</v>
      </c>
      <c r="B37" s="3" t="n">
        <v>4</v>
      </c>
      <c r="C37" s="3" t="n">
        <v>1</v>
      </c>
      <c r="D37" s="3" t="n">
        <v>1</v>
      </c>
      <c r="E37" s="3" t="n">
        <v>2</v>
      </c>
      <c r="F37" s="3" t="n">
        <v>2</v>
      </c>
      <c r="G37" s="3" t="n">
        <v>2</v>
      </c>
      <c r="H37" s="3" t="n">
        <v>3</v>
      </c>
      <c r="I37" s="3" t="n">
        <v>2</v>
      </c>
      <c r="J37" s="3" t="n">
        <v>24</v>
      </c>
      <c r="K37" s="3" t="n">
        <v>3</v>
      </c>
      <c r="L37" s="3" t="n">
        <v>2</v>
      </c>
      <c r="M37" s="3" t="n">
        <v>4</v>
      </c>
      <c r="N37" s="3" t="n">
        <v>4</v>
      </c>
      <c r="O37" s="3" t="n">
        <v>5</v>
      </c>
      <c r="P37" s="3" t="n">
        <v>5</v>
      </c>
      <c r="Q37" s="3" t="n">
        <v>5</v>
      </c>
      <c r="R37" s="3" t="n">
        <v>5</v>
      </c>
      <c r="S37" s="3" t="n">
        <v>5</v>
      </c>
      <c r="T37" s="3" t="n">
        <v>5</v>
      </c>
      <c r="U37" s="3" t="n">
        <v>5</v>
      </c>
      <c r="V37" s="3" t="n">
        <v>5</v>
      </c>
      <c r="W37" s="3" t="n">
        <v>4</v>
      </c>
      <c r="X37" s="3" t="n">
        <v>5</v>
      </c>
      <c r="Y37" s="3" t="n">
        <v>4</v>
      </c>
      <c r="Z37" s="3" t="n">
        <v>5</v>
      </c>
      <c r="AA37" s="3" t="n">
        <v>5</v>
      </c>
      <c r="AB37" s="3" t="n">
        <v>4</v>
      </c>
      <c r="AC37" s="3" t="n">
        <v>1</v>
      </c>
      <c r="AD37" s="3" t="n">
        <v>3</v>
      </c>
      <c r="AE37" s="3" t="n">
        <v>4</v>
      </c>
      <c r="AF37" s="3" t="n">
        <v>2</v>
      </c>
      <c r="AG37" s="3" t="n">
        <v>4</v>
      </c>
      <c r="AH37" s="3" t="n">
        <v>5</v>
      </c>
      <c r="AI37" s="3" t="n">
        <v>4</v>
      </c>
      <c r="AJ37" s="3" t="n">
        <v>4</v>
      </c>
      <c r="AK37" s="3" t="n">
        <v>5</v>
      </c>
      <c r="AL37" s="3" t="n">
        <v>5</v>
      </c>
      <c r="AM37" s="3" t="n">
        <v>2</v>
      </c>
      <c r="AN37" s="3" t="n">
        <v>3</v>
      </c>
      <c r="AO37" s="3" t="n">
        <v>3</v>
      </c>
    </row>
    <row r="38" customFormat="false" ht="15" hidden="false" customHeight="false" outlineLevel="0" collapsed="false">
      <c r="A38" s="3" t="n">
        <v>0</v>
      </c>
      <c r="B38" s="3" t="n">
        <v>4</v>
      </c>
      <c r="C38" s="3" t="n">
        <v>1</v>
      </c>
      <c r="D38" s="3" t="n">
        <v>1</v>
      </c>
      <c r="E38" s="3" t="n">
        <v>2</v>
      </c>
      <c r="F38" s="3" t="n">
        <v>2</v>
      </c>
      <c r="G38" s="3" t="n">
        <v>2</v>
      </c>
      <c r="H38" s="3" t="n">
        <v>3</v>
      </c>
      <c r="I38" s="3" t="n">
        <v>1</v>
      </c>
      <c r="J38" s="3" t="n">
        <v>22</v>
      </c>
      <c r="K38" s="3" t="n">
        <v>3</v>
      </c>
      <c r="L38" s="3" t="n">
        <v>2</v>
      </c>
      <c r="M38" s="3" t="n">
        <v>4</v>
      </c>
      <c r="N38" s="3" t="n">
        <v>4</v>
      </c>
      <c r="O38" s="3" t="n">
        <v>3</v>
      </c>
      <c r="P38" s="3" t="n">
        <v>2</v>
      </c>
      <c r="Q38" s="3" t="n">
        <v>5</v>
      </c>
      <c r="R38" s="3" t="n">
        <v>4</v>
      </c>
      <c r="S38" s="3" t="n">
        <v>4</v>
      </c>
      <c r="T38" s="3" t="n">
        <v>5</v>
      </c>
      <c r="U38" s="3" t="n">
        <v>5</v>
      </c>
      <c r="V38" s="3" t="n">
        <v>4</v>
      </c>
      <c r="W38" s="3" t="n">
        <v>4</v>
      </c>
      <c r="X38" s="3" t="n">
        <v>4</v>
      </c>
      <c r="Y38" s="3" t="n">
        <v>5</v>
      </c>
      <c r="Z38" s="3" t="n">
        <v>5</v>
      </c>
      <c r="AA38" s="3" t="n">
        <v>4</v>
      </c>
      <c r="AB38" s="3" t="n">
        <v>1</v>
      </c>
      <c r="AC38" s="3" t="n">
        <v>1</v>
      </c>
      <c r="AD38" s="3" t="n">
        <v>1</v>
      </c>
      <c r="AE38" s="3" t="n">
        <v>4</v>
      </c>
      <c r="AF38" s="3" t="n">
        <v>5</v>
      </c>
      <c r="AG38" s="3" t="n">
        <v>3</v>
      </c>
      <c r="AH38" s="3" t="n">
        <v>1</v>
      </c>
      <c r="AI38" s="3" t="n">
        <v>4</v>
      </c>
      <c r="AJ38" s="3" t="n">
        <v>5</v>
      </c>
      <c r="AK38" s="3" t="n">
        <v>5</v>
      </c>
      <c r="AL38" s="3" t="n">
        <v>5</v>
      </c>
      <c r="AM38" s="3" t="n">
        <v>5</v>
      </c>
      <c r="AN38" s="3" t="n">
        <v>1</v>
      </c>
      <c r="AO38" s="3" t="n">
        <v>5</v>
      </c>
    </row>
    <row r="39" customFormat="false" ht="15" hidden="false" customHeight="false" outlineLevel="0" collapsed="false">
      <c r="A39" s="3" t="n">
        <v>0</v>
      </c>
      <c r="B39" s="3" t="n">
        <v>3</v>
      </c>
      <c r="C39" s="3" t="n">
        <v>1</v>
      </c>
      <c r="D39" s="3" t="n">
        <v>2</v>
      </c>
      <c r="E39" s="3" t="n">
        <v>2</v>
      </c>
      <c r="F39" s="3" t="n">
        <v>2</v>
      </c>
      <c r="G39" s="3" t="n">
        <v>2</v>
      </c>
      <c r="H39" s="3" t="n">
        <v>2</v>
      </c>
      <c r="I39" s="3" t="n">
        <v>2</v>
      </c>
      <c r="J39" s="3" t="n">
        <v>21</v>
      </c>
      <c r="K39" s="3" t="n">
        <v>3</v>
      </c>
      <c r="L39" s="3" t="n">
        <v>4</v>
      </c>
      <c r="M39" s="3" t="n">
        <v>4</v>
      </c>
      <c r="N39" s="3" t="n">
        <v>3</v>
      </c>
      <c r="O39" s="3" t="n">
        <v>4</v>
      </c>
      <c r="P39" s="3" t="n">
        <v>3</v>
      </c>
      <c r="Q39" s="3" t="n">
        <v>3</v>
      </c>
      <c r="R39" s="3" t="n">
        <v>3</v>
      </c>
      <c r="S39" s="3" t="n">
        <v>5</v>
      </c>
      <c r="T39" s="3" t="n">
        <v>4</v>
      </c>
      <c r="U39" s="3" t="n">
        <v>5</v>
      </c>
      <c r="V39" s="3" t="n">
        <v>3</v>
      </c>
      <c r="W39" s="3" t="n">
        <v>3</v>
      </c>
      <c r="X39" s="3" t="n">
        <v>4</v>
      </c>
      <c r="Y39" s="3" t="n">
        <v>2</v>
      </c>
      <c r="Z39" s="3" t="n">
        <v>3</v>
      </c>
      <c r="AA39" s="3" t="n">
        <v>4</v>
      </c>
      <c r="AB39" s="3" t="n">
        <v>2</v>
      </c>
      <c r="AC39" s="3" t="n">
        <v>1</v>
      </c>
      <c r="AD39" s="3" t="n">
        <v>2</v>
      </c>
      <c r="AE39" s="3" t="n">
        <v>4</v>
      </c>
      <c r="AF39" s="3" t="n">
        <v>4</v>
      </c>
      <c r="AG39" s="3" t="n">
        <v>5</v>
      </c>
      <c r="AH39" s="3" t="n">
        <v>4</v>
      </c>
      <c r="AI39" s="3" t="n">
        <v>5</v>
      </c>
      <c r="AJ39" s="3" t="n">
        <v>5</v>
      </c>
      <c r="AK39" s="3" t="n">
        <v>3</v>
      </c>
      <c r="AL39" s="3" t="n">
        <v>4</v>
      </c>
      <c r="AM39" s="3" t="n">
        <v>4</v>
      </c>
      <c r="AN39" s="3" t="n">
        <v>3</v>
      </c>
      <c r="AO39" s="3" t="n">
        <v>3</v>
      </c>
    </row>
    <row r="40" customFormat="false" ht="15" hidden="false" customHeight="false" outlineLevel="0" collapsed="false">
      <c r="A40" s="3" t="n">
        <v>1</v>
      </c>
      <c r="B40" s="3" t="n">
        <v>4</v>
      </c>
      <c r="C40" s="3" t="n">
        <v>1</v>
      </c>
      <c r="D40" s="3" t="n">
        <v>1</v>
      </c>
      <c r="E40" s="3" t="n">
        <v>2</v>
      </c>
      <c r="F40" s="3" t="n">
        <v>2</v>
      </c>
      <c r="G40" s="3" t="n">
        <v>3</v>
      </c>
      <c r="H40" s="3" t="n">
        <v>2</v>
      </c>
      <c r="I40" s="3" t="n">
        <v>3</v>
      </c>
      <c r="J40" s="3" t="n">
        <v>27</v>
      </c>
      <c r="K40" s="3" t="n">
        <v>1</v>
      </c>
      <c r="L40" s="3" t="n">
        <v>1</v>
      </c>
      <c r="M40" s="3" t="n">
        <v>5</v>
      </c>
      <c r="N40" s="3" t="n">
        <v>5</v>
      </c>
      <c r="O40" s="3" t="n">
        <v>5</v>
      </c>
      <c r="P40" s="3" t="n">
        <v>1</v>
      </c>
      <c r="Q40" s="3" t="n">
        <v>1</v>
      </c>
      <c r="R40" s="3" t="n">
        <v>5</v>
      </c>
      <c r="S40" s="3" t="n">
        <v>5</v>
      </c>
      <c r="T40" s="3" t="n">
        <v>5</v>
      </c>
      <c r="U40" s="3" t="n">
        <v>5</v>
      </c>
      <c r="V40" s="3" t="n">
        <v>5</v>
      </c>
      <c r="W40" s="3" t="n">
        <v>5</v>
      </c>
      <c r="X40" s="3" t="n">
        <v>1</v>
      </c>
      <c r="Y40" s="3" t="n">
        <v>5</v>
      </c>
      <c r="Z40" s="3" t="n">
        <v>5</v>
      </c>
      <c r="AA40" s="3" t="n">
        <v>1</v>
      </c>
      <c r="AB40" s="3" t="n">
        <v>5</v>
      </c>
      <c r="AC40" s="3" t="n">
        <v>5</v>
      </c>
      <c r="AD40" s="3" t="n">
        <v>5</v>
      </c>
      <c r="AE40" s="3" t="n">
        <v>5</v>
      </c>
      <c r="AF40" s="3" t="n">
        <v>1</v>
      </c>
      <c r="AG40" s="3" t="n">
        <v>5</v>
      </c>
      <c r="AH40" s="3" t="n">
        <v>5</v>
      </c>
      <c r="AI40" s="3" t="n">
        <v>5</v>
      </c>
      <c r="AJ40" s="3" t="n">
        <v>1</v>
      </c>
      <c r="AK40" s="3" t="n">
        <v>1</v>
      </c>
      <c r="AL40" s="3" t="n">
        <v>5</v>
      </c>
      <c r="AM40" s="3" t="n">
        <v>1</v>
      </c>
      <c r="AN40" s="3" t="n">
        <v>3</v>
      </c>
      <c r="AO40" s="3" t="n">
        <v>5</v>
      </c>
    </row>
    <row r="41" customFormat="false" ht="15" hidden="false" customHeight="false" outlineLevel="0" collapsed="false">
      <c r="A41" s="3" t="n">
        <v>0</v>
      </c>
      <c r="B41" s="3" t="n">
        <v>2</v>
      </c>
      <c r="C41" s="3" t="n">
        <v>1</v>
      </c>
      <c r="D41" s="3" t="n">
        <v>1</v>
      </c>
      <c r="E41" s="3" t="n">
        <v>2</v>
      </c>
      <c r="F41" s="3" t="n">
        <v>2</v>
      </c>
      <c r="G41" s="3" t="n">
        <v>3</v>
      </c>
      <c r="H41" s="3" t="n">
        <v>1</v>
      </c>
      <c r="I41" s="3" t="n">
        <v>1</v>
      </c>
      <c r="J41" s="3" t="n">
        <v>22</v>
      </c>
      <c r="K41" s="3" t="n">
        <v>3</v>
      </c>
      <c r="L41" s="3" t="n">
        <v>4</v>
      </c>
      <c r="M41" s="3" t="n">
        <v>5</v>
      </c>
      <c r="N41" s="3" t="n">
        <v>5</v>
      </c>
      <c r="O41" s="3" t="n">
        <v>4</v>
      </c>
      <c r="P41" s="3" t="n">
        <v>2</v>
      </c>
      <c r="Q41" s="3" t="n">
        <v>3</v>
      </c>
      <c r="R41" s="3" t="n">
        <v>3</v>
      </c>
      <c r="S41" s="3" t="n">
        <v>4</v>
      </c>
      <c r="T41" s="3" t="n">
        <v>3</v>
      </c>
      <c r="U41" s="3" t="n">
        <v>4</v>
      </c>
      <c r="V41" s="3" t="n">
        <v>2</v>
      </c>
      <c r="W41" s="3" t="n">
        <v>4</v>
      </c>
      <c r="X41" s="3" t="n">
        <v>3</v>
      </c>
      <c r="Y41" s="3" t="n">
        <v>4</v>
      </c>
      <c r="Z41" s="3" t="n">
        <v>5</v>
      </c>
      <c r="AA41" s="3" t="n">
        <v>4</v>
      </c>
      <c r="AB41" s="3" t="n">
        <v>3</v>
      </c>
      <c r="AC41" s="3" t="n">
        <v>4</v>
      </c>
      <c r="AD41" s="3" t="n">
        <v>3</v>
      </c>
      <c r="AE41" s="3" t="n">
        <v>4</v>
      </c>
      <c r="AF41" s="3" t="n">
        <v>3</v>
      </c>
      <c r="AG41" s="3" t="n">
        <v>4</v>
      </c>
      <c r="AH41" s="3" t="n">
        <v>4</v>
      </c>
      <c r="AI41" s="3" t="n">
        <v>5</v>
      </c>
      <c r="AJ41" s="3" t="n">
        <v>4</v>
      </c>
      <c r="AK41" s="3" t="n">
        <v>4</v>
      </c>
      <c r="AL41" s="3" t="n">
        <v>4</v>
      </c>
      <c r="AM41" s="3" t="n">
        <v>3</v>
      </c>
      <c r="AN41" s="3" t="n">
        <v>3</v>
      </c>
      <c r="AO41" s="3" t="n">
        <v>4</v>
      </c>
    </row>
    <row r="42" customFormat="false" ht="15" hidden="false" customHeight="false" outlineLevel="0" collapsed="false">
      <c r="A42" s="3" t="n">
        <v>1</v>
      </c>
      <c r="B42" s="3" t="n">
        <v>3</v>
      </c>
      <c r="C42" s="3" t="n">
        <v>2</v>
      </c>
      <c r="D42" s="3" t="n">
        <v>1</v>
      </c>
      <c r="E42" s="3" t="n">
        <v>2</v>
      </c>
      <c r="F42" s="3" t="n">
        <v>2</v>
      </c>
      <c r="G42" s="3" t="n">
        <v>3</v>
      </c>
      <c r="H42" s="3" t="n">
        <v>2</v>
      </c>
      <c r="I42" s="3" t="n">
        <v>2</v>
      </c>
      <c r="J42" s="3" t="n">
        <v>24</v>
      </c>
      <c r="K42" s="3" t="n">
        <v>3</v>
      </c>
      <c r="L42" s="3" t="n">
        <v>3</v>
      </c>
      <c r="M42" s="3" t="n">
        <v>2</v>
      </c>
      <c r="N42" s="3" t="n">
        <v>4</v>
      </c>
      <c r="O42" s="3" t="n">
        <v>4</v>
      </c>
      <c r="P42" s="3" t="n">
        <v>3</v>
      </c>
      <c r="Q42" s="3" t="n">
        <v>4</v>
      </c>
      <c r="R42" s="3" t="n">
        <v>2</v>
      </c>
      <c r="S42" s="3" t="n">
        <v>5</v>
      </c>
      <c r="T42" s="3" t="n">
        <v>5</v>
      </c>
      <c r="U42" s="3" t="n">
        <v>5</v>
      </c>
      <c r="V42" s="3" t="n">
        <v>5</v>
      </c>
      <c r="W42" s="3" t="n">
        <v>5</v>
      </c>
      <c r="X42" s="3" t="n">
        <v>4</v>
      </c>
      <c r="Y42" s="3" t="n">
        <v>4</v>
      </c>
      <c r="Z42" s="3" t="n">
        <v>5</v>
      </c>
      <c r="AA42" s="3" t="n">
        <v>5</v>
      </c>
      <c r="AB42" s="3" t="n">
        <v>5</v>
      </c>
      <c r="AC42" s="3" t="n">
        <v>2</v>
      </c>
      <c r="AD42" s="3" t="n">
        <v>2</v>
      </c>
      <c r="AE42" s="3" t="n">
        <v>3</v>
      </c>
      <c r="AF42" s="3" t="n">
        <v>3</v>
      </c>
      <c r="AG42" s="3" t="n">
        <v>3</v>
      </c>
      <c r="AH42" s="3" t="n">
        <v>4</v>
      </c>
      <c r="AI42" s="3" t="n">
        <v>4</v>
      </c>
      <c r="AJ42" s="3" t="n">
        <v>5</v>
      </c>
      <c r="AK42" s="3" t="n">
        <v>4</v>
      </c>
      <c r="AL42" s="3" t="n">
        <v>5</v>
      </c>
      <c r="AM42" s="3" t="n">
        <v>5</v>
      </c>
      <c r="AN42" s="3" t="n">
        <v>2</v>
      </c>
      <c r="AO42" s="3" t="n">
        <v>2</v>
      </c>
    </row>
    <row r="43" customFormat="false" ht="15" hidden="false" customHeight="false" outlineLevel="0" collapsed="false">
      <c r="A43" s="3" t="n">
        <v>0</v>
      </c>
      <c r="B43" s="3" t="n">
        <v>4</v>
      </c>
      <c r="C43" s="3" t="n">
        <v>1</v>
      </c>
      <c r="D43" s="3" t="n">
        <v>1</v>
      </c>
      <c r="E43" s="3" t="n">
        <v>2</v>
      </c>
      <c r="F43" s="3" t="n">
        <v>2</v>
      </c>
      <c r="G43" s="3" t="n">
        <v>4</v>
      </c>
      <c r="H43" s="3" t="n">
        <v>2</v>
      </c>
      <c r="I43" s="3" t="n">
        <v>1</v>
      </c>
      <c r="J43" s="3" t="n">
        <v>23</v>
      </c>
      <c r="K43" s="3" t="n">
        <v>2</v>
      </c>
      <c r="L43" s="3" t="n">
        <v>4</v>
      </c>
      <c r="M43" s="3" t="n">
        <v>4</v>
      </c>
      <c r="N43" s="3" t="n">
        <v>3</v>
      </c>
      <c r="O43" s="3" t="n">
        <v>4</v>
      </c>
      <c r="P43" s="3" t="n">
        <v>4</v>
      </c>
      <c r="Q43" s="3" t="n">
        <v>4</v>
      </c>
      <c r="R43" s="3" t="n">
        <v>2</v>
      </c>
      <c r="S43" s="3" t="n">
        <v>4</v>
      </c>
      <c r="T43" s="3" t="n">
        <v>4</v>
      </c>
      <c r="U43" s="3" t="n">
        <v>2</v>
      </c>
      <c r="V43" s="3" t="n">
        <v>4</v>
      </c>
      <c r="W43" s="3" t="n">
        <v>4</v>
      </c>
      <c r="X43" s="3" t="n">
        <v>4</v>
      </c>
      <c r="Y43" s="3" t="n">
        <v>4</v>
      </c>
      <c r="Z43" s="3" t="n">
        <v>4</v>
      </c>
      <c r="AA43" s="3" t="n">
        <v>4</v>
      </c>
      <c r="AB43" s="3" t="n">
        <v>2</v>
      </c>
      <c r="AC43" s="3" t="n">
        <v>1</v>
      </c>
      <c r="AD43" s="3" t="n">
        <v>2</v>
      </c>
      <c r="AE43" s="3" t="n">
        <v>4</v>
      </c>
      <c r="AF43" s="3" t="n">
        <v>3</v>
      </c>
      <c r="AG43" s="3" t="n">
        <v>4</v>
      </c>
      <c r="AH43" s="3" t="n">
        <v>4</v>
      </c>
      <c r="AI43" s="3" t="n">
        <v>3</v>
      </c>
      <c r="AJ43" s="3" t="n">
        <v>4</v>
      </c>
      <c r="AK43" s="3" t="n">
        <v>2</v>
      </c>
      <c r="AL43" s="3" t="n">
        <v>5</v>
      </c>
      <c r="AM43" s="3" t="n">
        <v>3</v>
      </c>
      <c r="AN43" s="3" t="n">
        <v>1</v>
      </c>
      <c r="AO43" s="3" t="n">
        <v>3</v>
      </c>
    </row>
    <row r="44" customFormat="false" ht="15" hidden="false" customHeight="false" outlineLevel="0" collapsed="false">
      <c r="A44" s="3" t="n">
        <v>0</v>
      </c>
      <c r="B44" s="3" t="n">
        <v>4</v>
      </c>
      <c r="C44" s="3" t="n">
        <v>1</v>
      </c>
      <c r="D44" s="3" t="n">
        <v>1</v>
      </c>
      <c r="E44" s="3" t="n">
        <v>2</v>
      </c>
      <c r="F44" s="3" t="n">
        <v>2</v>
      </c>
      <c r="G44" s="3" t="n">
        <v>4</v>
      </c>
      <c r="H44" s="3" t="n">
        <v>2</v>
      </c>
      <c r="I44" s="3" t="n">
        <v>3</v>
      </c>
      <c r="J44" s="3" t="n">
        <v>28</v>
      </c>
      <c r="K44" s="3" t="n">
        <v>3</v>
      </c>
      <c r="L44" s="3" t="n">
        <v>3</v>
      </c>
      <c r="M44" s="3" t="n">
        <v>4</v>
      </c>
      <c r="N44" s="3" t="n">
        <v>3</v>
      </c>
      <c r="O44" s="3" t="n">
        <v>4</v>
      </c>
      <c r="P44" s="3" t="n">
        <v>4</v>
      </c>
      <c r="Q44" s="3" t="n">
        <v>3</v>
      </c>
      <c r="R44" s="3" t="n">
        <v>3</v>
      </c>
      <c r="S44" s="3" t="n">
        <v>1</v>
      </c>
      <c r="T44" s="3" t="n">
        <v>5</v>
      </c>
      <c r="U44" s="3" t="n">
        <v>5</v>
      </c>
      <c r="V44" s="3" t="n">
        <v>5</v>
      </c>
      <c r="W44" s="3" t="n">
        <v>5</v>
      </c>
      <c r="X44" s="3" t="n">
        <v>4</v>
      </c>
      <c r="Y44" s="3" t="n">
        <v>4</v>
      </c>
      <c r="Z44" s="3" t="n">
        <v>4</v>
      </c>
      <c r="AA44" s="3" t="n">
        <v>2</v>
      </c>
      <c r="AB44" s="3" t="n">
        <v>2</v>
      </c>
      <c r="AC44" s="3" t="n">
        <v>2</v>
      </c>
      <c r="AD44" s="3" t="n">
        <v>2</v>
      </c>
      <c r="AE44" s="3" t="n">
        <v>5</v>
      </c>
      <c r="AF44" s="3" t="n">
        <v>3</v>
      </c>
      <c r="AG44" s="3" t="n">
        <v>5</v>
      </c>
      <c r="AH44" s="3" t="n">
        <v>5</v>
      </c>
      <c r="AI44" s="3" t="n">
        <v>5</v>
      </c>
      <c r="AJ44" s="3" t="n">
        <v>4</v>
      </c>
      <c r="AK44" s="3" t="n">
        <v>3</v>
      </c>
      <c r="AL44" s="3" t="n">
        <v>4</v>
      </c>
      <c r="AM44" s="3" t="n">
        <v>3</v>
      </c>
      <c r="AN44" s="3" t="n">
        <v>3</v>
      </c>
      <c r="AO44" s="3" t="n">
        <v>4</v>
      </c>
    </row>
    <row r="45" customFormat="false" ht="15" hidden="false" customHeight="false" outlineLevel="0" collapsed="false">
      <c r="A45" s="3" t="n">
        <v>1</v>
      </c>
      <c r="B45" s="3" t="n">
        <v>3</v>
      </c>
      <c r="C45" s="3" t="n">
        <v>1</v>
      </c>
      <c r="D45" s="3" t="n">
        <v>1</v>
      </c>
      <c r="E45" s="3" t="n">
        <v>2</v>
      </c>
      <c r="F45" s="3" t="n">
        <v>2</v>
      </c>
      <c r="G45" s="3" t="n">
        <v>2</v>
      </c>
      <c r="H45" s="3" t="n">
        <v>2</v>
      </c>
      <c r="I45" s="3" t="n">
        <v>2</v>
      </c>
      <c r="J45" s="3" t="n">
        <v>24</v>
      </c>
      <c r="K45" s="3" t="n">
        <v>3</v>
      </c>
      <c r="L45" s="3" t="n">
        <v>3</v>
      </c>
      <c r="M45" s="3" t="n">
        <v>5</v>
      </c>
      <c r="N45" s="3" t="n">
        <v>5</v>
      </c>
      <c r="O45" s="3" t="n">
        <v>5</v>
      </c>
      <c r="P45" s="3" t="n">
        <v>3</v>
      </c>
      <c r="Q45" s="3" t="n">
        <v>4</v>
      </c>
      <c r="R45" s="3" t="n">
        <v>2</v>
      </c>
      <c r="S45" s="3" t="n">
        <v>4</v>
      </c>
      <c r="T45" s="3" t="n">
        <v>4</v>
      </c>
      <c r="U45" s="3" t="n">
        <v>3</v>
      </c>
      <c r="V45" s="3" t="n">
        <v>4</v>
      </c>
      <c r="W45" s="3" t="n">
        <v>4</v>
      </c>
      <c r="X45" s="3" t="n">
        <v>4</v>
      </c>
      <c r="Y45" s="3" t="n">
        <v>2</v>
      </c>
      <c r="Z45" s="3" t="n">
        <v>4</v>
      </c>
      <c r="AA45" s="3" t="n">
        <v>4</v>
      </c>
      <c r="AB45" s="3" t="n">
        <v>4</v>
      </c>
      <c r="AC45" s="3" t="n">
        <v>2</v>
      </c>
      <c r="AD45" s="3" t="n">
        <v>4</v>
      </c>
      <c r="AE45" s="3" t="n">
        <v>4</v>
      </c>
      <c r="AF45" s="3" t="n">
        <v>4</v>
      </c>
      <c r="AG45" s="3" t="n">
        <v>4</v>
      </c>
      <c r="AH45" s="3" t="n">
        <v>4</v>
      </c>
      <c r="AI45" s="3" t="n">
        <v>4</v>
      </c>
      <c r="AJ45" s="3" t="n">
        <v>4</v>
      </c>
      <c r="AK45" s="3" t="n">
        <v>3</v>
      </c>
      <c r="AL45" s="3" t="n">
        <v>4</v>
      </c>
      <c r="AM45" s="3" t="n">
        <v>3</v>
      </c>
      <c r="AN45" s="3" t="n">
        <v>5</v>
      </c>
      <c r="AO45" s="3" t="n">
        <v>4</v>
      </c>
    </row>
    <row r="46" customFormat="false" ht="15" hidden="false" customHeight="false" outlineLevel="0" collapsed="false">
      <c r="A46" s="3" t="n">
        <v>0</v>
      </c>
      <c r="B46" s="3" t="n">
        <v>3</v>
      </c>
      <c r="C46" s="3" t="n">
        <v>1</v>
      </c>
      <c r="D46" s="3" t="n">
        <v>2</v>
      </c>
      <c r="E46" s="3" t="n">
        <v>2</v>
      </c>
      <c r="F46" s="3" t="n">
        <v>2</v>
      </c>
      <c r="G46" s="3" t="n">
        <v>2</v>
      </c>
      <c r="H46" s="3" t="n">
        <v>1</v>
      </c>
      <c r="I46" s="3" t="n">
        <v>2</v>
      </c>
      <c r="J46" s="3" t="n">
        <v>23</v>
      </c>
      <c r="K46" s="3" t="n">
        <v>4</v>
      </c>
      <c r="L46" s="3" t="n">
        <v>3</v>
      </c>
      <c r="M46" s="3" t="n">
        <v>4</v>
      </c>
      <c r="N46" s="3" t="n">
        <v>3</v>
      </c>
      <c r="O46" s="3" t="n">
        <v>5</v>
      </c>
      <c r="P46" s="3" t="n">
        <v>2</v>
      </c>
      <c r="Q46" s="3" t="n">
        <v>3</v>
      </c>
      <c r="R46" s="3" t="n">
        <v>3</v>
      </c>
      <c r="S46" s="3" t="n">
        <v>3</v>
      </c>
      <c r="T46" s="3" t="n">
        <v>4</v>
      </c>
      <c r="U46" s="3" t="n">
        <v>2</v>
      </c>
      <c r="V46" s="3" t="n">
        <v>2</v>
      </c>
      <c r="W46" s="3" t="n">
        <v>3</v>
      </c>
      <c r="X46" s="3" t="n">
        <v>4</v>
      </c>
      <c r="Y46" s="3" t="n">
        <v>3</v>
      </c>
      <c r="Z46" s="3" t="n">
        <v>2</v>
      </c>
      <c r="AA46" s="3" t="n">
        <v>4</v>
      </c>
      <c r="AB46" s="3" t="n">
        <v>2</v>
      </c>
      <c r="AC46" s="3" t="n">
        <v>1</v>
      </c>
      <c r="AD46" s="3" t="n">
        <v>3</v>
      </c>
      <c r="AE46" s="3" t="n">
        <v>4</v>
      </c>
      <c r="AF46" s="3" t="n">
        <v>2</v>
      </c>
      <c r="AG46" s="3" t="n">
        <v>1</v>
      </c>
      <c r="AH46" s="3" t="n">
        <v>3</v>
      </c>
      <c r="AI46" s="3" t="n">
        <v>2</v>
      </c>
      <c r="AJ46" s="3" t="n">
        <v>4</v>
      </c>
      <c r="AK46" s="3" t="n">
        <v>4</v>
      </c>
      <c r="AL46" s="3" t="n">
        <v>3</v>
      </c>
      <c r="AM46" s="3" t="n">
        <v>2</v>
      </c>
      <c r="AN46" s="3" t="n">
        <v>3</v>
      </c>
      <c r="AO46" s="3" t="n">
        <v>3</v>
      </c>
    </row>
    <row r="47" customFormat="false" ht="15" hidden="false" customHeight="false" outlineLevel="0" collapsed="false">
      <c r="A47" s="3" t="n">
        <v>1</v>
      </c>
      <c r="B47" s="3" t="n">
        <v>4</v>
      </c>
      <c r="C47" s="3" t="n">
        <v>1</v>
      </c>
      <c r="D47" s="3" t="n">
        <v>1</v>
      </c>
      <c r="E47" s="3" t="n">
        <v>2</v>
      </c>
      <c r="F47" s="3" t="n">
        <v>2</v>
      </c>
      <c r="G47" s="3" t="n">
        <v>3</v>
      </c>
      <c r="H47" s="3" t="n">
        <v>3</v>
      </c>
      <c r="I47" s="3" t="n">
        <v>2</v>
      </c>
      <c r="J47" s="3" t="n">
        <v>24</v>
      </c>
      <c r="K47" s="3" t="n">
        <v>3</v>
      </c>
      <c r="L47" s="3" t="n">
        <v>3</v>
      </c>
      <c r="M47" s="3" t="n">
        <v>4</v>
      </c>
      <c r="N47" s="3" t="n">
        <v>3</v>
      </c>
      <c r="O47" s="3" t="n">
        <v>4</v>
      </c>
      <c r="P47" s="3" t="n">
        <v>4</v>
      </c>
      <c r="Q47" s="3" t="n">
        <v>4</v>
      </c>
      <c r="R47" s="3" t="n">
        <v>3</v>
      </c>
      <c r="S47" s="3" t="n">
        <v>3</v>
      </c>
      <c r="T47" s="3" t="n">
        <v>4</v>
      </c>
      <c r="U47" s="3" t="n">
        <v>4</v>
      </c>
      <c r="V47" s="3" t="n">
        <v>4</v>
      </c>
      <c r="W47" s="3" t="n">
        <v>4</v>
      </c>
      <c r="X47" s="3" t="n">
        <v>4</v>
      </c>
      <c r="Y47" s="3" t="n">
        <v>3</v>
      </c>
      <c r="Z47" s="3" t="n">
        <v>4</v>
      </c>
      <c r="AA47" s="3" t="n">
        <v>4</v>
      </c>
      <c r="AB47" s="3" t="n">
        <v>2</v>
      </c>
      <c r="AC47" s="3" t="n">
        <v>2</v>
      </c>
      <c r="AD47" s="3" t="n">
        <v>3</v>
      </c>
      <c r="AE47" s="3" t="n">
        <v>2</v>
      </c>
      <c r="AF47" s="3" t="n">
        <v>2</v>
      </c>
      <c r="AG47" s="3" t="n">
        <v>3</v>
      </c>
      <c r="AH47" s="3" t="n">
        <v>3</v>
      </c>
      <c r="AI47" s="3" t="n">
        <v>3</v>
      </c>
      <c r="AJ47" s="3" t="n">
        <v>4</v>
      </c>
      <c r="AK47" s="3" t="n">
        <v>4</v>
      </c>
      <c r="AL47" s="3" t="n">
        <v>4</v>
      </c>
      <c r="AM47" s="3" t="n">
        <v>3</v>
      </c>
      <c r="AN47" s="3" t="n">
        <v>3</v>
      </c>
      <c r="AO47" s="3" t="n">
        <v>2</v>
      </c>
    </row>
    <row r="48" customFormat="false" ht="15" hidden="false" customHeight="false" outlineLevel="0" collapsed="false">
      <c r="A48" s="3" t="n">
        <v>1</v>
      </c>
      <c r="B48" s="3" t="n">
        <v>4</v>
      </c>
      <c r="C48" s="3" t="n">
        <v>1</v>
      </c>
      <c r="D48" s="3" t="n">
        <v>1</v>
      </c>
      <c r="E48" s="3" t="n">
        <v>2</v>
      </c>
      <c r="F48" s="3" t="n">
        <v>2</v>
      </c>
      <c r="G48" s="3" t="n">
        <v>3</v>
      </c>
      <c r="H48" s="3" t="n">
        <v>3</v>
      </c>
      <c r="I48" s="3" t="n">
        <v>1</v>
      </c>
      <c r="J48" s="3" t="n">
        <v>23</v>
      </c>
      <c r="K48" s="3" t="n">
        <v>2</v>
      </c>
      <c r="L48" s="3" t="n">
        <v>3</v>
      </c>
      <c r="M48" s="3" t="n">
        <v>1</v>
      </c>
      <c r="N48" s="3" t="n">
        <v>4</v>
      </c>
      <c r="O48" s="3" t="n">
        <v>4</v>
      </c>
      <c r="P48" s="3" t="n">
        <v>4</v>
      </c>
      <c r="Q48" s="3" t="n">
        <v>4</v>
      </c>
      <c r="R48" s="3" t="n">
        <v>2</v>
      </c>
      <c r="S48" s="3" t="n">
        <v>4</v>
      </c>
      <c r="T48" s="3" t="n">
        <v>4</v>
      </c>
      <c r="U48" s="3" t="n">
        <v>5</v>
      </c>
      <c r="V48" s="3" t="n">
        <v>3</v>
      </c>
      <c r="W48" s="3" t="n">
        <v>2</v>
      </c>
      <c r="X48" s="3" t="n">
        <v>2</v>
      </c>
      <c r="Y48" s="3" t="n">
        <v>3</v>
      </c>
      <c r="Z48" s="3" t="n">
        <v>3</v>
      </c>
      <c r="AA48" s="3" t="n">
        <v>4</v>
      </c>
      <c r="AB48" s="3" t="n">
        <v>4</v>
      </c>
      <c r="AC48" s="3" t="n">
        <v>1</v>
      </c>
      <c r="AD48" s="3" t="n">
        <v>2</v>
      </c>
      <c r="AE48" s="3" t="n">
        <v>4</v>
      </c>
      <c r="AF48" s="3" t="n">
        <v>2</v>
      </c>
      <c r="AG48" s="3" t="n">
        <v>2</v>
      </c>
      <c r="AH48" s="3" t="n">
        <v>4</v>
      </c>
      <c r="AI48" s="3" t="n">
        <v>4</v>
      </c>
      <c r="AJ48" s="3" t="n">
        <v>4</v>
      </c>
      <c r="AK48" s="3" t="n">
        <v>4</v>
      </c>
      <c r="AL48" s="3" t="n">
        <v>5</v>
      </c>
      <c r="AM48" s="3" t="n">
        <v>2</v>
      </c>
      <c r="AN48" s="3" t="n">
        <v>2</v>
      </c>
      <c r="AO48" s="3" t="n">
        <v>2</v>
      </c>
    </row>
    <row r="49" customFormat="false" ht="15" hidden="false" customHeight="false" outlineLevel="0" collapsed="false">
      <c r="A49" s="3" t="n">
        <v>0</v>
      </c>
      <c r="B49" s="3" t="n">
        <v>1</v>
      </c>
      <c r="C49" s="3" t="n">
        <v>2</v>
      </c>
      <c r="D49" s="3" t="n">
        <v>1</v>
      </c>
      <c r="E49" s="3" t="n">
        <v>2</v>
      </c>
      <c r="F49" s="3" t="n">
        <v>2</v>
      </c>
      <c r="G49" s="3" t="n">
        <v>3</v>
      </c>
      <c r="H49" s="3" t="n">
        <v>3</v>
      </c>
      <c r="I49" s="3" t="n">
        <v>1</v>
      </c>
      <c r="J49" s="3" t="n">
        <v>24</v>
      </c>
      <c r="K49" s="3" t="n">
        <v>4</v>
      </c>
      <c r="L49" s="3" t="n">
        <v>5</v>
      </c>
      <c r="M49" s="3" t="n">
        <v>5</v>
      </c>
      <c r="N49" s="3" t="n">
        <v>5</v>
      </c>
      <c r="O49" s="3" t="n">
        <v>3</v>
      </c>
      <c r="P49" s="3" t="n">
        <v>4</v>
      </c>
      <c r="Q49" s="3" t="n">
        <v>4</v>
      </c>
      <c r="R49" s="3" t="n">
        <v>4</v>
      </c>
      <c r="S49" s="3" t="n">
        <v>5</v>
      </c>
      <c r="T49" s="3" t="n">
        <v>5</v>
      </c>
      <c r="U49" s="3" t="n">
        <v>5</v>
      </c>
      <c r="V49" s="3" t="n">
        <v>5</v>
      </c>
      <c r="W49" s="3" t="n">
        <v>5</v>
      </c>
      <c r="X49" s="3" t="n">
        <v>5</v>
      </c>
      <c r="Y49" s="3" t="n">
        <v>5</v>
      </c>
      <c r="Z49" s="3" t="n">
        <v>5</v>
      </c>
      <c r="AA49" s="3" t="n">
        <v>4</v>
      </c>
      <c r="AB49" s="3" t="n">
        <v>3</v>
      </c>
      <c r="AC49" s="3" t="n">
        <v>4</v>
      </c>
      <c r="AD49" s="3" t="n">
        <v>2</v>
      </c>
      <c r="AE49" s="3" t="n">
        <v>4</v>
      </c>
      <c r="AF49" s="3" t="n">
        <v>4</v>
      </c>
      <c r="AG49" s="3" t="n">
        <v>4</v>
      </c>
      <c r="AH49" s="3" t="n">
        <v>5</v>
      </c>
      <c r="AI49" s="3" t="n">
        <v>5</v>
      </c>
      <c r="AJ49" s="3" t="n">
        <v>4</v>
      </c>
      <c r="AK49" s="3" t="n">
        <v>3</v>
      </c>
      <c r="AL49" s="3" t="n">
        <v>4</v>
      </c>
      <c r="AM49" s="3" t="n">
        <v>4</v>
      </c>
      <c r="AN49" s="3" t="n">
        <v>4</v>
      </c>
      <c r="AO49" s="3" t="n">
        <v>4</v>
      </c>
    </row>
    <row r="50" customFormat="false" ht="15" hidden="false" customHeight="false" outlineLevel="0" collapsed="false">
      <c r="A50" s="3" t="n">
        <v>0</v>
      </c>
      <c r="B50" s="3" t="n">
        <v>3</v>
      </c>
      <c r="C50" s="3" t="n">
        <v>1</v>
      </c>
      <c r="D50" s="3" t="n">
        <v>1</v>
      </c>
      <c r="E50" s="3" t="n">
        <v>2</v>
      </c>
      <c r="F50" s="3" t="n">
        <v>2</v>
      </c>
      <c r="G50" s="3" t="n">
        <v>3</v>
      </c>
      <c r="H50" s="3" t="n">
        <v>2</v>
      </c>
      <c r="I50" s="3" t="n">
        <v>1</v>
      </c>
      <c r="J50" s="3" t="n">
        <v>22</v>
      </c>
      <c r="K50" s="3" t="n">
        <v>4</v>
      </c>
      <c r="L50" s="3" t="n">
        <v>4</v>
      </c>
      <c r="M50" s="3" t="n">
        <v>3</v>
      </c>
      <c r="N50" s="3" t="n">
        <v>4</v>
      </c>
      <c r="O50" s="3" t="n">
        <v>4</v>
      </c>
      <c r="P50" s="3" t="n">
        <v>4</v>
      </c>
      <c r="Q50" s="3" t="n">
        <v>2</v>
      </c>
      <c r="R50" s="3" t="n">
        <v>3</v>
      </c>
      <c r="S50" s="3" t="n">
        <v>3</v>
      </c>
      <c r="T50" s="3" t="n">
        <v>2</v>
      </c>
      <c r="U50" s="3" t="n">
        <v>3</v>
      </c>
      <c r="V50" s="3" t="n">
        <v>3</v>
      </c>
      <c r="W50" s="3" t="n">
        <v>4</v>
      </c>
      <c r="X50" s="3" t="n">
        <v>3</v>
      </c>
      <c r="Y50" s="3" t="n">
        <v>3</v>
      </c>
      <c r="Z50" s="3" t="n">
        <v>3</v>
      </c>
      <c r="AA50" s="3" t="n">
        <v>4</v>
      </c>
      <c r="AB50" s="3" t="n">
        <v>4</v>
      </c>
      <c r="AC50" s="3" t="n">
        <v>2</v>
      </c>
      <c r="AD50" s="3" t="n">
        <v>3</v>
      </c>
      <c r="AE50" s="3" t="n">
        <v>3</v>
      </c>
      <c r="AF50" s="3" t="n">
        <v>2</v>
      </c>
      <c r="AG50" s="3" t="n">
        <v>3</v>
      </c>
      <c r="AH50" s="3" t="n">
        <v>2</v>
      </c>
      <c r="AI50" s="3" t="n">
        <v>4</v>
      </c>
      <c r="AJ50" s="3" t="n">
        <v>4</v>
      </c>
      <c r="AK50" s="3" t="n">
        <v>2</v>
      </c>
      <c r="AL50" s="3" t="n">
        <v>3</v>
      </c>
      <c r="AM50" s="3" t="n">
        <v>3</v>
      </c>
      <c r="AN50" s="3" t="n">
        <v>2</v>
      </c>
      <c r="AO50" s="3" t="n">
        <v>3</v>
      </c>
    </row>
    <row r="51" customFormat="false" ht="15" hidden="false" customHeight="false" outlineLevel="0" collapsed="false">
      <c r="A51" s="3" t="n">
        <v>1</v>
      </c>
      <c r="B51" s="3" t="n">
        <v>3</v>
      </c>
      <c r="C51" s="3" t="n">
        <v>1</v>
      </c>
      <c r="D51" s="3" t="n">
        <v>2</v>
      </c>
      <c r="E51" s="3" t="n">
        <v>2</v>
      </c>
      <c r="F51" s="3" t="n">
        <v>2</v>
      </c>
      <c r="G51" s="3" t="n">
        <v>3</v>
      </c>
      <c r="H51" s="3" t="n">
        <v>3</v>
      </c>
      <c r="I51" s="3" t="n">
        <v>1</v>
      </c>
      <c r="J51" s="3" t="n">
        <v>23</v>
      </c>
      <c r="K51" s="3" t="n">
        <v>4</v>
      </c>
      <c r="L51" s="3" t="n">
        <v>4</v>
      </c>
      <c r="M51" s="3" t="n">
        <v>3</v>
      </c>
      <c r="N51" s="3" t="n">
        <v>4</v>
      </c>
      <c r="O51" s="3" t="n">
        <v>1</v>
      </c>
      <c r="P51" s="3" t="n">
        <v>2</v>
      </c>
      <c r="Q51" s="3" t="n">
        <v>3</v>
      </c>
      <c r="R51" s="3" t="n">
        <v>4</v>
      </c>
      <c r="S51" s="3" t="n">
        <v>1</v>
      </c>
      <c r="T51" s="3" t="n">
        <v>5</v>
      </c>
      <c r="U51" s="3" t="n">
        <v>5</v>
      </c>
      <c r="V51" s="3" t="n">
        <v>3</v>
      </c>
      <c r="W51" s="3" t="n">
        <v>4</v>
      </c>
      <c r="X51" s="3" t="n">
        <v>4</v>
      </c>
      <c r="Y51" s="3" t="n">
        <v>3</v>
      </c>
      <c r="Z51" s="3" t="n">
        <v>5</v>
      </c>
      <c r="AA51" s="3" t="n">
        <v>3</v>
      </c>
      <c r="AB51" s="3" t="n">
        <v>2</v>
      </c>
      <c r="AC51" s="3" t="n">
        <v>3</v>
      </c>
      <c r="AD51" s="3" t="n">
        <v>3</v>
      </c>
      <c r="AE51" s="3" t="n">
        <v>3</v>
      </c>
      <c r="AF51" s="3" t="n">
        <v>3</v>
      </c>
      <c r="AG51" s="3" t="n">
        <v>3</v>
      </c>
      <c r="AH51" s="3" t="n">
        <v>4</v>
      </c>
      <c r="AI51" s="3" t="n">
        <v>3</v>
      </c>
      <c r="AJ51" s="3" t="n">
        <v>5</v>
      </c>
      <c r="AK51" s="3" t="n">
        <v>2</v>
      </c>
      <c r="AL51" s="3" t="n">
        <v>5</v>
      </c>
      <c r="AM51" s="3" t="n">
        <v>3</v>
      </c>
      <c r="AN51" s="3" t="n">
        <v>3</v>
      </c>
      <c r="AO51" s="3" t="n">
        <v>3</v>
      </c>
    </row>
    <row r="52" customFormat="false" ht="15" hidden="false" customHeight="false" outlineLevel="0" collapsed="false">
      <c r="A52" s="3" t="n">
        <v>1</v>
      </c>
      <c r="B52" s="3" t="n">
        <v>4</v>
      </c>
      <c r="C52" s="3" t="n">
        <v>2</v>
      </c>
      <c r="D52" s="3" t="n">
        <v>1</v>
      </c>
      <c r="E52" s="3" t="n">
        <v>2</v>
      </c>
      <c r="F52" s="3" t="n">
        <v>2</v>
      </c>
      <c r="G52" s="3" t="n">
        <v>2</v>
      </c>
      <c r="H52" s="3" t="n">
        <v>2</v>
      </c>
      <c r="I52" s="3" t="n">
        <v>3</v>
      </c>
      <c r="J52" s="3" t="n">
        <v>23</v>
      </c>
      <c r="K52" s="3" t="n">
        <v>2</v>
      </c>
      <c r="L52" s="3" t="n">
        <v>1</v>
      </c>
      <c r="M52" s="3" t="n">
        <v>3</v>
      </c>
      <c r="N52" s="3" t="n">
        <v>3</v>
      </c>
      <c r="O52" s="3" t="n">
        <v>1</v>
      </c>
      <c r="P52" s="3" t="n">
        <v>2</v>
      </c>
      <c r="Q52" s="3" t="n">
        <v>2</v>
      </c>
      <c r="R52" s="3" t="n">
        <v>1</v>
      </c>
      <c r="S52" s="3" t="n">
        <v>3</v>
      </c>
      <c r="T52" s="3" t="n">
        <v>3</v>
      </c>
      <c r="U52" s="3" t="n">
        <v>4</v>
      </c>
      <c r="V52" s="3" t="n">
        <v>4</v>
      </c>
      <c r="W52" s="3" t="n">
        <v>4</v>
      </c>
      <c r="X52" s="3" t="n">
        <v>4</v>
      </c>
      <c r="Y52" s="3" t="n">
        <v>4</v>
      </c>
      <c r="Z52" s="3" t="n">
        <v>4</v>
      </c>
      <c r="AA52" s="3" t="n">
        <v>4</v>
      </c>
      <c r="AB52" s="3" t="n">
        <v>2</v>
      </c>
      <c r="AC52" s="3" t="n">
        <v>1</v>
      </c>
      <c r="AD52" s="3" t="n">
        <v>1</v>
      </c>
      <c r="AE52" s="3" t="n">
        <v>2</v>
      </c>
      <c r="AF52" s="3" t="n">
        <v>1</v>
      </c>
      <c r="AG52" s="3" t="n">
        <v>1</v>
      </c>
      <c r="AH52" s="3" t="n">
        <v>1</v>
      </c>
      <c r="AI52" s="3" t="n">
        <v>1</v>
      </c>
      <c r="AJ52" s="3" t="n">
        <v>2</v>
      </c>
      <c r="AK52" s="3" t="n">
        <v>1</v>
      </c>
      <c r="AL52" s="3" t="n">
        <v>4</v>
      </c>
      <c r="AM52" s="3" t="n">
        <v>2</v>
      </c>
      <c r="AN52" s="3" t="n">
        <v>2</v>
      </c>
      <c r="AO52" s="3" t="n">
        <v>1</v>
      </c>
    </row>
    <row r="53" customFormat="false" ht="15" hidden="false" customHeight="false" outlineLevel="0" collapsed="false">
      <c r="A53" s="3" t="n">
        <v>0</v>
      </c>
      <c r="B53" s="3" t="n">
        <v>4</v>
      </c>
      <c r="C53" s="3" t="n">
        <v>1</v>
      </c>
      <c r="D53" s="3" t="n">
        <v>1</v>
      </c>
      <c r="E53" s="3" t="n">
        <v>2</v>
      </c>
      <c r="F53" s="3" t="n">
        <v>2</v>
      </c>
      <c r="G53" s="3" t="n">
        <v>4</v>
      </c>
      <c r="H53" s="3" t="n">
        <v>1</v>
      </c>
      <c r="I53" s="3" t="n">
        <v>3</v>
      </c>
      <c r="J53" s="3" t="n">
        <v>25</v>
      </c>
      <c r="K53" s="3" t="n">
        <v>3</v>
      </c>
      <c r="L53" s="3" t="n">
        <v>4</v>
      </c>
      <c r="M53" s="3" t="n">
        <v>3</v>
      </c>
      <c r="N53" s="3" t="n">
        <v>4</v>
      </c>
      <c r="O53" s="3" t="n">
        <v>3</v>
      </c>
      <c r="P53" s="3" t="n">
        <v>3</v>
      </c>
      <c r="Q53" s="3" t="n">
        <v>3</v>
      </c>
      <c r="R53" s="3" t="n">
        <v>2</v>
      </c>
      <c r="S53" s="3" t="n">
        <v>5</v>
      </c>
      <c r="T53" s="3" t="n">
        <v>5</v>
      </c>
      <c r="U53" s="3" t="n">
        <v>4</v>
      </c>
      <c r="V53" s="3" t="n">
        <v>3</v>
      </c>
      <c r="W53" s="3" t="n">
        <v>4</v>
      </c>
      <c r="X53" s="3" t="n">
        <v>3</v>
      </c>
      <c r="Y53" s="3" t="n">
        <v>3</v>
      </c>
      <c r="Z53" s="3" t="n">
        <v>4</v>
      </c>
      <c r="AA53" s="3" t="n">
        <v>4</v>
      </c>
      <c r="AB53" s="3" t="n">
        <v>2</v>
      </c>
      <c r="AC53" s="3" t="n">
        <v>1</v>
      </c>
      <c r="AD53" s="3" t="n">
        <v>3</v>
      </c>
      <c r="AE53" s="3" t="n">
        <v>4</v>
      </c>
      <c r="AF53" s="3" t="n">
        <v>3</v>
      </c>
      <c r="AG53" s="3" t="n">
        <v>4</v>
      </c>
      <c r="AH53" s="3" t="n">
        <v>4</v>
      </c>
      <c r="AI53" s="3" t="n">
        <v>4</v>
      </c>
      <c r="AJ53" s="3" t="n">
        <v>5</v>
      </c>
      <c r="AK53" s="3" t="n">
        <v>2</v>
      </c>
      <c r="AL53" s="3" t="n">
        <v>5</v>
      </c>
      <c r="AM53" s="3" t="n">
        <v>4</v>
      </c>
      <c r="AN53" s="3" t="n">
        <v>2</v>
      </c>
      <c r="AO53" s="3" t="n">
        <v>3</v>
      </c>
    </row>
    <row r="54" customFormat="false" ht="15" hidden="false" customHeight="false" outlineLevel="0" collapsed="false">
      <c r="A54" s="3" t="n">
        <v>0</v>
      </c>
      <c r="B54" s="3" t="n">
        <v>2</v>
      </c>
      <c r="C54" s="3" t="n">
        <v>2</v>
      </c>
      <c r="D54" s="3" t="n">
        <v>1</v>
      </c>
      <c r="E54" s="3" t="n">
        <v>2</v>
      </c>
      <c r="F54" s="3" t="n">
        <v>2</v>
      </c>
      <c r="G54" s="3" t="n">
        <v>3</v>
      </c>
      <c r="H54" s="3" t="n">
        <v>2</v>
      </c>
      <c r="I54" s="3" t="n">
        <v>1</v>
      </c>
      <c r="J54" s="3" t="n">
        <v>22</v>
      </c>
      <c r="K54" s="3" t="n">
        <v>3</v>
      </c>
      <c r="L54" s="3" t="n">
        <v>2</v>
      </c>
      <c r="M54" s="3" t="n">
        <v>4</v>
      </c>
      <c r="N54" s="3" t="n">
        <v>4</v>
      </c>
      <c r="O54" s="3" t="n">
        <v>4</v>
      </c>
      <c r="P54" s="3" t="n">
        <v>2</v>
      </c>
      <c r="Q54" s="3" t="n">
        <v>2</v>
      </c>
      <c r="R54" s="3" t="n">
        <v>2</v>
      </c>
      <c r="S54" s="3" t="n">
        <v>3</v>
      </c>
      <c r="T54" s="3" t="n">
        <v>4</v>
      </c>
      <c r="U54" s="3" t="n">
        <v>4</v>
      </c>
      <c r="V54" s="3" t="n">
        <v>4</v>
      </c>
      <c r="W54" s="3" t="n">
        <v>4</v>
      </c>
      <c r="X54" s="3" t="n">
        <v>2</v>
      </c>
      <c r="Y54" s="3" t="n">
        <v>4</v>
      </c>
      <c r="Z54" s="3" t="n">
        <v>4</v>
      </c>
      <c r="AA54" s="3" t="n">
        <v>2</v>
      </c>
      <c r="AB54" s="3" t="n">
        <v>2</v>
      </c>
      <c r="AC54" s="3" t="n">
        <v>2</v>
      </c>
      <c r="AD54" s="3" t="n">
        <v>2</v>
      </c>
      <c r="AE54" s="3" t="n">
        <v>3</v>
      </c>
      <c r="AF54" s="3" t="n">
        <v>3</v>
      </c>
      <c r="AG54" s="3" t="n">
        <v>4</v>
      </c>
      <c r="AH54" s="3" t="n">
        <v>4</v>
      </c>
      <c r="AI54" s="3" t="n">
        <v>4</v>
      </c>
      <c r="AJ54" s="3" t="n">
        <v>4</v>
      </c>
      <c r="AK54" s="3" t="n">
        <v>2</v>
      </c>
      <c r="AL54" s="3" t="n">
        <v>4</v>
      </c>
      <c r="AM54" s="3" t="n">
        <v>3</v>
      </c>
      <c r="AN54" s="3" t="n">
        <v>3</v>
      </c>
      <c r="AO54" s="3" t="n">
        <v>3</v>
      </c>
    </row>
    <row r="55" customFormat="false" ht="15" hidden="false" customHeight="false" outlineLevel="0" collapsed="false">
      <c r="A55" s="3" t="n">
        <v>0</v>
      </c>
      <c r="B55" s="3" t="n">
        <v>3</v>
      </c>
      <c r="C55" s="3" t="n">
        <v>2</v>
      </c>
      <c r="D55" s="3" t="n">
        <v>1</v>
      </c>
      <c r="E55" s="3" t="n">
        <v>2</v>
      </c>
      <c r="F55" s="3" t="n">
        <v>2</v>
      </c>
      <c r="G55" s="3" t="n">
        <v>3</v>
      </c>
      <c r="H55" s="3" t="n">
        <v>2</v>
      </c>
      <c r="I55" s="3" t="n">
        <v>1</v>
      </c>
      <c r="J55" s="3" t="n">
        <v>21</v>
      </c>
      <c r="K55" s="3" t="n">
        <v>5</v>
      </c>
      <c r="L55" s="3" t="n">
        <v>3</v>
      </c>
      <c r="M55" s="3" t="n">
        <v>4</v>
      </c>
      <c r="N55" s="3" t="n">
        <v>3</v>
      </c>
      <c r="O55" s="3" t="n">
        <v>4</v>
      </c>
      <c r="P55" s="3" t="n">
        <v>3</v>
      </c>
      <c r="Q55" s="3" t="n">
        <v>5</v>
      </c>
      <c r="R55" s="3" t="n">
        <v>4</v>
      </c>
      <c r="S55" s="3" t="n">
        <v>4</v>
      </c>
      <c r="T55" s="3" t="n">
        <v>2</v>
      </c>
      <c r="U55" s="3" t="n">
        <v>3</v>
      </c>
      <c r="V55" s="3" t="n">
        <v>4</v>
      </c>
      <c r="W55" s="3" t="n">
        <v>3</v>
      </c>
      <c r="X55" s="3" t="n">
        <v>4</v>
      </c>
      <c r="Y55" s="3" t="n">
        <v>3</v>
      </c>
      <c r="Z55" s="3" t="n">
        <v>4</v>
      </c>
      <c r="AA55" s="3" t="n">
        <v>4</v>
      </c>
      <c r="AB55" s="3" t="n">
        <v>4</v>
      </c>
      <c r="AC55" s="3" t="n">
        <v>5</v>
      </c>
      <c r="AD55" s="3" t="n">
        <v>2</v>
      </c>
      <c r="AE55" s="3" t="n">
        <v>3</v>
      </c>
      <c r="AF55" s="3" t="n">
        <v>1</v>
      </c>
      <c r="AG55" s="3" t="n">
        <v>2</v>
      </c>
      <c r="AH55" s="3" t="n">
        <v>3</v>
      </c>
      <c r="AI55" s="3" t="n">
        <v>2</v>
      </c>
      <c r="AJ55" s="3" t="n">
        <v>4</v>
      </c>
      <c r="AK55" s="3" t="n">
        <v>3</v>
      </c>
      <c r="AL55" s="3" t="n">
        <v>4</v>
      </c>
      <c r="AM55" s="3" t="n">
        <v>4</v>
      </c>
      <c r="AN55" s="3" t="n">
        <v>4</v>
      </c>
      <c r="AO55" s="3" t="n">
        <v>4</v>
      </c>
    </row>
    <row r="56" customFormat="false" ht="15" hidden="false" customHeight="false" outlineLevel="0" collapsed="false">
      <c r="A56" s="3" t="n">
        <v>0</v>
      </c>
      <c r="B56" s="3" t="n">
        <v>3</v>
      </c>
      <c r="C56" s="3" t="n">
        <v>1</v>
      </c>
      <c r="D56" s="3" t="n">
        <v>2</v>
      </c>
      <c r="E56" s="3" t="n">
        <v>2</v>
      </c>
      <c r="F56" s="3" t="n">
        <v>2</v>
      </c>
      <c r="G56" s="3" t="n">
        <v>1</v>
      </c>
      <c r="H56" s="3" t="n">
        <v>1</v>
      </c>
      <c r="I56" s="3" t="n">
        <v>1</v>
      </c>
      <c r="J56" s="3" t="n">
        <v>23</v>
      </c>
      <c r="K56" s="3" t="n">
        <v>2</v>
      </c>
      <c r="L56" s="3" t="n">
        <v>5</v>
      </c>
      <c r="M56" s="3" t="n">
        <v>4</v>
      </c>
      <c r="N56" s="3" t="n">
        <v>3</v>
      </c>
      <c r="O56" s="3" t="n">
        <v>3</v>
      </c>
      <c r="P56" s="3" t="n">
        <v>3</v>
      </c>
      <c r="Q56" s="3" t="n">
        <v>3</v>
      </c>
      <c r="R56" s="3" t="n">
        <v>3</v>
      </c>
      <c r="S56" s="3" t="n">
        <v>3</v>
      </c>
      <c r="T56" s="3" t="n">
        <v>3</v>
      </c>
      <c r="U56" s="3" t="n">
        <v>3</v>
      </c>
      <c r="V56" s="3" t="n">
        <v>4</v>
      </c>
      <c r="W56" s="3" t="n">
        <v>3</v>
      </c>
      <c r="X56" s="3" t="n">
        <v>2</v>
      </c>
      <c r="Y56" s="3" t="n">
        <v>4</v>
      </c>
      <c r="Z56" s="3" t="n">
        <v>2</v>
      </c>
      <c r="AA56" s="3" t="n">
        <v>4</v>
      </c>
      <c r="AB56" s="3" t="n">
        <v>3</v>
      </c>
      <c r="AC56" s="3" t="n">
        <v>4</v>
      </c>
      <c r="AD56" s="3" t="n">
        <v>4</v>
      </c>
      <c r="AE56" s="3" t="n">
        <v>3</v>
      </c>
      <c r="AF56" s="3" t="n">
        <v>4</v>
      </c>
      <c r="AG56" s="3" t="n">
        <v>5</v>
      </c>
      <c r="AH56" s="3" t="n">
        <v>3</v>
      </c>
      <c r="AI56" s="3" t="n">
        <v>3</v>
      </c>
      <c r="AJ56" s="3" t="n">
        <v>4</v>
      </c>
      <c r="AK56" s="3" t="n">
        <v>4</v>
      </c>
      <c r="AL56" s="3" t="n">
        <v>4</v>
      </c>
      <c r="AM56" s="3" t="n">
        <v>3</v>
      </c>
      <c r="AN56" s="3" t="n">
        <v>2</v>
      </c>
      <c r="AO56" s="3" t="n">
        <v>3</v>
      </c>
    </row>
    <row r="57" customFormat="false" ht="15" hidden="false" customHeight="false" outlineLevel="0" collapsed="false">
      <c r="A57" s="3" t="n">
        <v>1</v>
      </c>
      <c r="B57" s="3" t="n">
        <v>3</v>
      </c>
      <c r="C57" s="3" t="n">
        <v>1</v>
      </c>
      <c r="D57" s="3" t="n">
        <v>1</v>
      </c>
      <c r="E57" s="3" t="n">
        <v>2</v>
      </c>
      <c r="F57" s="3" t="n">
        <v>2</v>
      </c>
      <c r="G57" s="3" t="n">
        <v>2</v>
      </c>
      <c r="H57" s="3" t="n">
        <v>2</v>
      </c>
      <c r="I57" s="3" t="n">
        <v>1</v>
      </c>
      <c r="J57" s="3" t="n">
        <v>22</v>
      </c>
      <c r="K57" s="3" t="n">
        <v>3</v>
      </c>
      <c r="L57" s="3" t="n">
        <v>3</v>
      </c>
      <c r="M57" s="3" t="n">
        <v>3</v>
      </c>
      <c r="N57" s="3" t="n">
        <v>3</v>
      </c>
      <c r="O57" s="3" t="n">
        <v>4</v>
      </c>
      <c r="P57" s="3" t="n">
        <v>3</v>
      </c>
      <c r="Q57" s="3" t="n">
        <v>4</v>
      </c>
      <c r="R57" s="3" t="n">
        <v>4</v>
      </c>
      <c r="S57" s="3" t="n">
        <v>4</v>
      </c>
      <c r="T57" s="3" t="n">
        <v>5</v>
      </c>
      <c r="U57" s="3" t="n">
        <v>4</v>
      </c>
      <c r="V57" s="3" t="n">
        <v>4</v>
      </c>
      <c r="W57" s="3" t="n">
        <v>3</v>
      </c>
      <c r="X57" s="3" t="n">
        <v>4</v>
      </c>
      <c r="Y57" s="3" t="n">
        <v>4</v>
      </c>
      <c r="Z57" s="3" t="n">
        <v>5</v>
      </c>
      <c r="AA57" s="3" t="n">
        <v>3</v>
      </c>
      <c r="AB57" s="3" t="n">
        <v>3</v>
      </c>
      <c r="AC57" s="3" t="n">
        <v>2</v>
      </c>
      <c r="AD57" s="3" t="n">
        <v>2</v>
      </c>
      <c r="AE57" s="3" t="n">
        <v>4</v>
      </c>
      <c r="AF57" s="3" t="n">
        <v>4</v>
      </c>
      <c r="AG57" s="3" t="n">
        <v>3</v>
      </c>
      <c r="AH57" s="3" t="n">
        <v>4</v>
      </c>
      <c r="AI57" s="3" t="n">
        <v>4</v>
      </c>
      <c r="AJ57" s="3" t="n">
        <v>4</v>
      </c>
      <c r="AK57" s="3" t="n">
        <v>3</v>
      </c>
      <c r="AL57" s="3" t="n">
        <v>5</v>
      </c>
      <c r="AM57" s="3" t="n">
        <v>4</v>
      </c>
      <c r="AN57" s="3" t="n">
        <v>2</v>
      </c>
      <c r="AO57" s="3" t="n">
        <v>3</v>
      </c>
    </row>
    <row r="58" customFormat="false" ht="15" hidden="false" customHeight="false" outlineLevel="0" collapsed="false">
      <c r="A58" s="3" t="n">
        <v>0</v>
      </c>
      <c r="B58" s="3" t="n">
        <v>4</v>
      </c>
      <c r="C58" s="3" t="n">
        <v>1</v>
      </c>
      <c r="D58" s="3" t="n">
        <v>2</v>
      </c>
      <c r="E58" s="3" t="n">
        <v>2</v>
      </c>
      <c r="F58" s="3" t="n">
        <v>2</v>
      </c>
      <c r="G58" s="3" t="n">
        <v>4</v>
      </c>
      <c r="H58" s="3" t="n">
        <v>2</v>
      </c>
      <c r="I58" s="3" t="n">
        <v>3</v>
      </c>
      <c r="J58" s="3" t="n">
        <v>24</v>
      </c>
      <c r="K58" s="3" t="n">
        <v>3</v>
      </c>
      <c r="L58" s="3" t="n">
        <v>3</v>
      </c>
      <c r="M58" s="3" t="n">
        <v>2</v>
      </c>
      <c r="N58" s="3" t="n">
        <v>3</v>
      </c>
      <c r="O58" s="3" t="n">
        <v>3</v>
      </c>
      <c r="P58" s="3" t="n">
        <v>1</v>
      </c>
      <c r="Q58" s="3" t="n">
        <v>4</v>
      </c>
      <c r="R58" s="3" t="n">
        <v>4</v>
      </c>
      <c r="S58" s="3" t="n">
        <v>4</v>
      </c>
      <c r="T58" s="3" t="n">
        <v>5</v>
      </c>
      <c r="U58" s="3" t="n">
        <v>5</v>
      </c>
      <c r="V58" s="3" t="n">
        <v>4</v>
      </c>
      <c r="W58" s="3" t="n">
        <v>4</v>
      </c>
      <c r="X58" s="3" t="n">
        <v>4</v>
      </c>
      <c r="Y58" s="3" t="n">
        <v>4</v>
      </c>
      <c r="Z58" s="3" t="n">
        <v>4</v>
      </c>
      <c r="AA58" s="3" t="n">
        <v>5</v>
      </c>
      <c r="AB58" s="3" t="n">
        <v>3</v>
      </c>
      <c r="AC58" s="3" t="n">
        <v>1</v>
      </c>
      <c r="AD58" s="3" t="n">
        <v>1</v>
      </c>
      <c r="AE58" s="3" t="n">
        <v>4</v>
      </c>
      <c r="AF58" s="3" t="n">
        <v>3</v>
      </c>
      <c r="AG58" s="3" t="n">
        <v>4</v>
      </c>
      <c r="AH58" s="3" t="n">
        <v>5</v>
      </c>
      <c r="AI58" s="3" t="n">
        <v>4</v>
      </c>
      <c r="AJ58" s="3" t="n">
        <v>4</v>
      </c>
      <c r="AK58" s="3" t="n">
        <v>1</v>
      </c>
      <c r="AL58" s="3" t="n">
        <v>5</v>
      </c>
      <c r="AM58" s="3" t="n">
        <v>3</v>
      </c>
      <c r="AN58" s="3" t="n">
        <v>3</v>
      </c>
      <c r="AO58" s="3" t="n">
        <v>5</v>
      </c>
    </row>
    <row r="59" customFormat="false" ht="15" hidden="false" customHeight="false" outlineLevel="0" collapsed="false">
      <c r="A59" s="3" t="n">
        <v>0</v>
      </c>
      <c r="B59" s="3" t="n">
        <v>4</v>
      </c>
      <c r="C59" s="3" t="n">
        <v>1</v>
      </c>
      <c r="D59" s="3" t="n">
        <v>2</v>
      </c>
      <c r="E59" s="3" t="n">
        <v>2</v>
      </c>
      <c r="F59" s="3" t="n">
        <v>2</v>
      </c>
      <c r="G59" s="3" t="n">
        <v>2</v>
      </c>
      <c r="H59" s="3" t="n">
        <v>2</v>
      </c>
      <c r="I59" s="3" t="n">
        <v>1</v>
      </c>
      <c r="J59" s="3" t="n">
        <v>23</v>
      </c>
      <c r="K59" s="3" t="n">
        <v>4</v>
      </c>
      <c r="L59" s="3" t="n">
        <v>3</v>
      </c>
      <c r="M59" s="3" t="n">
        <v>2</v>
      </c>
      <c r="N59" s="3" t="n">
        <v>3</v>
      </c>
      <c r="O59" s="3" t="n">
        <v>5</v>
      </c>
      <c r="P59" s="3" t="n">
        <v>2</v>
      </c>
      <c r="Q59" s="3" t="n">
        <v>4</v>
      </c>
      <c r="R59" s="3" t="n">
        <v>4</v>
      </c>
      <c r="S59" s="3" t="n">
        <v>4</v>
      </c>
      <c r="T59" s="3" t="n">
        <v>5</v>
      </c>
      <c r="U59" s="3" t="n">
        <v>3</v>
      </c>
      <c r="V59" s="3" t="n">
        <v>5</v>
      </c>
      <c r="W59" s="3" t="n">
        <v>4</v>
      </c>
      <c r="X59" s="3" t="n">
        <v>2</v>
      </c>
      <c r="Y59" s="3" t="n">
        <v>4</v>
      </c>
      <c r="Z59" s="3" t="n">
        <v>4</v>
      </c>
      <c r="AA59" s="3" t="n">
        <v>4</v>
      </c>
      <c r="AB59" s="3" t="n">
        <v>3</v>
      </c>
      <c r="AC59" s="3" t="n">
        <v>2</v>
      </c>
      <c r="AD59" s="3" t="n">
        <v>2</v>
      </c>
      <c r="AE59" s="3" t="n">
        <v>4</v>
      </c>
      <c r="AF59" s="3" t="n">
        <v>4</v>
      </c>
      <c r="AG59" s="3" t="n">
        <v>5</v>
      </c>
      <c r="AH59" s="3" t="n">
        <v>2</v>
      </c>
      <c r="AI59" s="3" t="n">
        <v>2</v>
      </c>
      <c r="AJ59" s="3" t="n">
        <v>5</v>
      </c>
      <c r="AK59" s="3" t="n">
        <v>5</v>
      </c>
      <c r="AL59" s="3" t="n">
        <v>4</v>
      </c>
      <c r="AM59" s="3" t="n">
        <v>3</v>
      </c>
      <c r="AN59" s="3" t="n">
        <v>2</v>
      </c>
      <c r="AO59" s="3" t="n">
        <v>4</v>
      </c>
    </row>
    <row r="60" customFormat="false" ht="15" hidden="false" customHeight="false" outlineLevel="0" collapsed="false">
      <c r="A60" s="3" t="n">
        <v>1</v>
      </c>
      <c r="B60" s="3" t="n">
        <v>4</v>
      </c>
      <c r="C60" s="3" t="n">
        <v>1</v>
      </c>
      <c r="D60" s="3" t="n">
        <v>1</v>
      </c>
      <c r="E60" s="3" t="n">
        <v>2</v>
      </c>
      <c r="F60" s="3" t="n">
        <v>2</v>
      </c>
      <c r="G60" s="3" t="n">
        <v>4</v>
      </c>
      <c r="H60" s="3" t="n">
        <v>2</v>
      </c>
      <c r="I60" s="3" t="n">
        <v>2</v>
      </c>
      <c r="J60" s="3" t="n">
        <v>23</v>
      </c>
      <c r="K60" s="3" t="n">
        <v>3</v>
      </c>
      <c r="L60" s="3" t="n">
        <v>4</v>
      </c>
      <c r="M60" s="3" t="n">
        <v>3</v>
      </c>
      <c r="N60" s="3" t="n">
        <v>4</v>
      </c>
      <c r="O60" s="3" t="n">
        <v>5</v>
      </c>
      <c r="P60" s="3" t="n">
        <v>5</v>
      </c>
      <c r="Q60" s="3" t="n">
        <v>4</v>
      </c>
      <c r="R60" s="3" t="n">
        <v>4</v>
      </c>
      <c r="S60" s="3" t="n">
        <v>5</v>
      </c>
      <c r="T60" s="3" t="n">
        <v>4</v>
      </c>
      <c r="U60" s="3" t="n">
        <v>4</v>
      </c>
      <c r="V60" s="3" t="n">
        <v>4</v>
      </c>
      <c r="W60" s="3" t="n">
        <v>4</v>
      </c>
      <c r="X60" s="3" t="n">
        <v>4</v>
      </c>
      <c r="Y60" s="3" t="n">
        <v>4</v>
      </c>
      <c r="Z60" s="3" t="n">
        <v>3</v>
      </c>
      <c r="AA60" s="3" t="n">
        <v>4</v>
      </c>
      <c r="AB60" s="3" t="n">
        <v>4</v>
      </c>
      <c r="AC60" s="3" t="n">
        <v>2</v>
      </c>
      <c r="AD60" s="3" t="n">
        <v>4</v>
      </c>
      <c r="AE60" s="3" t="n">
        <v>3</v>
      </c>
      <c r="AF60" s="3" t="n">
        <v>2</v>
      </c>
      <c r="AG60" s="3" t="n">
        <v>4</v>
      </c>
      <c r="AH60" s="3" t="n">
        <v>2</v>
      </c>
      <c r="AI60" s="3" t="n">
        <v>2</v>
      </c>
      <c r="AJ60" s="3" t="n">
        <v>5</v>
      </c>
      <c r="AK60" s="3" t="n">
        <v>4</v>
      </c>
      <c r="AL60" s="3" t="n">
        <v>5</v>
      </c>
      <c r="AM60" s="3" t="n">
        <v>5</v>
      </c>
      <c r="AN60" s="3" t="n">
        <v>2</v>
      </c>
      <c r="AO60" s="3" t="n">
        <v>4</v>
      </c>
    </row>
    <row r="61" customFormat="false" ht="15" hidden="false" customHeight="false" outlineLevel="0" collapsed="false">
      <c r="A61" s="3" t="n">
        <v>0</v>
      </c>
      <c r="B61" s="3" t="n">
        <v>4</v>
      </c>
      <c r="C61" s="3" t="n">
        <v>1</v>
      </c>
      <c r="D61" s="3" t="n">
        <v>2</v>
      </c>
      <c r="E61" s="3" t="n">
        <v>2</v>
      </c>
      <c r="F61" s="3" t="n">
        <v>2</v>
      </c>
      <c r="G61" s="3" t="n">
        <v>3</v>
      </c>
      <c r="H61" s="3" t="n">
        <v>1</v>
      </c>
      <c r="I61" s="3" t="n">
        <v>1</v>
      </c>
      <c r="J61" s="3" t="n">
        <v>26</v>
      </c>
      <c r="K61" s="3" t="n">
        <v>4</v>
      </c>
      <c r="L61" s="3" t="n">
        <v>4</v>
      </c>
      <c r="M61" s="3" t="n">
        <v>4</v>
      </c>
      <c r="N61" s="3" t="n">
        <v>3</v>
      </c>
      <c r="O61" s="3" t="n">
        <v>4</v>
      </c>
      <c r="P61" s="3" t="n">
        <v>4</v>
      </c>
      <c r="Q61" s="3" t="n">
        <v>3</v>
      </c>
      <c r="R61" s="3" t="n">
        <v>3</v>
      </c>
      <c r="S61" s="3" t="n">
        <v>5</v>
      </c>
      <c r="T61" s="3" t="n">
        <v>5</v>
      </c>
      <c r="U61" s="3" t="n">
        <v>5</v>
      </c>
      <c r="V61" s="3" t="n">
        <v>4</v>
      </c>
      <c r="W61" s="3" t="n">
        <v>3</v>
      </c>
      <c r="X61" s="3" t="n">
        <v>3</v>
      </c>
      <c r="Y61" s="3" t="n">
        <v>3</v>
      </c>
      <c r="Z61" s="3" t="n">
        <v>4</v>
      </c>
      <c r="AA61" s="3" t="n">
        <v>3</v>
      </c>
      <c r="AB61" s="3" t="n">
        <v>2</v>
      </c>
      <c r="AC61" s="3" t="n">
        <v>3</v>
      </c>
      <c r="AD61" s="3" t="n">
        <v>3</v>
      </c>
      <c r="AE61" s="3" t="n">
        <v>5</v>
      </c>
      <c r="AF61" s="3" t="n">
        <v>5</v>
      </c>
      <c r="AG61" s="3" t="n">
        <v>3</v>
      </c>
      <c r="AH61" s="3" t="n">
        <v>3</v>
      </c>
      <c r="AI61" s="3" t="n">
        <v>3</v>
      </c>
      <c r="AJ61" s="3" t="n">
        <v>5</v>
      </c>
      <c r="AK61" s="3" t="n">
        <v>3</v>
      </c>
      <c r="AL61" s="3" t="n">
        <v>5</v>
      </c>
      <c r="AM61" s="3" t="n">
        <v>5</v>
      </c>
      <c r="AN61" s="3" t="n">
        <v>3</v>
      </c>
      <c r="AO61" s="3" t="n">
        <v>3</v>
      </c>
    </row>
    <row r="62" customFormat="false" ht="15" hidden="false" customHeight="false" outlineLevel="0" collapsed="false">
      <c r="A62" s="3" t="n">
        <v>0</v>
      </c>
      <c r="B62" s="3" t="n">
        <v>6</v>
      </c>
      <c r="C62" s="3" t="n">
        <v>1</v>
      </c>
      <c r="D62" s="3" t="n">
        <v>1</v>
      </c>
      <c r="E62" s="3" t="n">
        <v>2</v>
      </c>
      <c r="F62" s="3" t="n">
        <v>2</v>
      </c>
      <c r="G62" s="3" t="n">
        <v>1</v>
      </c>
      <c r="H62" s="3" t="n">
        <v>3</v>
      </c>
      <c r="I62" s="3" t="n">
        <v>1</v>
      </c>
      <c r="J62" s="3" t="n">
        <v>22</v>
      </c>
      <c r="K62" s="3" t="n">
        <v>3</v>
      </c>
      <c r="L62" s="3" t="n">
        <v>3</v>
      </c>
      <c r="M62" s="3" t="n">
        <v>4</v>
      </c>
      <c r="N62" s="3" t="n">
        <v>3</v>
      </c>
      <c r="O62" s="3" t="n">
        <v>4</v>
      </c>
      <c r="P62" s="3" t="n">
        <v>4</v>
      </c>
      <c r="Q62" s="3" t="n">
        <v>3</v>
      </c>
      <c r="R62" s="3" t="n">
        <v>3</v>
      </c>
      <c r="S62" s="3" t="n">
        <v>4</v>
      </c>
      <c r="T62" s="3" t="n">
        <v>4</v>
      </c>
      <c r="U62" s="3" t="n">
        <v>4</v>
      </c>
      <c r="V62" s="3" t="n">
        <v>3</v>
      </c>
      <c r="W62" s="3" t="n">
        <v>3</v>
      </c>
      <c r="X62" s="3" t="n">
        <v>3</v>
      </c>
      <c r="Y62" s="3" t="n">
        <v>3</v>
      </c>
      <c r="Z62" s="3" t="n">
        <v>4</v>
      </c>
      <c r="AA62" s="3" t="n">
        <v>3</v>
      </c>
      <c r="AB62" s="3" t="n">
        <v>2</v>
      </c>
      <c r="AC62" s="3" t="n">
        <v>2</v>
      </c>
      <c r="AD62" s="3" t="n">
        <v>2</v>
      </c>
      <c r="AE62" s="3" t="n">
        <v>4</v>
      </c>
      <c r="AF62" s="3" t="n">
        <v>3</v>
      </c>
      <c r="AG62" s="3" t="n">
        <v>4</v>
      </c>
      <c r="AH62" s="3" t="n">
        <v>4</v>
      </c>
      <c r="AI62" s="3" t="n">
        <v>3</v>
      </c>
      <c r="AJ62" s="3" t="n">
        <v>3</v>
      </c>
      <c r="AK62" s="3" t="n">
        <v>3</v>
      </c>
      <c r="AL62" s="3" t="n">
        <v>4</v>
      </c>
      <c r="AM62" s="3" t="n">
        <v>3</v>
      </c>
      <c r="AN62" s="3" t="n">
        <v>3</v>
      </c>
      <c r="AO62" s="3" t="n">
        <v>4</v>
      </c>
    </row>
    <row r="63" customFormat="false" ht="15" hidden="false" customHeight="false" outlineLevel="0" collapsed="false">
      <c r="A63" s="3" t="n">
        <v>0</v>
      </c>
      <c r="B63" s="3" t="n">
        <v>4</v>
      </c>
      <c r="C63" s="3" t="n">
        <v>2</v>
      </c>
      <c r="D63" s="3" t="n">
        <v>2</v>
      </c>
      <c r="E63" s="3" t="n">
        <v>2</v>
      </c>
      <c r="F63" s="3" t="n">
        <v>2</v>
      </c>
      <c r="G63" s="3" t="n">
        <v>4</v>
      </c>
      <c r="H63" s="3" t="n">
        <v>1</v>
      </c>
      <c r="I63" s="3" t="n">
        <v>3</v>
      </c>
      <c r="J63" s="3" t="n">
        <v>24</v>
      </c>
      <c r="K63" s="3" t="n">
        <v>2</v>
      </c>
      <c r="L63" s="3" t="n">
        <v>2</v>
      </c>
      <c r="M63" s="3" t="n">
        <v>2</v>
      </c>
      <c r="N63" s="3" t="n">
        <v>3</v>
      </c>
      <c r="O63" s="3" t="n">
        <v>3</v>
      </c>
      <c r="P63" s="3" t="n">
        <v>4</v>
      </c>
      <c r="Q63" s="3" t="n">
        <v>3</v>
      </c>
      <c r="R63" s="3" t="n">
        <v>2</v>
      </c>
      <c r="S63" s="3" t="n">
        <v>4</v>
      </c>
      <c r="T63" s="3" t="n">
        <v>4</v>
      </c>
      <c r="U63" s="3" t="n">
        <v>3</v>
      </c>
      <c r="V63" s="3" t="n">
        <v>4</v>
      </c>
      <c r="W63" s="3" t="n">
        <v>4</v>
      </c>
      <c r="X63" s="3" t="n">
        <v>4</v>
      </c>
      <c r="Y63" s="3" t="n">
        <v>4</v>
      </c>
      <c r="Z63" s="3" t="n">
        <v>4</v>
      </c>
      <c r="AA63" s="3" t="n">
        <v>2</v>
      </c>
      <c r="AB63" s="3" t="n">
        <v>3</v>
      </c>
      <c r="AC63" s="3" t="n">
        <v>2</v>
      </c>
      <c r="AD63" s="3" t="n">
        <v>2</v>
      </c>
      <c r="AE63" s="3" t="n">
        <v>2</v>
      </c>
      <c r="AF63" s="3" t="n">
        <v>2</v>
      </c>
      <c r="AG63" s="3" t="n">
        <v>2</v>
      </c>
      <c r="AH63" s="3" t="n">
        <v>3</v>
      </c>
      <c r="AI63" s="3" t="n">
        <v>3</v>
      </c>
      <c r="AJ63" s="3" t="n">
        <v>4</v>
      </c>
      <c r="AK63" s="3" t="n">
        <v>4</v>
      </c>
      <c r="AL63" s="3" t="n">
        <v>3</v>
      </c>
      <c r="AM63" s="3" t="n">
        <v>2</v>
      </c>
      <c r="AN63" s="3" t="n">
        <v>2</v>
      </c>
      <c r="AO63" s="3" t="n">
        <v>2</v>
      </c>
    </row>
    <row r="64" customFormat="false" ht="15" hidden="false" customHeight="false" outlineLevel="0" collapsed="false">
      <c r="A64" s="3" t="n">
        <v>0</v>
      </c>
      <c r="B64" s="3" t="n">
        <v>4</v>
      </c>
      <c r="C64" s="3" t="n">
        <v>1</v>
      </c>
      <c r="D64" s="3" t="n">
        <v>1</v>
      </c>
      <c r="E64" s="3" t="n">
        <v>2</v>
      </c>
      <c r="F64" s="3" t="n">
        <v>2</v>
      </c>
      <c r="G64" s="3" t="n">
        <v>1</v>
      </c>
      <c r="H64" s="3" t="n">
        <v>2</v>
      </c>
      <c r="I64" s="3" t="n">
        <v>1</v>
      </c>
      <c r="J64" s="3" t="n">
        <v>23</v>
      </c>
      <c r="K64" s="3" t="n">
        <v>3</v>
      </c>
      <c r="L64" s="3" t="n">
        <v>5</v>
      </c>
      <c r="M64" s="3" t="n">
        <v>5</v>
      </c>
      <c r="N64" s="3" t="n">
        <v>4</v>
      </c>
      <c r="O64" s="3" t="n">
        <v>2</v>
      </c>
      <c r="P64" s="3" t="n">
        <v>4</v>
      </c>
      <c r="Q64" s="3" t="n">
        <v>3</v>
      </c>
      <c r="R64" s="3" t="n">
        <v>4</v>
      </c>
      <c r="S64" s="3" t="n">
        <v>4</v>
      </c>
      <c r="T64" s="3" t="n">
        <v>5</v>
      </c>
      <c r="U64" s="3" t="n">
        <v>4</v>
      </c>
      <c r="V64" s="3" t="n">
        <v>4</v>
      </c>
      <c r="W64" s="3" t="n">
        <v>5</v>
      </c>
      <c r="X64" s="3" t="n">
        <v>4</v>
      </c>
      <c r="Y64" s="3" t="n">
        <v>4</v>
      </c>
      <c r="Z64" s="3" t="n">
        <v>4</v>
      </c>
      <c r="AA64" s="3" t="n">
        <v>2</v>
      </c>
      <c r="AB64" s="3" t="n">
        <v>2</v>
      </c>
      <c r="AC64" s="3" t="n">
        <v>2</v>
      </c>
      <c r="AD64" s="3" t="n">
        <v>2</v>
      </c>
      <c r="AE64" s="3" t="n">
        <v>4</v>
      </c>
      <c r="AF64" s="3" t="n">
        <v>3</v>
      </c>
      <c r="AG64" s="3" t="n">
        <v>4</v>
      </c>
      <c r="AH64" s="3" t="n">
        <v>4</v>
      </c>
      <c r="AI64" s="3" t="n">
        <v>4</v>
      </c>
      <c r="AJ64" s="3" t="n">
        <v>5</v>
      </c>
      <c r="AK64" s="3" t="n">
        <v>3</v>
      </c>
      <c r="AL64" s="3" t="n">
        <v>4</v>
      </c>
      <c r="AM64" s="3" t="n">
        <v>4</v>
      </c>
      <c r="AN64" s="3" t="n">
        <v>4</v>
      </c>
      <c r="AO64" s="3" t="n">
        <v>4</v>
      </c>
    </row>
    <row r="65" customFormat="false" ht="15" hidden="false" customHeight="false" outlineLevel="0" collapsed="false">
      <c r="A65" s="3" t="n">
        <v>0</v>
      </c>
      <c r="B65" s="3" t="n">
        <v>3</v>
      </c>
      <c r="C65" s="3" t="n">
        <v>2</v>
      </c>
      <c r="D65" s="3" t="n">
        <v>1</v>
      </c>
      <c r="E65" s="3" t="n">
        <v>2</v>
      </c>
      <c r="F65" s="3" t="n">
        <v>2</v>
      </c>
      <c r="G65" s="3" t="n">
        <v>2</v>
      </c>
      <c r="H65" s="3" t="n">
        <v>3</v>
      </c>
      <c r="I65" s="3" t="n">
        <v>1</v>
      </c>
      <c r="J65" s="3" t="n">
        <v>21</v>
      </c>
      <c r="K65" s="3" t="n">
        <v>3</v>
      </c>
      <c r="L65" s="3" t="n">
        <v>3</v>
      </c>
      <c r="M65" s="3" t="n">
        <v>2</v>
      </c>
      <c r="N65" s="3" t="n">
        <v>4</v>
      </c>
      <c r="O65" s="3" t="n">
        <v>2</v>
      </c>
      <c r="P65" s="3" t="n">
        <v>2</v>
      </c>
      <c r="Q65" s="3" t="n">
        <v>2</v>
      </c>
      <c r="R65" s="3" t="n">
        <v>2</v>
      </c>
      <c r="S65" s="3" t="n">
        <v>3</v>
      </c>
      <c r="T65" s="3" t="n">
        <v>5</v>
      </c>
      <c r="U65" s="3" t="n">
        <v>4</v>
      </c>
      <c r="V65" s="3" t="n">
        <v>2</v>
      </c>
      <c r="W65" s="3" t="n">
        <v>4</v>
      </c>
      <c r="X65" s="3" t="n">
        <v>3</v>
      </c>
      <c r="Y65" s="3" t="n">
        <v>3</v>
      </c>
      <c r="Z65" s="3" t="n">
        <v>3</v>
      </c>
      <c r="AA65" s="3" t="n">
        <v>4</v>
      </c>
      <c r="AB65" s="3" t="n">
        <v>4</v>
      </c>
      <c r="AC65" s="3" t="n">
        <v>2</v>
      </c>
      <c r="AD65" s="3" t="n">
        <v>2</v>
      </c>
      <c r="AE65" s="3" t="n">
        <v>2</v>
      </c>
      <c r="AF65" s="3" t="n">
        <v>1</v>
      </c>
      <c r="AG65" s="3" t="n">
        <v>3</v>
      </c>
      <c r="AH65" s="3" t="n">
        <v>2</v>
      </c>
      <c r="AI65" s="3" t="n">
        <v>3</v>
      </c>
      <c r="AJ65" s="3" t="n">
        <v>4</v>
      </c>
      <c r="AK65" s="3" t="n">
        <v>2</v>
      </c>
      <c r="AL65" s="3" t="n">
        <v>5</v>
      </c>
      <c r="AM65" s="3" t="n">
        <v>3</v>
      </c>
      <c r="AN65" s="3" t="n">
        <v>2</v>
      </c>
      <c r="AO65" s="3" t="n">
        <v>2</v>
      </c>
    </row>
    <row r="66" customFormat="false" ht="15" hidden="false" customHeight="false" outlineLevel="0" collapsed="false">
      <c r="A66" s="3" t="n">
        <v>0</v>
      </c>
      <c r="B66" s="3" t="n">
        <v>3</v>
      </c>
      <c r="C66" s="3" t="n">
        <v>1</v>
      </c>
      <c r="D66" s="3" t="n">
        <v>1</v>
      </c>
      <c r="E66" s="3" t="n">
        <v>2</v>
      </c>
      <c r="F66" s="3" t="n">
        <v>2</v>
      </c>
      <c r="G66" s="3" t="n">
        <v>3</v>
      </c>
      <c r="H66" s="3" t="n">
        <v>2</v>
      </c>
      <c r="I66" s="3" t="n">
        <v>3</v>
      </c>
      <c r="J66" s="3" t="n">
        <v>24</v>
      </c>
      <c r="K66" s="3" t="n">
        <v>3</v>
      </c>
      <c r="L66" s="3" t="n">
        <v>2</v>
      </c>
      <c r="M66" s="3" t="n">
        <v>4</v>
      </c>
      <c r="N66" s="3" t="n">
        <v>3</v>
      </c>
      <c r="O66" s="3" t="n">
        <v>2</v>
      </c>
      <c r="P66" s="3" t="n">
        <v>4</v>
      </c>
      <c r="Q66" s="3" t="n">
        <v>4</v>
      </c>
      <c r="R66" s="3" t="n">
        <v>1</v>
      </c>
      <c r="S66" s="3" t="n">
        <v>3</v>
      </c>
      <c r="T66" s="3" t="n">
        <v>3</v>
      </c>
      <c r="U66" s="3" t="n">
        <v>4</v>
      </c>
      <c r="V66" s="3" t="n">
        <v>3</v>
      </c>
      <c r="W66" s="3" t="n">
        <v>4</v>
      </c>
      <c r="X66" s="3" t="n">
        <v>2</v>
      </c>
      <c r="Y66" s="3" t="n">
        <v>3</v>
      </c>
      <c r="Z66" s="3" t="n">
        <v>4</v>
      </c>
      <c r="AA66" s="3" t="n">
        <v>4</v>
      </c>
      <c r="AB66" s="3" t="n">
        <v>2</v>
      </c>
      <c r="AC66" s="3" t="n">
        <v>1</v>
      </c>
      <c r="AD66" s="3" t="n">
        <v>1</v>
      </c>
      <c r="AE66" s="3" t="n">
        <v>2</v>
      </c>
      <c r="AF66" s="3" t="n">
        <v>2</v>
      </c>
      <c r="AG66" s="3" t="n">
        <v>2</v>
      </c>
      <c r="AH66" s="3" t="n">
        <v>4</v>
      </c>
      <c r="AI66" s="3" t="n">
        <v>4</v>
      </c>
      <c r="AJ66" s="3" t="n">
        <v>2</v>
      </c>
      <c r="AK66" s="3" t="n">
        <v>3</v>
      </c>
      <c r="AL66" s="3" t="n">
        <v>3</v>
      </c>
      <c r="AM66" s="3" t="n">
        <v>3</v>
      </c>
      <c r="AN66" s="3" t="n">
        <v>2</v>
      </c>
      <c r="AO66" s="3" t="n">
        <v>2</v>
      </c>
    </row>
    <row r="67" customFormat="false" ht="15" hidden="false" customHeight="false" outlineLevel="0" collapsed="false">
      <c r="A67" s="3" t="n">
        <v>0</v>
      </c>
      <c r="B67" s="3" t="n">
        <v>3</v>
      </c>
      <c r="C67" s="3" t="n">
        <v>1</v>
      </c>
      <c r="D67" s="3" t="n">
        <v>1</v>
      </c>
      <c r="E67" s="3" t="n">
        <v>2</v>
      </c>
      <c r="F67" s="3" t="n">
        <v>2</v>
      </c>
      <c r="G67" s="3" t="n">
        <v>2</v>
      </c>
      <c r="H67" s="3" t="n">
        <v>3</v>
      </c>
      <c r="I67" s="3" t="n">
        <v>1</v>
      </c>
      <c r="J67" s="3" t="n">
        <v>22</v>
      </c>
      <c r="K67" s="3" t="n">
        <v>4</v>
      </c>
      <c r="L67" s="3" t="n">
        <v>3</v>
      </c>
      <c r="M67" s="3" t="n">
        <v>4</v>
      </c>
      <c r="N67" s="3" t="n">
        <v>4</v>
      </c>
      <c r="O67" s="3" t="n">
        <v>3</v>
      </c>
      <c r="P67" s="3" t="n">
        <v>4</v>
      </c>
      <c r="Q67" s="3" t="n">
        <v>4</v>
      </c>
      <c r="R67" s="3" t="n">
        <v>3</v>
      </c>
      <c r="S67" s="3" t="n">
        <v>5</v>
      </c>
      <c r="T67" s="3" t="n">
        <v>4</v>
      </c>
      <c r="U67" s="3" t="n">
        <v>4</v>
      </c>
      <c r="V67" s="3" t="n">
        <v>3</v>
      </c>
      <c r="W67" s="3" t="n">
        <v>4</v>
      </c>
      <c r="X67" s="3" t="n">
        <v>4</v>
      </c>
      <c r="Y67" s="3" t="n">
        <v>2</v>
      </c>
      <c r="Z67" s="3" t="n">
        <v>4</v>
      </c>
      <c r="AA67" s="3" t="n">
        <v>4</v>
      </c>
      <c r="AB67" s="3" t="n">
        <v>4</v>
      </c>
      <c r="AC67" s="3" t="n">
        <v>2</v>
      </c>
      <c r="AD67" s="3" t="n">
        <v>2</v>
      </c>
      <c r="AE67" s="3" t="n">
        <v>3</v>
      </c>
      <c r="AF67" s="3" t="n">
        <v>2</v>
      </c>
      <c r="AG67" s="3" t="n">
        <v>3</v>
      </c>
      <c r="AH67" s="3" t="n">
        <v>3</v>
      </c>
      <c r="AI67" s="3" t="n">
        <v>3</v>
      </c>
      <c r="AJ67" s="3" t="n">
        <v>5</v>
      </c>
      <c r="AK67" s="3" t="n">
        <v>2</v>
      </c>
      <c r="AL67" s="3" t="n">
        <v>4</v>
      </c>
      <c r="AM67" s="3" t="n">
        <v>4</v>
      </c>
      <c r="AN67" s="3" t="n">
        <v>3</v>
      </c>
      <c r="AO67" s="3" t="n">
        <v>2</v>
      </c>
    </row>
    <row r="68" customFormat="false" ht="15" hidden="false" customHeight="false" outlineLevel="0" collapsed="false">
      <c r="A68" s="3" t="n">
        <v>1</v>
      </c>
      <c r="B68" s="3" t="n">
        <v>4</v>
      </c>
      <c r="C68" s="3" t="n">
        <v>1</v>
      </c>
      <c r="D68" s="3" t="n">
        <v>2</v>
      </c>
      <c r="E68" s="3" t="n">
        <v>2</v>
      </c>
      <c r="F68" s="3" t="n">
        <v>2</v>
      </c>
      <c r="G68" s="3" t="n">
        <v>3</v>
      </c>
      <c r="H68" s="3" t="n">
        <v>2</v>
      </c>
      <c r="I68" s="3" t="n">
        <v>2</v>
      </c>
      <c r="J68" s="3" t="n">
        <v>24</v>
      </c>
      <c r="K68" s="3" t="n">
        <v>3</v>
      </c>
      <c r="L68" s="3" t="n">
        <v>4</v>
      </c>
      <c r="M68" s="3" t="n">
        <v>4</v>
      </c>
      <c r="N68" s="3" t="n">
        <v>4</v>
      </c>
      <c r="O68" s="3" t="n">
        <v>3</v>
      </c>
      <c r="P68" s="3" t="n">
        <v>3</v>
      </c>
      <c r="Q68" s="3" t="n">
        <v>3</v>
      </c>
      <c r="R68" s="3" t="n">
        <v>4</v>
      </c>
      <c r="S68" s="3" t="n">
        <v>4</v>
      </c>
      <c r="T68" s="3" t="n">
        <v>5</v>
      </c>
      <c r="U68" s="3" t="n">
        <v>4</v>
      </c>
      <c r="V68" s="3" t="n">
        <v>3</v>
      </c>
      <c r="W68" s="3" t="n">
        <v>4</v>
      </c>
      <c r="X68" s="3" t="n">
        <v>4</v>
      </c>
      <c r="Y68" s="3" t="n">
        <v>4</v>
      </c>
      <c r="Z68" s="3" t="n">
        <v>4</v>
      </c>
      <c r="AA68" s="3" t="n">
        <v>4</v>
      </c>
      <c r="AB68" s="3" t="n">
        <v>2</v>
      </c>
      <c r="AC68" s="3" t="n">
        <v>1</v>
      </c>
      <c r="AD68" s="3" t="n">
        <v>2</v>
      </c>
      <c r="AE68" s="3" t="n">
        <v>4</v>
      </c>
      <c r="AF68" s="3" t="n">
        <v>3</v>
      </c>
      <c r="AG68" s="3" t="n">
        <v>4</v>
      </c>
      <c r="AH68" s="3" t="n">
        <v>4</v>
      </c>
      <c r="AI68" s="3" t="n">
        <v>4</v>
      </c>
      <c r="AJ68" s="3" t="n">
        <v>3</v>
      </c>
      <c r="AK68" s="3" t="n">
        <v>4</v>
      </c>
      <c r="AL68" s="3" t="n">
        <v>4</v>
      </c>
      <c r="AM68" s="3" t="n">
        <v>4</v>
      </c>
      <c r="AN68" s="3" t="n">
        <v>4</v>
      </c>
      <c r="AO68" s="3" t="n">
        <v>3</v>
      </c>
    </row>
    <row r="69" customFormat="false" ht="15" hidden="false" customHeight="false" outlineLevel="0" collapsed="false">
      <c r="A69" s="3" t="n">
        <v>0</v>
      </c>
      <c r="B69" s="3" t="n">
        <v>3</v>
      </c>
      <c r="C69" s="3" t="n">
        <v>2</v>
      </c>
      <c r="D69" s="3" t="n">
        <v>1</v>
      </c>
      <c r="E69" s="3" t="n">
        <v>2</v>
      </c>
      <c r="F69" s="3" t="n">
        <v>2</v>
      </c>
      <c r="G69" s="3" t="n">
        <v>2</v>
      </c>
      <c r="H69" s="3" t="n">
        <v>3</v>
      </c>
      <c r="I69" s="3" t="n">
        <v>1</v>
      </c>
      <c r="J69" s="3" t="n">
        <v>22</v>
      </c>
      <c r="K69" s="3" t="n">
        <v>3</v>
      </c>
      <c r="L69" s="3" t="n">
        <v>4</v>
      </c>
      <c r="M69" s="3" t="n">
        <v>4</v>
      </c>
      <c r="N69" s="3" t="n">
        <v>3</v>
      </c>
      <c r="O69" s="3" t="n">
        <v>4</v>
      </c>
      <c r="P69" s="3" t="n">
        <v>4</v>
      </c>
      <c r="Q69" s="3" t="n">
        <v>3</v>
      </c>
      <c r="R69" s="3" t="n">
        <v>2</v>
      </c>
      <c r="S69" s="3" t="n">
        <v>4</v>
      </c>
      <c r="T69" s="3" t="n">
        <v>4</v>
      </c>
      <c r="U69" s="3" t="n">
        <v>4</v>
      </c>
      <c r="V69" s="3" t="n">
        <v>3</v>
      </c>
      <c r="W69" s="3" t="n">
        <v>4</v>
      </c>
      <c r="X69" s="3" t="n">
        <v>4</v>
      </c>
      <c r="Y69" s="3" t="n">
        <v>3</v>
      </c>
      <c r="Z69" s="3" t="n">
        <v>4</v>
      </c>
      <c r="AA69" s="3" t="n">
        <v>4</v>
      </c>
      <c r="AB69" s="3" t="n">
        <v>2</v>
      </c>
      <c r="AC69" s="3" t="n">
        <v>2</v>
      </c>
      <c r="AD69" s="3" t="n">
        <v>2</v>
      </c>
      <c r="AE69" s="3" t="n">
        <v>2</v>
      </c>
      <c r="AF69" s="3" t="n">
        <v>2</v>
      </c>
      <c r="AG69" s="3" t="n">
        <v>3</v>
      </c>
      <c r="AH69" s="3" t="n">
        <v>3</v>
      </c>
      <c r="AI69" s="3" t="n">
        <v>2</v>
      </c>
      <c r="AJ69" s="3" t="n">
        <v>4</v>
      </c>
      <c r="AK69" s="3" t="n">
        <v>4</v>
      </c>
      <c r="AL69" s="3" t="n">
        <v>4</v>
      </c>
      <c r="AM69" s="3" t="n">
        <v>2</v>
      </c>
      <c r="AN69" s="3" t="n">
        <v>2</v>
      </c>
      <c r="AO69" s="3" t="n">
        <v>3</v>
      </c>
    </row>
    <row r="70" customFormat="false" ht="15" hidden="false" customHeight="false" outlineLevel="0" collapsed="false">
      <c r="A70" s="3" t="n">
        <v>1</v>
      </c>
      <c r="B70" s="3" t="n">
        <v>3</v>
      </c>
      <c r="C70" s="3" t="n">
        <v>1</v>
      </c>
      <c r="D70" s="3" t="n">
        <v>1</v>
      </c>
      <c r="E70" s="3" t="n">
        <v>2</v>
      </c>
      <c r="F70" s="3" t="n">
        <v>2</v>
      </c>
      <c r="G70" s="3" t="n">
        <v>1</v>
      </c>
      <c r="H70" s="3" t="n">
        <v>2</v>
      </c>
      <c r="I70" s="3" t="n">
        <v>1</v>
      </c>
      <c r="J70" s="3" t="n">
        <v>21</v>
      </c>
      <c r="K70" s="3" t="n">
        <v>2</v>
      </c>
      <c r="L70" s="3" t="n">
        <v>3</v>
      </c>
      <c r="M70" s="3" t="n">
        <v>3</v>
      </c>
      <c r="N70" s="3" t="n">
        <v>2</v>
      </c>
      <c r="O70" s="3" t="n">
        <v>3</v>
      </c>
      <c r="P70" s="3" t="n">
        <v>4</v>
      </c>
      <c r="Q70" s="3" t="n">
        <v>3</v>
      </c>
      <c r="R70" s="3" t="n">
        <v>4</v>
      </c>
      <c r="S70" s="3" t="n">
        <v>3</v>
      </c>
      <c r="T70" s="3" t="n">
        <v>5</v>
      </c>
      <c r="U70" s="3" t="n">
        <v>3</v>
      </c>
      <c r="V70" s="3" t="n">
        <v>5</v>
      </c>
      <c r="W70" s="3" t="n">
        <v>5</v>
      </c>
      <c r="X70" s="3" t="n">
        <v>4</v>
      </c>
      <c r="Y70" s="3" t="n">
        <v>4</v>
      </c>
      <c r="Z70" s="3" t="n">
        <v>4</v>
      </c>
      <c r="AA70" s="3" t="n">
        <v>4</v>
      </c>
      <c r="AB70" s="3" t="n">
        <v>1</v>
      </c>
      <c r="AC70" s="3" t="n">
        <v>2</v>
      </c>
      <c r="AD70" s="3" t="n">
        <v>2</v>
      </c>
      <c r="AE70" s="3" t="n">
        <v>3</v>
      </c>
      <c r="AF70" s="3" t="n">
        <v>2</v>
      </c>
      <c r="AG70" s="3" t="n">
        <v>2</v>
      </c>
      <c r="AH70" s="3" t="n">
        <v>3</v>
      </c>
      <c r="AI70" s="3" t="n">
        <v>4</v>
      </c>
      <c r="AJ70" s="3" t="n">
        <v>4</v>
      </c>
      <c r="AK70" s="3" t="n">
        <v>4</v>
      </c>
      <c r="AL70" s="3" t="n">
        <v>5</v>
      </c>
      <c r="AM70" s="3" t="n">
        <v>4</v>
      </c>
      <c r="AN70" s="3" t="n">
        <v>3</v>
      </c>
      <c r="AO70" s="3" t="n">
        <v>4</v>
      </c>
    </row>
    <row r="71" customFormat="false" ht="15" hidden="false" customHeight="false" outlineLevel="0" collapsed="false">
      <c r="A71" s="3" t="n">
        <v>0</v>
      </c>
      <c r="B71" s="3" t="n">
        <v>4</v>
      </c>
      <c r="C71" s="3" t="n">
        <v>2</v>
      </c>
      <c r="D71" s="3" t="n">
        <v>1</v>
      </c>
      <c r="E71" s="3" t="n">
        <v>2</v>
      </c>
      <c r="F71" s="3" t="n">
        <v>2</v>
      </c>
      <c r="G71" s="3" t="n">
        <v>3</v>
      </c>
      <c r="H71" s="3" t="n">
        <v>1</v>
      </c>
      <c r="I71" s="3" t="n">
        <v>1</v>
      </c>
      <c r="J71" s="3" t="n">
        <v>23</v>
      </c>
      <c r="K71" s="3" t="n">
        <v>4</v>
      </c>
      <c r="L71" s="3" t="n">
        <v>4</v>
      </c>
      <c r="M71" s="3" t="n">
        <v>4</v>
      </c>
      <c r="N71" s="3" t="n">
        <v>2</v>
      </c>
      <c r="O71" s="3" t="n">
        <v>4</v>
      </c>
      <c r="P71" s="3" t="n">
        <v>3</v>
      </c>
      <c r="Q71" s="3" t="n">
        <v>3</v>
      </c>
      <c r="R71" s="3" t="n">
        <v>3</v>
      </c>
      <c r="S71" s="3" t="n">
        <v>4</v>
      </c>
      <c r="T71" s="3" t="n">
        <v>5</v>
      </c>
      <c r="U71" s="3" t="n">
        <v>5</v>
      </c>
      <c r="V71" s="3" t="n">
        <v>2</v>
      </c>
      <c r="W71" s="3" t="n">
        <v>3</v>
      </c>
      <c r="X71" s="3" t="n">
        <v>3</v>
      </c>
      <c r="Y71" s="3" t="n">
        <v>2</v>
      </c>
      <c r="Z71" s="3" t="n">
        <v>5</v>
      </c>
      <c r="AA71" s="3" t="n">
        <v>5</v>
      </c>
      <c r="AB71" s="3" t="n">
        <v>3</v>
      </c>
      <c r="AC71" s="3" t="n">
        <v>2</v>
      </c>
      <c r="AD71" s="3" t="n">
        <v>2</v>
      </c>
      <c r="AE71" s="3" t="n">
        <v>4</v>
      </c>
      <c r="AF71" s="3" t="n">
        <v>3</v>
      </c>
      <c r="AG71" s="3" t="n">
        <v>4</v>
      </c>
      <c r="AH71" s="3" t="n">
        <v>4</v>
      </c>
      <c r="AI71" s="3" t="n">
        <v>4</v>
      </c>
      <c r="AJ71" s="3" t="n">
        <v>4</v>
      </c>
      <c r="AK71" s="3" t="n">
        <v>2</v>
      </c>
      <c r="AL71" s="3" t="n">
        <v>3</v>
      </c>
      <c r="AM71" s="3" t="n">
        <v>3</v>
      </c>
      <c r="AN71" s="3" t="n">
        <v>3</v>
      </c>
      <c r="AO71" s="3" t="n">
        <v>4</v>
      </c>
    </row>
    <row r="72" customFormat="false" ht="15" hidden="false" customHeight="false" outlineLevel="0" collapsed="false">
      <c r="A72" s="3" t="n">
        <v>0</v>
      </c>
      <c r="B72" s="3" t="n">
        <v>3</v>
      </c>
      <c r="C72" s="3" t="n">
        <v>1</v>
      </c>
      <c r="D72" s="3" t="n">
        <v>1</v>
      </c>
      <c r="E72" s="3" t="n">
        <v>2</v>
      </c>
      <c r="F72" s="3" t="n">
        <v>2</v>
      </c>
      <c r="G72" s="3" t="n">
        <v>3</v>
      </c>
      <c r="H72" s="3" t="n">
        <v>3</v>
      </c>
      <c r="I72" s="3" t="n">
        <v>1</v>
      </c>
      <c r="J72" s="3" t="n">
        <v>24</v>
      </c>
      <c r="K72" s="3" t="n">
        <v>3</v>
      </c>
      <c r="L72" s="3" t="n">
        <v>5</v>
      </c>
      <c r="M72" s="3" t="n">
        <v>5</v>
      </c>
      <c r="N72" s="3" t="n">
        <v>3</v>
      </c>
      <c r="O72" s="3" t="n">
        <v>5</v>
      </c>
      <c r="P72" s="3" t="n">
        <v>3</v>
      </c>
      <c r="Q72" s="3" t="n">
        <v>3</v>
      </c>
      <c r="R72" s="3" t="n">
        <v>3</v>
      </c>
      <c r="S72" s="3" t="n">
        <v>5</v>
      </c>
      <c r="T72" s="3" t="n">
        <v>5</v>
      </c>
      <c r="U72" s="3" t="n">
        <v>5</v>
      </c>
      <c r="V72" s="3" t="n">
        <v>3</v>
      </c>
      <c r="W72" s="3" t="n">
        <v>4</v>
      </c>
      <c r="X72" s="3" t="n">
        <v>4</v>
      </c>
      <c r="Y72" s="3" t="n">
        <v>4</v>
      </c>
      <c r="Z72" s="3" t="n">
        <v>3</v>
      </c>
      <c r="AA72" s="3" t="n">
        <v>5</v>
      </c>
      <c r="AB72" s="3" t="n">
        <v>3</v>
      </c>
      <c r="AC72" s="3" t="n">
        <v>2</v>
      </c>
      <c r="AD72" s="3" t="n">
        <v>2</v>
      </c>
      <c r="AE72" s="3" t="n">
        <v>5</v>
      </c>
      <c r="AF72" s="3" t="n">
        <v>3</v>
      </c>
      <c r="AG72" s="3" t="n">
        <v>5</v>
      </c>
      <c r="AH72" s="3" t="n">
        <v>5</v>
      </c>
      <c r="AI72" s="3" t="n">
        <v>5</v>
      </c>
      <c r="AJ72" s="3" t="n">
        <v>4</v>
      </c>
      <c r="AK72" s="3" t="n">
        <v>5</v>
      </c>
      <c r="AL72" s="3" t="n">
        <v>4</v>
      </c>
      <c r="AM72" s="3" t="n">
        <v>4</v>
      </c>
      <c r="AN72" s="3" t="n">
        <v>3</v>
      </c>
      <c r="AO72" s="3" t="n">
        <v>3</v>
      </c>
    </row>
    <row r="73" customFormat="false" ht="15" hidden="false" customHeight="false" outlineLevel="0" collapsed="false">
      <c r="A73" s="3" t="n">
        <v>0</v>
      </c>
      <c r="B73" s="3" t="n">
        <v>4</v>
      </c>
      <c r="C73" s="3" t="n">
        <v>2</v>
      </c>
      <c r="D73" s="3" t="n">
        <v>1</v>
      </c>
      <c r="E73" s="3" t="n">
        <v>2</v>
      </c>
      <c r="F73" s="3" t="n">
        <v>2</v>
      </c>
      <c r="G73" s="3" t="n">
        <v>4</v>
      </c>
      <c r="H73" s="3" t="n">
        <v>2</v>
      </c>
      <c r="I73" s="3" t="n">
        <v>3</v>
      </c>
      <c r="J73" s="3" t="n">
        <v>24</v>
      </c>
      <c r="K73" s="3" t="n">
        <v>4</v>
      </c>
      <c r="L73" s="3" t="n">
        <v>4</v>
      </c>
      <c r="M73" s="3" t="n">
        <v>2</v>
      </c>
      <c r="N73" s="3" t="n">
        <v>5</v>
      </c>
      <c r="O73" s="3" t="n">
        <v>2</v>
      </c>
      <c r="P73" s="3" t="n">
        <v>5</v>
      </c>
      <c r="Q73" s="3" t="n">
        <v>4</v>
      </c>
      <c r="R73" s="3" t="n">
        <v>2</v>
      </c>
      <c r="S73" s="3" t="n">
        <v>4</v>
      </c>
      <c r="T73" s="3" t="n">
        <v>5</v>
      </c>
      <c r="U73" s="3" t="n">
        <v>5</v>
      </c>
      <c r="V73" s="3" t="n">
        <v>5</v>
      </c>
      <c r="W73" s="3" t="n">
        <v>5</v>
      </c>
      <c r="X73" s="3" t="n">
        <v>4</v>
      </c>
      <c r="Y73" s="3" t="n">
        <v>5</v>
      </c>
      <c r="Z73" s="3" t="n">
        <v>5</v>
      </c>
      <c r="AA73" s="3" t="n">
        <v>2</v>
      </c>
      <c r="AB73" s="3" t="n">
        <v>1</v>
      </c>
      <c r="AC73" s="3" t="n">
        <v>1</v>
      </c>
      <c r="AD73" s="3" t="n">
        <v>2</v>
      </c>
      <c r="AE73" s="3" t="n">
        <v>5</v>
      </c>
      <c r="AF73" s="3" t="n">
        <v>4</v>
      </c>
      <c r="AG73" s="3" t="n">
        <v>5</v>
      </c>
      <c r="AH73" s="3" t="n">
        <v>4</v>
      </c>
      <c r="AI73" s="3" t="n">
        <v>4</v>
      </c>
      <c r="AJ73" s="3" t="n">
        <v>5</v>
      </c>
      <c r="AK73" s="3" t="n">
        <v>4</v>
      </c>
      <c r="AL73" s="3" t="n">
        <v>4</v>
      </c>
      <c r="AM73" s="3" t="n">
        <v>4</v>
      </c>
      <c r="AN73" s="3" t="n">
        <v>2</v>
      </c>
      <c r="AO73" s="3" t="n">
        <v>2</v>
      </c>
    </row>
    <row r="74" customFormat="false" ht="15" hidden="false" customHeight="false" outlineLevel="0" collapsed="false">
      <c r="A74" s="3" t="n">
        <v>0</v>
      </c>
      <c r="B74" s="3" t="n">
        <v>4</v>
      </c>
      <c r="C74" s="3" t="n">
        <v>1</v>
      </c>
      <c r="D74" s="3" t="n">
        <v>2</v>
      </c>
      <c r="E74" s="3" t="n">
        <v>2</v>
      </c>
      <c r="F74" s="3" t="n">
        <v>2</v>
      </c>
      <c r="G74" s="3" t="n">
        <v>2</v>
      </c>
      <c r="H74" s="3" t="n">
        <v>2</v>
      </c>
      <c r="I74" s="3" t="n">
        <v>1</v>
      </c>
      <c r="J74" s="3" t="n">
        <v>25</v>
      </c>
      <c r="K74" s="3" t="n">
        <v>2</v>
      </c>
      <c r="L74" s="3" t="n">
        <v>4</v>
      </c>
      <c r="M74" s="3" t="n">
        <v>5</v>
      </c>
      <c r="N74" s="3" t="n">
        <v>4</v>
      </c>
      <c r="O74" s="3" t="n">
        <v>5</v>
      </c>
      <c r="P74" s="3" t="n">
        <v>4</v>
      </c>
      <c r="Q74" s="3" t="n">
        <v>4</v>
      </c>
      <c r="R74" s="3" t="n">
        <v>4</v>
      </c>
      <c r="S74" s="3" t="n">
        <v>4</v>
      </c>
      <c r="T74" s="3" t="n">
        <v>5</v>
      </c>
      <c r="U74" s="3" t="n">
        <v>5</v>
      </c>
      <c r="V74" s="3" t="n">
        <v>4</v>
      </c>
      <c r="W74" s="3" t="n">
        <v>5</v>
      </c>
      <c r="X74" s="3" t="n">
        <v>5</v>
      </c>
      <c r="Y74" s="3" t="n">
        <v>4</v>
      </c>
      <c r="Z74" s="3" t="n">
        <v>5</v>
      </c>
      <c r="AA74" s="3" t="n">
        <v>2</v>
      </c>
      <c r="AB74" s="3" t="n">
        <v>2</v>
      </c>
      <c r="AC74" s="3" t="n">
        <v>2</v>
      </c>
      <c r="AD74" s="3" t="n">
        <v>2</v>
      </c>
      <c r="AE74" s="3" t="n">
        <v>4</v>
      </c>
      <c r="AF74" s="3" t="n">
        <v>4</v>
      </c>
      <c r="AG74" s="3" t="n">
        <v>4</v>
      </c>
      <c r="AH74" s="3" t="n">
        <v>5</v>
      </c>
      <c r="AI74" s="3" t="n">
        <v>4</v>
      </c>
      <c r="AJ74" s="3" t="n">
        <v>5</v>
      </c>
      <c r="AK74" s="3" t="n">
        <v>4</v>
      </c>
      <c r="AL74" s="3" t="n">
        <v>5</v>
      </c>
      <c r="AM74" s="3" t="n">
        <v>4</v>
      </c>
      <c r="AN74" s="3" t="n">
        <v>3</v>
      </c>
      <c r="AO74" s="3" t="n">
        <v>3</v>
      </c>
    </row>
    <row r="75" customFormat="false" ht="15" hidden="false" customHeight="false" outlineLevel="0" collapsed="false">
      <c r="A75" s="3" t="n">
        <v>0</v>
      </c>
      <c r="B75" s="3" t="n">
        <v>4</v>
      </c>
      <c r="C75" s="3" t="n">
        <v>1</v>
      </c>
      <c r="D75" s="3" t="n">
        <v>1</v>
      </c>
      <c r="E75" s="3" t="n">
        <v>1</v>
      </c>
      <c r="F75" s="3" t="n">
        <v>2</v>
      </c>
      <c r="G75" s="3" t="n">
        <v>2</v>
      </c>
      <c r="H75" s="3" t="n">
        <v>1</v>
      </c>
      <c r="I75" s="3" t="n">
        <v>1</v>
      </c>
      <c r="J75" s="3" t="n">
        <v>23</v>
      </c>
      <c r="K75" s="3" t="n">
        <v>3</v>
      </c>
      <c r="L75" s="3" t="n">
        <v>4</v>
      </c>
      <c r="M75" s="3" t="n">
        <v>4</v>
      </c>
      <c r="N75" s="3" t="n">
        <v>3</v>
      </c>
      <c r="O75" s="3" t="n">
        <v>5</v>
      </c>
      <c r="P75" s="3" t="n">
        <v>2</v>
      </c>
      <c r="Q75" s="3" t="n">
        <v>2</v>
      </c>
      <c r="R75" s="3" t="n">
        <v>4</v>
      </c>
      <c r="S75" s="3" t="n">
        <v>4</v>
      </c>
      <c r="T75" s="3" t="n">
        <v>5</v>
      </c>
      <c r="U75" s="3" t="n">
        <v>4</v>
      </c>
      <c r="V75" s="3" t="n">
        <v>4</v>
      </c>
      <c r="W75" s="3" t="n">
        <v>5</v>
      </c>
      <c r="X75" s="3" t="n">
        <v>4</v>
      </c>
      <c r="Y75" s="3" t="n">
        <v>5</v>
      </c>
      <c r="Z75" s="3" t="n">
        <v>5</v>
      </c>
      <c r="AA75" s="3" t="n">
        <v>4</v>
      </c>
      <c r="AB75" s="3" t="n">
        <v>4</v>
      </c>
      <c r="AC75" s="3" t="n">
        <v>1</v>
      </c>
      <c r="AD75" s="3" t="n">
        <v>1</v>
      </c>
      <c r="AE75" s="3" t="n">
        <v>4</v>
      </c>
      <c r="AF75" s="3" t="n">
        <v>1</v>
      </c>
      <c r="AG75" s="3" t="n">
        <v>4</v>
      </c>
      <c r="AH75" s="3" t="n">
        <v>2</v>
      </c>
      <c r="AI75" s="3" t="n">
        <v>2</v>
      </c>
      <c r="AJ75" s="3" t="n">
        <v>2</v>
      </c>
      <c r="AK75" s="3" t="n">
        <v>2</v>
      </c>
      <c r="AL75" s="3" t="n">
        <v>4</v>
      </c>
      <c r="AM75" s="3" t="n">
        <v>2</v>
      </c>
      <c r="AN75" s="3" t="n">
        <v>3</v>
      </c>
      <c r="AO75" s="3" t="n">
        <v>4</v>
      </c>
    </row>
    <row r="76" customFormat="false" ht="15" hidden="false" customHeight="false" outlineLevel="0" collapsed="false">
      <c r="A76" s="3" t="n">
        <v>0</v>
      </c>
      <c r="B76" s="3" t="n">
        <v>4</v>
      </c>
      <c r="C76" s="3" t="n">
        <v>1</v>
      </c>
      <c r="D76" s="3" t="n">
        <v>1</v>
      </c>
      <c r="E76" s="3" t="n">
        <v>2</v>
      </c>
      <c r="F76" s="3" t="n">
        <v>2</v>
      </c>
      <c r="G76" s="3" t="n">
        <v>3</v>
      </c>
      <c r="H76" s="3" t="n">
        <v>3</v>
      </c>
      <c r="I76" s="3" t="n">
        <v>1</v>
      </c>
      <c r="J76" s="3" t="n">
        <v>24</v>
      </c>
      <c r="K76" s="3" t="n">
        <v>3</v>
      </c>
      <c r="L76" s="3" t="n">
        <v>2</v>
      </c>
      <c r="M76" s="3" t="n">
        <v>5</v>
      </c>
      <c r="N76" s="3" t="n">
        <v>4</v>
      </c>
      <c r="O76" s="3" t="n">
        <v>3</v>
      </c>
      <c r="P76" s="3" t="n">
        <v>2</v>
      </c>
      <c r="Q76" s="3" t="n">
        <v>4</v>
      </c>
      <c r="R76" s="3" t="n">
        <v>3</v>
      </c>
      <c r="S76" s="3" t="n">
        <v>5</v>
      </c>
      <c r="T76" s="3" t="n">
        <v>5</v>
      </c>
      <c r="U76" s="3" t="n">
        <v>5</v>
      </c>
      <c r="V76" s="3" t="n">
        <v>4</v>
      </c>
      <c r="W76" s="3" t="n">
        <v>5</v>
      </c>
      <c r="X76" s="3" t="n">
        <v>3</v>
      </c>
      <c r="Y76" s="3" t="n">
        <v>2</v>
      </c>
      <c r="Z76" s="3" t="n">
        <v>1</v>
      </c>
      <c r="AA76" s="3" t="n">
        <v>1</v>
      </c>
      <c r="AB76" s="3" t="n">
        <v>2</v>
      </c>
      <c r="AC76" s="3" t="n">
        <v>1</v>
      </c>
      <c r="AD76" s="3" t="n">
        <v>2</v>
      </c>
      <c r="AE76" s="3" t="n">
        <v>4</v>
      </c>
      <c r="AF76" s="3" t="n">
        <v>1</v>
      </c>
      <c r="AG76" s="3" t="n">
        <v>5</v>
      </c>
      <c r="AH76" s="3" t="n">
        <v>5</v>
      </c>
      <c r="AI76" s="3" t="n">
        <v>4</v>
      </c>
      <c r="AJ76" s="3" t="n">
        <v>3</v>
      </c>
      <c r="AK76" s="3" t="n">
        <v>5</v>
      </c>
      <c r="AL76" s="3" t="n">
        <v>5</v>
      </c>
      <c r="AM76" s="3" t="n">
        <v>4</v>
      </c>
      <c r="AN76" s="3" t="n">
        <v>2</v>
      </c>
      <c r="AO76" s="3" t="n">
        <v>2</v>
      </c>
    </row>
    <row r="77" customFormat="false" ht="15" hidden="false" customHeight="false" outlineLevel="0" collapsed="false">
      <c r="A77" s="3" t="n">
        <v>0</v>
      </c>
      <c r="B77" s="3" t="n">
        <v>2</v>
      </c>
      <c r="C77" s="3" t="n">
        <v>1</v>
      </c>
      <c r="D77" s="3" t="n">
        <v>1</v>
      </c>
      <c r="E77" s="3" t="n">
        <v>2</v>
      </c>
      <c r="F77" s="3" t="n">
        <v>2</v>
      </c>
      <c r="G77" s="3" t="n">
        <v>3</v>
      </c>
      <c r="H77" s="3" t="n">
        <v>2</v>
      </c>
      <c r="I77" s="3" t="n">
        <v>1</v>
      </c>
      <c r="J77" s="3" t="n">
        <v>23</v>
      </c>
      <c r="K77" s="3" t="n">
        <v>5</v>
      </c>
      <c r="L77" s="3" t="n">
        <v>3</v>
      </c>
      <c r="M77" s="3" t="n">
        <v>3</v>
      </c>
      <c r="N77" s="3" t="n">
        <v>3</v>
      </c>
      <c r="O77" s="3" t="n">
        <v>3</v>
      </c>
      <c r="P77" s="3" t="n">
        <v>4</v>
      </c>
      <c r="Q77" s="3" t="n">
        <v>4</v>
      </c>
      <c r="R77" s="3" t="n">
        <v>4</v>
      </c>
      <c r="S77" s="3" t="n">
        <v>5</v>
      </c>
      <c r="T77" s="3" t="n">
        <v>4</v>
      </c>
      <c r="U77" s="3" t="n">
        <v>4</v>
      </c>
      <c r="V77" s="3" t="n">
        <v>3</v>
      </c>
      <c r="W77" s="3" t="n">
        <v>4</v>
      </c>
      <c r="X77" s="3" t="n">
        <v>4</v>
      </c>
      <c r="Y77" s="3" t="n">
        <v>3</v>
      </c>
      <c r="Z77" s="3" t="n">
        <v>4</v>
      </c>
      <c r="AA77" s="3" t="n">
        <v>4</v>
      </c>
      <c r="AB77" s="3" t="n">
        <v>2</v>
      </c>
      <c r="AC77" s="3" t="n">
        <v>4</v>
      </c>
      <c r="AD77" s="3" t="n">
        <v>3</v>
      </c>
      <c r="AE77" s="3" t="n">
        <v>3</v>
      </c>
      <c r="AF77" s="3" t="n">
        <v>3</v>
      </c>
      <c r="AG77" s="3" t="n">
        <v>3</v>
      </c>
      <c r="AH77" s="3" t="n">
        <v>3</v>
      </c>
      <c r="AI77" s="3" t="n">
        <v>3</v>
      </c>
      <c r="AJ77" s="3" t="n">
        <v>5</v>
      </c>
      <c r="AK77" s="3" t="n">
        <v>4</v>
      </c>
      <c r="AL77" s="3" t="n">
        <v>4</v>
      </c>
      <c r="AM77" s="3" t="n">
        <v>5</v>
      </c>
      <c r="AN77" s="3" t="n">
        <v>3</v>
      </c>
      <c r="AO77" s="3" t="n">
        <v>3</v>
      </c>
    </row>
    <row r="78" customFormat="false" ht="15" hidden="false" customHeight="false" outlineLevel="0" collapsed="false">
      <c r="A78" s="3" t="n">
        <v>0</v>
      </c>
      <c r="B78" s="3" t="n">
        <v>3</v>
      </c>
      <c r="C78" s="3" t="n">
        <v>1</v>
      </c>
      <c r="D78" s="3" t="n">
        <v>1</v>
      </c>
      <c r="E78" s="3" t="n">
        <v>2</v>
      </c>
      <c r="F78" s="3" t="n">
        <v>2</v>
      </c>
      <c r="G78" s="3" t="n">
        <v>2</v>
      </c>
      <c r="H78" s="3" t="n">
        <v>1</v>
      </c>
      <c r="I78" s="3" t="n">
        <v>1</v>
      </c>
      <c r="J78" s="3" t="n">
        <v>23</v>
      </c>
      <c r="K78" s="3" t="n">
        <v>3</v>
      </c>
      <c r="L78" s="3" t="n">
        <v>3</v>
      </c>
      <c r="M78" s="3" t="n">
        <v>2</v>
      </c>
      <c r="N78" s="3" t="n">
        <v>4</v>
      </c>
      <c r="O78" s="3" t="n">
        <v>5</v>
      </c>
      <c r="P78" s="3" t="n">
        <v>2</v>
      </c>
      <c r="Q78" s="3" t="n">
        <v>3</v>
      </c>
      <c r="R78" s="3" t="n">
        <v>3</v>
      </c>
      <c r="S78" s="3" t="n">
        <v>4</v>
      </c>
      <c r="T78" s="3" t="n">
        <v>4</v>
      </c>
      <c r="U78" s="3" t="n">
        <v>5</v>
      </c>
      <c r="V78" s="3" t="n">
        <v>2</v>
      </c>
      <c r="W78" s="3" t="n">
        <v>3</v>
      </c>
      <c r="X78" s="3" t="n">
        <v>3</v>
      </c>
      <c r="Y78" s="3" t="n">
        <v>1</v>
      </c>
      <c r="Z78" s="3" t="n">
        <v>2</v>
      </c>
      <c r="AA78" s="3" t="n">
        <v>4</v>
      </c>
      <c r="AB78" s="3" t="n">
        <v>2</v>
      </c>
      <c r="AC78" s="3" t="n">
        <v>1</v>
      </c>
      <c r="AD78" s="3" t="n">
        <v>2</v>
      </c>
      <c r="AE78" s="3" t="n">
        <v>4</v>
      </c>
      <c r="AF78" s="3" t="n">
        <v>4</v>
      </c>
      <c r="AG78" s="3" t="n">
        <v>3</v>
      </c>
      <c r="AH78" s="3" t="n">
        <v>5</v>
      </c>
      <c r="AI78" s="3" t="n">
        <v>4</v>
      </c>
      <c r="AJ78" s="3" t="n">
        <v>4</v>
      </c>
      <c r="AK78" s="3" t="n">
        <v>3</v>
      </c>
      <c r="AL78" s="3" t="n">
        <v>5</v>
      </c>
      <c r="AM78" s="3" t="n">
        <v>4</v>
      </c>
      <c r="AN78" s="3" t="n">
        <v>1</v>
      </c>
      <c r="AO78" s="3" t="n">
        <v>2</v>
      </c>
    </row>
    <row r="79" customFormat="false" ht="15" hidden="false" customHeight="false" outlineLevel="0" collapsed="false">
      <c r="A79" s="3" t="n">
        <v>0</v>
      </c>
      <c r="B79" s="3" t="n">
        <v>3</v>
      </c>
      <c r="C79" s="3" t="n">
        <v>2</v>
      </c>
      <c r="D79" s="3" t="n">
        <v>1</v>
      </c>
      <c r="E79" s="3" t="n">
        <v>2</v>
      </c>
      <c r="F79" s="3" t="n">
        <v>2</v>
      </c>
      <c r="G79" s="3" t="n">
        <v>3</v>
      </c>
      <c r="H79" s="3" t="n">
        <v>1</v>
      </c>
      <c r="I79" s="3" t="n">
        <v>1</v>
      </c>
      <c r="J79" s="3" t="n">
        <v>23</v>
      </c>
      <c r="K79" s="3" t="n">
        <v>4</v>
      </c>
      <c r="L79" s="3" t="n">
        <v>4</v>
      </c>
      <c r="M79" s="3" t="n">
        <v>5</v>
      </c>
      <c r="N79" s="3" t="n">
        <v>4</v>
      </c>
      <c r="O79" s="3" t="n">
        <v>5</v>
      </c>
      <c r="P79" s="3" t="n">
        <v>3</v>
      </c>
      <c r="Q79" s="3" t="n">
        <v>4</v>
      </c>
      <c r="R79" s="3" t="n">
        <v>4</v>
      </c>
      <c r="S79" s="3" t="n">
        <v>4</v>
      </c>
      <c r="T79" s="3" t="n">
        <v>5</v>
      </c>
      <c r="U79" s="3" t="n">
        <v>4</v>
      </c>
      <c r="V79" s="3" t="n">
        <v>4</v>
      </c>
      <c r="W79" s="3" t="n">
        <v>4</v>
      </c>
      <c r="X79" s="3" t="n">
        <v>4</v>
      </c>
      <c r="Y79" s="3" t="n">
        <v>4</v>
      </c>
      <c r="Z79" s="3" t="n">
        <v>4</v>
      </c>
      <c r="AA79" s="3" t="n">
        <v>2</v>
      </c>
      <c r="AB79" s="3" t="n">
        <v>1</v>
      </c>
      <c r="AC79" s="3" t="n">
        <v>1</v>
      </c>
      <c r="AD79" s="3" t="n">
        <v>3</v>
      </c>
      <c r="AE79" s="3" t="n">
        <v>3</v>
      </c>
      <c r="AF79" s="3" t="n">
        <v>3</v>
      </c>
      <c r="AG79" s="3" t="n">
        <v>1</v>
      </c>
      <c r="AH79" s="3" t="n">
        <v>3</v>
      </c>
      <c r="AI79" s="3" t="n">
        <v>5</v>
      </c>
      <c r="AJ79" s="3" t="n">
        <v>5</v>
      </c>
      <c r="AK79" s="3" t="n">
        <v>3</v>
      </c>
      <c r="AL79" s="3" t="n">
        <v>5</v>
      </c>
      <c r="AM79" s="3" t="n">
        <v>5</v>
      </c>
      <c r="AN79" s="3" t="n">
        <v>3</v>
      </c>
      <c r="AO79" s="3" t="n">
        <v>3</v>
      </c>
    </row>
    <row r="80" customFormat="false" ht="15" hidden="false" customHeight="false" outlineLevel="0" collapsed="false">
      <c r="A80" s="3" t="n">
        <v>0</v>
      </c>
      <c r="B80" s="3" t="n">
        <v>3</v>
      </c>
      <c r="C80" s="3" t="n">
        <v>1</v>
      </c>
      <c r="D80" s="3" t="n">
        <v>1</v>
      </c>
      <c r="E80" s="3" t="n">
        <v>2</v>
      </c>
      <c r="F80" s="3" t="n">
        <v>2</v>
      </c>
      <c r="G80" s="3" t="n">
        <v>2</v>
      </c>
      <c r="H80" s="3" t="n">
        <v>3</v>
      </c>
      <c r="I80" s="3" t="n">
        <v>1</v>
      </c>
      <c r="J80" s="3" t="n">
        <v>22</v>
      </c>
      <c r="K80" s="3" t="n">
        <v>3</v>
      </c>
      <c r="L80" s="3" t="n">
        <v>3</v>
      </c>
      <c r="M80" s="3" t="n">
        <v>3</v>
      </c>
      <c r="N80" s="3" t="n">
        <v>3</v>
      </c>
      <c r="O80" s="3" t="n">
        <v>4</v>
      </c>
      <c r="P80" s="3" t="n">
        <v>2</v>
      </c>
      <c r="Q80" s="3" t="n">
        <v>3</v>
      </c>
      <c r="R80" s="3" t="n">
        <v>2</v>
      </c>
      <c r="S80" s="3" t="n">
        <v>1</v>
      </c>
      <c r="T80" s="3" t="n">
        <v>4</v>
      </c>
      <c r="U80" s="3" t="n">
        <v>5</v>
      </c>
      <c r="V80" s="3" t="n">
        <v>4</v>
      </c>
      <c r="W80" s="3" t="n">
        <v>3</v>
      </c>
      <c r="X80" s="3" t="n">
        <v>4</v>
      </c>
      <c r="Y80" s="3" t="n">
        <v>2</v>
      </c>
      <c r="Z80" s="3" t="n">
        <v>4</v>
      </c>
      <c r="AA80" s="3" t="n">
        <v>4</v>
      </c>
      <c r="AB80" s="3" t="n">
        <v>2</v>
      </c>
      <c r="AC80" s="3" t="n">
        <v>1</v>
      </c>
      <c r="AD80" s="3" t="n">
        <v>2</v>
      </c>
      <c r="AE80" s="3" t="n">
        <v>3</v>
      </c>
      <c r="AF80" s="3" t="n">
        <v>3</v>
      </c>
      <c r="AG80" s="3" t="n">
        <v>4</v>
      </c>
      <c r="AH80" s="3" t="n">
        <v>2</v>
      </c>
      <c r="AI80" s="3" t="n">
        <v>3</v>
      </c>
      <c r="AJ80" s="3" t="n">
        <v>2</v>
      </c>
      <c r="AK80" s="3" t="n">
        <v>2</v>
      </c>
      <c r="AL80" s="3" t="n">
        <v>5</v>
      </c>
      <c r="AM80" s="3" t="n">
        <v>4</v>
      </c>
      <c r="AN80" s="3" t="n">
        <v>1</v>
      </c>
      <c r="AO80" s="3" t="n">
        <v>2</v>
      </c>
    </row>
    <row r="81" customFormat="false" ht="15" hidden="false" customHeight="false" outlineLevel="0" collapsed="false">
      <c r="A81" s="3" t="n">
        <v>0</v>
      </c>
      <c r="B81" s="3" t="n">
        <v>3</v>
      </c>
      <c r="C81" s="3" t="n">
        <v>2</v>
      </c>
      <c r="D81" s="3" t="n">
        <v>1</v>
      </c>
      <c r="E81" s="3" t="n">
        <v>2</v>
      </c>
      <c r="F81" s="3" t="n">
        <v>2</v>
      </c>
      <c r="G81" s="3" t="n">
        <v>3</v>
      </c>
      <c r="H81" s="3" t="n">
        <v>3</v>
      </c>
      <c r="I81" s="3" t="n">
        <v>1</v>
      </c>
      <c r="J81" s="3" t="n">
        <v>22</v>
      </c>
      <c r="K81" s="3" t="n">
        <v>2</v>
      </c>
      <c r="L81" s="3" t="n">
        <v>2</v>
      </c>
      <c r="M81" s="3" t="n">
        <v>2</v>
      </c>
      <c r="N81" s="3" t="n">
        <v>4</v>
      </c>
      <c r="O81" s="3" t="n">
        <v>2</v>
      </c>
      <c r="P81" s="3" t="n">
        <v>4</v>
      </c>
      <c r="Q81" s="3" t="n">
        <v>4</v>
      </c>
      <c r="R81" s="3" t="n">
        <v>1</v>
      </c>
      <c r="S81" s="3" t="n">
        <v>5</v>
      </c>
      <c r="T81" s="3" t="n">
        <v>5</v>
      </c>
      <c r="U81" s="3" t="n">
        <v>5</v>
      </c>
      <c r="V81" s="3" t="n">
        <v>4</v>
      </c>
      <c r="W81" s="3" t="n">
        <v>4</v>
      </c>
      <c r="X81" s="3" t="n">
        <v>3</v>
      </c>
      <c r="Y81" s="3" t="n">
        <v>3</v>
      </c>
      <c r="Z81" s="3" t="n">
        <v>4</v>
      </c>
      <c r="AA81" s="3" t="n">
        <v>2</v>
      </c>
      <c r="AB81" s="3" t="n">
        <v>1</v>
      </c>
      <c r="AC81" s="3" t="n">
        <v>1</v>
      </c>
      <c r="AD81" s="3" t="n">
        <v>1</v>
      </c>
      <c r="AE81" s="3" t="n">
        <v>4</v>
      </c>
      <c r="AF81" s="3" t="n">
        <v>3</v>
      </c>
      <c r="AG81" s="3" t="n">
        <v>3</v>
      </c>
      <c r="AH81" s="3" t="n">
        <v>4</v>
      </c>
      <c r="AI81" s="3" t="n">
        <v>4</v>
      </c>
      <c r="AJ81" s="3" t="n">
        <v>5</v>
      </c>
      <c r="AK81" s="3" t="n">
        <v>4</v>
      </c>
      <c r="AL81" s="3" t="n">
        <v>4</v>
      </c>
      <c r="AM81" s="3" t="n">
        <v>2</v>
      </c>
      <c r="AN81" s="3" t="n">
        <v>2</v>
      </c>
      <c r="AO81" s="3" t="n">
        <v>3</v>
      </c>
    </row>
    <row r="82" customFormat="false" ht="15" hidden="false" customHeight="false" outlineLevel="0" collapsed="false">
      <c r="A82" s="3" t="n">
        <v>0</v>
      </c>
      <c r="B82" s="3" t="n">
        <v>3</v>
      </c>
      <c r="C82" s="3" t="n">
        <v>2</v>
      </c>
      <c r="D82" s="3" t="n">
        <v>1</v>
      </c>
      <c r="E82" s="3" t="n">
        <v>2</v>
      </c>
      <c r="F82" s="3" t="n">
        <v>2</v>
      </c>
      <c r="G82" s="3" t="n">
        <v>1</v>
      </c>
      <c r="H82" s="3" t="n">
        <v>2</v>
      </c>
      <c r="I82" s="3" t="n">
        <v>1</v>
      </c>
      <c r="J82" s="3" t="n">
        <v>23</v>
      </c>
      <c r="K82" s="3" t="n">
        <v>2</v>
      </c>
      <c r="L82" s="3" t="n">
        <v>4</v>
      </c>
      <c r="M82" s="3" t="n">
        <v>4</v>
      </c>
      <c r="N82" s="3" t="n">
        <v>3</v>
      </c>
      <c r="O82" s="3" t="n">
        <v>3</v>
      </c>
      <c r="P82" s="3" t="n">
        <v>3</v>
      </c>
      <c r="Q82" s="3" t="n">
        <v>4</v>
      </c>
      <c r="R82" s="3" t="n">
        <v>2</v>
      </c>
      <c r="S82" s="3" t="n">
        <v>3</v>
      </c>
      <c r="T82" s="3" t="n">
        <v>4</v>
      </c>
      <c r="U82" s="3" t="n">
        <v>4</v>
      </c>
      <c r="V82" s="3" t="n">
        <v>2</v>
      </c>
      <c r="W82" s="3" t="n">
        <v>4</v>
      </c>
      <c r="X82" s="3" t="n">
        <v>4</v>
      </c>
      <c r="Y82" s="3" t="n">
        <v>2</v>
      </c>
      <c r="Z82" s="3" t="n">
        <v>3</v>
      </c>
      <c r="AA82" s="3" t="n">
        <v>3</v>
      </c>
      <c r="AB82" s="3" t="n">
        <v>2</v>
      </c>
      <c r="AC82" s="3" t="n">
        <v>3</v>
      </c>
      <c r="AD82" s="3" t="n">
        <v>3</v>
      </c>
      <c r="AE82" s="3" t="n">
        <v>3</v>
      </c>
      <c r="AF82" s="3" t="n">
        <v>3</v>
      </c>
      <c r="AG82" s="3" t="n">
        <v>3</v>
      </c>
      <c r="AH82" s="3" t="n">
        <v>4</v>
      </c>
      <c r="AI82" s="3" t="n">
        <v>4</v>
      </c>
      <c r="AJ82" s="3" t="n">
        <v>3</v>
      </c>
      <c r="AK82" s="3" t="n">
        <v>4</v>
      </c>
      <c r="AL82" s="3" t="n">
        <v>3</v>
      </c>
      <c r="AM82" s="3" t="n">
        <v>3</v>
      </c>
      <c r="AN82" s="3" t="n">
        <v>3</v>
      </c>
      <c r="AO82" s="3" t="n">
        <v>3</v>
      </c>
    </row>
    <row r="83" customFormat="false" ht="15" hidden="false" customHeight="false" outlineLevel="0" collapsed="false">
      <c r="A83" s="3" t="n">
        <v>0</v>
      </c>
      <c r="B83" s="3" t="n">
        <v>4</v>
      </c>
      <c r="C83" s="3" t="n">
        <v>1</v>
      </c>
      <c r="D83" s="3" t="n">
        <v>2</v>
      </c>
      <c r="E83" s="3" t="n">
        <v>2</v>
      </c>
      <c r="F83" s="3" t="n">
        <v>2</v>
      </c>
      <c r="G83" s="3" t="n">
        <v>1</v>
      </c>
      <c r="H83" s="3" t="n">
        <v>3</v>
      </c>
      <c r="I83" s="3" t="n">
        <v>3</v>
      </c>
      <c r="J83" s="3" t="n">
        <v>24</v>
      </c>
      <c r="K83" s="3" t="n">
        <v>3</v>
      </c>
      <c r="L83" s="3" t="n">
        <v>3</v>
      </c>
      <c r="M83" s="3" t="n">
        <v>5</v>
      </c>
      <c r="N83" s="3" t="n">
        <v>4</v>
      </c>
      <c r="O83" s="3" t="n">
        <v>5</v>
      </c>
      <c r="P83" s="3" t="n">
        <v>4</v>
      </c>
      <c r="Q83" s="3" t="n">
        <v>3</v>
      </c>
      <c r="R83" s="3" t="n">
        <v>3</v>
      </c>
      <c r="S83" s="3" t="n">
        <v>4</v>
      </c>
      <c r="T83" s="3" t="n">
        <v>5</v>
      </c>
      <c r="U83" s="3" t="n">
        <v>4</v>
      </c>
      <c r="V83" s="3" t="n">
        <v>4</v>
      </c>
      <c r="W83" s="3" t="n">
        <v>5</v>
      </c>
      <c r="X83" s="3" t="n">
        <v>4</v>
      </c>
      <c r="Y83" s="3" t="n">
        <v>4</v>
      </c>
      <c r="Z83" s="3" t="n">
        <v>4</v>
      </c>
      <c r="AA83" s="3" t="n">
        <v>2</v>
      </c>
      <c r="AB83" s="3" t="n">
        <v>3</v>
      </c>
      <c r="AC83" s="3" t="n">
        <v>2</v>
      </c>
      <c r="AD83" s="3" t="n">
        <v>2</v>
      </c>
      <c r="AE83" s="3" t="n">
        <v>4</v>
      </c>
      <c r="AF83" s="3" t="n">
        <v>3</v>
      </c>
      <c r="AG83" s="3" t="n">
        <v>3</v>
      </c>
      <c r="AH83" s="3" t="n">
        <v>3</v>
      </c>
      <c r="AI83" s="3" t="n">
        <v>2</v>
      </c>
      <c r="AJ83" s="3" t="n">
        <v>5</v>
      </c>
      <c r="AK83" s="3" t="n">
        <v>2</v>
      </c>
      <c r="AL83" s="3" t="n">
        <v>5</v>
      </c>
      <c r="AM83" s="3" t="n">
        <v>4</v>
      </c>
      <c r="AN83" s="3" t="n">
        <v>4</v>
      </c>
      <c r="AO83" s="3" t="n">
        <v>3</v>
      </c>
    </row>
    <row r="84" customFormat="false" ht="15" hidden="false" customHeight="false" outlineLevel="0" collapsed="false">
      <c r="A84" s="3" t="n">
        <v>0</v>
      </c>
      <c r="B84" s="3" t="n">
        <v>4</v>
      </c>
      <c r="C84" s="3" t="n">
        <v>1</v>
      </c>
      <c r="D84" s="3" t="n">
        <v>2</v>
      </c>
      <c r="E84" s="3" t="n">
        <v>2</v>
      </c>
      <c r="F84" s="3" t="n">
        <v>2</v>
      </c>
      <c r="G84" s="3" t="n">
        <v>1</v>
      </c>
      <c r="H84" s="3" t="n">
        <v>2</v>
      </c>
      <c r="I84" s="3" t="n">
        <v>3</v>
      </c>
      <c r="J84" s="3" t="n">
        <v>25</v>
      </c>
      <c r="K84" s="3" t="n">
        <v>3</v>
      </c>
      <c r="L84" s="3" t="n">
        <v>4</v>
      </c>
      <c r="M84" s="3" t="n">
        <v>2</v>
      </c>
      <c r="N84" s="3" t="n">
        <v>3</v>
      </c>
      <c r="O84" s="3" t="n">
        <v>2</v>
      </c>
      <c r="P84" s="3" t="n">
        <v>3</v>
      </c>
      <c r="Q84" s="3" t="n">
        <v>4</v>
      </c>
      <c r="R84" s="3" t="n">
        <v>2</v>
      </c>
      <c r="S84" s="3" t="n">
        <v>3</v>
      </c>
      <c r="T84" s="3" t="n">
        <v>5</v>
      </c>
      <c r="U84" s="3" t="n">
        <v>4</v>
      </c>
      <c r="V84" s="3" t="n">
        <v>4</v>
      </c>
      <c r="W84" s="3" t="n">
        <v>4</v>
      </c>
      <c r="X84" s="3" t="n">
        <v>4</v>
      </c>
      <c r="Y84" s="3" t="n">
        <v>2</v>
      </c>
      <c r="Z84" s="3" t="n">
        <v>4</v>
      </c>
      <c r="AA84" s="3" t="n">
        <v>4</v>
      </c>
      <c r="AB84" s="3" t="n">
        <v>2</v>
      </c>
      <c r="AC84" s="3" t="n">
        <v>2</v>
      </c>
      <c r="AD84" s="3" t="n">
        <v>2</v>
      </c>
      <c r="AE84" s="3" t="n">
        <v>3</v>
      </c>
      <c r="AF84" s="3" t="n">
        <v>2</v>
      </c>
      <c r="AG84" s="3" t="n">
        <v>3</v>
      </c>
      <c r="AH84" s="3" t="n">
        <v>3</v>
      </c>
      <c r="AI84" s="3" t="n">
        <v>4</v>
      </c>
      <c r="AJ84" s="3" t="n">
        <v>4</v>
      </c>
      <c r="AK84" s="3" t="n">
        <v>3</v>
      </c>
      <c r="AL84" s="3" t="n">
        <v>4</v>
      </c>
      <c r="AM84" s="3" t="n">
        <v>3</v>
      </c>
      <c r="AN84" s="3" t="n">
        <v>4</v>
      </c>
      <c r="AO84" s="3" t="n">
        <v>3</v>
      </c>
    </row>
    <row r="85" customFormat="false" ht="15" hidden="false" customHeight="false" outlineLevel="0" collapsed="false">
      <c r="A85" s="3" t="n">
        <v>0</v>
      </c>
      <c r="B85" s="3" t="n">
        <v>4</v>
      </c>
      <c r="C85" s="3" t="n">
        <v>1</v>
      </c>
      <c r="D85" s="3" t="n">
        <v>2</v>
      </c>
      <c r="E85" s="3" t="n">
        <v>2</v>
      </c>
      <c r="F85" s="3" t="n">
        <v>2</v>
      </c>
      <c r="G85" s="3" t="n">
        <v>2</v>
      </c>
      <c r="H85" s="3" t="n">
        <v>2</v>
      </c>
      <c r="I85" s="3" t="n">
        <v>2</v>
      </c>
      <c r="J85" s="3" t="n">
        <v>24</v>
      </c>
      <c r="K85" s="3" t="n">
        <v>4</v>
      </c>
      <c r="L85" s="3" t="n">
        <v>3</v>
      </c>
      <c r="M85" s="3" t="n">
        <v>4</v>
      </c>
      <c r="N85" s="3" t="n">
        <v>1</v>
      </c>
      <c r="O85" s="3" t="n">
        <v>4</v>
      </c>
      <c r="P85" s="3" t="n">
        <v>2</v>
      </c>
      <c r="Q85" s="3" t="n">
        <v>2</v>
      </c>
      <c r="R85" s="3" t="n">
        <v>3</v>
      </c>
      <c r="S85" s="3" t="n">
        <v>5</v>
      </c>
      <c r="T85" s="3" t="n">
        <v>4</v>
      </c>
      <c r="U85" s="3" t="n">
        <v>4</v>
      </c>
      <c r="V85" s="3" t="n">
        <v>3</v>
      </c>
      <c r="W85" s="3" t="n">
        <v>5</v>
      </c>
      <c r="X85" s="3" t="n">
        <v>3</v>
      </c>
      <c r="Y85" s="3" t="n">
        <v>4</v>
      </c>
      <c r="Z85" s="3" t="n">
        <v>5</v>
      </c>
      <c r="AA85" s="3" t="n">
        <v>2</v>
      </c>
      <c r="AB85" s="3" t="n">
        <v>3</v>
      </c>
      <c r="AC85" s="3" t="n">
        <v>3</v>
      </c>
      <c r="AD85" s="3" t="n">
        <v>4</v>
      </c>
      <c r="AE85" s="3" t="n">
        <v>5</v>
      </c>
      <c r="AF85" s="3" t="n">
        <v>2</v>
      </c>
      <c r="AG85" s="3" t="n">
        <v>4</v>
      </c>
      <c r="AH85" s="3" t="n">
        <v>3</v>
      </c>
      <c r="AI85" s="3" t="n">
        <v>4</v>
      </c>
      <c r="AJ85" s="3" t="n">
        <v>4</v>
      </c>
      <c r="AK85" s="3" t="n">
        <v>4</v>
      </c>
      <c r="AL85" s="3" t="n">
        <v>5</v>
      </c>
      <c r="AM85" s="3" t="n">
        <v>3</v>
      </c>
      <c r="AN85" s="3" t="n">
        <v>3</v>
      </c>
      <c r="AO85" s="3" t="n">
        <v>3</v>
      </c>
    </row>
    <row r="86" customFormat="false" ht="15" hidden="false" customHeight="false" outlineLevel="0" collapsed="false">
      <c r="A86" s="3" t="n">
        <v>1</v>
      </c>
      <c r="B86" s="3" t="n">
        <v>4</v>
      </c>
      <c r="C86" s="3" t="n">
        <v>1</v>
      </c>
      <c r="D86" s="3" t="n">
        <v>1</v>
      </c>
      <c r="E86" s="3" t="n">
        <v>2</v>
      </c>
      <c r="F86" s="3" t="n">
        <v>2</v>
      </c>
      <c r="G86" s="3" t="n">
        <v>2</v>
      </c>
      <c r="H86" s="3" t="n">
        <v>1</v>
      </c>
      <c r="I86" s="3" t="n">
        <v>1</v>
      </c>
      <c r="J86" s="3" t="n">
        <v>24</v>
      </c>
      <c r="K86" s="3" t="n">
        <v>4</v>
      </c>
      <c r="L86" s="3" t="n">
        <v>2</v>
      </c>
      <c r="M86" s="3" t="n">
        <v>2</v>
      </c>
      <c r="N86" s="3" t="n">
        <v>5</v>
      </c>
      <c r="O86" s="3" t="n">
        <v>5</v>
      </c>
      <c r="P86" s="3" t="n">
        <v>2</v>
      </c>
      <c r="Q86" s="3" t="n">
        <v>2</v>
      </c>
      <c r="R86" s="3" t="n">
        <v>4</v>
      </c>
      <c r="S86" s="3" t="n">
        <v>5</v>
      </c>
      <c r="T86" s="3" t="n">
        <v>5</v>
      </c>
      <c r="U86" s="3" t="n">
        <v>5</v>
      </c>
      <c r="V86" s="3" t="n">
        <v>4</v>
      </c>
      <c r="W86" s="3" t="n">
        <v>5</v>
      </c>
      <c r="X86" s="3" t="n">
        <v>5</v>
      </c>
      <c r="Y86" s="3" t="n">
        <v>5</v>
      </c>
      <c r="Z86" s="3" t="n">
        <v>5</v>
      </c>
      <c r="AA86" s="3" t="n">
        <v>4</v>
      </c>
      <c r="AB86" s="3" t="n">
        <v>1</v>
      </c>
      <c r="AC86" s="3" t="n">
        <v>2</v>
      </c>
      <c r="AD86" s="3" t="n">
        <v>3</v>
      </c>
      <c r="AE86" s="3" t="n">
        <v>5</v>
      </c>
      <c r="AF86" s="3" t="n">
        <v>4</v>
      </c>
      <c r="AG86" s="3" t="n">
        <v>5</v>
      </c>
      <c r="AH86" s="3" t="n">
        <v>3</v>
      </c>
      <c r="AI86" s="3" t="n">
        <v>3</v>
      </c>
      <c r="AJ86" s="3" t="n">
        <v>3</v>
      </c>
      <c r="AK86" s="3" t="n">
        <v>3</v>
      </c>
      <c r="AL86" s="3" t="n">
        <v>5</v>
      </c>
      <c r="AM86" s="3" t="n">
        <v>4</v>
      </c>
      <c r="AN86" s="3" t="n">
        <v>2</v>
      </c>
      <c r="AO86" s="3" t="n">
        <v>2</v>
      </c>
    </row>
    <row r="87" customFormat="false" ht="15" hidden="false" customHeight="false" outlineLevel="0" collapsed="false">
      <c r="A87" s="3" t="n">
        <v>1</v>
      </c>
      <c r="B87" s="3" t="n">
        <v>4</v>
      </c>
      <c r="C87" s="3" t="n">
        <v>1</v>
      </c>
      <c r="D87" s="3" t="n">
        <v>1</v>
      </c>
      <c r="E87" s="3" t="n">
        <v>2</v>
      </c>
      <c r="F87" s="3" t="n">
        <v>2</v>
      </c>
      <c r="G87" s="3" t="n">
        <v>2</v>
      </c>
      <c r="H87" s="3" t="n">
        <v>3</v>
      </c>
      <c r="I87" s="3" t="n">
        <v>1</v>
      </c>
      <c r="J87" s="3" t="n">
        <v>24</v>
      </c>
      <c r="K87" s="3" t="n">
        <v>4</v>
      </c>
      <c r="L87" s="3" t="n">
        <v>2</v>
      </c>
      <c r="M87" s="3" t="n">
        <v>4</v>
      </c>
      <c r="N87" s="3" t="n">
        <v>5</v>
      </c>
      <c r="O87" s="3" t="n">
        <v>4</v>
      </c>
      <c r="P87" s="3" t="n">
        <v>2</v>
      </c>
      <c r="Q87" s="3" t="n">
        <v>2</v>
      </c>
      <c r="R87" s="3" t="n">
        <v>3</v>
      </c>
      <c r="S87" s="3" t="n">
        <v>4</v>
      </c>
      <c r="T87" s="3" t="n">
        <v>5</v>
      </c>
      <c r="U87" s="3" t="n">
        <v>5</v>
      </c>
      <c r="V87" s="3" t="n">
        <v>4</v>
      </c>
      <c r="W87" s="3" t="n">
        <v>5</v>
      </c>
      <c r="X87" s="3" t="n">
        <v>4</v>
      </c>
      <c r="Y87" s="3" t="n">
        <v>5</v>
      </c>
      <c r="Z87" s="3" t="n">
        <v>5</v>
      </c>
      <c r="AA87" s="3" t="n">
        <v>5</v>
      </c>
      <c r="AB87" s="3" t="n">
        <v>2</v>
      </c>
      <c r="AC87" s="3" t="n">
        <v>1</v>
      </c>
      <c r="AD87" s="3" t="n">
        <v>2</v>
      </c>
      <c r="AE87" s="3" t="n">
        <v>5</v>
      </c>
      <c r="AF87" s="3" t="n">
        <v>4</v>
      </c>
      <c r="AG87" s="3" t="n">
        <v>5</v>
      </c>
      <c r="AH87" s="3" t="n">
        <v>3</v>
      </c>
      <c r="AI87" s="3" t="n">
        <v>3</v>
      </c>
      <c r="AJ87" s="3" t="n">
        <v>5</v>
      </c>
      <c r="AK87" s="3" t="n">
        <v>5</v>
      </c>
      <c r="AL87" s="3" t="n">
        <v>5</v>
      </c>
      <c r="AM87" s="3" t="n">
        <v>5</v>
      </c>
      <c r="AN87" s="3" t="n">
        <v>3</v>
      </c>
      <c r="AO87" s="3" t="n">
        <v>4</v>
      </c>
    </row>
    <row r="88" customFormat="false" ht="15" hidden="false" customHeight="false" outlineLevel="0" collapsed="false">
      <c r="A88" s="3" t="n">
        <v>0</v>
      </c>
      <c r="B88" s="3" t="n">
        <v>4</v>
      </c>
      <c r="C88" s="3" t="n">
        <v>2</v>
      </c>
      <c r="D88" s="3" t="n">
        <v>2</v>
      </c>
      <c r="E88" s="3" t="n">
        <v>2</v>
      </c>
      <c r="F88" s="3" t="n">
        <v>2</v>
      </c>
      <c r="G88" s="3" t="n">
        <v>4</v>
      </c>
      <c r="H88" s="3" t="n">
        <v>2</v>
      </c>
      <c r="I88" s="3" t="n">
        <v>3</v>
      </c>
      <c r="J88" s="3" t="n">
        <v>25</v>
      </c>
      <c r="K88" s="3" t="n">
        <v>3</v>
      </c>
      <c r="L88" s="3" t="n">
        <v>3</v>
      </c>
      <c r="M88" s="3" t="n">
        <v>4</v>
      </c>
      <c r="N88" s="3" t="n">
        <v>3</v>
      </c>
      <c r="O88" s="3" t="n">
        <v>3</v>
      </c>
      <c r="P88" s="3" t="n">
        <v>4</v>
      </c>
      <c r="Q88" s="3" t="n">
        <v>3</v>
      </c>
      <c r="R88" s="3" t="n">
        <v>2</v>
      </c>
      <c r="S88" s="3" t="n">
        <v>4</v>
      </c>
      <c r="T88" s="3" t="n">
        <v>5</v>
      </c>
      <c r="U88" s="3" t="n">
        <v>4</v>
      </c>
      <c r="V88" s="3" t="n">
        <v>4</v>
      </c>
      <c r="W88" s="3" t="n">
        <v>4</v>
      </c>
      <c r="X88" s="3" t="n">
        <v>3</v>
      </c>
      <c r="Y88" s="3" t="n">
        <v>2</v>
      </c>
      <c r="Z88" s="3" t="n">
        <v>3</v>
      </c>
      <c r="AA88" s="3" t="n">
        <v>3</v>
      </c>
      <c r="AB88" s="3" t="n">
        <v>3</v>
      </c>
      <c r="AC88" s="3" t="n">
        <v>2</v>
      </c>
      <c r="AD88" s="3" t="n">
        <v>2</v>
      </c>
      <c r="AE88" s="3" t="n">
        <v>4</v>
      </c>
      <c r="AF88" s="3" t="n">
        <v>4</v>
      </c>
      <c r="AG88" s="3" t="n">
        <v>4</v>
      </c>
      <c r="AH88" s="3" t="n">
        <v>4</v>
      </c>
      <c r="AI88" s="3" t="n">
        <v>4</v>
      </c>
      <c r="AJ88" s="3" t="n">
        <v>4</v>
      </c>
      <c r="AK88" s="3" t="n">
        <v>3</v>
      </c>
      <c r="AL88" s="3" t="n">
        <v>4</v>
      </c>
      <c r="AM88" s="3" t="n">
        <v>4</v>
      </c>
      <c r="AN88" s="3" t="n">
        <v>2</v>
      </c>
      <c r="AO88" s="3" t="n">
        <v>2</v>
      </c>
    </row>
    <row r="89" customFormat="false" ht="15" hidden="false" customHeight="false" outlineLevel="0" collapsed="false">
      <c r="A89" s="3" t="n">
        <v>1</v>
      </c>
      <c r="B89" s="3" t="n">
        <v>4</v>
      </c>
      <c r="C89" s="3" t="n">
        <v>1</v>
      </c>
      <c r="D89" s="3" t="n">
        <v>1</v>
      </c>
      <c r="E89" s="3" t="n">
        <v>2</v>
      </c>
      <c r="F89" s="3" t="n">
        <v>2</v>
      </c>
      <c r="G89" s="3" t="n">
        <v>2</v>
      </c>
      <c r="H89" s="3" t="n">
        <v>2</v>
      </c>
      <c r="I89" s="3" t="n">
        <v>2</v>
      </c>
      <c r="J89" s="3" t="n">
        <v>23</v>
      </c>
      <c r="K89" s="3" t="n">
        <v>4</v>
      </c>
      <c r="L89" s="3" t="n">
        <v>2</v>
      </c>
      <c r="M89" s="3" t="n">
        <v>3</v>
      </c>
      <c r="N89" s="3" t="n">
        <v>2</v>
      </c>
      <c r="O89" s="3" t="n">
        <v>3</v>
      </c>
      <c r="P89" s="3" t="n">
        <v>4</v>
      </c>
      <c r="Q89" s="3" t="n">
        <v>4</v>
      </c>
      <c r="R89" s="3" t="n">
        <v>4</v>
      </c>
      <c r="S89" s="3" t="n">
        <v>3</v>
      </c>
      <c r="T89" s="3" t="n">
        <v>4</v>
      </c>
      <c r="U89" s="3" t="n">
        <v>4</v>
      </c>
      <c r="V89" s="3" t="n">
        <v>5</v>
      </c>
      <c r="W89" s="3" t="n">
        <v>4</v>
      </c>
      <c r="X89" s="3" t="n">
        <v>5</v>
      </c>
      <c r="Y89" s="3" t="n">
        <v>4</v>
      </c>
      <c r="Z89" s="3" t="n">
        <v>4</v>
      </c>
      <c r="AA89" s="3" t="n">
        <v>4</v>
      </c>
      <c r="AB89" s="3" t="n">
        <v>4</v>
      </c>
      <c r="AC89" s="3" t="n">
        <v>1</v>
      </c>
      <c r="AD89" s="3" t="n">
        <v>2</v>
      </c>
      <c r="AE89" s="3" t="n">
        <v>4</v>
      </c>
      <c r="AF89" s="3" t="n">
        <v>4</v>
      </c>
      <c r="AG89" s="3" t="n">
        <v>4</v>
      </c>
      <c r="AH89" s="3" t="n">
        <v>4</v>
      </c>
      <c r="AI89" s="3" t="n">
        <v>4</v>
      </c>
      <c r="AJ89" s="3" t="n">
        <v>2</v>
      </c>
      <c r="AK89" s="3" t="n">
        <v>2</v>
      </c>
      <c r="AL89" s="3" t="n">
        <v>4</v>
      </c>
      <c r="AM89" s="3" t="n">
        <v>3</v>
      </c>
      <c r="AN89" s="3" t="n">
        <v>4</v>
      </c>
      <c r="AO89" s="3" t="n">
        <v>4</v>
      </c>
    </row>
    <row r="90" customFormat="false" ht="15" hidden="false" customHeight="false" outlineLevel="0" collapsed="false">
      <c r="A90" s="3" t="n">
        <v>0</v>
      </c>
      <c r="B90" s="3" t="n">
        <v>4</v>
      </c>
      <c r="C90" s="3" t="n">
        <v>1</v>
      </c>
      <c r="D90" s="3" t="n">
        <v>1</v>
      </c>
      <c r="E90" s="3" t="n">
        <v>2</v>
      </c>
      <c r="F90" s="3" t="n">
        <v>2</v>
      </c>
      <c r="G90" s="3" t="n">
        <v>3</v>
      </c>
      <c r="H90" s="3" t="n">
        <v>3</v>
      </c>
      <c r="I90" s="3" t="n">
        <v>1</v>
      </c>
      <c r="J90" s="3" t="n">
        <v>23</v>
      </c>
      <c r="K90" s="3" t="n">
        <v>3</v>
      </c>
      <c r="L90" s="3" t="n">
        <v>4</v>
      </c>
      <c r="M90" s="3" t="n">
        <v>3</v>
      </c>
      <c r="N90" s="3" t="n">
        <v>4</v>
      </c>
      <c r="O90" s="3" t="n">
        <v>4</v>
      </c>
      <c r="P90" s="3" t="n">
        <v>4</v>
      </c>
      <c r="Q90" s="3" t="n">
        <v>3</v>
      </c>
      <c r="R90" s="3" t="n">
        <v>2</v>
      </c>
      <c r="S90" s="3" t="n">
        <v>3</v>
      </c>
      <c r="T90" s="3" t="n">
        <v>3</v>
      </c>
      <c r="U90" s="3" t="n">
        <v>3</v>
      </c>
      <c r="V90" s="3" t="n">
        <v>4</v>
      </c>
      <c r="W90" s="3" t="n">
        <v>4</v>
      </c>
      <c r="X90" s="3" t="n">
        <v>2</v>
      </c>
      <c r="Y90" s="3" t="n">
        <v>4</v>
      </c>
      <c r="Z90" s="3" t="n">
        <v>4</v>
      </c>
      <c r="AA90" s="3" t="n">
        <v>4</v>
      </c>
      <c r="AB90" s="3" t="n">
        <v>4</v>
      </c>
      <c r="AC90" s="3" t="n">
        <v>2</v>
      </c>
      <c r="AD90" s="3" t="n">
        <v>3</v>
      </c>
      <c r="AE90" s="3" t="n">
        <v>3</v>
      </c>
      <c r="AF90" s="3" t="n">
        <v>1</v>
      </c>
      <c r="AG90" s="3" t="n">
        <v>3</v>
      </c>
      <c r="AH90" s="3" t="n">
        <v>4</v>
      </c>
      <c r="AI90" s="3" t="n">
        <v>2</v>
      </c>
      <c r="AJ90" s="3" t="n">
        <v>2</v>
      </c>
      <c r="AK90" s="3" t="n">
        <v>4</v>
      </c>
      <c r="AL90" s="3" t="n">
        <v>2</v>
      </c>
      <c r="AM90" s="3" t="n">
        <v>2</v>
      </c>
      <c r="AN90" s="3" t="n">
        <v>3</v>
      </c>
      <c r="AO90" s="3" t="n">
        <v>4</v>
      </c>
    </row>
    <row r="91" customFormat="false" ht="15" hidden="false" customHeight="false" outlineLevel="0" collapsed="false">
      <c r="A91" s="3" t="n">
        <v>0</v>
      </c>
      <c r="B91" s="3" t="n">
        <v>1</v>
      </c>
      <c r="C91" s="3" t="n">
        <v>2</v>
      </c>
      <c r="D91" s="3" t="n">
        <v>2</v>
      </c>
      <c r="E91" s="3" t="n">
        <v>2</v>
      </c>
      <c r="F91" s="3" t="n">
        <v>2</v>
      </c>
      <c r="G91" s="3" t="n">
        <v>3</v>
      </c>
      <c r="H91" s="3" t="n">
        <v>1</v>
      </c>
      <c r="I91" s="3" t="n">
        <v>1</v>
      </c>
      <c r="J91" s="3" t="n">
        <v>21</v>
      </c>
      <c r="K91" s="3" t="n">
        <v>4</v>
      </c>
      <c r="L91" s="3" t="n">
        <v>4</v>
      </c>
      <c r="M91" s="3" t="n">
        <v>4</v>
      </c>
      <c r="N91" s="3" t="n">
        <v>4</v>
      </c>
      <c r="O91" s="3" t="n">
        <v>4</v>
      </c>
      <c r="P91" s="3" t="n">
        <v>3</v>
      </c>
      <c r="Q91" s="3" t="n">
        <v>4</v>
      </c>
      <c r="R91" s="3" t="n">
        <v>3</v>
      </c>
      <c r="S91" s="3" t="n">
        <v>5</v>
      </c>
      <c r="T91" s="3" t="n">
        <v>5</v>
      </c>
      <c r="U91" s="3" t="n">
        <v>4</v>
      </c>
      <c r="V91" s="3" t="n">
        <v>3</v>
      </c>
      <c r="W91" s="3" t="n">
        <v>5</v>
      </c>
      <c r="X91" s="3" t="n">
        <v>3</v>
      </c>
      <c r="Y91" s="3" t="n">
        <v>3</v>
      </c>
      <c r="Z91" s="3" t="n">
        <v>3</v>
      </c>
      <c r="AA91" s="3" t="n">
        <v>4</v>
      </c>
      <c r="AB91" s="3" t="n">
        <v>4</v>
      </c>
      <c r="AC91" s="3" t="n">
        <v>2</v>
      </c>
      <c r="AD91" s="3" t="n">
        <v>2</v>
      </c>
      <c r="AE91" s="3" t="n">
        <v>4</v>
      </c>
      <c r="AF91" s="3" t="n">
        <v>2</v>
      </c>
      <c r="AG91" s="3" t="n">
        <v>4</v>
      </c>
      <c r="AH91" s="3" t="n">
        <v>3</v>
      </c>
      <c r="AI91" s="3" t="n">
        <v>4</v>
      </c>
      <c r="AJ91" s="3" t="n">
        <v>1</v>
      </c>
      <c r="AK91" s="3" t="n">
        <v>2</v>
      </c>
      <c r="AL91" s="3" t="n">
        <v>4</v>
      </c>
      <c r="AM91" s="3" t="n">
        <v>3</v>
      </c>
      <c r="AN91" s="3" t="n">
        <v>3</v>
      </c>
      <c r="AO91" s="3" t="n">
        <v>3</v>
      </c>
    </row>
    <row r="92" customFormat="false" ht="15" hidden="false" customHeight="false" outlineLevel="0" collapsed="false">
      <c r="A92" s="3" t="n">
        <v>0</v>
      </c>
      <c r="B92" s="3" t="n">
        <v>3</v>
      </c>
      <c r="C92" s="3" t="n">
        <v>2</v>
      </c>
      <c r="D92" s="3" t="n">
        <v>1</v>
      </c>
      <c r="E92" s="3" t="n">
        <v>2</v>
      </c>
      <c r="F92" s="3" t="n">
        <v>2</v>
      </c>
      <c r="G92" s="3" t="n">
        <v>3</v>
      </c>
      <c r="H92" s="3" t="n">
        <v>2</v>
      </c>
      <c r="I92" s="3" t="n">
        <v>1</v>
      </c>
      <c r="J92" s="3" t="n">
        <v>22</v>
      </c>
      <c r="K92" s="3" t="n">
        <v>3</v>
      </c>
      <c r="L92" s="3" t="n">
        <v>4</v>
      </c>
      <c r="M92" s="3" t="n">
        <v>4</v>
      </c>
      <c r="N92" s="3" t="n">
        <v>4</v>
      </c>
      <c r="O92" s="3" t="n">
        <v>3</v>
      </c>
      <c r="P92" s="3" t="n">
        <v>4</v>
      </c>
      <c r="Q92" s="3" t="n">
        <v>3</v>
      </c>
      <c r="R92" s="3" t="n">
        <v>2</v>
      </c>
      <c r="S92" s="3" t="n">
        <v>4</v>
      </c>
      <c r="T92" s="3" t="n">
        <v>5</v>
      </c>
      <c r="U92" s="3" t="n">
        <v>4</v>
      </c>
      <c r="V92" s="3" t="n">
        <v>3</v>
      </c>
      <c r="W92" s="3" t="n">
        <v>4</v>
      </c>
      <c r="X92" s="3" t="n">
        <v>3</v>
      </c>
      <c r="Y92" s="3" t="n">
        <v>3</v>
      </c>
      <c r="Z92" s="3" t="n">
        <v>4</v>
      </c>
      <c r="AA92" s="3" t="n">
        <v>3</v>
      </c>
      <c r="AB92" s="3" t="n">
        <v>3</v>
      </c>
      <c r="AC92" s="3" t="n">
        <v>2</v>
      </c>
      <c r="AD92" s="3" t="n">
        <v>2</v>
      </c>
      <c r="AE92" s="3" t="n">
        <v>4</v>
      </c>
      <c r="AF92" s="3" t="n">
        <v>4</v>
      </c>
      <c r="AG92" s="3" t="n">
        <v>5</v>
      </c>
      <c r="AH92" s="3" t="n">
        <v>4</v>
      </c>
      <c r="AI92" s="3" t="n">
        <v>4</v>
      </c>
      <c r="AJ92" s="3" t="n">
        <v>4</v>
      </c>
      <c r="AK92" s="3" t="n">
        <v>2</v>
      </c>
      <c r="AL92" s="3" t="n">
        <v>4</v>
      </c>
      <c r="AM92" s="3" t="n">
        <v>3</v>
      </c>
      <c r="AN92" s="3" t="n">
        <v>4</v>
      </c>
      <c r="AO92" s="3" t="n">
        <v>3</v>
      </c>
    </row>
    <row r="93" customFormat="false" ht="15" hidden="false" customHeight="false" outlineLevel="0" collapsed="false">
      <c r="A93" s="3" t="n">
        <v>0</v>
      </c>
      <c r="B93" s="3" t="n">
        <v>3</v>
      </c>
      <c r="C93" s="3" t="n">
        <v>2</v>
      </c>
      <c r="D93" s="3" t="n">
        <v>1</v>
      </c>
      <c r="E93" s="3" t="n">
        <v>2</v>
      </c>
      <c r="F93" s="3" t="n">
        <v>2</v>
      </c>
      <c r="G93" s="3" t="n">
        <v>2</v>
      </c>
      <c r="H93" s="3" t="n">
        <v>2</v>
      </c>
      <c r="I93" s="3" t="n">
        <v>2</v>
      </c>
      <c r="J93" s="3" t="n">
        <v>23</v>
      </c>
      <c r="K93" s="3" t="n">
        <v>2</v>
      </c>
      <c r="L93" s="3" t="n">
        <v>4</v>
      </c>
      <c r="M93" s="3" t="n">
        <v>2</v>
      </c>
      <c r="N93" s="3" t="n">
        <v>2</v>
      </c>
      <c r="O93" s="3" t="n">
        <v>2</v>
      </c>
      <c r="P93" s="3" t="n">
        <v>2</v>
      </c>
      <c r="Q93" s="3" t="n">
        <v>4</v>
      </c>
      <c r="R93" s="3" t="n">
        <v>2</v>
      </c>
      <c r="S93" s="3" t="n">
        <v>2</v>
      </c>
      <c r="T93" s="3" t="n">
        <v>4</v>
      </c>
      <c r="U93" s="3" t="n">
        <v>2</v>
      </c>
      <c r="V93" s="3" t="n">
        <v>2</v>
      </c>
      <c r="W93" s="3" t="n">
        <v>2</v>
      </c>
      <c r="X93" s="3" t="n">
        <v>3</v>
      </c>
      <c r="Y93" s="3" t="n">
        <v>2</v>
      </c>
      <c r="Z93" s="3" t="n">
        <v>2</v>
      </c>
      <c r="AA93" s="3" t="n">
        <v>4</v>
      </c>
      <c r="AB93" s="3" t="n">
        <v>4</v>
      </c>
      <c r="AC93" s="3" t="n">
        <v>4</v>
      </c>
      <c r="AD93" s="3" t="n">
        <v>4</v>
      </c>
      <c r="AE93" s="3" t="n">
        <v>2</v>
      </c>
      <c r="AF93" s="3" t="n">
        <v>4</v>
      </c>
      <c r="AG93" s="3" t="n">
        <v>2</v>
      </c>
      <c r="AH93" s="3" t="n">
        <v>4</v>
      </c>
      <c r="AI93" s="3" t="n">
        <v>4</v>
      </c>
      <c r="AJ93" s="3" t="n">
        <v>2</v>
      </c>
      <c r="AK93" s="3" t="n">
        <v>4</v>
      </c>
      <c r="AL93" s="3" t="n">
        <v>2</v>
      </c>
      <c r="AM93" s="3" t="n">
        <v>4</v>
      </c>
      <c r="AN93" s="3" t="n">
        <v>4</v>
      </c>
      <c r="AO93" s="3" t="n">
        <v>5</v>
      </c>
    </row>
    <row r="94" customFormat="false" ht="15" hidden="false" customHeight="false" outlineLevel="0" collapsed="false">
      <c r="A94" s="3" t="n">
        <v>0</v>
      </c>
      <c r="B94" s="3" t="n">
        <v>4</v>
      </c>
      <c r="C94" s="3" t="n">
        <v>2</v>
      </c>
      <c r="D94" s="3" t="n">
        <v>1</v>
      </c>
      <c r="E94" s="3" t="n">
        <v>2</v>
      </c>
      <c r="F94" s="3" t="n">
        <v>2</v>
      </c>
      <c r="G94" s="3" t="n">
        <v>1</v>
      </c>
      <c r="H94" s="3" t="n">
        <v>3</v>
      </c>
      <c r="I94" s="3" t="n">
        <v>1</v>
      </c>
      <c r="J94" s="3" t="n">
        <v>26</v>
      </c>
      <c r="K94" s="3" t="n">
        <v>2</v>
      </c>
      <c r="L94" s="3" t="n">
        <v>3</v>
      </c>
      <c r="M94" s="3" t="n">
        <v>2</v>
      </c>
      <c r="N94" s="3" t="n">
        <v>2</v>
      </c>
      <c r="O94" s="3" t="n">
        <v>3</v>
      </c>
      <c r="P94" s="3" t="n">
        <v>3</v>
      </c>
      <c r="Q94" s="3" t="n">
        <v>3</v>
      </c>
      <c r="R94" s="3" t="n">
        <v>4</v>
      </c>
      <c r="S94" s="3" t="n">
        <v>4</v>
      </c>
      <c r="T94" s="3" t="n">
        <v>3</v>
      </c>
      <c r="U94" s="3" t="n">
        <v>4</v>
      </c>
      <c r="V94" s="3" t="n">
        <v>2</v>
      </c>
      <c r="W94" s="3" t="n">
        <v>4</v>
      </c>
      <c r="X94" s="3" t="n">
        <v>3</v>
      </c>
      <c r="Y94" s="3" t="n">
        <v>2</v>
      </c>
      <c r="Z94" s="3" t="n">
        <v>3</v>
      </c>
      <c r="AA94" s="3" t="n">
        <v>2</v>
      </c>
      <c r="AB94" s="3" t="n">
        <v>1</v>
      </c>
      <c r="AC94" s="3" t="n">
        <v>3</v>
      </c>
      <c r="AD94" s="3" t="n">
        <v>2</v>
      </c>
      <c r="AE94" s="3" t="n">
        <v>3</v>
      </c>
      <c r="AF94" s="3" t="n">
        <v>3</v>
      </c>
      <c r="AG94" s="3" t="n">
        <v>4</v>
      </c>
      <c r="AH94" s="3" t="n">
        <v>3</v>
      </c>
      <c r="AI94" s="3" t="n">
        <v>5</v>
      </c>
      <c r="AJ94" s="3" t="n">
        <v>2</v>
      </c>
      <c r="AK94" s="3" t="n">
        <v>3</v>
      </c>
      <c r="AL94" s="3" t="n">
        <v>2</v>
      </c>
      <c r="AM94" s="3" t="n">
        <v>3</v>
      </c>
      <c r="AN94" s="3" t="n">
        <v>4</v>
      </c>
      <c r="AO94" s="3" t="n">
        <v>3</v>
      </c>
    </row>
    <row r="95" customFormat="false" ht="15" hidden="false" customHeight="false" outlineLevel="0" collapsed="false">
      <c r="A95" s="3" t="n">
        <v>0</v>
      </c>
      <c r="B95" s="3" t="n">
        <v>3</v>
      </c>
      <c r="C95" s="3" t="n">
        <v>2</v>
      </c>
      <c r="D95" s="3" t="n">
        <v>1</v>
      </c>
      <c r="E95" s="3" t="n">
        <v>2</v>
      </c>
      <c r="F95" s="3" t="n">
        <v>2</v>
      </c>
      <c r="G95" s="3" t="n">
        <v>4</v>
      </c>
      <c r="H95" s="3" t="n">
        <v>1</v>
      </c>
      <c r="I95" s="3" t="n">
        <v>3</v>
      </c>
      <c r="J95" s="3" t="n">
        <v>26</v>
      </c>
      <c r="K95" s="3" t="n">
        <v>2</v>
      </c>
      <c r="L95" s="3" t="n">
        <v>4</v>
      </c>
      <c r="M95" s="3" t="n">
        <v>2</v>
      </c>
      <c r="N95" s="3" t="n">
        <v>3</v>
      </c>
      <c r="O95" s="3" t="n">
        <v>4</v>
      </c>
      <c r="P95" s="3" t="n">
        <v>4</v>
      </c>
      <c r="Q95" s="3" t="n">
        <v>2</v>
      </c>
      <c r="R95" s="3" t="n">
        <v>3</v>
      </c>
      <c r="S95" s="3" t="n">
        <v>4</v>
      </c>
      <c r="T95" s="3" t="n">
        <v>4</v>
      </c>
      <c r="U95" s="3" t="n">
        <v>4</v>
      </c>
      <c r="V95" s="3" t="n">
        <v>4</v>
      </c>
      <c r="W95" s="3" t="n">
        <v>3</v>
      </c>
      <c r="X95" s="3" t="n">
        <v>3</v>
      </c>
      <c r="Y95" s="3" t="n">
        <v>4</v>
      </c>
      <c r="Z95" s="3" t="n">
        <v>3</v>
      </c>
      <c r="AA95" s="3" t="n">
        <v>4</v>
      </c>
      <c r="AB95" s="3" t="n">
        <v>2</v>
      </c>
      <c r="AC95" s="3" t="n">
        <v>1</v>
      </c>
      <c r="AD95" s="3" t="n">
        <v>1</v>
      </c>
      <c r="AE95" s="3" t="n">
        <v>3</v>
      </c>
      <c r="AF95" s="3" t="n">
        <v>4</v>
      </c>
      <c r="AG95" s="3" t="n">
        <v>4</v>
      </c>
      <c r="AH95" s="3" t="n">
        <v>4</v>
      </c>
      <c r="AI95" s="3" t="n">
        <v>3</v>
      </c>
      <c r="AJ95" s="3" t="n">
        <v>4</v>
      </c>
      <c r="AK95" s="3" t="n">
        <v>3</v>
      </c>
      <c r="AL95" s="3" t="n">
        <v>3</v>
      </c>
      <c r="AM95" s="3" t="n">
        <v>3</v>
      </c>
      <c r="AN95" s="3" t="n">
        <v>3</v>
      </c>
      <c r="AO95" s="3" t="n">
        <v>3</v>
      </c>
    </row>
    <row r="96" customFormat="false" ht="15" hidden="false" customHeight="false" outlineLevel="0" collapsed="false">
      <c r="A96" s="3" t="n">
        <v>1</v>
      </c>
      <c r="B96" s="3" t="n">
        <v>4</v>
      </c>
      <c r="C96" s="3" t="n">
        <v>1</v>
      </c>
      <c r="D96" s="3" t="n">
        <v>1</v>
      </c>
      <c r="E96" s="3" t="n">
        <v>2</v>
      </c>
      <c r="F96" s="3" t="n">
        <v>2</v>
      </c>
      <c r="G96" s="3" t="n">
        <v>1</v>
      </c>
      <c r="H96" s="3" t="n">
        <v>2</v>
      </c>
      <c r="I96" s="3" t="n">
        <v>2</v>
      </c>
      <c r="J96" s="3" t="n">
        <v>24</v>
      </c>
      <c r="K96" s="3" t="n">
        <v>3</v>
      </c>
      <c r="L96" s="3" t="n">
        <v>2</v>
      </c>
      <c r="M96" s="3" t="n">
        <v>4</v>
      </c>
      <c r="N96" s="3" t="n">
        <v>2</v>
      </c>
      <c r="O96" s="3" t="n">
        <v>2</v>
      </c>
      <c r="P96" s="3" t="n">
        <v>3</v>
      </c>
      <c r="Q96" s="3" t="n">
        <v>4</v>
      </c>
      <c r="R96" s="3" t="n">
        <v>1</v>
      </c>
      <c r="S96" s="3" t="n">
        <v>4</v>
      </c>
      <c r="T96" s="3" t="n">
        <v>5</v>
      </c>
      <c r="U96" s="3" t="n">
        <v>4</v>
      </c>
      <c r="V96" s="3" t="n">
        <v>4</v>
      </c>
      <c r="W96" s="3" t="n">
        <v>4</v>
      </c>
      <c r="X96" s="3" t="n">
        <v>5</v>
      </c>
      <c r="Y96" s="3" t="n">
        <v>4</v>
      </c>
      <c r="Z96" s="3" t="n">
        <v>4</v>
      </c>
      <c r="AA96" s="3" t="n">
        <v>4</v>
      </c>
      <c r="AB96" s="3" t="n">
        <v>4</v>
      </c>
      <c r="AC96" s="3" t="n">
        <v>1</v>
      </c>
      <c r="AD96" s="3" t="n">
        <v>1</v>
      </c>
      <c r="AE96" s="3" t="n">
        <v>3</v>
      </c>
      <c r="AF96" s="3" t="n">
        <v>2</v>
      </c>
      <c r="AG96" s="3" t="n">
        <v>4</v>
      </c>
      <c r="AH96" s="3" t="n">
        <v>2</v>
      </c>
      <c r="AI96" s="3" t="n">
        <v>3</v>
      </c>
      <c r="AJ96" s="3" t="n">
        <v>3</v>
      </c>
      <c r="AK96" s="3" t="n">
        <v>4</v>
      </c>
      <c r="AL96" s="3" t="n">
        <v>5</v>
      </c>
      <c r="AM96" s="3" t="n">
        <v>3</v>
      </c>
      <c r="AN96" s="3" t="n">
        <v>3</v>
      </c>
      <c r="AO96" s="3" t="n">
        <v>3</v>
      </c>
    </row>
    <row r="97" customFormat="false" ht="15" hidden="false" customHeight="false" outlineLevel="0" collapsed="false">
      <c r="A97" s="3" t="n">
        <v>0</v>
      </c>
      <c r="B97" s="3" t="n">
        <v>3</v>
      </c>
      <c r="C97" s="3" t="n">
        <v>1</v>
      </c>
      <c r="D97" s="3" t="n">
        <v>1</v>
      </c>
      <c r="E97" s="3" t="n">
        <v>2</v>
      </c>
      <c r="F97" s="3" t="n">
        <v>2</v>
      </c>
      <c r="G97" s="3" t="n">
        <v>1</v>
      </c>
      <c r="H97" s="3" t="n">
        <v>1</v>
      </c>
      <c r="I97" s="3" t="n">
        <v>1</v>
      </c>
      <c r="J97" s="3" t="n">
        <v>23</v>
      </c>
      <c r="K97" s="3" t="n">
        <v>3</v>
      </c>
      <c r="L97" s="3" t="n">
        <v>4</v>
      </c>
      <c r="M97" s="3" t="n">
        <v>3</v>
      </c>
      <c r="N97" s="3" t="n">
        <v>4</v>
      </c>
      <c r="O97" s="3" t="n">
        <v>4</v>
      </c>
      <c r="P97" s="3" t="n">
        <v>4</v>
      </c>
      <c r="Q97" s="3" t="n">
        <v>4</v>
      </c>
      <c r="R97" s="3" t="n">
        <v>5</v>
      </c>
      <c r="S97" s="3" t="n">
        <v>4</v>
      </c>
      <c r="T97" s="3" t="n">
        <v>5</v>
      </c>
      <c r="U97" s="3" t="n">
        <v>4</v>
      </c>
      <c r="V97" s="3" t="n">
        <v>4</v>
      </c>
      <c r="W97" s="3" t="n">
        <v>2</v>
      </c>
      <c r="X97" s="3" t="n">
        <v>4</v>
      </c>
      <c r="Y97" s="3" t="n">
        <v>3</v>
      </c>
      <c r="Z97" s="3" t="n">
        <v>4</v>
      </c>
      <c r="AA97" s="3" t="n">
        <v>4</v>
      </c>
      <c r="AB97" s="3" t="n">
        <v>4</v>
      </c>
      <c r="AC97" s="3" t="n">
        <v>1</v>
      </c>
      <c r="AD97" s="3" t="n">
        <v>2</v>
      </c>
      <c r="AE97" s="3" t="n">
        <v>4</v>
      </c>
      <c r="AF97" s="3" t="n">
        <v>3</v>
      </c>
      <c r="AG97" s="3" t="n">
        <v>5</v>
      </c>
      <c r="AH97" s="3" t="n">
        <v>2</v>
      </c>
      <c r="AI97" s="3" t="n">
        <v>2</v>
      </c>
      <c r="AJ97" s="3" t="n">
        <v>5</v>
      </c>
      <c r="AK97" s="3" t="n">
        <v>3</v>
      </c>
      <c r="AL97" s="3" t="n">
        <v>5</v>
      </c>
      <c r="AM97" s="3" t="n">
        <v>4</v>
      </c>
      <c r="AN97" s="3" t="n">
        <v>4</v>
      </c>
      <c r="AO97" s="3" t="n">
        <v>4</v>
      </c>
    </row>
    <row r="98" customFormat="false" ht="15" hidden="false" customHeight="false" outlineLevel="0" collapsed="false">
      <c r="A98" s="3" t="n">
        <v>0</v>
      </c>
      <c r="B98" s="3" t="n">
        <v>3</v>
      </c>
      <c r="C98" s="3" t="n">
        <v>2</v>
      </c>
      <c r="D98" s="3" t="n">
        <v>1</v>
      </c>
      <c r="E98" s="3" t="n">
        <v>2</v>
      </c>
      <c r="F98" s="3" t="n">
        <v>2</v>
      </c>
      <c r="G98" s="3" t="n">
        <v>1</v>
      </c>
      <c r="H98" s="3" t="n">
        <v>2</v>
      </c>
      <c r="I98" s="3" t="n">
        <v>1</v>
      </c>
      <c r="J98" s="3" t="n">
        <v>22</v>
      </c>
      <c r="K98" s="3" t="n">
        <v>4</v>
      </c>
      <c r="L98" s="3" t="n">
        <v>2</v>
      </c>
      <c r="M98" s="3" t="n">
        <v>4</v>
      </c>
      <c r="N98" s="3" t="n">
        <v>4</v>
      </c>
      <c r="O98" s="3" t="n">
        <v>3</v>
      </c>
      <c r="P98" s="3" t="n">
        <v>2</v>
      </c>
      <c r="Q98" s="3" t="n">
        <v>4</v>
      </c>
      <c r="R98" s="3" t="n">
        <v>4</v>
      </c>
      <c r="S98" s="3" t="n">
        <v>3</v>
      </c>
      <c r="T98" s="3" t="n">
        <v>5</v>
      </c>
      <c r="U98" s="3" t="n">
        <v>4</v>
      </c>
      <c r="V98" s="3" t="n">
        <v>4</v>
      </c>
      <c r="W98" s="3" t="n">
        <v>5</v>
      </c>
      <c r="X98" s="3" t="n">
        <v>4</v>
      </c>
      <c r="Y98" s="3" t="n">
        <v>4</v>
      </c>
      <c r="Z98" s="3" t="n">
        <v>3</v>
      </c>
      <c r="AA98" s="3" t="n">
        <v>4</v>
      </c>
      <c r="AB98" s="3" t="n">
        <v>1</v>
      </c>
      <c r="AC98" s="3" t="n">
        <v>1</v>
      </c>
      <c r="AD98" s="3" t="n">
        <v>4</v>
      </c>
      <c r="AE98" s="3" t="n">
        <v>3</v>
      </c>
      <c r="AF98" s="3" t="n">
        <v>2</v>
      </c>
      <c r="AG98" s="3" t="n">
        <v>3</v>
      </c>
      <c r="AH98" s="3" t="n">
        <v>3</v>
      </c>
      <c r="AI98" s="3" t="n">
        <v>4</v>
      </c>
      <c r="AJ98" s="3" t="n">
        <v>5</v>
      </c>
      <c r="AK98" s="3" t="n">
        <v>3</v>
      </c>
      <c r="AL98" s="3" t="n">
        <v>3</v>
      </c>
      <c r="AM98" s="3" t="n">
        <v>3</v>
      </c>
      <c r="AN98" s="3" t="n">
        <v>4</v>
      </c>
      <c r="AO98" s="3" t="n">
        <v>3</v>
      </c>
    </row>
    <row r="99" customFormat="false" ht="15" hidden="false" customHeight="false" outlineLevel="0" collapsed="false">
      <c r="B99" s="3" t="n">
        <v>1</v>
      </c>
      <c r="C99" s="3" t="n">
        <v>1</v>
      </c>
      <c r="D99" s="3" t="n">
        <v>1</v>
      </c>
      <c r="E99" s="3" t="n">
        <v>2</v>
      </c>
      <c r="F99" s="3" t="n">
        <v>2</v>
      </c>
      <c r="G99" s="3" t="n">
        <v>1</v>
      </c>
      <c r="H99" s="3" t="n">
        <v>1</v>
      </c>
      <c r="I99" s="3" t="n">
        <v>2</v>
      </c>
      <c r="J99" s="3" t="n">
        <v>24</v>
      </c>
      <c r="K99" s="3" t="n">
        <v>3</v>
      </c>
      <c r="L99" s="3" t="n">
        <v>3</v>
      </c>
      <c r="M99" s="3" t="n">
        <v>3</v>
      </c>
      <c r="N99" s="3" t="n">
        <v>3</v>
      </c>
      <c r="O99" s="3" t="n">
        <v>4</v>
      </c>
      <c r="P99" s="3" t="n">
        <v>2</v>
      </c>
      <c r="Q99" s="3" t="n">
        <v>4</v>
      </c>
      <c r="R99" s="3" t="n">
        <v>2</v>
      </c>
      <c r="S99" s="3" t="n">
        <v>4</v>
      </c>
      <c r="T99" s="3" t="n">
        <v>4</v>
      </c>
      <c r="U99" s="3" t="n">
        <v>4</v>
      </c>
      <c r="V99" s="3" t="n">
        <v>4</v>
      </c>
      <c r="W99" s="3" t="n">
        <v>4</v>
      </c>
      <c r="X99" s="3" t="n">
        <v>3</v>
      </c>
      <c r="Y99" s="3" t="n">
        <v>1</v>
      </c>
      <c r="Z99" s="3" t="n">
        <v>4</v>
      </c>
      <c r="AA99" s="3" t="n">
        <v>4</v>
      </c>
      <c r="AB99" s="3" t="n">
        <v>2</v>
      </c>
      <c r="AC99" s="3" t="n">
        <v>2</v>
      </c>
      <c r="AD99" s="3" t="n">
        <v>3</v>
      </c>
      <c r="AE99" s="3" t="n">
        <v>3</v>
      </c>
      <c r="AF99" s="3" t="n">
        <v>3</v>
      </c>
      <c r="AG99" s="3" t="n">
        <v>3</v>
      </c>
      <c r="AH99" s="3" t="n">
        <v>4</v>
      </c>
      <c r="AI99" s="3" t="n">
        <v>4</v>
      </c>
      <c r="AJ99" s="3" t="n">
        <v>4</v>
      </c>
      <c r="AK99" s="3" t="n">
        <v>4</v>
      </c>
      <c r="AL99" s="3" t="n">
        <v>4</v>
      </c>
      <c r="AM99" s="3" t="n">
        <v>2</v>
      </c>
      <c r="AN99" s="3" t="n">
        <v>3</v>
      </c>
      <c r="AO99" s="3" t="n">
        <v>3</v>
      </c>
    </row>
    <row r="100" customFormat="false" ht="15" hidden="false" customHeight="false" outlineLevel="0" collapsed="false">
      <c r="A100" s="3" t="n">
        <v>0</v>
      </c>
      <c r="B100" s="3" t="n">
        <v>3</v>
      </c>
      <c r="C100" s="3" t="n">
        <v>1</v>
      </c>
      <c r="D100" s="3" t="n">
        <v>1</v>
      </c>
      <c r="E100" s="3" t="n">
        <v>2</v>
      </c>
      <c r="F100" s="3" t="n">
        <v>2</v>
      </c>
      <c r="G100" s="3" t="n">
        <v>1</v>
      </c>
      <c r="H100" s="3" t="n">
        <v>2</v>
      </c>
      <c r="I100" s="3" t="n">
        <v>1</v>
      </c>
      <c r="J100" s="3" t="n">
        <v>25</v>
      </c>
      <c r="K100" s="3" t="n">
        <v>3</v>
      </c>
      <c r="L100" s="3" t="n">
        <v>3</v>
      </c>
      <c r="M100" s="3" t="n">
        <v>2</v>
      </c>
      <c r="N100" s="3" t="n">
        <v>3</v>
      </c>
      <c r="O100" s="3" t="n">
        <v>3</v>
      </c>
      <c r="P100" s="3" t="n">
        <v>4</v>
      </c>
      <c r="Q100" s="3" t="n">
        <v>4</v>
      </c>
      <c r="R100" s="3" t="n">
        <v>4</v>
      </c>
      <c r="S100" s="3" t="n">
        <v>5</v>
      </c>
      <c r="T100" s="3" t="n">
        <v>3</v>
      </c>
      <c r="U100" s="3" t="n">
        <v>4</v>
      </c>
      <c r="V100" s="3" t="n">
        <v>3</v>
      </c>
      <c r="W100" s="3" t="n">
        <v>5</v>
      </c>
      <c r="X100" s="3" t="n">
        <v>3</v>
      </c>
      <c r="Y100" s="3" t="n">
        <v>3</v>
      </c>
      <c r="Z100" s="3" t="n">
        <v>4</v>
      </c>
      <c r="AA100" s="3" t="n">
        <v>4</v>
      </c>
      <c r="AB100" s="3" t="n">
        <v>2</v>
      </c>
      <c r="AC100" s="3" t="n">
        <v>3</v>
      </c>
      <c r="AD100" s="3" t="n">
        <v>2</v>
      </c>
      <c r="AE100" s="3" t="n">
        <v>4</v>
      </c>
      <c r="AF100" s="3" t="n">
        <v>2</v>
      </c>
      <c r="AG100" s="3" t="n">
        <v>4</v>
      </c>
      <c r="AH100" s="3" t="n">
        <v>3</v>
      </c>
      <c r="AI100" s="3" t="n">
        <v>4</v>
      </c>
      <c r="AJ100" s="3" t="n">
        <v>5</v>
      </c>
      <c r="AK100" s="3" t="n">
        <v>4</v>
      </c>
      <c r="AL100" s="3" t="n">
        <v>5</v>
      </c>
      <c r="AM100" s="3" t="n">
        <v>5</v>
      </c>
      <c r="AN100" s="3" t="n">
        <v>5</v>
      </c>
      <c r="AO100" s="3" t="n">
        <v>3</v>
      </c>
    </row>
    <row r="101" customFormat="false" ht="15" hidden="false" customHeight="false" outlineLevel="0" collapsed="false">
      <c r="A101" s="3" t="n">
        <v>0</v>
      </c>
      <c r="B101" s="3" t="n">
        <v>3</v>
      </c>
      <c r="C101" s="3" t="n">
        <v>1</v>
      </c>
      <c r="D101" s="3" t="n">
        <v>2</v>
      </c>
      <c r="E101" s="3" t="n">
        <v>2</v>
      </c>
      <c r="F101" s="3" t="n">
        <v>2</v>
      </c>
      <c r="G101" s="3" t="n">
        <v>1</v>
      </c>
      <c r="H101" s="3" t="n">
        <v>1</v>
      </c>
      <c r="I101" s="3" t="n">
        <v>1</v>
      </c>
      <c r="J101" s="3" t="n">
        <v>23</v>
      </c>
      <c r="K101" s="3" t="n">
        <v>4</v>
      </c>
      <c r="L101" s="3" t="n">
        <v>3</v>
      </c>
      <c r="M101" s="3" t="n">
        <v>4</v>
      </c>
      <c r="N101" s="3" t="n">
        <v>4</v>
      </c>
      <c r="O101" s="3" t="n">
        <v>3</v>
      </c>
      <c r="P101" s="3" t="n">
        <v>4</v>
      </c>
      <c r="Q101" s="3" t="n">
        <v>3</v>
      </c>
      <c r="R101" s="3" t="n">
        <v>3</v>
      </c>
      <c r="S101" s="3" t="n">
        <v>4</v>
      </c>
      <c r="T101" s="3" t="n">
        <v>4</v>
      </c>
      <c r="U101" s="3" t="n">
        <v>4</v>
      </c>
      <c r="V101" s="3" t="n">
        <v>4</v>
      </c>
      <c r="W101" s="3" t="n">
        <v>4</v>
      </c>
      <c r="X101" s="3" t="n">
        <v>4</v>
      </c>
      <c r="Y101" s="3" t="n">
        <v>2</v>
      </c>
      <c r="Z101" s="3" t="n">
        <v>4</v>
      </c>
      <c r="AA101" s="3" t="n">
        <v>3</v>
      </c>
      <c r="AB101" s="3" t="n">
        <v>3</v>
      </c>
      <c r="AC101" s="3" t="n">
        <v>2</v>
      </c>
      <c r="AD101" s="3" t="n">
        <v>3</v>
      </c>
      <c r="AE101" s="3" t="n">
        <v>3</v>
      </c>
      <c r="AF101" s="3" t="n">
        <v>3</v>
      </c>
      <c r="AG101" s="3" t="n">
        <v>3</v>
      </c>
      <c r="AH101" s="3" t="n">
        <v>3</v>
      </c>
      <c r="AI101" s="3" t="n">
        <v>3</v>
      </c>
      <c r="AJ101" s="3" t="n">
        <v>4</v>
      </c>
      <c r="AK101" s="3" t="n">
        <v>3</v>
      </c>
      <c r="AL101" s="3" t="n">
        <v>4</v>
      </c>
      <c r="AM101" s="3" t="n">
        <v>4</v>
      </c>
      <c r="AN101" s="3" t="n">
        <v>2</v>
      </c>
      <c r="AO101" s="3" t="n">
        <v>3</v>
      </c>
    </row>
    <row r="102" customFormat="false" ht="15" hidden="false" customHeight="false" outlineLevel="0" collapsed="false">
      <c r="A102" s="3" t="n">
        <v>0</v>
      </c>
      <c r="B102" s="3" t="n">
        <v>3</v>
      </c>
      <c r="C102" s="3" t="n">
        <v>1</v>
      </c>
      <c r="D102" s="3" t="n">
        <v>1</v>
      </c>
      <c r="E102" s="3" t="n">
        <v>2</v>
      </c>
      <c r="F102" s="3" t="n">
        <v>2</v>
      </c>
      <c r="G102" s="3" t="n">
        <v>1</v>
      </c>
      <c r="H102" s="3" t="n">
        <v>2</v>
      </c>
      <c r="I102" s="3" t="n">
        <v>1</v>
      </c>
      <c r="J102" s="3" t="n">
        <v>24</v>
      </c>
      <c r="K102" s="3" t="n">
        <v>3</v>
      </c>
      <c r="L102" s="3" t="n">
        <v>5</v>
      </c>
      <c r="M102" s="3" t="n">
        <v>3</v>
      </c>
      <c r="N102" s="3" t="n">
        <v>4</v>
      </c>
      <c r="O102" s="3" t="n">
        <v>4</v>
      </c>
      <c r="P102" s="3" t="n">
        <v>4</v>
      </c>
      <c r="Q102" s="3" t="n">
        <v>3</v>
      </c>
      <c r="R102" s="3" t="n">
        <v>4</v>
      </c>
      <c r="S102" s="3" t="n">
        <v>4</v>
      </c>
      <c r="T102" s="3" t="n">
        <v>4</v>
      </c>
      <c r="U102" s="3" t="n">
        <v>4</v>
      </c>
      <c r="V102" s="3" t="n">
        <v>4</v>
      </c>
      <c r="W102" s="3" t="n">
        <v>4</v>
      </c>
      <c r="X102" s="3" t="n">
        <v>4</v>
      </c>
      <c r="Y102" s="3" t="n">
        <v>4</v>
      </c>
      <c r="Z102" s="3" t="n">
        <v>4</v>
      </c>
      <c r="AA102" s="3" t="n">
        <v>3</v>
      </c>
      <c r="AB102" s="3" t="n">
        <v>3</v>
      </c>
      <c r="AC102" s="3" t="n">
        <v>3</v>
      </c>
      <c r="AD102" s="3" t="n">
        <v>2</v>
      </c>
      <c r="AE102" s="3" t="n">
        <v>3</v>
      </c>
      <c r="AF102" s="3" t="n">
        <v>3</v>
      </c>
      <c r="AG102" s="3" t="n">
        <v>3</v>
      </c>
      <c r="AH102" s="3" t="n">
        <v>4</v>
      </c>
      <c r="AI102" s="3" t="n">
        <v>4</v>
      </c>
      <c r="AJ102" s="3" t="n">
        <v>5</v>
      </c>
      <c r="AK102" s="3" t="n">
        <v>3</v>
      </c>
      <c r="AL102" s="3" t="n">
        <v>5</v>
      </c>
      <c r="AM102" s="3" t="n">
        <v>4</v>
      </c>
      <c r="AN102" s="3" t="n">
        <v>4</v>
      </c>
      <c r="AO102" s="3" t="n">
        <v>4</v>
      </c>
    </row>
    <row r="103" customFormat="false" ht="15" hidden="false" customHeight="false" outlineLevel="0" collapsed="false">
      <c r="B103" s="3" t="n">
        <v>4</v>
      </c>
      <c r="C103" s="3" t="n">
        <v>1</v>
      </c>
      <c r="D103" s="3" t="n">
        <v>1</v>
      </c>
      <c r="E103" s="3" t="n">
        <v>2</v>
      </c>
      <c r="F103" s="3" t="n">
        <v>2</v>
      </c>
      <c r="G103" s="3" t="n">
        <v>2</v>
      </c>
      <c r="H103" s="3" t="n">
        <v>3</v>
      </c>
      <c r="I103" s="3" t="n">
        <v>3</v>
      </c>
      <c r="J103" s="3" t="n">
        <v>26</v>
      </c>
      <c r="K103" s="3" t="n">
        <v>3</v>
      </c>
      <c r="L103" s="3" t="n">
        <v>3</v>
      </c>
      <c r="M103" s="3" t="n">
        <v>5</v>
      </c>
      <c r="N103" s="3" t="n">
        <v>5</v>
      </c>
      <c r="O103" s="3" t="n">
        <v>5</v>
      </c>
      <c r="P103" s="3" t="n">
        <v>4</v>
      </c>
      <c r="Q103" s="3" t="n">
        <v>4</v>
      </c>
      <c r="R103" s="3" t="n">
        <v>5</v>
      </c>
      <c r="S103" s="3" t="n">
        <v>5</v>
      </c>
      <c r="T103" s="3" t="n">
        <v>5</v>
      </c>
      <c r="U103" s="3" t="n">
        <v>5</v>
      </c>
      <c r="V103" s="3" t="n">
        <v>4</v>
      </c>
      <c r="W103" s="3" t="n">
        <v>2</v>
      </c>
      <c r="X103" s="3" t="n">
        <v>3</v>
      </c>
      <c r="Y103" s="3" t="n">
        <v>2</v>
      </c>
      <c r="Z103" s="3" t="n">
        <v>2</v>
      </c>
      <c r="AA103" s="3" t="n">
        <v>2</v>
      </c>
      <c r="AB103" s="3" t="n">
        <v>2</v>
      </c>
      <c r="AC103" s="3" t="n">
        <v>3</v>
      </c>
      <c r="AD103" s="3" t="n">
        <v>3</v>
      </c>
      <c r="AE103" s="3" t="n">
        <v>5</v>
      </c>
      <c r="AF103" s="3" t="n">
        <v>5</v>
      </c>
      <c r="AG103" s="3" t="n">
        <v>5</v>
      </c>
      <c r="AH103" s="3" t="n">
        <v>4</v>
      </c>
      <c r="AI103" s="3" t="n">
        <v>5</v>
      </c>
      <c r="AJ103" s="3" t="n">
        <v>5</v>
      </c>
      <c r="AK103" s="3" t="n">
        <v>5</v>
      </c>
      <c r="AL103" s="3" t="n">
        <v>5</v>
      </c>
      <c r="AM103" s="3" t="n">
        <v>5</v>
      </c>
      <c r="AN103" s="3" t="n">
        <v>3</v>
      </c>
      <c r="AO103" s="3" t="n">
        <v>4</v>
      </c>
    </row>
    <row r="104" customFormat="false" ht="15" hidden="false" customHeight="false" outlineLevel="0" collapsed="false">
      <c r="A104" s="3" t="n">
        <v>0</v>
      </c>
      <c r="B104" s="3" t="n">
        <v>6</v>
      </c>
      <c r="C104" s="3" t="n">
        <v>2</v>
      </c>
      <c r="D104" s="3" t="n">
        <v>1</v>
      </c>
      <c r="E104" s="3" t="n">
        <v>2</v>
      </c>
      <c r="F104" s="3" t="n">
        <v>2</v>
      </c>
      <c r="G104" s="3" t="n">
        <v>1</v>
      </c>
      <c r="H104" s="3" t="n">
        <v>3</v>
      </c>
      <c r="I104" s="3" t="n">
        <v>1</v>
      </c>
      <c r="J104" s="3" t="n">
        <v>23</v>
      </c>
      <c r="K104" s="3" t="n">
        <v>3</v>
      </c>
      <c r="L104" s="3" t="n">
        <v>4</v>
      </c>
      <c r="M104" s="3" t="n">
        <v>4</v>
      </c>
      <c r="N104" s="3" t="n">
        <v>3</v>
      </c>
      <c r="O104" s="3" t="n">
        <v>3</v>
      </c>
      <c r="P104" s="3" t="n">
        <v>3</v>
      </c>
      <c r="Q104" s="3" t="n">
        <v>4</v>
      </c>
      <c r="R104" s="3" t="n">
        <v>4</v>
      </c>
      <c r="S104" s="3" t="n">
        <v>4</v>
      </c>
      <c r="T104" s="3" t="n">
        <v>4</v>
      </c>
      <c r="U104" s="3" t="n">
        <v>4</v>
      </c>
      <c r="V104" s="3" t="n">
        <v>4</v>
      </c>
      <c r="W104" s="3" t="n">
        <v>4</v>
      </c>
      <c r="X104" s="3" t="n">
        <v>4</v>
      </c>
      <c r="Y104" s="3" t="n">
        <v>4</v>
      </c>
      <c r="Z104" s="3" t="n">
        <v>4</v>
      </c>
      <c r="AA104" s="3" t="n">
        <v>4</v>
      </c>
      <c r="AB104" s="3" t="n">
        <v>4</v>
      </c>
      <c r="AC104" s="3" t="n">
        <v>2</v>
      </c>
      <c r="AD104" s="3" t="n">
        <v>4</v>
      </c>
      <c r="AE104" s="3" t="n">
        <v>3</v>
      </c>
      <c r="AF104" s="3" t="n">
        <v>2</v>
      </c>
      <c r="AG104" s="3" t="n">
        <v>4</v>
      </c>
      <c r="AH104" s="3" t="n">
        <v>4</v>
      </c>
      <c r="AI104" s="3" t="n">
        <v>4</v>
      </c>
      <c r="AJ104" s="3" t="n">
        <v>4</v>
      </c>
      <c r="AK104" s="3" t="n">
        <v>3</v>
      </c>
      <c r="AL104" s="3" t="n">
        <v>3</v>
      </c>
      <c r="AM104" s="3" t="n">
        <v>3</v>
      </c>
      <c r="AN104" s="3" t="n">
        <v>2</v>
      </c>
      <c r="AO104" s="3" t="n">
        <v>4</v>
      </c>
    </row>
    <row r="105" customFormat="false" ht="15" hidden="false" customHeight="false" outlineLevel="0" collapsed="false">
      <c r="A105" s="3" t="n">
        <v>0</v>
      </c>
      <c r="B105" s="3" t="n">
        <v>4</v>
      </c>
      <c r="C105" s="3" t="n">
        <v>1</v>
      </c>
      <c r="D105" s="3" t="n">
        <v>1</v>
      </c>
      <c r="E105" s="3" t="n">
        <v>2</v>
      </c>
      <c r="F105" s="3" t="n">
        <v>2</v>
      </c>
      <c r="G105" s="3" t="n">
        <v>3</v>
      </c>
      <c r="H105" s="3" t="n">
        <v>2</v>
      </c>
      <c r="I105" s="3" t="n">
        <v>1</v>
      </c>
      <c r="J105" s="3" t="n">
        <v>24</v>
      </c>
      <c r="K105" s="3" t="n">
        <v>4</v>
      </c>
      <c r="L105" s="3" t="n">
        <v>3</v>
      </c>
      <c r="M105" s="3" t="n">
        <v>4</v>
      </c>
      <c r="N105" s="3" t="n">
        <v>3</v>
      </c>
      <c r="O105" s="3" t="n">
        <v>4</v>
      </c>
      <c r="P105" s="3" t="n">
        <v>2</v>
      </c>
      <c r="Q105" s="3" t="n">
        <v>4</v>
      </c>
      <c r="R105" s="3" t="n">
        <v>2</v>
      </c>
      <c r="S105" s="3" t="n">
        <v>3</v>
      </c>
      <c r="T105" s="3" t="n">
        <v>4</v>
      </c>
      <c r="U105" s="3" t="n">
        <v>4</v>
      </c>
      <c r="V105" s="3" t="n">
        <v>2</v>
      </c>
      <c r="W105" s="3" t="n">
        <v>2</v>
      </c>
      <c r="X105" s="3" t="n">
        <v>4</v>
      </c>
      <c r="Y105" s="3" t="n">
        <v>2</v>
      </c>
      <c r="Z105" s="3" t="n">
        <v>3</v>
      </c>
      <c r="AA105" s="3" t="n">
        <v>4</v>
      </c>
      <c r="AB105" s="3" t="n">
        <v>2</v>
      </c>
      <c r="AC105" s="3" t="n">
        <v>4</v>
      </c>
      <c r="AD105" s="3" t="n">
        <v>3</v>
      </c>
      <c r="AE105" s="3" t="n">
        <v>3</v>
      </c>
      <c r="AF105" s="3" t="n">
        <v>4</v>
      </c>
      <c r="AG105" s="3" t="n">
        <v>4</v>
      </c>
      <c r="AH105" s="3" t="n">
        <v>4</v>
      </c>
      <c r="AI105" s="3" t="n">
        <v>4</v>
      </c>
      <c r="AJ105" s="3" t="n">
        <v>4</v>
      </c>
      <c r="AK105" s="3" t="n">
        <v>2</v>
      </c>
      <c r="AL105" s="3" t="n">
        <v>5</v>
      </c>
      <c r="AM105" s="3" t="n">
        <v>4</v>
      </c>
      <c r="AN105" s="3" t="n">
        <v>2</v>
      </c>
      <c r="AO105" s="3" t="n">
        <v>3</v>
      </c>
    </row>
    <row r="106" customFormat="false" ht="15" hidden="false" customHeight="false" outlineLevel="0" collapsed="false">
      <c r="A106" s="3" t="n">
        <v>0</v>
      </c>
      <c r="B106" s="3" t="n">
        <v>4</v>
      </c>
      <c r="C106" s="3" t="n">
        <v>1</v>
      </c>
      <c r="D106" s="3" t="n">
        <v>1</v>
      </c>
      <c r="E106" s="3" t="n">
        <v>2</v>
      </c>
      <c r="F106" s="3" t="n">
        <v>2</v>
      </c>
      <c r="G106" s="3" t="n">
        <v>4</v>
      </c>
      <c r="H106" s="3" t="n">
        <v>2</v>
      </c>
      <c r="I106" s="3" t="n">
        <v>1</v>
      </c>
      <c r="J106" s="3" t="n">
        <v>22</v>
      </c>
      <c r="K106" s="3" t="n">
        <v>4</v>
      </c>
      <c r="L106" s="3" t="n">
        <v>1</v>
      </c>
      <c r="M106" s="3" t="n">
        <v>2</v>
      </c>
      <c r="N106" s="3" t="n">
        <v>1</v>
      </c>
      <c r="O106" s="3" t="n">
        <v>1</v>
      </c>
      <c r="P106" s="3" t="n">
        <v>2</v>
      </c>
      <c r="Q106" s="3" t="n">
        <v>1</v>
      </c>
      <c r="R106" s="3" t="n">
        <v>1</v>
      </c>
      <c r="S106" s="3" t="n">
        <v>4</v>
      </c>
      <c r="T106" s="3" t="n">
        <v>5</v>
      </c>
      <c r="U106" s="3" t="n">
        <v>5</v>
      </c>
      <c r="V106" s="3" t="n">
        <v>4</v>
      </c>
      <c r="W106" s="3" t="n">
        <v>4</v>
      </c>
      <c r="X106" s="3" t="n">
        <v>4</v>
      </c>
      <c r="Y106" s="3" t="n">
        <v>2</v>
      </c>
      <c r="Z106" s="3" t="n">
        <v>4</v>
      </c>
      <c r="AA106" s="3" t="n">
        <v>4</v>
      </c>
      <c r="AB106" s="3" t="n">
        <v>5</v>
      </c>
      <c r="AC106" s="3" t="n">
        <v>1</v>
      </c>
      <c r="AD106" s="3" t="n">
        <v>1</v>
      </c>
      <c r="AE106" s="3" t="n">
        <v>2</v>
      </c>
      <c r="AF106" s="3" t="n">
        <v>1</v>
      </c>
      <c r="AG106" s="3" t="n">
        <v>2</v>
      </c>
      <c r="AH106" s="3" t="n">
        <v>5</v>
      </c>
      <c r="AI106" s="3" t="n">
        <v>4</v>
      </c>
      <c r="AJ106" s="3" t="n">
        <v>2</v>
      </c>
      <c r="AK106" s="3" t="n">
        <v>2</v>
      </c>
      <c r="AL106" s="3" t="n">
        <v>4</v>
      </c>
      <c r="AM106" s="3" t="n">
        <v>2</v>
      </c>
      <c r="AN106" s="3" t="n">
        <v>4</v>
      </c>
      <c r="AO106" s="3" t="n">
        <v>1</v>
      </c>
    </row>
    <row r="107" customFormat="false" ht="15" hidden="false" customHeight="false" outlineLevel="0" collapsed="false">
      <c r="A107" s="3" t="n">
        <v>1</v>
      </c>
      <c r="B107" s="3" t="n">
        <v>4</v>
      </c>
      <c r="C107" s="3" t="n">
        <v>1</v>
      </c>
      <c r="D107" s="3" t="n">
        <v>1</v>
      </c>
      <c r="E107" s="3" t="n">
        <v>1</v>
      </c>
      <c r="F107" s="3" t="n">
        <v>2</v>
      </c>
      <c r="G107" s="3" t="n">
        <v>2</v>
      </c>
      <c r="H107" s="3" t="n">
        <v>2</v>
      </c>
      <c r="I107" s="3" t="n">
        <v>3</v>
      </c>
      <c r="J107" s="3" t="n">
        <v>25</v>
      </c>
      <c r="K107" s="3" t="n">
        <v>4</v>
      </c>
      <c r="L107" s="3" t="n">
        <v>2</v>
      </c>
      <c r="M107" s="3" t="n">
        <v>4</v>
      </c>
      <c r="N107" s="3" t="n">
        <v>4</v>
      </c>
      <c r="O107" s="3" t="n">
        <v>4</v>
      </c>
      <c r="P107" s="3" t="n">
        <v>2</v>
      </c>
      <c r="Q107" s="3" t="n">
        <v>3</v>
      </c>
      <c r="R107" s="3" t="n">
        <v>1</v>
      </c>
      <c r="S107" s="3" t="n">
        <v>5</v>
      </c>
      <c r="T107" s="3" t="n">
        <v>5</v>
      </c>
      <c r="U107" s="3" t="n">
        <v>5</v>
      </c>
      <c r="V107" s="3" t="n">
        <v>3</v>
      </c>
      <c r="W107" s="3" t="n">
        <v>2</v>
      </c>
      <c r="X107" s="3" t="n">
        <v>2</v>
      </c>
      <c r="Y107" s="3" t="n">
        <v>1</v>
      </c>
      <c r="Z107" s="3" t="n">
        <v>3</v>
      </c>
      <c r="AA107" s="3" t="n">
        <v>3</v>
      </c>
      <c r="AB107" s="3" t="n">
        <v>4</v>
      </c>
      <c r="AC107" s="3" t="n">
        <v>1</v>
      </c>
      <c r="AD107" s="3" t="n">
        <v>2</v>
      </c>
      <c r="AE107" s="3" t="n">
        <v>5</v>
      </c>
      <c r="AF107" s="3" t="n">
        <v>5</v>
      </c>
      <c r="AG107" s="3" t="n">
        <v>5</v>
      </c>
      <c r="AH107" s="3" t="n">
        <v>4</v>
      </c>
      <c r="AI107" s="3" t="n">
        <v>4</v>
      </c>
      <c r="AJ107" s="3" t="n">
        <v>5</v>
      </c>
      <c r="AK107" s="3" t="n">
        <v>2</v>
      </c>
      <c r="AL107" s="3" t="n">
        <v>5</v>
      </c>
      <c r="AM107" s="3" t="n">
        <v>3</v>
      </c>
      <c r="AN107" s="3" t="n">
        <v>4</v>
      </c>
      <c r="AO107" s="3" t="n">
        <v>1</v>
      </c>
    </row>
    <row r="108" customFormat="false" ht="15" hidden="false" customHeight="false" outlineLevel="0" collapsed="false">
      <c r="A108" s="3" t="n">
        <v>0</v>
      </c>
      <c r="B108" s="3" t="n">
        <v>1</v>
      </c>
      <c r="C108" s="3" t="n">
        <v>2</v>
      </c>
      <c r="D108" s="3" t="n">
        <v>1</v>
      </c>
      <c r="E108" s="3" t="n">
        <v>2</v>
      </c>
      <c r="F108" s="3" t="n">
        <v>2</v>
      </c>
      <c r="G108" s="3" t="n">
        <v>1</v>
      </c>
      <c r="H108" s="3" t="n">
        <v>2</v>
      </c>
      <c r="I108" s="3" t="n">
        <v>1</v>
      </c>
      <c r="J108" s="3" t="n">
        <v>23</v>
      </c>
      <c r="K108" s="3" t="n">
        <v>4</v>
      </c>
      <c r="L108" s="3" t="n">
        <v>4</v>
      </c>
      <c r="M108" s="3" t="n">
        <v>4</v>
      </c>
      <c r="N108" s="3" t="n">
        <v>4</v>
      </c>
      <c r="O108" s="3" t="n">
        <v>4</v>
      </c>
      <c r="P108" s="3" t="n">
        <v>4</v>
      </c>
      <c r="Q108" s="3" t="n">
        <v>4</v>
      </c>
      <c r="R108" s="3" t="n">
        <v>4</v>
      </c>
      <c r="S108" s="3" t="n">
        <v>4</v>
      </c>
      <c r="T108" s="3" t="n">
        <v>3</v>
      </c>
      <c r="U108" s="3" t="n">
        <v>4</v>
      </c>
      <c r="V108" s="3" t="n">
        <v>4</v>
      </c>
      <c r="W108" s="3" t="n">
        <v>4</v>
      </c>
      <c r="X108" s="3" t="n">
        <v>3</v>
      </c>
      <c r="Y108" s="3" t="n">
        <v>3</v>
      </c>
      <c r="Z108" s="3" t="n">
        <v>4</v>
      </c>
      <c r="AA108" s="3" t="n">
        <v>4</v>
      </c>
      <c r="AB108" s="3" t="n">
        <v>2</v>
      </c>
      <c r="AC108" s="3" t="n">
        <v>4</v>
      </c>
      <c r="AD108" s="3" t="n">
        <v>3</v>
      </c>
      <c r="AE108" s="3" t="n">
        <v>4</v>
      </c>
      <c r="AF108" s="3" t="n">
        <v>2</v>
      </c>
      <c r="AG108" s="3" t="n">
        <v>4</v>
      </c>
      <c r="AH108" s="3" t="n">
        <v>3</v>
      </c>
      <c r="AI108" s="3" t="n">
        <v>4</v>
      </c>
      <c r="AJ108" s="3" t="n">
        <v>4</v>
      </c>
      <c r="AK108" s="3" t="n">
        <v>3</v>
      </c>
      <c r="AL108" s="3" t="n">
        <v>3</v>
      </c>
      <c r="AM108" s="3" t="n">
        <v>3</v>
      </c>
      <c r="AN108" s="3" t="n">
        <v>3</v>
      </c>
      <c r="AO108" s="3" t="n">
        <v>3</v>
      </c>
    </row>
    <row r="109" customFormat="false" ht="15" hidden="false" customHeight="false" outlineLevel="0" collapsed="false">
      <c r="A109" s="3" t="n">
        <v>1</v>
      </c>
      <c r="B109" s="3" t="n">
        <v>3</v>
      </c>
      <c r="C109" s="3" t="n">
        <v>1</v>
      </c>
      <c r="D109" s="3" t="n">
        <v>1</v>
      </c>
      <c r="E109" s="3" t="n">
        <v>2</v>
      </c>
      <c r="F109" s="3" t="n">
        <v>2</v>
      </c>
      <c r="G109" s="3" t="n">
        <v>4</v>
      </c>
      <c r="H109" s="3" t="n">
        <v>3</v>
      </c>
      <c r="I109" s="3" t="n">
        <v>3</v>
      </c>
      <c r="J109" s="3" t="n">
        <v>24</v>
      </c>
      <c r="K109" s="3" t="n">
        <v>3</v>
      </c>
      <c r="L109" s="3" t="n">
        <v>3</v>
      </c>
      <c r="M109" s="3" t="n">
        <v>3</v>
      </c>
      <c r="N109" s="3" t="n">
        <v>3</v>
      </c>
      <c r="O109" s="3" t="n">
        <v>3</v>
      </c>
      <c r="P109" s="3" t="n">
        <v>3</v>
      </c>
      <c r="Q109" s="3" t="n">
        <v>3</v>
      </c>
      <c r="R109" s="3" t="n">
        <v>4</v>
      </c>
      <c r="S109" s="3" t="n">
        <v>4</v>
      </c>
      <c r="T109" s="3" t="n">
        <v>5</v>
      </c>
      <c r="U109" s="3" t="n">
        <v>4</v>
      </c>
      <c r="V109" s="3" t="n">
        <v>4</v>
      </c>
      <c r="W109" s="3" t="n">
        <v>4</v>
      </c>
      <c r="X109" s="3" t="n">
        <v>4</v>
      </c>
      <c r="Y109" s="3" t="n">
        <v>3</v>
      </c>
      <c r="Z109" s="3" t="n">
        <v>4</v>
      </c>
      <c r="AA109" s="3" t="n">
        <v>4</v>
      </c>
      <c r="AB109" s="3" t="n">
        <v>2</v>
      </c>
      <c r="AC109" s="3" t="n">
        <v>1</v>
      </c>
      <c r="AD109" s="3" t="n">
        <v>1</v>
      </c>
      <c r="AE109" s="3" t="n">
        <v>2</v>
      </c>
      <c r="AF109" s="3" t="n">
        <v>2</v>
      </c>
      <c r="AG109" s="3" t="n">
        <v>3</v>
      </c>
      <c r="AH109" s="3" t="n">
        <v>2</v>
      </c>
      <c r="AI109" s="3" t="n">
        <v>2</v>
      </c>
      <c r="AJ109" s="3" t="n">
        <v>3</v>
      </c>
      <c r="AK109" s="3" t="n">
        <v>3</v>
      </c>
      <c r="AL109" s="3" t="n">
        <v>3</v>
      </c>
      <c r="AM109" s="3" t="n">
        <v>2</v>
      </c>
      <c r="AN109" s="3" t="n">
        <v>2</v>
      </c>
      <c r="AO109" s="3" t="n">
        <v>2</v>
      </c>
    </row>
    <row r="110" customFormat="false" ht="15" hidden="false" customHeight="false" outlineLevel="0" collapsed="false">
      <c r="A110" s="3" t="n">
        <v>0</v>
      </c>
      <c r="B110" s="3" t="n">
        <v>4</v>
      </c>
      <c r="C110" s="3" t="n">
        <v>2</v>
      </c>
      <c r="D110" s="3" t="n">
        <v>1</v>
      </c>
      <c r="E110" s="3" t="n">
        <v>2</v>
      </c>
      <c r="F110" s="3" t="n">
        <v>2</v>
      </c>
      <c r="G110" s="3" t="n">
        <v>2</v>
      </c>
      <c r="H110" s="3" t="n">
        <v>3</v>
      </c>
      <c r="I110" s="3" t="n">
        <v>1</v>
      </c>
      <c r="J110" s="3" t="n">
        <v>24</v>
      </c>
      <c r="K110" s="3" t="n">
        <v>3</v>
      </c>
      <c r="L110" s="3" t="n">
        <v>4</v>
      </c>
      <c r="M110" s="3" t="n">
        <v>2</v>
      </c>
      <c r="N110" s="3" t="n">
        <v>4</v>
      </c>
      <c r="O110" s="3" t="n">
        <v>4</v>
      </c>
      <c r="P110" s="3" t="n">
        <v>3</v>
      </c>
      <c r="Q110" s="3" t="n">
        <v>4</v>
      </c>
      <c r="R110" s="3" t="n">
        <v>5</v>
      </c>
      <c r="S110" s="3" t="n">
        <v>4</v>
      </c>
      <c r="T110" s="3" t="n">
        <v>5</v>
      </c>
      <c r="U110" s="3" t="n">
        <v>4</v>
      </c>
      <c r="V110" s="3" t="n">
        <v>3</v>
      </c>
      <c r="W110" s="3" t="n">
        <v>4</v>
      </c>
      <c r="X110" s="3" t="n">
        <v>4</v>
      </c>
      <c r="Y110" s="3" t="n">
        <v>3</v>
      </c>
      <c r="Z110" s="3" t="n">
        <v>4</v>
      </c>
      <c r="AA110" s="3" t="n">
        <v>4</v>
      </c>
      <c r="AB110" s="3" t="n">
        <v>4</v>
      </c>
      <c r="AC110" s="3" t="n">
        <v>2</v>
      </c>
      <c r="AD110" s="3" t="n">
        <v>3</v>
      </c>
      <c r="AE110" s="3" t="n">
        <v>4</v>
      </c>
      <c r="AF110" s="3" t="n">
        <v>2</v>
      </c>
      <c r="AG110" s="3" t="n">
        <v>4</v>
      </c>
      <c r="AH110" s="3" t="n">
        <v>4</v>
      </c>
      <c r="AI110" s="3" t="n">
        <v>4</v>
      </c>
      <c r="AJ110" s="3" t="n">
        <v>3</v>
      </c>
      <c r="AK110" s="3" t="n">
        <v>2</v>
      </c>
      <c r="AL110" s="3" t="n">
        <v>2</v>
      </c>
      <c r="AM110" s="3" t="n">
        <v>3</v>
      </c>
      <c r="AN110" s="3" t="n">
        <v>2</v>
      </c>
      <c r="AO110" s="3" t="n">
        <v>2</v>
      </c>
    </row>
    <row r="111" customFormat="false" ht="15" hidden="false" customHeight="false" outlineLevel="0" collapsed="false">
      <c r="A111" s="3" t="n">
        <v>1</v>
      </c>
      <c r="B111" s="3" t="n">
        <v>4</v>
      </c>
      <c r="C111" s="3" t="n">
        <v>2</v>
      </c>
      <c r="D111" s="3" t="n">
        <v>1</v>
      </c>
      <c r="E111" s="3" t="n">
        <v>2</v>
      </c>
      <c r="F111" s="3" t="n">
        <v>2</v>
      </c>
      <c r="G111" s="3" t="n">
        <v>2</v>
      </c>
      <c r="H111" s="3" t="n">
        <v>2</v>
      </c>
      <c r="I111" s="3" t="n">
        <v>1</v>
      </c>
      <c r="J111" s="3" t="n">
        <v>23</v>
      </c>
      <c r="K111" s="3" t="n">
        <v>4</v>
      </c>
      <c r="L111" s="3" t="n">
        <v>4</v>
      </c>
      <c r="M111" s="3" t="n">
        <v>5</v>
      </c>
      <c r="N111" s="3" t="n">
        <v>3</v>
      </c>
      <c r="O111" s="3" t="n">
        <v>4</v>
      </c>
      <c r="P111" s="3" t="n">
        <v>4</v>
      </c>
      <c r="Q111" s="3" t="n">
        <v>5</v>
      </c>
      <c r="R111" s="3" t="n">
        <v>4</v>
      </c>
      <c r="S111" s="3" t="n">
        <v>4</v>
      </c>
      <c r="T111" s="3" t="n">
        <v>5</v>
      </c>
      <c r="U111" s="3" t="n">
        <v>5</v>
      </c>
      <c r="V111" s="3" t="n">
        <v>4</v>
      </c>
      <c r="W111" s="3" t="n">
        <v>3</v>
      </c>
      <c r="X111" s="3" t="n">
        <v>4</v>
      </c>
      <c r="Y111" s="3" t="n">
        <v>2</v>
      </c>
      <c r="Z111" s="3" t="n">
        <v>5</v>
      </c>
      <c r="AA111" s="3" t="n">
        <v>4</v>
      </c>
      <c r="AB111" s="3" t="n">
        <v>4</v>
      </c>
      <c r="AC111" s="3" t="n">
        <v>4</v>
      </c>
      <c r="AD111" s="3" t="n">
        <v>3</v>
      </c>
      <c r="AE111" s="3" t="n">
        <v>4</v>
      </c>
      <c r="AF111" s="3" t="n">
        <v>3</v>
      </c>
      <c r="AG111" s="3" t="n">
        <v>5</v>
      </c>
      <c r="AH111" s="3" t="n">
        <v>5</v>
      </c>
      <c r="AI111" s="3" t="n">
        <v>4</v>
      </c>
      <c r="AJ111" s="3" t="n">
        <v>5</v>
      </c>
      <c r="AK111" s="3" t="n">
        <v>3</v>
      </c>
      <c r="AL111" s="3" t="n">
        <v>5</v>
      </c>
      <c r="AM111" s="3" t="n">
        <v>4</v>
      </c>
      <c r="AN111" s="3" t="n">
        <v>2</v>
      </c>
      <c r="AO111" s="3" t="n">
        <v>4</v>
      </c>
    </row>
    <row r="112" customFormat="false" ht="15" hidden="false" customHeight="false" outlineLevel="0" collapsed="false">
      <c r="A112" s="3" t="n">
        <v>0</v>
      </c>
      <c r="B112" s="3" t="n">
        <v>4</v>
      </c>
      <c r="C112" s="3" t="n">
        <v>1</v>
      </c>
      <c r="D112" s="3" t="n">
        <v>1</v>
      </c>
      <c r="E112" s="3" t="n">
        <v>2</v>
      </c>
      <c r="F112" s="3" t="n">
        <v>2</v>
      </c>
      <c r="G112" s="3" t="n">
        <v>2</v>
      </c>
      <c r="H112" s="3" t="n">
        <v>1</v>
      </c>
      <c r="I112" s="3" t="n">
        <v>1</v>
      </c>
      <c r="J112" s="3" t="n">
        <v>23</v>
      </c>
      <c r="K112" s="3" t="n">
        <v>3</v>
      </c>
      <c r="L112" s="3" t="n">
        <v>3</v>
      </c>
      <c r="M112" s="3" t="n">
        <v>4</v>
      </c>
      <c r="N112" s="3" t="n">
        <v>3</v>
      </c>
      <c r="O112" s="3" t="n">
        <v>2</v>
      </c>
      <c r="P112" s="3" t="n">
        <v>2</v>
      </c>
      <c r="Q112" s="3" t="n">
        <v>2</v>
      </c>
      <c r="R112" s="3" t="n">
        <v>4</v>
      </c>
      <c r="S112" s="3" t="n">
        <v>3</v>
      </c>
      <c r="T112" s="3" t="n">
        <v>3</v>
      </c>
      <c r="U112" s="3" t="n">
        <v>4</v>
      </c>
      <c r="V112" s="3" t="n">
        <v>4</v>
      </c>
      <c r="W112" s="3" t="n">
        <v>4</v>
      </c>
      <c r="X112" s="3" t="n">
        <v>4</v>
      </c>
      <c r="Y112" s="3" t="n">
        <v>4</v>
      </c>
      <c r="Z112" s="3" t="n">
        <v>4</v>
      </c>
      <c r="AA112" s="3" t="n">
        <v>4</v>
      </c>
      <c r="AB112" s="3" t="n">
        <v>4</v>
      </c>
      <c r="AC112" s="3" t="n">
        <v>3</v>
      </c>
      <c r="AD112" s="3" t="n">
        <v>2</v>
      </c>
      <c r="AE112" s="3" t="n">
        <v>3</v>
      </c>
      <c r="AF112" s="3" t="n">
        <v>2</v>
      </c>
      <c r="AG112" s="3" t="n">
        <v>4</v>
      </c>
      <c r="AH112" s="3" t="n">
        <v>4</v>
      </c>
      <c r="AI112" s="3" t="n">
        <v>4</v>
      </c>
      <c r="AJ112" s="3" t="n">
        <v>4</v>
      </c>
      <c r="AK112" s="3" t="n">
        <v>4</v>
      </c>
      <c r="AL112" s="3" t="n">
        <v>4</v>
      </c>
      <c r="AM112" s="3" t="n">
        <v>4</v>
      </c>
      <c r="AN112" s="3" t="n">
        <v>2</v>
      </c>
      <c r="AO112" s="3" t="n">
        <v>3</v>
      </c>
    </row>
    <row r="113" customFormat="false" ht="15" hidden="false" customHeight="false" outlineLevel="0" collapsed="false">
      <c r="A113" s="3" t="n">
        <v>1</v>
      </c>
      <c r="B113" s="3" t="n">
        <v>1</v>
      </c>
      <c r="C113" s="3" t="n">
        <v>1</v>
      </c>
      <c r="D113" s="3" t="n">
        <v>1</v>
      </c>
      <c r="E113" s="3" t="n">
        <v>2</v>
      </c>
      <c r="F113" s="3" t="n">
        <v>2</v>
      </c>
      <c r="G113" s="3" t="n">
        <v>1</v>
      </c>
      <c r="H113" s="3" t="n">
        <v>2</v>
      </c>
      <c r="I113" s="3" t="n">
        <v>1</v>
      </c>
      <c r="J113" s="3" t="n">
        <v>23</v>
      </c>
      <c r="K113" s="3" t="n">
        <v>2</v>
      </c>
      <c r="L113" s="3" t="n">
        <v>2</v>
      </c>
      <c r="M113" s="3" t="n">
        <v>1</v>
      </c>
      <c r="N113" s="3" t="n">
        <v>2</v>
      </c>
      <c r="O113" s="3" t="n">
        <v>3</v>
      </c>
      <c r="P113" s="3" t="n">
        <v>1</v>
      </c>
      <c r="Q113" s="3" t="n">
        <v>1</v>
      </c>
      <c r="R113" s="3" t="n">
        <v>2</v>
      </c>
      <c r="S113" s="3" t="n">
        <v>2</v>
      </c>
      <c r="T113" s="3" t="n">
        <v>3</v>
      </c>
      <c r="U113" s="3" t="n">
        <v>4</v>
      </c>
      <c r="V113" s="3" t="n">
        <v>2</v>
      </c>
      <c r="W113" s="3" t="n">
        <v>4</v>
      </c>
      <c r="X113" s="3" t="n">
        <v>2</v>
      </c>
      <c r="Y113" s="3" t="n">
        <v>4</v>
      </c>
      <c r="Z113" s="3" t="n">
        <v>5</v>
      </c>
      <c r="AA113" s="3" t="n">
        <v>1</v>
      </c>
      <c r="AB113" s="3" t="n">
        <v>2</v>
      </c>
      <c r="AC113" s="3" t="n">
        <v>3</v>
      </c>
      <c r="AD113" s="3" t="n">
        <v>3</v>
      </c>
      <c r="AE113" s="3" t="n">
        <v>1</v>
      </c>
      <c r="AF113" s="3" t="n">
        <v>1</v>
      </c>
      <c r="AG113" s="3" t="n">
        <v>4</v>
      </c>
      <c r="AH113" s="3" t="n">
        <v>2</v>
      </c>
      <c r="AI113" s="3" t="n">
        <v>4</v>
      </c>
      <c r="AJ113" s="3" t="n">
        <v>2</v>
      </c>
      <c r="AK113" s="3" t="n">
        <v>5</v>
      </c>
      <c r="AL113" s="3" t="n">
        <v>3</v>
      </c>
      <c r="AM113" s="3" t="n">
        <v>2</v>
      </c>
      <c r="AN113" s="3" t="n">
        <v>2</v>
      </c>
      <c r="AO113" s="3" t="n">
        <v>5</v>
      </c>
    </row>
    <row r="114" customFormat="false" ht="15" hidden="false" customHeight="false" outlineLevel="0" collapsed="false">
      <c r="A114" s="3" t="n">
        <v>0</v>
      </c>
      <c r="B114" s="3" t="n">
        <v>4</v>
      </c>
      <c r="C114" s="3" t="n">
        <v>2</v>
      </c>
      <c r="D114" s="3" t="n">
        <v>1</v>
      </c>
      <c r="E114" s="3" t="n">
        <v>2</v>
      </c>
      <c r="F114" s="3" t="n">
        <v>2</v>
      </c>
      <c r="G114" s="3" t="n">
        <v>1</v>
      </c>
      <c r="H114" s="3" t="n">
        <v>3</v>
      </c>
      <c r="I114" s="3" t="n">
        <v>1</v>
      </c>
      <c r="J114" s="3" t="n">
        <v>23</v>
      </c>
      <c r="K114" s="3" t="n">
        <v>2</v>
      </c>
      <c r="L114" s="3" t="n">
        <v>4</v>
      </c>
      <c r="M114" s="3" t="n">
        <v>4</v>
      </c>
      <c r="N114" s="3" t="n">
        <v>3</v>
      </c>
      <c r="O114" s="3" t="n">
        <v>4</v>
      </c>
      <c r="P114" s="3" t="n">
        <v>2</v>
      </c>
      <c r="Q114" s="3" t="n">
        <v>3</v>
      </c>
      <c r="R114" s="3" t="n">
        <v>3</v>
      </c>
      <c r="S114" s="3" t="n">
        <v>1</v>
      </c>
      <c r="T114" s="3" t="n">
        <v>4</v>
      </c>
      <c r="U114" s="3" t="n">
        <v>5</v>
      </c>
      <c r="V114" s="3" t="n">
        <v>4</v>
      </c>
      <c r="W114" s="3" t="n">
        <v>3</v>
      </c>
      <c r="X114" s="3" t="n">
        <v>4</v>
      </c>
      <c r="Y114" s="3" t="n">
        <v>2</v>
      </c>
      <c r="Z114" s="3" t="n">
        <v>4</v>
      </c>
      <c r="AA114" s="3" t="n">
        <v>4</v>
      </c>
      <c r="AB114" s="3" t="n">
        <v>4</v>
      </c>
      <c r="AC114" s="3" t="n">
        <v>3</v>
      </c>
      <c r="AD114" s="3" t="n">
        <v>4</v>
      </c>
      <c r="AE114" s="3" t="n">
        <v>4</v>
      </c>
      <c r="AF114" s="3" t="n">
        <v>3</v>
      </c>
      <c r="AG114" s="3" t="n">
        <v>4</v>
      </c>
      <c r="AH114" s="3" t="n">
        <v>2</v>
      </c>
      <c r="AI114" s="3" t="n">
        <v>3</v>
      </c>
      <c r="AJ114" s="3" t="n">
        <v>3</v>
      </c>
      <c r="AK114" s="3" t="n">
        <v>4</v>
      </c>
      <c r="AL114" s="3" t="n">
        <v>3</v>
      </c>
      <c r="AM114" s="3" t="n">
        <v>3</v>
      </c>
      <c r="AN114" s="3" t="n">
        <v>4</v>
      </c>
      <c r="AO114" s="3" t="n">
        <v>2</v>
      </c>
    </row>
    <row r="115" customFormat="false" ht="15" hidden="false" customHeight="false" outlineLevel="0" collapsed="false">
      <c r="A115" s="3" t="n">
        <v>0</v>
      </c>
      <c r="B115" s="3" t="n">
        <v>4</v>
      </c>
      <c r="C115" s="3" t="n">
        <v>1</v>
      </c>
      <c r="D115" s="3" t="n">
        <v>1</v>
      </c>
      <c r="E115" s="3" t="n">
        <v>2</v>
      </c>
      <c r="F115" s="3" t="n">
        <v>2</v>
      </c>
      <c r="G115" s="3" t="n">
        <v>2</v>
      </c>
      <c r="H115" s="3" t="n">
        <v>3</v>
      </c>
      <c r="I115" s="3" t="n">
        <v>1</v>
      </c>
      <c r="J115" s="3" t="n">
        <v>22</v>
      </c>
      <c r="K115" s="3" t="n">
        <v>3</v>
      </c>
      <c r="L115" s="3" t="n">
        <v>4</v>
      </c>
      <c r="M115" s="3" t="n">
        <v>4</v>
      </c>
      <c r="N115" s="3" t="n">
        <v>4</v>
      </c>
      <c r="O115" s="3" t="n">
        <v>5</v>
      </c>
      <c r="P115" s="3" t="n">
        <v>4</v>
      </c>
      <c r="Q115" s="3" t="n">
        <v>4</v>
      </c>
      <c r="R115" s="3" t="n">
        <v>1</v>
      </c>
      <c r="S115" s="3" t="n">
        <v>3</v>
      </c>
      <c r="T115" s="3" t="n">
        <v>4</v>
      </c>
      <c r="U115" s="3" t="n">
        <v>4</v>
      </c>
      <c r="V115" s="3" t="n">
        <v>4</v>
      </c>
      <c r="W115" s="3" t="n">
        <v>4</v>
      </c>
      <c r="X115" s="3" t="n">
        <v>4</v>
      </c>
      <c r="Y115" s="3" t="n">
        <v>3</v>
      </c>
      <c r="Z115" s="3" t="n">
        <v>4</v>
      </c>
      <c r="AA115" s="3" t="n">
        <v>5</v>
      </c>
      <c r="AB115" s="3" t="n">
        <v>4</v>
      </c>
      <c r="AC115" s="3" t="n">
        <v>1</v>
      </c>
      <c r="AD115" s="3" t="n">
        <v>1</v>
      </c>
      <c r="AE115" s="3" t="n">
        <v>3</v>
      </c>
      <c r="AF115" s="3" t="n">
        <v>3</v>
      </c>
      <c r="AG115" s="3" t="n">
        <v>4</v>
      </c>
      <c r="AH115" s="3" t="n">
        <v>3</v>
      </c>
      <c r="AI115" s="3" t="n">
        <v>4</v>
      </c>
      <c r="AJ115" s="3" t="n">
        <v>4</v>
      </c>
      <c r="AK115" s="3" t="n">
        <v>4</v>
      </c>
      <c r="AL115" s="3" t="n">
        <v>4</v>
      </c>
      <c r="AM115" s="3" t="n">
        <v>3</v>
      </c>
      <c r="AN115" s="3" t="n">
        <v>4</v>
      </c>
      <c r="AO115" s="3" t="n">
        <v>2</v>
      </c>
    </row>
    <row r="116" customFormat="false" ht="15" hidden="false" customHeight="false" outlineLevel="0" collapsed="false">
      <c r="A116" s="3" t="n">
        <v>1</v>
      </c>
      <c r="B116" s="3" t="n">
        <v>1</v>
      </c>
      <c r="C116" s="3" t="n">
        <v>2</v>
      </c>
      <c r="D116" s="3" t="n">
        <v>2</v>
      </c>
      <c r="E116" s="3" t="n">
        <v>2</v>
      </c>
      <c r="F116" s="3" t="n">
        <v>2</v>
      </c>
      <c r="G116" s="3" t="n">
        <v>3</v>
      </c>
      <c r="H116" s="3" t="n">
        <v>2</v>
      </c>
      <c r="I116" s="3" t="n">
        <v>1</v>
      </c>
      <c r="J116" s="3" t="n">
        <v>23</v>
      </c>
      <c r="K116" s="3" t="n">
        <v>2</v>
      </c>
      <c r="L116" s="3" t="n">
        <v>3</v>
      </c>
      <c r="M116" s="3" t="n">
        <v>2</v>
      </c>
      <c r="N116" s="3" t="n">
        <v>2</v>
      </c>
      <c r="O116" s="3" t="n">
        <v>4</v>
      </c>
      <c r="P116" s="3" t="n">
        <v>4</v>
      </c>
      <c r="Q116" s="3" t="n">
        <v>3</v>
      </c>
      <c r="R116" s="3" t="n">
        <v>4</v>
      </c>
      <c r="S116" s="3" t="n">
        <v>4</v>
      </c>
      <c r="T116" s="3" t="n">
        <v>5</v>
      </c>
      <c r="U116" s="3" t="n">
        <v>5</v>
      </c>
      <c r="V116" s="3" t="n">
        <v>4</v>
      </c>
      <c r="W116" s="3" t="n">
        <v>4</v>
      </c>
      <c r="X116" s="3" t="n">
        <v>4</v>
      </c>
      <c r="Y116" s="3" t="n">
        <v>4</v>
      </c>
      <c r="Z116" s="3" t="n">
        <v>4</v>
      </c>
      <c r="AA116" s="3" t="n">
        <v>2</v>
      </c>
      <c r="AB116" s="3" t="n">
        <v>1</v>
      </c>
      <c r="AC116" s="3" t="n">
        <v>1</v>
      </c>
      <c r="AD116" s="3" t="n">
        <v>1</v>
      </c>
      <c r="AE116" s="3" t="n">
        <v>3</v>
      </c>
      <c r="AF116" s="3" t="n">
        <v>3</v>
      </c>
      <c r="AG116" s="3" t="n">
        <v>4</v>
      </c>
      <c r="AH116" s="3" t="n">
        <v>5</v>
      </c>
      <c r="AI116" s="3" t="n">
        <v>5</v>
      </c>
      <c r="AJ116" s="3" t="n">
        <v>4</v>
      </c>
      <c r="AK116" s="3" t="n">
        <v>4</v>
      </c>
      <c r="AL116" s="3" t="n">
        <v>2</v>
      </c>
      <c r="AM116" s="3" t="n">
        <v>3</v>
      </c>
      <c r="AN116" s="3" t="n">
        <v>3</v>
      </c>
      <c r="AO116" s="3" t="n">
        <v>3</v>
      </c>
    </row>
    <row r="117" customFormat="false" ht="15" hidden="false" customHeight="false" outlineLevel="0" collapsed="false">
      <c r="A117" s="3" t="n">
        <v>0</v>
      </c>
      <c r="B117" s="3" t="n">
        <v>4</v>
      </c>
      <c r="C117" s="3" t="n">
        <v>1</v>
      </c>
      <c r="D117" s="3" t="n">
        <v>1</v>
      </c>
      <c r="E117" s="3" t="n">
        <v>2</v>
      </c>
      <c r="F117" s="3" t="n">
        <v>2</v>
      </c>
      <c r="G117" s="3" t="n">
        <v>2</v>
      </c>
      <c r="H117" s="3" t="n">
        <v>2</v>
      </c>
      <c r="I117" s="3" t="n">
        <v>1</v>
      </c>
      <c r="J117" s="3" t="n">
        <v>23</v>
      </c>
      <c r="K117" s="3" t="n">
        <v>3</v>
      </c>
      <c r="L117" s="3" t="n">
        <v>3</v>
      </c>
      <c r="M117" s="3" t="n">
        <v>2</v>
      </c>
      <c r="N117" s="3" t="n">
        <v>3</v>
      </c>
      <c r="O117" s="3" t="n">
        <v>3</v>
      </c>
      <c r="P117" s="3" t="n">
        <v>4</v>
      </c>
      <c r="Q117" s="3" t="n">
        <v>2</v>
      </c>
      <c r="R117" s="3" t="n">
        <v>3</v>
      </c>
      <c r="S117" s="3" t="n">
        <v>4</v>
      </c>
      <c r="T117" s="3" t="n">
        <v>3</v>
      </c>
      <c r="U117" s="3" t="n">
        <v>4</v>
      </c>
      <c r="V117" s="3" t="n">
        <v>3</v>
      </c>
      <c r="W117" s="3" t="n">
        <v>4</v>
      </c>
      <c r="X117" s="3" t="n">
        <v>4</v>
      </c>
      <c r="Y117" s="3" t="n">
        <v>2</v>
      </c>
      <c r="Z117" s="3" t="n">
        <v>4</v>
      </c>
      <c r="AA117" s="3" t="n">
        <v>4</v>
      </c>
      <c r="AB117" s="3" t="n">
        <v>4</v>
      </c>
      <c r="AC117" s="3" t="n">
        <v>4</v>
      </c>
      <c r="AD117" s="3" t="n">
        <v>4</v>
      </c>
      <c r="AE117" s="3" t="n">
        <v>2</v>
      </c>
      <c r="AF117" s="3" t="n">
        <v>2</v>
      </c>
      <c r="AG117" s="3" t="n">
        <v>4</v>
      </c>
      <c r="AH117" s="3" t="n">
        <v>4</v>
      </c>
      <c r="AI117" s="3" t="n">
        <v>3</v>
      </c>
      <c r="AJ117" s="3" t="n">
        <v>4</v>
      </c>
      <c r="AK117" s="3" t="n">
        <v>4</v>
      </c>
      <c r="AL117" s="3" t="n">
        <v>4</v>
      </c>
      <c r="AM117" s="3" t="n">
        <v>3</v>
      </c>
      <c r="AN117" s="3" t="n">
        <v>4</v>
      </c>
      <c r="AO117" s="3" t="n">
        <v>4</v>
      </c>
    </row>
    <row r="118" customFormat="false" ht="15" hidden="false" customHeight="false" outlineLevel="0" collapsed="false">
      <c r="B118" s="3" t="n">
        <v>4</v>
      </c>
      <c r="C118" s="3" t="n">
        <v>2</v>
      </c>
      <c r="D118" s="3" t="n">
        <v>1</v>
      </c>
      <c r="E118" s="3" t="n">
        <v>2</v>
      </c>
      <c r="F118" s="3" t="n">
        <v>2</v>
      </c>
      <c r="G118" s="3" t="n">
        <v>2</v>
      </c>
      <c r="H118" s="3" t="n">
        <v>3</v>
      </c>
      <c r="I118" s="3" t="n">
        <v>1</v>
      </c>
      <c r="J118" s="3" t="n">
        <v>22</v>
      </c>
      <c r="K118" s="3" t="n">
        <v>3</v>
      </c>
      <c r="L118" s="3" t="n">
        <v>4</v>
      </c>
      <c r="M118" s="3" t="n">
        <v>4</v>
      </c>
      <c r="N118" s="3" t="n">
        <v>3</v>
      </c>
      <c r="O118" s="3" t="n">
        <v>5</v>
      </c>
      <c r="P118" s="3" t="n">
        <v>4</v>
      </c>
      <c r="Q118" s="3" t="n">
        <v>4</v>
      </c>
      <c r="R118" s="3" t="n">
        <v>4</v>
      </c>
      <c r="S118" s="3" t="n">
        <v>5</v>
      </c>
      <c r="T118" s="3" t="n">
        <v>5</v>
      </c>
      <c r="U118" s="3" t="n">
        <v>5</v>
      </c>
      <c r="V118" s="3" t="n">
        <v>4</v>
      </c>
      <c r="W118" s="3" t="n">
        <v>5</v>
      </c>
      <c r="X118" s="3" t="n">
        <v>3</v>
      </c>
      <c r="Y118" s="3" t="n">
        <v>3</v>
      </c>
      <c r="Z118" s="3" t="n">
        <v>5</v>
      </c>
      <c r="AA118" s="3" t="n">
        <v>4</v>
      </c>
      <c r="AB118" s="3" t="n">
        <v>2</v>
      </c>
      <c r="AC118" s="3" t="n">
        <v>2</v>
      </c>
      <c r="AD118" s="3" t="n">
        <v>3</v>
      </c>
      <c r="AE118" s="3" t="n">
        <v>5</v>
      </c>
      <c r="AF118" s="3" t="n">
        <v>5</v>
      </c>
      <c r="AG118" s="3" t="n">
        <v>4</v>
      </c>
      <c r="AH118" s="3" t="n">
        <v>4</v>
      </c>
      <c r="AI118" s="3" t="n">
        <v>3</v>
      </c>
      <c r="AJ118" s="3" t="n">
        <v>4</v>
      </c>
      <c r="AK118" s="3" t="n">
        <v>3</v>
      </c>
      <c r="AL118" s="3" t="n">
        <v>4</v>
      </c>
      <c r="AM118" s="3" t="n">
        <v>3</v>
      </c>
      <c r="AN118" s="3" t="n">
        <v>4</v>
      </c>
      <c r="AO118" s="3" t="n">
        <v>3</v>
      </c>
    </row>
    <row r="119" customFormat="false" ht="15" hidden="false" customHeight="false" outlineLevel="0" collapsed="false">
      <c r="A119" s="3" t="n">
        <v>0</v>
      </c>
      <c r="B119" s="3" t="n">
        <v>4</v>
      </c>
      <c r="C119" s="3" t="n">
        <v>2</v>
      </c>
      <c r="D119" s="3" t="n">
        <v>1</v>
      </c>
      <c r="E119" s="3" t="n">
        <v>2</v>
      </c>
      <c r="F119" s="3" t="n">
        <v>2</v>
      </c>
      <c r="G119" s="3" t="n">
        <v>2</v>
      </c>
      <c r="H119" s="3" t="n">
        <v>3</v>
      </c>
      <c r="I119" s="3" t="n">
        <v>3</v>
      </c>
      <c r="J119" s="3" t="n">
        <v>26</v>
      </c>
      <c r="K119" s="3" t="n">
        <v>3</v>
      </c>
      <c r="L119" s="3" t="n">
        <v>3</v>
      </c>
      <c r="M119" s="3" t="n">
        <v>4</v>
      </c>
      <c r="N119" s="3" t="n">
        <v>2</v>
      </c>
      <c r="O119" s="3" t="n">
        <v>4</v>
      </c>
      <c r="P119" s="3" t="n">
        <v>4</v>
      </c>
      <c r="Q119" s="3" t="n">
        <v>3</v>
      </c>
      <c r="R119" s="3" t="n">
        <v>3</v>
      </c>
      <c r="S119" s="3" t="n">
        <v>4</v>
      </c>
      <c r="T119" s="3" t="n">
        <v>5</v>
      </c>
      <c r="U119" s="3" t="n">
        <v>4</v>
      </c>
      <c r="V119" s="3" t="n">
        <v>2</v>
      </c>
      <c r="W119" s="3" t="n">
        <v>3</v>
      </c>
      <c r="X119" s="3" t="n">
        <v>3</v>
      </c>
      <c r="Y119" s="3" t="n">
        <v>2</v>
      </c>
      <c r="Z119" s="3" t="n">
        <v>2</v>
      </c>
      <c r="AA119" s="3" t="n">
        <v>4</v>
      </c>
      <c r="AB119" s="3" t="n">
        <v>2</v>
      </c>
      <c r="AC119" s="3" t="n">
        <v>1</v>
      </c>
      <c r="AD119" s="3" t="n">
        <v>1</v>
      </c>
      <c r="AE119" s="3" t="n">
        <v>3</v>
      </c>
      <c r="AF119" s="3" t="n">
        <v>1</v>
      </c>
      <c r="AG119" s="3" t="n">
        <v>2</v>
      </c>
      <c r="AH119" s="3" t="n">
        <v>4</v>
      </c>
      <c r="AI119" s="3" t="n">
        <v>4</v>
      </c>
      <c r="AJ119" s="3" t="n">
        <v>2</v>
      </c>
      <c r="AK119" s="3" t="n">
        <v>3</v>
      </c>
      <c r="AL119" s="3" t="n">
        <v>4</v>
      </c>
      <c r="AM119" s="3" t="n">
        <v>3</v>
      </c>
      <c r="AN119" s="3" t="n">
        <v>4</v>
      </c>
      <c r="AO119" s="3" t="n">
        <v>2</v>
      </c>
    </row>
    <row r="120" customFormat="false" ht="15" hidden="false" customHeight="false" outlineLevel="0" collapsed="false">
      <c r="A120" s="3" t="n">
        <v>1</v>
      </c>
      <c r="B120" s="3" t="n">
        <v>3</v>
      </c>
      <c r="C120" s="3" t="n">
        <v>2</v>
      </c>
      <c r="D120" s="3" t="n">
        <v>1</v>
      </c>
      <c r="E120" s="3" t="n">
        <v>2</v>
      </c>
      <c r="F120" s="3" t="n">
        <v>2</v>
      </c>
      <c r="G120" s="3" t="n">
        <v>3</v>
      </c>
      <c r="H120" s="3" t="n">
        <v>1</v>
      </c>
      <c r="I120" s="3" t="n">
        <v>3</v>
      </c>
      <c r="J120" s="3" t="n">
        <v>24</v>
      </c>
      <c r="K120" s="3" t="n">
        <v>2</v>
      </c>
      <c r="L120" s="3" t="n">
        <v>4</v>
      </c>
      <c r="M120" s="3" t="n">
        <v>3</v>
      </c>
      <c r="N120" s="3" t="n">
        <v>4</v>
      </c>
      <c r="O120" s="3" t="n">
        <v>4</v>
      </c>
      <c r="P120" s="3" t="n">
        <v>4</v>
      </c>
      <c r="Q120" s="3" t="n">
        <v>2</v>
      </c>
      <c r="R120" s="3" t="n">
        <v>4</v>
      </c>
      <c r="S120" s="3" t="n">
        <v>4</v>
      </c>
      <c r="T120" s="3" t="n">
        <v>4</v>
      </c>
      <c r="U120" s="3" t="n">
        <v>4</v>
      </c>
      <c r="V120" s="3" t="n">
        <v>4</v>
      </c>
      <c r="W120" s="3" t="n">
        <v>4</v>
      </c>
      <c r="X120" s="3" t="n">
        <v>4</v>
      </c>
      <c r="Y120" s="3" t="n">
        <v>4</v>
      </c>
      <c r="Z120" s="3" t="n">
        <v>4</v>
      </c>
      <c r="AA120" s="3" t="n">
        <v>4</v>
      </c>
      <c r="AB120" s="3" t="n">
        <v>1</v>
      </c>
      <c r="AC120" s="3" t="n">
        <v>4</v>
      </c>
      <c r="AD120" s="3" t="n">
        <v>2</v>
      </c>
      <c r="AE120" s="3" t="n">
        <v>3</v>
      </c>
      <c r="AF120" s="3" t="n">
        <v>2</v>
      </c>
      <c r="AG120" s="3" t="n">
        <v>3</v>
      </c>
      <c r="AH120" s="3" t="n">
        <v>3</v>
      </c>
      <c r="AI120" s="3" t="n">
        <v>2</v>
      </c>
      <c r="AJ120" s="3" t="n">
        <v>2</v>
      </c>
      <c r="AK120" s="3" t="n">
        <v>4</v>
      </c>
      <c r="AL120" s="3" t="n">
        <v>2</v>
      </c>
      <c r="AM120" s="3" t="n">
        <v>4</v>
      </c>
      <c r="AN120" s="3" t="n">
        <v>3</v>
      </c>
      <c r="AO120" s="3" t="n">
        <v>3</v>
      </c>
    </row>
    <row r="121" customFormat="false" ht="15" hidden="false" customHeight="false" outlineLevel="0" collapsed="false">
      <c r="B121" s="3" t="n">
        <v>3</v>
      </c>
      <c r="C121" s="3" t="n">
        <v>1</v>
      </c>
      <c r="D121" s="3" t="n">
        <v>1</v>
      </c>
      <c r="E121" s="3" t="n">
        <v>2</v>
      </c>
      <c r="F121" s="3" t="n">
        <v>2</v>
      </c>
      <c r="G121" s="3" t="n">
        <v>2</v>
      </c>
      <c r="H121" s="3" t="n">
        <v>2</v>
      </c>
      <c r="I121" s="3" t="n">
        <v>1</v>
      </c>
      <c r="J121" s="3" t="n">
        <v>23</v>
      </c>
      <c r="K121" s="3" t="n">
        <v>4</v>
      </c>
      <c r="L121" s="3" t="n">
        <v>3</v>
      </c>
      <c r="M121" s="3" t="n">
        <v>4</v>
      </c>
      <c r="N121" s="3" t="n">
        <v>4</v>
      </c>
      <c r="O121" s="3" t="n">
        <v>4</v>
      </c>
      <c r="P121" s="3" t="n">
        <v>2</v>
      </c>
      <c r="Q121" s="3" t="n">
        <v>3</v>
      </c>
      <c r="R121" s="3" t="n">
        <v>3</v>
      </c>
      <c r="S121" s="3" t="n">
        <v>5</v>
      </c>
      <c r="T121" s="3" t="n">
        <v>4</v>
      </c>
      <c r="U121" s="3" t="n">
        <v>3</v>
      </c>
      <c r="V121" s="3" t="n">
        <v>4</v>
      </c>
      <c r="W121" s="3" t="n">
        <v>1</v>
      </c>
      <c r="X121" s="3" t="n">
        <v>2</v>
      </c>
      <c r="Y121" s="3" t="n">
        <v>5</v>
      </c>
      <c r="Z121" s="3" t="n">
        <v>4</v>
      </c>
      <c r="AA121" s="3" t="n">
        <v>3</v>
      </c>
      <c r="AB121" s="3" t="n">
        <v>4</v>
      </c>
      <c r="AC121" s="3" t="n">
        <v>4</v>
      </c>
      <c r="AD121" s="3" t="n">
        <v>1</v>
      </c>
      <c r="AE121" s="3" t="n">
        <v>4</v>
      </c>
      <c r="AF121" s="3" t="n">
        <v>3</v>
      </c>
      <c r="AG121" s="3" t="n">
        <v>4</v>
      </c>
      <c r="AH121" s="3" t="n">
        <v>1</v>
      </c>
      <c r="AI121" s="3" t="n">
        <v>4</v>
      </c>
      <c r="AJ121" s="3" t="n">
        <v>3</v>
      </c>
      <c r="AK121" s="3" t="n">
        <v>2</v>
      </c>
      <c r="AL121" s="3" t="n">
        <v>3</v>
      </c>
      <c r="AM121" s="3" t="n">
        <v>3</v>
      </c>
      <c r="AN121" s="3" t="n">
        <v>1</v>
      </c>
      <c r="AO121" s="3" t="n">
        <v>3</v>
      </c>
    </row>
    <row r="122" customFormat="false" ht="15" hidden="false" customHeight="false" outlineLevel="0" collapsed="false">
      <c r="B122" s="3" t="n">
        <v>4</v>
      </c>
      <c r="C122" s="3" t="n">
        <v>1</v>
      </c>
      <c r="D122" s="3" t="n">
        <v>1</v>
      </c>
      <c r="E122" s="3" t="n">
        <v>2</v>
      </c>
      <c r="F122" s="3" t="n">
        <v>2</v>
      </c>
      <c r="G122" s="3" t="n">
        <v>1</v>
      </c>
      <c r="H122" s="3" t="n">
        <v>2</v>
      </c>
      <c r="I122" s="3" t="n">
        <v>3</v>
      </c>
      <c r="J122" s="3" t="n">
        <v>29</v>
      </c>
      <c r="K122" s="3" t="n">
        <v>3</v>
      </c>
      <c r="L122" s="3" t="n">
        <v>4</v>
      </c>
      <c r="M122" s="3" t="n">
        <v>4</v>
      </c>
      <c r="N122" s="3" t="n">
        <v>4</v>
      </c>
      <c r="O122" s="3" t="n">
        <v>3</v>
      </c>
      <c r="P122" s="3" t="n">
        <v>4</v>
      </c>
      <c r="Q122" s="3" t="n">
        <v>4</v>
      </c>
      <c r="R122" s="3" t="n">
        <v>2</v>
      </c>
      <c r="S122" s="3" t="n">
        <v>4</v>
      </c>
      <c r="T122" s="3" t="n">
        <v>4</v>
      </c>
      <c r="U122" s="3" t="n">
        <v>4</v>
      </c>
      <c r="V122" s="3" t="n">
        <v>4</v>
      </c>
      <c r="W122" s="3" t="n">
        <v>4</v>
      </c>
      <c r="X122" s="3" t="n">
        <v>3</v>
      </c>
      <c r="Y122" s="3" t="n">
        <v>3</v>
      </c>
      <c r="Z122" s="3" t="n">
        <v>4</v>
      </c>
      <c r="AA122" s="3" t="n">
        <v>3</v>
      </c>
      <c r="AB122" s="3" t="n">
        <v>3</v>
      </c>
      <c r="AC122" s="3" t="n">
        <v>2</v>
      </c>
      <c r="AD122" s="3" t="n">
        <v>2</v>
      </c>
      <c r="AE122" s="3" t="n">
        <v>4</v>
      </c>
      <c r="AF122" s="3" t="n">
        <v>4</v>
      </c>
      <c r="AG122" s="3" t="n">
        <v>4</v>
      </c>
      <c r="AH122" s="3" t="n">
        <v>4</v>
      </c>
      <c r="AI122" s="3" t="n">
        <v>4</v>
      </c>
      <c r="AJ122" s="3" t="n">
        <v>2</v>
      </c>
      <c r="AK122" s="3" t="n">
        <v>2</v>
      </c>
      <c r="AL122" s="3" t="n">
        <v>4</v>
      </c>
      <c r="AM122" s="3" t="n">
        <v>3</v>
      </c>
      <c r="AN122" s="3" t="n">
        <v>2</v>
      </c>
      <c r="AO122" s="3" t="n">
        <v>3</v>
      </c>
    </row>
    <row r="123" customFormat="false" ht="15" hidden="false" customHeight="false" outlineLevel="0" collapsed="false">
      <c r="A123" s="3" t="n">
        <v>0</v>
      </c>
      <c r="B123" s="3" t="n">
        <v>1</v>
      </c>
      <c r="C123" s="3" t="n">
        <v>1</v>
      </c>
      <c r="D123" s="3" t="n">
        <v>2</v>
      </c>
      <c r="E123" s="3" t="n">
        <v>2</v>
      </c>
      <c r="F123" s="3" t="n">
        <v>2</v>
      </c>
      <c r="G123" s="3" t="n">
        <v>4</v>
      </c>
      <c r="H123" s="3" t="n">
        <v>3</v>
      </c>
      <c r="I123" s="3" t="n">
        <v>3</v>
      </c>
      <c r="J123" s="3" t="n">
        <v>26</v>
      </c>
      <c r="K123" s="3" t="n">
        <v>4</v>
      </c>
      <c r="L123" s="3" t="n">
        <v>4</v>
      </c>
      <c r="M123" s="3" t="n">
        <v>2</v>
      </c>
      <c r="N123" s="3" t="n">
        <v>4</v>
      </c>
      <c r="O123" s="3" t="n">
        <v>1</v>
      </c>
      <c r="P123" s="3" t="n">
        <v>3</v>
      </c>
      <c r="Q123" s="3" t="n">
        <v>2</v>
      </c>
      <c r="R123" s="3" t="n">
        <v>1</v>
      </c>
      <c r="S123" s="3" t="n">
        <v>4</v>
      </c>
      <c r="T123" s="3" t="n">
        <v>1</v>
      </c>
      <c r="U123" s="3" t="n">
        <v>4</v>
      </c>
      <c r="V123" s="3" t="n">
        <v>1</v>
      </c>
      <c r="W123" s="3" t="n">
        <v>2</v>
      </c>
      <c r="X123" s="3" t="n">
        <v>1</v>
      </c>
      <c r="Y123" s="3" t="n">
        <v>3</v>
      </c>
      <c r="Z123" s="3" t="n">
        <v>2</v>
      </c>
      <c r="AA123" s="3" t="n">
        <v>4</v>
      </c>
      <c r="AB123" s="3" t="n">
        <v>3</v>
      </c>
      <c r="AC123" s="3" t="n">
        <v>1</v>
      </c>
      <c r="AD123" s="3" t="n">
        <v>1</v>
      </c>
      <c r="AE123" s="3" t="n">
        <v>3</v>
      </c>
      <c r="AF123" s="3" t="n">
        <v>2</v>
      </c>
      <c r="AG123" s="3" t="n">
        <v>2</v>
      </c>
      <c r="AH123" s="3" t="n">
        <v>4</v>
      </c>
      <c r="AI123" s="3" t="n">
        <v>3</v>
      </c>
      <c r="AJ123" s="3" t="n">
        <v>5</v>
      </c>
      <c r="AK123" s="3" t="n">
        <v>1</v>
      </c>
      <c r="AL123" s="3" t="n">
        <v>4</v>
      </c>
      <c r="AM123" s="3" t="n">
        <v>3</v>
      </c>
      <c r="AN123" s="3" t="n">
        <v>2</v>
      </c>
      <c r="AO123" s="3" t="n">
        <v>2</v>
      </c>
    </row>
    <row r="124" customFormat="false" ht="15" hidden="false" customHeight="false" outlineLevel="0" collapsed="false">
      <c r="A124" s="3" t="n">
        <v>1</v>
      </c>
      <c r="B124" s="3" t="n">
        <v>4</v>
      </c>
      <c r="C124" s="3" t="n">
        <v>1</v>
      </c>
      <c r="D124" s="3" t="n">
        <v>1</v>
      </c>
      <c r="E124" s="3" t="n">
        <v>2</v>
      </c>
      <c r="F124" s="3" t="n">
        <v>2</v>
      </c>
      <c r="G124" s="3" t="n">
        <v>2</v>
      </c>
      <c r="H124" s="3" t="n">
        <v>2</v>
      </c>
      <c r="I124" s="3" t="n">
        <v>2</v>
      </c>
      <c r="J124" s="3" t="n">
        <v>24</v>
      </c>
      <c r="K124" s="3" t="n">
        <v>5</v>
      </c>
      <c r="L124" s="3" t="n">
        <v>3</v>
      </c>
      <c r="M124" s="3" t="n">
        <v>4</v>
      </c>
      <c r="N124" s="3" t="n">
        <v>4</v>
      </c>
      <c r="O124" s="3" t="n">
        <v>5</v>
      </c>
      <c r="P124" s="3" t="n">
        <v>4</v>
      </c>
      <c r="Q124" s="3" t="n">
        <v>4</v>
      </c>
      <c r="R124" s="3" t="n">
        <v>4</v>
      </c>
      <c r="S124" s="3" t="n">
        <v>5</v>
      </c>
      <c r="T124" s="3" t="n">
        <v>5</v>
      </c>
      <c r="U124" s="3" t="n">
        <v>5</v>
      </c>
      <c r="V124" s="3" t="n">
        <v>4</v>
      </c>
      <c r="W124" s="3" t="n">
        <v>5</v>
      </c>
      <c r="X124" s="3" t="n">
        <v>4</v>
      </c>
      <c r="Y124" s="3" t="n">
        <v>4</v>
      </c>
      <c r="Z124" s="3" t="n">
        <v>5</v>
      </c>
      <c r="AA124" s="3" t="n">
        <v>5</v>
      </c>
      <c r="AB124" s="3" t="n">
        <v>5</v>
      </c>
      <c r="AC124" s="3" t="n">
        <v>2</v>
      </c>
      <c r="AD124" s="3" t="n">
        <v>4</v>
      </c>
      <c r="AE124" s="3" t="n">
        <v>4</v>
      </c>
      <c r="AF124" s="3" t="n">
        <v>4</v>
      </c>
      <c r="AG124" s="3" t="n">
        <v>5</v>
      </c>
      <c r="AH124" s="3" t="n">
        <v>5</v>
      </c>
      <c r="AI124" s="3" t="n">
        <v>4</v>
      </c>
      <c r="AJ124" s="3" t="n">
        <v>5</v>
      </c>
      <c r="AK124" s="3" t="n">
        <v>4</v>
      </c>
      <c r="AL124" s="3" t="n">
        <v>5</v>
      </c>
      <c r="AM124" s="3" t="n">
        <v>5</v>
      </c>
      <c r="AN124" s="3" t="n">
        <v>2</v>
      </c>
      <c r="AO124" s="3" t="n">
        <v>4</v>
      </c>
    </row>
    <row r="125" customFormat="false" ht="15" hidden="false" customHeight="false" outlineLevel="0" collapsed="false">
      <c r="A125" s="3" t="n">
        <v>0</v>
      </c>
      <c r="B125" s="3" t="n">
        <v>3</v>
      </c>
      <c r="C125" s="3" t="n">
        <v>2</v>
      </c>
      <c r="D125" s="3" t="n">
        <v>1</v>
      </c>
      <c r="E125" s="3" t="n">
        <v>2</v>
      </c>
      <c r="F125" s="3" t="n">
        <v>2</v>
      </c>
      <c r="G125" s="3" t="n">
        <v>3</v>
      </c>
      <c r="H125" s="3" t="n">
        <v>3</v>
      </c>
      <c r="I125" s="3" t="n">
        <v>3</v>
      </c>
      <c r="J125" s="3" t="n">
        <v>26</v>
      </c>
      <c r="K125" s="3" t="n">
        <v>3</v>
      </c>
      <c r="L125" s="3" t="n">
        <v>3</v>
      </c>
      <c r="M125" s="3" t="n">
        <v>3</v>
      </c>
      <c r="N125" s="3" t="n">
        <v>3</v>
      </c>
      <c r="O125" s="3" t="n">
        <v>3</v>
      </c>
      <c r="P125" s="3" t="n">
        <v>3</v>
      </c>
      <c r="Q125" s="3" t="n">
        <v>3</v>
      </c>
      <c r="R125" s="3" t="n">
        <v>4</v>
      </c>
      <c r="S125" s="3" t="n">
        <v>5</v>
      </c>
      <c r="T125" s="3" t="n">
        <v>5</v>
      </c>
      <c r="U125" s="3" t="n">
        <v>5</v>
      </c>
      <c r="V125" s="3" t="n">
        <v>4</v>
      </c>
      <c r="W125" s="3" t="n">
        <v>4</v>
      </c>
      <c r="X125" s="3" t="n">
        <v>4</v>
      </c>
      <c r="Y125" s="3" t="n">
        <v>3</v>
      </c>
      <c r="Z125" s="3" t="n">
        <v>4</v>
      </c>
      <c r="AA125" s="3" t="n">
        <v>4</v>
      </c>
      <c r="AB125" s="3" t="n">
        <v>2</v>
      </c>
      <c r="AC125" s="3" t="n">
        <v>2</v>
      </c>
      <c r="AD125" s="3" t="n">
        <v>3</v>
      </c>
      <c r="AE125" s="3" t="n">
        <v>4</v>
      </c>
      <c r="AF125" s="3" t="n">
        <v>4</v>
      </c>
      <c r="AG125" s="3" t="n">
        <v>5</v>
      </c>
      <c r="AH125" s="3" t="n">
        <v>3</v>
      </c>
      <c r="AI125" s="3" t="n">
        <v>4</v>
      </c>
      <c r="AJ125" s="3" t="n">
        <v>4</v>
      </c>
      <c r="AK125" s="3" t="n">
        <v>3</v>
      </c>
      <c r="AL125" s="3" t="n">
        <v>4</v>
      </c>
      <c r="AM125" s="3" t="n">
        <v>3</v>
      </c>
      <c r="AN125" s="3" t="n">
        <v>3</v>
      </c>
      <c r="AO125" s="3" t="n">
        <v>3</v>
      </c>
    </row>
    <row r="126" customFormat="false" ht="15" hidden="false" customHeight="false" outlineLevel="0" collapsed="false">
      <c r="A126" s="3" t="n">
        <v>0</v>
      </c>
      <c r="B126" s="3" t="n">
        <v>4</v>
      </c>
      <c r="C126" s="3" t="n">
        <v>2</v>
      </c>
      <c r="D126" s="3" t="n">
        <v>2</v>
      </c>
      <c r="E126" s="3" t="n">
        <v>1</v>
      </c>
      <c r="F126" s="3" t="n">
        <v>1</v>
      </c>
      <c r="G126" s="3" t="n">
        <v>4</v>
      </c>
      <c r="H126" s="3" t="n">
        <v>1</v>
      </c>
      <c r="I126" s="3" t="n">
        <v>3</v>
      </c>
      <c r="J126" s="3" t="n">
        <v>26</v>
      </c>
      <c r="K126" s="3" t="n">
        <v>3</v>
      </c>
      <c r="L126" s="3" t="n">
        <v>3</v>
      </c>
      <c r="M126" s="3" t="n">
        <v>3</v>
      </c>
      <c r="N126" s="3" t="n">
        <v>2</v>
      </c>
      <c r="O126" s="3" t="n">
        <v>4</v>
      </c>
      <c r="P126" s="3" t="n">
        <v>4</v>
      </c>
      <c r="Q126" s="3" t="n">
        <v>3</v>
      </c>
      <c r="R126" s="3" t="n">
        <v>3</v>
      </c>
      <c r="S126" s="3" t="n">
        <v>5</v>
      </c>
      <c r="T126" s="3" t="n">
        <v>3</v>
      </c>
      <c r="U126" s="3" t="n">
        <v>4</v>
      </c>
      <c r="V126" s="3" t="n">
        <v>3</v>
      </c>
      <c r="W126" s="3" t="n">
        <v>3</v>
      </c>
      <c r="X126" s="3" t="n">
        <v>4</v>
      </c>
      <c r="Y126" s="3" t="n">
        <v>2</v>
      </c>
      <c r="Z126" s="3" t="n">
        <v>2</v>
      </c>
      <c r="AA126" s="3" t="n">
        <v>3</v>
      </c>
      <c r="AB126" s="3" t="n">
        <v>4</v>
      </c>
      <c r="AC126" s="3" t="n">
        <v>2</v>
      </c>
      <c r="AD126" s="3" t="n">
        <v>3</v>
      </c>
      <c r="AE126" s="3" t="n">
        <v>4</v>
      </c>
      <c r="AF126" s="3" t="n">
        <v>3</v>
      </c>
      <c r="AG126" s="3" t="n">
        <v>4</v>
      </c>
      <c r="AH126" s="3" t="n">
        <v>4</v>
      </c>
      <c r="AI126" s="3" t="n">
        <v>4</v>
      </c>
      <c r="AJ126" s="3" t="n">
        <v>5</v>
      </c>
      <c r="AK126" s="3" t="n">
        <v>3</v>
      </c>
      <c r="AL126" s="3" t="n">
        <v>3</v>
      </c>
      <c r="AM126" s="3" t="n">
        <v>3</v>
      </c>
      <c r="AN126" s="3" t="n">
        <v>3</v>
      </c>
      <c r="AO126" s="3" t="n">
        <v>2</v>
      </c>
    </row>
    <row r="127" customFormat="false" ht="15" hidden="false" customHeight="false" outlineLevel="0" collapsed="false">
      <c r="A127" s="3" t="n">
        <v>1</v>
      </c>
      <c r="B127" s="3" t="n">
        <v>4</v>
      </c>
      <c r="C127" s="3" t="n">
        <v>1</v>
      </c>
      <c r="D127" s="3" t="n">
        <v>1</v>
      </c>
      <c r="E127" s="3" t="n">
        <v>2</v>
      </c>
      <c r="F127" s="3" t="n">
        <v>2</v>
      </c>
      <c r="G127" s="3" t="n">
        <v>2</v>
      </c>
      <c r="H127" s="3" t="n">
        <v>3</v>
      </c>
      <c r="I127" s="3" t="n">
        <v>3</v>
      </c>
      <c r="J127" s="3" t="n">
        <v>26</v>
      </c>
      <c r="K127" s="3" t="n">
        <v>2</v>
      </c>
      <c r="L127" s="3" t="n">
        <v>4</v>
      </c>
      <c r="M127" s="3" t="n">
        <v>2</v>
      </c>
      <c r="N127" s="3" t="n">
        <v>3</v>
      </c>
      <c r="O127" s="3" t="n">
        <v>5</v>
      </c>
      <c r="P127" s="3" t="n">
        <v>2</v>
      </c>
      <c r="Q127" s="3" t="n">
        <v>2</v>
      </c>
      <c r="R127" s="3" t="n">
        <v>2</v>
      </c>
      <c r="S127" s="3" t="n">
        <v>5</v>
      </c>
      <c r="T127" s="3" t="n">
        <v>5</v>
      </c>
      <c r="U127" s="3" t="n">
        <v>5</v>
      </c>
      <c r="V127" s="3" t="n">
        <v>4</v>
      </c>
      <c r="W127" s="3" t="n">
        <v>5</v>
      </c>
      <c r="X127" s="3" t="n">
        <v>5</v>
      </c>
      <c r="Y127" s="3" t="n">
        <v>4</v>
      </c>
      <c r="Z127" s="3" t="n">
        <v>4</v>
      </c>
      <c r="AA127" s="3" t="n">
        <v>4</v>
      </c>
      <c r="AB127" s="3" t="n">
        <v>2</v>
      </c>
      <c r="AC127" s="3" t="n">
        <v>2</v>
      </c>
      <c r="AD127" s="3" t="n">
        <v>2</v>
      </c>
      <c r="AE127" s="3" t="n">
        <v>4</v>
      </c>
      <c r="AF127" s="3" t="n">
        <v>3</v>
      </c>
      <c r="AG127" s="3" t="n">
        <v>4</v>
      </c>
      <c r="AH127" s="3" t="n">
        <v>3</v>
      </c>
      <c r="AI127" s="3" t="n">
        <v>4</v>
      </c>
      <c r="AJ127" s="3" t="n">
        <v>4</v>
      </c>
      <c r="AK127" s="3" t="n">
        <v>3</v>
      </c>
      <c r="AL127" s="3" t="n">
        <v>5</v>
      </c>
      <c r="AM127" s="3" t="n">
        <v>4</v>
      </c>
      <c r="AN127" s="3" t="n">
        <v>4</v>
      </c>
      <c r="AO127" s="3" t="n">
        <v>2</v>
      </c>
    </row>
    <row r="128" customFormat="false" ht="15" hidden="false" customHeight="false" outlineLevel="0" collapsed="false">
      <c r="A128" s="3" t="n">
        <v>0</v>
      </c>
      <c r="B128" s="3" t="n">
        <v>1</v>
      </c>
      <c r="C128" s="3" t="n">
        <v>1</v>
      </c>
      <c r="D128" s="3" t="n">
        <v>1</v>
      </c>
      <c r="E128" s="3" t="n">
        <v>2</v>
      </c>
      <c r="F128" s="3" t="n">
        <v>2</v>
      </c>
      <c r="G128" s="3" t="n">
        <v>2</v>
      </c>
      <c r="H128" s="3" t="n">
        <v>3</v>
      </c>
      <c r="I128" s="3" t="n">
        <v>3</v>
      </c>
      <c r="J128" s="3" t="n">
        <v>25</v>
      </c>
      <c r="K128" s="3" t="n">
        <v>3</v>
      </c>
      <c r="L128" s="3" t="n">
        <v>4</v>
      </c>
      <c r="M128" s="3" t="n">
        <v>5</v>
      </c>
      <c r="N128" s="3" t="n">
        <v>5</v>
      </c>
      <c r="O128" s="3" t="n">
        <v>2</v>
      </c>
      <c r="P128" s="3" t="n">
        <v>4</v>
      </c>
      <c r="Q128" s="3" t="n">
        <v>5</v>
      </c>
      <c r="R128" s="3" t="n">
        <v>3</v>
      </c>
      <c r="S128" s="3" t="n">
        <v>5</v>
      </c>
      <c r="T128" s="3" t="n">
        <v>5</v>
      </c>
      <c r="U128" s="3" t="n">
        <v>4</v>
      </c>
      <c r="V128" s="3" t="n">
        <v>3</v>
      </c>
      <c r="W128" s="3" t="n">
        <v>5</v>
      </c>
      <c r="X128" s="3" t="n">
        <v>5</v>
      </c>
      <c r="Y128" s="3" t="n">
        <v>4</v>
      </c>
      <c r="Z128" s="3" t="n">
        <v>4</v>
      </c>
      <c r="AA128" s="3" t="n">
        <v>5</v>
      </c>
      <c r="AB128" s="3" t="n">
        <v>3</v>
      </c>
      <c r="AC128" s="3" t="n">
        <v>2</v>
      </c>
      <c r="AD128" s="3" t="n">
        <v>4</v>
      </c>
      <c r="AE128" s="3" t="n">
        <v>4</v>
      </c>
      <c r="AF128" s="3" t="n">
        <v>4</v>
      </c>
      <c r="AG128" s="3" t="n">
        <v>4</v>
      </c>
      <c r="AH128" s="3" t="n">
        <v>2</v>
      </c>
      <c r="AI128" s="3" t="n">
        <v>3</v>
      </c>
      <c r="AJ128" s="3" t="n">
        <v>5</v>
      </c>
      <c r="AK128" s="3" t="n">
        <v>4</v>
      </c>
      <c r="AL128" s="3" t="n">
        <v>5</v>
      </c>
      <c r="AM128" s="3" t="n">
        <v>4</v>
      </c>
      <c r="AN128" s="3" t="n">
        <v>4</v>
      </c>
      <c r="AO128" s="3" t="n">
        <v>4</v>
      </c>
    </row>
    <row r="129" customFormat="false" ht="15" hidden="false" customHeight="false" outlineLevel="0" collapsed="false">
      <c r="B129" s="3" t="n">
        <v>4</v>
      </c>
      <c r="C129" s="3" t="n">
        <v>2</v>
      </c>
      <c r="D129" s="3" t="n">
        <v>1</v>
      </c>
      <c r="E129" s="3" t="n">
        <v>2</v>
      </c>
      <c r="F129" s="3" t="n">
        <v>2</v>
      </c>
      <c r="G129" s="3" t="n">
        <v>3</v>
      </c>
      <c r="H129" s="3" t="n">
        <v>2</v>
      </c>
      <c r="I129" s="3" t="n">
        <v>1</v>
      </c>
      <c r="J129" s="3" t="n">
        <v>22</v>
      </c>
      <c r="K129" s="3" t="n">
        <v>3</v>
      </c>
      <c r="L129" s="3" t="n">
        <v>2</v>
      </c>
      <c r="M129" s="3" t="n">
        <v>4</v>
      </c>
      <c r="N129" s="3" t="n">
        <v>3</v>
      </c>
      <c r="O129" s="3" t="n">
        <v>4</v>
      </c>
      <c r="P129" s="3" t="n">
        <v>2</v>
      </c>
      <c r="Q129" s="3" t="n">
        <v>2</v>
      </c>
      <c r="R129" s="3" t="n">
        <v>3</v>
      </c>
      <c r="S129" s="3" t="n">
        <v>3</v>
      </c>
      <c r="T129" s="3" t="n">
        <v>4</v>
      </c>
      <c r="U129" s="3" t="n">
        <v>3</v>
      </c>
      <c r="V129" s="3" t="n">
        <v>3</v>
      </c>
      <c r="W129" s="3" t="n">
        <v>4</v>
      </c>
      <c r="X129" s="3" t="n">
        <v>3</v>
      </c>
      <c r="Y129" s="3" t="n">
        <v>2</v>
      </c>
      <c r="Z129" s="3" t="n">
        <v>3</v>
      </c>
      <c r="AA129" s="3" t="n">
        <v>4</v>
      </c>
      <c r="AB129" s="3" t="n">
        <v>3</v>
      </c>
      <c r="AC129" s="3" t="n">
        <v>2</v>
      </c>
      <c r="AD129" s="3" t="n">
        <v>3</v>
      </c>
      <c r="AE129" s="3" t="n">
        <v>3</v>
      </c>
      <c r="AF129" s="3" t="n">
        <v>3</v>
      </c>
      <c r="AG129" s="3" t="n">
        <v>3</v>
      </c>
      <c r="AH129" s="3" t="n">
        <v>3</v>
      </c>
      <c r="AI129" s="3" t="n">
        <v>3</v>
      </c>
      <c r="AJ129" s="3" t="n">
        <v>4</v>
      </c>
      <c r="AK129" s="3" t="n">
        <v>4</v>
      </c>
      <c r="AL129" s="3" t="n">
        <v>4</v>
      </c>
      <c r="AM129" s="3" t="n">
        <v>3</v>
      </c>
      <c r="AN129" s="3" t="n">
        <v>3</v>
      </c>
      <c r="AO129" s="3" t="n">
        <v>2</v>
      </c>
    </row>
    <row r="130" customFormat="false" ht="15" hidden="false" customHeight="false" outlineLevel="0" collapsed="false">
      <c r="A130" s="3" t="n">
        <v>0</v>
      </c>
      <c r="B130" s="3" t="n">
        <v>3</v>
      </c>
      <c r="C130" s="3" t="n">
        <v>2</v>
      </c>
      <c r="D130" s="3" t="n">
        <v>1</v>
      </c>
      <c r="E130" s="3" t="n">
        <v>2</v>
      </c>
      <c r="F130" s="3" t="n">
        <v>2</v>
      </c>
      <c r="G130" s="3" t="n">
        <v>1</v>
      </c>
      <c r="H130" s="3" t="n">
        <v>2</v>
      </c>
      <c r="I130" s="3" t="n">
        <v>1</v>
      </c>
      <c r="J130" s="3" t="n">
        <v>23</v>
      </c>
      <c r="K130" s="3" t="n">
        <v>3</v>
      </c>
      <c r="L130" s="3" t="n">
        <v>3</v>
      </c>
      <c r="M130" s="3" t="n">
        <v>4</v>
      </c>
      <c r="N130" s="3" t="n">
        <v>2</v>
      </c>
      <c r="O130" s="3" t="n">
        <v>4</v>
      </c>
      <c r="P130" s="3" t="n">
        <v>4</v>
      </c>
      <c r="Q130" s="3" t="n">
        <v>4</v>
      </c>
      <c r="R130" s="3" t="n">
        <v>3</v>
      </c>
      <c r="S130" s="3" t="n">
        <v>4</v>
      </c>
      <c r="T130" s="3" t="n">
        <v>4</v>
      </c>
      <c r="U130" s="3" t="n">
        <v>4</v>
      </c>
      <c r="V130" s="3" t="n">
        <v>3</v>
      </c>
      <c r="W130" s="3" t="n">
        <v>2</v>
      </c>
      <c r="X130" s="3" t="n">
        <v>3</v>
      </c>
      <c r="Y130" s="3" t="n">
        <v>3</v>
      </c>
      <c r="Z130" s="3" t="n">
        <v>2</v>
      </c>
      <c r="AA130" s="3" t="n">
        <v>4</v>
      </c>
      <c r="AB130" s="3" t="n">
        <v>3</v>
      </c>
      <c r="AC130" s="3" t="n">
        <v>2</v>
      </c>
      <c r="AD130" s="3" t="n">
        <v>2</v>
      </c>
      <c r="AE130" s="3" t="n">
        <v>2</v>
      </c>
      <c r="AF130" s="3" t="n">
        <v>2</v>
      </c>
      <c r="AG130" s="3" t="n">
        <v>2</v>
      </c>
      <c r="AH130" s="3" t="n">
        <v>5</v>
      </c>
      <c r="AI130" s="3" t="n">
        <v>4</v>
      </c>
      <c r="AJ130" s="3" t="n">
        <v>4</v>
      </c>
      <c r="AK130" s="3" t="n">
        <v>4</v>
      </c>
      <c r="AL130" s="3" t="n">
        <v>5</v>
      </c>
      <c r="AM130" s="3" t="n">
        <v>3</v>
      </c>
      <c r="AN130" s="3" t="n">
        <v>2</v>
      </c>
      <c r="AO130" s="3" t="n">
        <v>3</v>
      </c>
    </row>
    <row r="131" customFormat="false" ht="15" hidden="false" customHeight="false" outlineLevel="0" collapsed="false">
      <c r="A131" s="3" t="n">
        <v>1</v>
      </c>
      <c r="B131" s="3" t="n">
        <v>3</v>
      </c>
      <c r="C131" s="3" t="n">
        <v>1</v>
      </c>
      <c r="D131" s="3" t="n">
        <v>2</v>
      </c>
      <c r="E131" s="3" t="n">
        <v>2</v>
      </c>
      <c r="F131" s="3" t="n">
        <v>2</v>
      </c>
      <c r="G131" s="3" t="n">
        <v>1</v>
      </c>
      <c r="H131" s="3" t="n">
        <v>1</v>
      </c>
      <c r="I131" s="3" t="n">
        <v>2</v>
      </c>
      <c r="J131" s="3" t="n">
        <v>21</v>
      </c>
      <c r="K131" s="3" t="n">
        <v>3</v>
      </c>
      <c r="L131" s="3" t="n">
        <v>4</v>
      </c>
      <c r="M131" s="3" t="n">
        <v>2</v>
      </c>
      <c r="N131" s="3" t="n">
        <v>2</v>
      </c>
      <c r="O131" s="3" t="n">
        <v>4</v>
      </c>
      <c r="P131" s="3" t="n">
        <v>2</v>
      </c>
      <c r="Q131" s="3" t="n">
        <v>2</v>
      </c>
      <c r="R131" s="3" t="n">
        <v>2</v>
      </c>
      <c r="S131" s="3" t="n">
        <v>4</v>
      </c>
      <c r="T131" s="3" t="n">
        <v>3</v>
      </c>
      <c r="U131" s="3" t="n">
        <v>4</v>
      </c>
      <c r="V131" s="3" t="n">
        <v>3</v>
      </c>
      <c r="W131" s="3" t="n">
        <v>5</v>
      </c>
      <c r="X131" s="3" t="n">
        <v>4</v>
      </c>
      <c r="Y131" s="3" t="n">
        <v>4</v>
      </c>
      <c r="Z131" s="3" t="n">
        <v>5</v>
      </c>
      <c r="AA131" s="3" t="n">
        <v>2</v>
      </c>
      <c r="AB131" s="3" t="n">
        <v>2</v>
      </c>
      <c r="AC131" s="3" t="n">
        <v>2</v>
      </c>
      <c r="AD131" s="3" t="n">
        <v>2</v>
      </c>
      <c r="AE131" s="3" t="n">
        <v>4</v>
      </c>
      <c r="AF131" s="3" t="n">
        <v>2</v>
      </c>
      <c r="AG131" s="3" t="n">
        <v>3</v>
      </c>
      <c r="AH131" s="3" t="n">
        <v>4</v>
      </c>
      <c r="AI131" s="3" t="n">
        <v>4</v>
      </c>
      <c r="AJ131" s="3" t="n">
        <v>2</v>
      </c>
      <c r="AK131" s="3" t="n">
        <v>2</v>
      </c>
      <c r="AL131" s="3" t="n">
        <v>3</v>
      </c>
      <c r="AM131" s="3" t="n">
        <v>2</v>
      </c>
      <c r="AN131" s="3" t="n">
        <v>2</v>
      </c>
      <c r="AO131" s="3" t="n">
        <v>2</v>
      </c>
    </row>
    <row r="132" customFormat="false" ht="15" hidden="false" customHeight="false" outlineLevel="0" collapsed="false">
      <c r="A132" s="3" t="n">
        <v>0</v>
      </c>
      <c r="B132" s="3" t="n">
        <v>4</v>
      </c>
      <c r="C132" s="3" t="n">
        <v>1</v>
      </c>
      <c r="D132" s="3" t="n">
        <v>1</v>
      </c>
      <c r="E132" s="3" t="n">
        <v>2</v>
      </c>
      <c r="F132" s="3" t="n">
        <v>2</v>
      </c>
      <c r="G132" s="3" t="n">
        <v>2</v>
      </c>
      <c r="H132" s="3" t="n">
        <v>1</v>
      </c>
      <c r="I132" s="3" t="n">
        <v>2</v>
      </c>
      <c r="J132" s="3" t="n">
        <v>23</v>
      </c>
      <c r="K132" s="3" t="n">
        <v>2</v>
      </c>
      <c r="L132" s="3" t="n">
        <v>2</v>
      </c>
      <c r="M132" s="3" t="n">
        <v>5</v>
      </c>
      <c r="N132" s="3" t="n">
        <v>3</v>
      </c>
      <c r="O132" s="3" t="n">
        <v>4</v>
      </c>
      <c r="P132" s="3" t="n">
        <v>4</v>
      </c>
      <c r="Q132" s="3" t="n">
        <v>3</v>
      </c>
      <c r="R132" s="3" t="n">
        <v>4</v>
      </c>
      <c r="S132" s="3" t="n">
        <v>4</v>
      </c>
      <c r="T132" s="3" t="n">
        <v>5</v>
      </c>
      <c r="U132" s="3" t="n">
        <v>5</v>
      </c>
      <c r="V132" s="3" t="n">
        <v>4</v>
      </c>
      <c r="W132" s="3" t="n">
        <v>4</v>
      </c>
      <c r="X132" s="3" t="n">
        <v>4</v>
      </c>
      <c r="Y132" s="3" t="n">
        <v>3</v>
      </c>
      <c r="Z132" s="3" t="n">
        <v>4</v>
      </c>
      <c r="AA132" s="3" t="n">
        <v>5</v>
      </c>
      <c r="AB132" s="3" t="n">
        <v>3</v>
      </c>
      <c r="AC132" s="3" t="n">
        <v>1</v>
      </c>
      <c r="AD132" s="3" t="n">
        <v>2</v>
      </c>
      <c r="AE132" s="3" t="n">
        <v>3</v>
      </c>
      <c r="AF132" s="3" t="n">
        <v>2</v>
      </c>
      <c r="AG132" s="3" t="n">
        <v>4</v>
      </c>
      <c r="AH132" s="3" t="n">
        <v>3</v>
      </c>
      <c r="AI132" s="3" t="n">
        <v>3</v>
      </c>
      <c r="AJ132" s="3" t="n">
        <v>3</v>
      </c>
      <c r="AK132" s="3" t="n">
        <v>5</v>
      </c>
      <c r="AL132" s="3" t="n">
        <v>5</v>
      </c>
      <c r="AM132" s="3" t="n">
        <v>2</v>
      </c>
      <c r="AN132" s="3" t="n">
        <v>3</v>
      </c>
      <c r="AO132" s="3" t="n">
        <v>2</v>
      </c>
    </row>
    <row r="133" customFormat="false" ht="15" hidden="false" customHeight="false" outlineLevel="0" collapsed="false">
      <c r="B133" s="3" t="n">
        <v>2</v>
      </c>
      <c r="C133" s="3" t="n">
        <v>1</v>
      </c>
      <c r="D133" s="3" t="n">
        <v>1</v>
      </c>
      <c r="E133" s="3" t="n">
        <v>2</v>
      </c>
      <c r="F133" s="3" t="n">
        <v>2</v>
      </c>
      <c r="G133" s="3" t="n">
        <v>1</v>
      </c>
      <c r="H133" s="3" t="n">
        <v>2</v>
      </c>
      <c r="I133" s="3" t="n">
        <v>1</v>
      </c>
      <c r="J133" s="3" t="n">
        <v>22</v>
      </c>
      <c r="K133" s="3" t="n">
        <v>3</v>
      </c>
      <c r="L133" s="3" t="n">
        <v>3</v>
      </c>
      <c r="M133" s="3" t="n">
        <v>4</v>
      </c>
      <c r="N133" s="3" t="n">
        <v>4</v>
      </c>
      <c r="O133" s="3" t="n">
        <v>3</v>
      </c>
      <c r="P133" s="3" t="n">
        <v>3</v>
      </c>
      <c r="Q133" s="3" t="n">
        <v>3</v>
      </c>
      <c r="R133" s="3" t="n">
        <v>4</v>
      </c>
      <c r="S133" s="3" t="n">
        <v>4</v>
      </c>
      <c r="T133" s="3" t="n">
        <v>4</v>
      </c>
      <c r="U133" s="3" t="n">
        <v>4</v>
      </c>
      <c r="V133" s="3" t="n">
        <v>3</v>
      </c>
      <c r="W133" s="3" t="n">
        <v>4</v>
      </c>
      <c r="X133" s="3" t="n">
        <v>4</v>
      </c>
      <c r="Y133" s="3" t="n">
        <v>3</v>
      </c>
      <c r="Z133" s="3" t="n">
        <v>4</v>
      </c>
      <c r="AA133" s="3" t="n">
        <v>4</v>
      </c>
      <c r="AB133" s="3" t="n">
        <v>4</v>
      </c>
      <c r="AC133" s="3" t="n">
        <v>1</v>
      </c>
      <c r="AD133" s="3" t="n">
        <v>3</v>
      </c>
      <c r="AE133" s="3" t="n">
        <v>4</v>
      </c>
      <c r="AF133" s="3" t="n">
        <v>4</v>
      </c>
      <c r="AG133" s="3" t="n">
        <v>4</v>
      </c>
      <c r="AH133" s="3" t="n">
        <v>4</v>
      </c>
      <c r="AI133" s="3" t="n">
        <v>4</v>
      </c>
      <c r="AJ133" s="3" t="n">
        <v>2</v>
      </c>
      <c r="AK133" s="3" t="n">
        <v>2</v>
      </c>
      <c r="AL133" s="3" t="n">
        <v>4</v>
      </c>
      <c r="AM133" s="3" t="n">
        <v>3</v>
      </c>
      <c r="AN133" s="3" t="n">
        <v>2</v>
      </c>
      <c r="AO133" s="3" t="n">
        <v>3</v>
      </c>
    </row>
    <row r="134" customFormat="false" ht="15" hidden="false" customHeight="false" outlineLevel="0" collapsed="false">
      <c r="A134" s="3" t="n">
        <v>1</v>
      </c>
      <c r="B134" s="3" t="n">
        <v>1</v>
      </c>
      <c r="C134" s="3" t="n">
        <v>1</v>
      </c>
      <c r="D134" s="3" t="n">
        <v>1</v>
      </c>
      <c r="E134" s="3" t="n">
        <v>2</v>
      </c>
      <c r="F134" s="3" t="n">
        <v>2</v>
      </c>
      <c r="G134" s="3" t="n">
        <v>3</v>
      </c>
      <c r="H134" s="3" t="n">
        <v>1</v>
      </c>
      <c r="I134" s="3" t="n">
        <v>3</v>
      </c>
      <c r="J134" s="3" t="n">
        <v>25</v>
      </c>
      <c r="K134" s="3" t="n">
        <v>4</v>
      </c>
      <c r="L134" s="3" t="n">
        <v>4</v>
      </c>
      <c r="M134" s="3" t="n">
        <v>5</v>
      </c>
      <c r="N134" s="3" t="n">
        <v>5</v>
      </c>
      <c r="O134" s="3" t="n">
        <v>5</v>
      </c>
      <c r="P134" s="3" t="n">
        <v>4</v>
      </c>
      <c r="Q134" s="3" t="n">
        <v>2</v>
      </c>
      <c r="R134" s="3" t="n">
        <v>2</v>
      </c>
      <c r="S134" s="3" t="n">
        <v>4</v>
      </c>
      <c r="T134" s="3" t="n">
        <v>5</v>
      </c>
      <c r="U134" s="3" t="n">
        <v>5</v>
      </c>
      <c r="V134" s="3" t="n">
        <v>5</v>
      </c>
      <c r="W134" s="3" t="n">
        <v>5</v>
      </c>
      <c r="X134" s="3" t="n">
        <v>5</v>
      </c>
      <c r="Y134" s="3" t="n">
        <v>5</v>
      </c>
      <c r="Z134" s="3" t="n">
        <v>5</v>
      </c>
      <c r="AA134" s="3" t="n">
        <v>4</v>
      </c>
      <c r="AB134" s="3" t="n">
        <v>1</v>
      </c>
      <c r="AC134" s="3" t="n">
        <v>1</v>
      </c>
      <c r="AD134" s="3" t="n">
        <v>1</v>
      </c>
      <c r="AE134" s="3" t="n">
        <v>4</v>
      </c>
      <c r="AF134" s="3" t="n">
        <v>3</v>
      </c>
      <c r="AG134" s="3" t="n">
        <v>4</v>
      </c>
      <c r="AH134" s="3" t="n">
        <v>5</v>
      </c>
      <c r="AI134" s="3" t="n">
        <v>5</v>
      </c>
      <c r="AJ134" s="3" t="n">
        <v>4</v>
      </c>
      <c r="AK134" s="3" t="n">
        <v>3</v>
      </c>
      <c r="AL134" s="3" t="n">
        <v>5</v>
      </c>
      <c r="AM134" s="3" t="n">
        <v>4</v>
      </c>
      <c r="AN134" s="3" t="n">
        <v>2</v>
      </c>
      <c r="AO134" s="3" t="n">
        <v>3</v>
      </c>
    </row>
    <row r="135" customFormat="false" ht="15" hidden="false" customHeight="false" outlineLevel="0" collapsed="false">
      <c r="A135" s="3" t="n">
        <v>0</v>
      </c>
      <c r="B135" s="3" t="n">
        <v>4</v>
      </c>
      <c r="C135" s="3" t="n">
        <v>1</v>
      </c>
      <c r="D135" s="3" t="n">
        <v>1</v>
      </c>
      <c r="E135" s="3" t="n">
        <v>2</v>
      </c>
      <c r="F135" s="3" t="n">
        <v>2</v>
      </c>
      <c r="G135" s="3" t="n">
        <v>1</v>
      </c>
      <c r="H135" s="3" t="n">
        <v>2</v>
      </c>
      <c r="I135" s="3" t="n">
        <v>1</v>
      </c>
      <c r="J135" s="3" t="n">
        <v>25</v>
      </c>
      <c r="K135" s="3" t="n">
        <v>4</v>
      </c>
      <c r="L135" s="3" t="n">
        <v>4</v>
      </c>
      <c r="M135" s="3" t="n">
        <v>2</v>
      </c>
      <c r="N135" s="3" t="n">
        <v>4</v>
      </c>
      <c r="O135" s="3" t="n">
        <v>5</v>
      </c>
      <c r="P135" s="3" t="n">
        <v>5</v>
      </c>
      <c r="Q135" s="3" t="n">
        <v>5</v>
      </c>
      <c r="R135" s="3" t="n">
        <v>2</v>
      </c>
      <c r="S135" s="3" t="n">
        <v>3</v>
      </c>
      <c r="T135" s="3" t="n">
        <v>5</v>
      </c>
      <c r="U135" s="3" t="n">
        <v>4</v>
      </c>
      <c r="V135" s="3" t="n">
        <v>5</v>
      </c>
      <c r="W135" s="3" t="n">
        <v>5</v>
      </c>
      <c r="X135" s="3" t="n">
        <v>5</v>
      </c>
      <c r="Y135" s="3" t="n">
        <v>5</v>
      </c>
      <c r="Z135" s="3" t="n">
        <v>5</v>
      </c>
      <c r="AA135" s="3" t="n">
        <v>5</v>
      </c>
      <c r="AB135" s="3" t="n">
        <v>3</v>
      </c>
      <c r="AC135" s="3" t="n">
        <v>2</v>
      </c>
      <c r="AD135" s="3" t="n">
        <v>2</v>
      </c>
      <c r="AE135" s="3" t="n">
        <v>3</v>
      </c>
      <c r="AF135" s="3" t="n">
        <v>2</v>
      </c>
      <c r="AG135" s="3" t="n">
        <v>5</v>
      </c>
      <c r="AH135" s="3" t="n">
        <v>4</v>
      </c>
      <c r="AI135" s="3" t="n">
        <v>4</v>
      </c>
      <c r="AJ135" s="3" t="n">
        <v>4</v>
      </c>
      <c r="AK135" s="3" t="n">
        <v>5</v>
      </c>
      <c r="AL135" s="3" t="n">
        <v>5</v>
      </c>
      <c r="AM135" s="3" t="n">
        <v>5</v>
      </c>
      <c r="AN135" s="3" t="n">
        <v>2</v>
      </c>
      <c r="AO135" s="3" t="n">
        <v>3</v>
      </c>
    </row>
    <row r="136" customFormat="false" ht="15" hidden="false" customHeight="false" outlineLevel="0" collapsed="false">
      <c r="B136" s="3" t="n">
        <v>4</v>
      </c>
      <c r="C136" s="3" t="n">
        <v>2</v>
      </c>
      <c r="D136" s="3" t="n">
        <v>1</v>
      </c>
      <c r="E136" s="3" t="n">
        <v>2</v>
      </c>
      <c r="F136" s="3" t="n">
        <v>2</v>
      </c>
      <c r="G136" s="3" t="n">
        <v>2</v>
      </c>
      <c r="H136" s="3" t="n">
        <v>3</v>
      </c>
      <c r="I136" s="3" t="n">
        <v>1</v>
      </c>
      <c r="J136" s="3" t="n">
        <v>26</v>
      </c>
      <c r="K136" s="3" t="n">
        <v>4</v>
      </c>
      <c r="L136" s="3" t="n">
        <v>4</v>
      </c>
      <c r="M136" s="3" t="n">
        <v>4</v>
      </c>
      <c r="N136" s="3" t="n">
        <v>4</v>
      </c>
      <c r="O136" s="3" t="n">
        <v>2</v>
      </c>
      <c r="P136" s="3" t="n">
        <v>4</v>
      </c>
      <c r="Q136" s="3" t="n">
        <v>4</v>
      </c>
      <c r="R136" s="3" t="n">
        <v>2</v>
      </c>
      <c r="S136" s="3" t="n">
        <v>4</v>
      </c>
      <c r="T136" s="3" t="n">
        <v>4</v>
      </c>
      <c r="U136" s="3" t="n">
        <v>4</v>
      </c>
      <c r="V136" s="3" t="n">
        <v>4</v>
      </c>
      <c r="W136" s="3" t="n">
        <v>4</v>
      </c>
      <c r="X136" s="3" t="n">
        <v>2</v>
      </c>
      <c r="Y136" s="3" t="n">
        <v>3</v>
      </c>
      <c r="Z136" s="3" t="n">
        <v>3</v>
      </c>
      <c r="AA136" s="3" t="n">
        <v>5</v>
      </c>
      <c r="AB136" s="3" t="n">
        <v>4</v>
      </c>
      <c r="AC136" s="3" t="n">
        <v>2</v>
      </c>
      <c r="AD136" s="3" t="n">
        <v>2</v>
      </c>
      <c r="AE136" s="3" t="n">
        <v>4</v>
      </c>
      <c r="AF136" s="3" t="n">
        <v>3</v>
      </c>
      <c r="AG136" s="3" t="n">
        <v>5</v>
      </c>
      <c r="AH136" s="3" t="n">
        <v>2</v>
      </c>
      <c r="AI136" s="3" t="n">
        <v>2</v>
      </c>
      <c r="AJ136" s="3" t="n">
        <v>4</v>
      </c>
      <c r="AK136" s="3" t="n">
        <v>2</v>
      </c>
      <c r="AL136" s="3" t="n">
        <v>4</v>
      </c>
      <c r="AM136" s="3" t="n">
        <v>3</v>
      </c>
      <c r="AN136" s="3" t="n">
        <v>2</v>
      </c>
      <c r="AO136" s="3" t="n">
        <v>4</v>
      </c>
    </row>
    <row r="137" customFormat="false" ht="15" hidden="false" customHeight="false" outlineLevel="0" collapsed="false">
      <c r="A137" s="3" t="n">
        <v>1</v>
      </c>
      <c r="B137" s="3" t="n">
        <v>3</v>
      </c>
      <c r="C137" s="3" t="n">
        <v>1</v>
      </c>
      <c r="D137" s="3" t="n">
        <v>1</v>
      </c>
      <c r="E137" s="3" t="n">
        <v>2</v>
      </c>
      <c r="F137" s="3" t="n">
        <v>2</v>
      </c>
      <c r="G137" s="3" t="n">
        <v>1</v>
      </c>
      <c r="H137" s="3" t="n">
        <v>3</v>
      </c>
      <c r="I137" s="3" t="n">
        <v>1</v>
      </c>
      <c r="J137" s="3" t="n">
        <v>23</v>
      </c>
      <c r="K137" s="3" t="n">
        <v>3</v>
      </c>
      <c r="L137" s="3" t="n">
        <v>2</v>
      </c>
      <c r="M137" s="3" t="n">
        <v>4</v>
      </c>
      <c r="N137" s="3" t="n">
        <v>3</v>
      </c>
      <c r="O137" s="3" t="n">
        <v>5</v>
      </c>
      <c r="P137" s="3" t="n">
        <v>1</v>
      </c>
      <c r="Q137" s="3" t="n">
        <v>4</v>
      </c>
      <c r="R137" s="3" t="n">
        <v>2</v>
      </c>
      <c r="S137" s="3" t="n">
        <v>4</v>
      </c>
      <c r="T137" s="3" t="n">
        <v>4</v>
      </c>
      <c r="U137" s="3" t="n">
        <v>4</v>
      </c>
      <c r="V137" s="3" t="n">
        <v>4</v>
      </c>
      <c r="W137" s="3" t="n">
        <v>3</v>
      </c>
      <c r="X137" s="3" t="n">
        <v>2</v>
      </c>
      <c r="Y137" s="3" t="n">
        <v>3</v>
      </c>
      <c r="Z137" s="3" t="n">
        <v>3</v>
      </c>
      <c r="AA137" s="3" t="n">
        <v>5</v>
      </c>
      <c r="AB137" s="3" t="n">
        <v>1</v>
      </c>
      <c r="AC137" s="3" t="n">
        <v>2</v>
      </c>
      <c r="AD137" s="3" t="n">
        <v>2</v>
      </c>
      <c r="AE137" s="3" t="n">
        <v>1</v>
      </c>
      <c r="AF137" s="3" t="n">
        <v>2</v>
      </c>
      <c r="AG137" s="3" t="n">
        <v>2</v>
      </c>
      <c r="AH137" s="3" t="n">
        <v>4</v>
      </c>
      <c r="AI137" s="3" t="n">
        <v>4</v>
      </c>
      <c r="AJ137" s="3" t="n">
        <v>4</v>
      </c>
      <c r="AK137" s="3" t="n">
        <v>2</v>
      </c>
      <c r="AL137" s="3" t="n">
        <v>4</v>
      </c>
      <c r="AM137" s="3" t="n">
        <v>2</v>
      </c>
      <c r="AN137" s="3" t="n">
        <v>2</v>
      </c>
      <c r="AO137" s="3" t="n">
        <v>3</v>
      </c>
    </row>
    <row r="138" customFormat="false" ht="15" hidden="false" customHeight="false" outlineLevel="0" collapsed="false">
      <c r="A138" s="3" t="n">
        <v>1</v>
      </c>
      <c r="B138" s="3" t="n">
        <v>4</v>
      </c>
      <c r="C138" s="3" t="n">
        <v>1</v>
      </c>
      <c r="D138" s="3" t="n">
        <v>1</v>
      </c>
      <c r="E138" s="3" t="n">
        <v>2</v>
      </c>
      <c r="F138" s="3" t="n">
        <v>2</v>
      </c>
      <c r="G138" s="3" t="n">
        <v>1</v>
      </c>
      <c r="H138" s="3" t="n">
        <v>3</v>
      </c>
      <c r="I138" s="3" t="n">
        <v>1</v>
      </c>
      <c r="J138" s="3" t="n">
        <v>23</v>
      </c>
      <c r="K138" s="3" t="n">
        <v>2</v>
      </c>
      <c r="L138" s="3" t="n">
        <v>3</v>
      </c>
      <c r="M138" s="3" t="n">
        <v>3</v>
      </c>
      <c r="N138" s="3" t="n">
        <v>3</v>
      </c>
      <c r="O138" s="3" t="n">
        <v>3</v>
      </c>
      <c r="P138" s="3" t="n">
        <v>2</v>
      </c>
      <c r="Q138" s="3" t="n">
        <v>3</v>
      </c>
      <c r="R138" s="3" t="n">
        <v>3</v>
      </c>
      <c r="S138" s="3" t="n">
        <v>4</v>
      </c>
      <c r="T138" s="3" t="n">
        <v>4</v>
      </c>
      <c r="U138" s="3" t="n">
        <v>4</v>
      </c>
      <c r="V138" s="3" t="n">
        <v>4</v>
      </c>
      <c r="W138" s="3" t="n">
        <v>4</v>
      </c>
      <c r="X138" s="3" t="n">
        <v>4</v>
      </c>
      <c r="Y138" s="3" t="n">
        <v>4</v>
      </c>
      <c r="Z138" s="3" t="n">
        <v>4</v>
      </c>
      <c r="AA138" s="3" t="n">
        <v>3</v>
      </c>
      <c r="AB138" s="3" t="n">
        <v>3</v>
      </c>
      <c r="AC138" s="3" t="n">
        <v>2</v>
      </c>
      <c r="AD138" s="3" t="n">
        <v>2</v>
      </c>
      <c r="AE138" s="3" t="n">
        <v>3</v>
      </c>
      <c r="AF138" s="3" t="n">
        <v>2</v>
      </c>
      <c r="AG138" s="3" t="n">
        <v>4</v>
      </c>
      <c r="AH138" s="3" t="n">
        <v>3</v>
      </c>
      <c r="AI138" s="3" t="n">
        <v>3</v>
      </c>
      <c r="AJ138" s="3" t="n">
        <v>4</v>
      </c>
      <c r="AK138" s="3" t="n">
        <v>4</v>
      </c>
      <c r="AL138" s="3" t="n">
        <v>3</v>
      </c>
      <c r="AM138" s="3" t="n">
        <v>4</v>
      </c>
      <c r="AN138" s="3" t="n">
        <v>3</v>
      </c>
      <c r="AO138" s="3" t="n">
        <v>2</v>
      </c>
    </row>
    <row r="139" customFormat="false" ht="15" hidden="false" customHeight="false" outlineLevel="0" collapsed="false">
      <c r="A139" s="3" t="n">
        <v>0</v>
      </c>
      <c r="B139" s="3" t="n">
        <v>3</v>
      </c>
      <c r="C139" s="3" t="n">
        <v>1</v>
      </c>
      <c r="D139" s="3" t="n">
        <v>1</v>
      </c>
      <c r="E139" s="3" t="n">
        <v>2</v>
      </c>
      <c r="F139" s="3" t="n">
        <v>2</v>
      </c>
      <c r="G139" s="3" t="n">
        <v>1</v>
      </c>
      <c r="H139" s="3" t="n">
        <v>3</v>
      </c>
      <c r="I139" s="3" t="n">
        <v>1</v>
      </c>
      <c r="J139" s="3" t="n">
        <v>25</v>
      </c>
      <c r="K139" s="3" t="n">
        <v>5</v>
      </c>
      <c r="L139" s="3" t="n">
        <v>3</v>
      </c>
      <c r="M139" s="3" t="n">
        <v>5</v>
      </c>
      <c r="N139" s="3" t="n">
        <v>4</v>
      </c>
      <c r="O139" s="3" t="n">
        <v>5</v>
      </c>
      <c r="P139" s="3" t="n">
        <v>5</v>
      </c>
      <c r="Q139" s="3" t="n">
        <v>3</v>
      </c>
      <c r="R139" s="3" t="n">
        <v>1</v>
      </c>
      <c r="S139" s="3" t="n">
        <v>4</v>
      </c>
      <c r="T139" s="3" t="n">
        <v>5</v>
      </c>
      <c r="U139" s="3" t="n">
        <v>4</v>
      </c>
      <c r="V139" s="3" t="n">
        <v>3</v>
      </c>
      <c r="W139" s="3" t="n">
        <v>4</v>
      </c>
      <c r="X139" s="3" t="n">
        <v>3</v>
      </c>
      <c r="Y139" s="3" t="n">
        <v>3</v>
      </c>
      <c r="Z139" s="3" t="n">
        <v>4</v>
      </c>
      <c r="AA139" s="3" t="n">
        <v>5</v>
      </c>
      <c r="AB139" s="3" t="n">
        <v>4</v>
      </c>
      <c r="AC139" s="3" t="n">
        <v>1</v>
      </c>
      <c r="AD139" s="3" t="n">
        <v>2</v>
      </c>
      <c r="AE139" s="3" t="n">
        <v>3</v>
      </c>
      <c r="AF139" s="3" t="n">
        <v>1</v>
      </c>
      <c r="AG139" s="3" t="n">
        <v>4</v>
      </c>
      <c r="AH139" s="3" t="n">
        <v>3</v>
      </c>
      <c r="AI139" s="3" t="n">
        <v>5</v>
      </c>
      <c r="AJ139" s="3" t="n">
        <v>4</v>
      </c>
      <c r="AK139" s="3" t="n">
        <v>5</v>
      </c>
      <c r="AL139" s="3" t="n">
        <v>5</v>
      </c>
      <c r="AM139" s="3" t="n">
        <v>4</v>
      </c>
      <c r="AN139" s="3" t="n">
        <v>2</v>
      </c>
      <c r="AO139" s="3" t="n">
        <v>3</v>
      </c>
    </row>
    <row r="140" customFormat="false" ht="15" hidden="false" customHeight="false" outlineLevel="0" collapsed="false">
      <c r="A140" s="3" t="n">
        <v>1</v>
      </c>
      <c r="B140" s="3" t="n">
        <v>3</v>
      </c>
      <c r="C140" s="3" t="n">
        <v>2</v>
      </c>
      <c r="D140" s="3" t="n">
        <v>1</v>
      </c>
      <c r="E140" s="3" t="n">
        <v>2</v>
      </c>
      <c r="F140" s="3" t="n">
        <v>2</v>
      </c>
      <c r="G140" s="3" t="n">
        <v>3</v>
      </c>
      <c r="H140" s="3" t="n">
        <v>2</v>
      </c>
      <c r="I140" s="3" t="n">
        <v>1</v>
      </c>
      <c r="J140" s="3" t="n">
        <v>25</v>
      </c>
      <c r="K140" s="3" t="n">
        <v>2</v>
      </c>
      <c r="L140" s="3" t="n">
        <v>1</v>
      </c>
      <c r="M140" s="3" t="n">
        <v>3</v>
      </c>
      <c r="N140" s="3" t="n">
        <v>1</v>
      </c>
      <c r="O140" s="3" t="n">
        <v>3</v>
      </c>
      <c r="P140" s="3" t="n">
        <v>2</v>
      </c>
      <c r="Q140" s="3" t="n">
        <v>3</v>
      </c>
      <c r="R140" s="3" t="n">
        <v>2</v>
      </c>
      <c r="S140" s="3" t="n">
        <v>3</v>
      </c>
      <c r="T140" s="3" t="n">
        <v>2</v>
      </c>
      <c r="U140" s="3" t="n">
        <v>3</v>
      </c>
      <c r="V140" s="3" t="n">
        <v>3</v>
      </c>
      <c r="W140" s="3" t="n">
        <v>4</v>
      </c>
      <c r="X140" s="3" t="n">
        <v>3</v>
      </c>
      <c r="Y140" s="3" t="n">
        <v>3</v>
      </c>
      <c r="Z140" s="3" t="n">
        <v>3</v>
      </c>
      <c r="AA140" s="3" t="n">
        <v>3</v>
      </c>
      <c r="AB140" s="3" t="n">
        <v>2</v>
      </c>
      <c r="AC140" s="3" t="n">
        <v>1</v>
      </c>
      <c r="AD140" s="3" t="n">
        <v>2</v>
      </c>
      <c r="AE140" s="3" t="n">
        <v>1</v>
      </c>
      <c r="AF140" s="3" t="n">
        <v>1</v>
      </c>
      <c r="AG140" s="3" t="n">
        <v>2</v>
      </c>
      <c r="AH140" s="3" t="n">
        <v>1</v>
      </c>
      <c r="AI140" s="3" t="n">
        <v>1</v>
      </c>
      <c r="AJ140" s="3" t="n">
        <v>2</v>
      </c>
      <c r="AK140" s="3" t="n">
        <v>2</v>
      </c>
      <c r="AL140" s="3" t="n">
        <v>1</v>
      </c>
      <c r="AM140" s="3" t="n">
        <v>2</v>
      </c>
      <c r="AN140" s="3" t="n">
        <v>2</v>
      </c>
      <c r="AO140" s="3" t="n">
        <v>1</v>
      </c>
    </row>
    <row r="141" customFormat="false" ht="15" hidden="false" customHeight="false" outlineLevel="0" collapsed="false">
      <c r="A141" s="3" t="n">
        <v>0</v>
      </c>
      <c r="B141" s="3" t="n">
        <v>4</v>
      </c>
      <c r="C141" s="3" t="n">
        <v>1</v>
      </c>
      <c r="D141" s="3" t="n">
        <v>1</v>
      </c>
      <c r="E141" s="3" t="n">
        <v>2</v>
      </c>
      <c r="F141" s="3" t="n">
        <v>2</v>
      </c>
      <c r="G141" s="3" t="n">
        <v>3</v>
      </c>
      <c r="H141" s="3" t="n">
        <v>2</v>
      </c>
      <c r="I141" s="3" t="n">
        <v>3</v>
      </c>
      <c r="J141" s="3" t="n">
        <v>27</v>
      </c>
      <c r="K141" s="3" t="n">
        <v>3</v>
      </c>
      <c r="L141" s="3" t="n">
        <v>4</v>
      </c>
      <c r="M141" s="3" t="n">
        <v>3</v>
      </c>
      <c r="N141" s="3" t="n">
        <v>3</v>
      </c>
      <c r="O141" s="3" t="n">
        <v>3</v>
      </c>
      <c r="P141" s="3" t="n">
        <v>3</v>
      </c>
      <c r="Q141" s="3" t="n">
        <v>4</v>
      </c>
      <c r="R141" s="3" t="n">
        <v>3</v>
      </c>
      <c r="S141" s="3" t="n">
        <v>4</v>
      </c>
      <c r="T141" s="3" t="n">
        <v>5</v>
      </c>
      <c r="U141" s="3" t="n">
        <v>5</v>
      </c>
      <c r="V141" s="3" t="n">
        <v>4</v>
      </c>
      <c r="W141" s="3" t="n">
        <v>5</v>
      </c>
      <c r="X141" s="3" t="n">
        <v>3</v>
      </c>
      <c r="Y141" s="3" t="n">
        <v>4</v>
      </c>
      <c r="Z141" s="3" t="n">
        <v>4</v>
      </c>
      <c r="AA141" s="3" t="n">
        <v>4</v>
      </c>
      <c r="AB141" s="3" t="n">
        <v>3</v>
      </c>
      <c r="AC141" s="3" t="n">
        <v>3</v>
      </c>
      <c r="AD141" s="3" t="n">
        <v>3</v>
      </c>
      <c r="AE141" s="3" t="n">
        <v>4</v>
      </c>
      <c r="AF141" s="3" t="n">
        <v>4</v>
      </c>
      <c r="AG141" s="3" t="n">
        <v>4</v>
      </c>
      <c r="AH141" s="3" t="n">
        <v>4</v>
      </c>
      <c r="AI141" s="3" t="n">
        <v>4</v>
      </c>
      <c r="AJ141" s="3" t="n">
        <v>4</v>
      </c>
      <c r="AK141" s="3" t="n">
        <v>3</v>
      </c>
      <c r="AL141" s="3" t="n">
        <v>4</v>
      </c>
      <c r="AM141" s="3" t="n">
        <v>3</v>
      </c>
      <c r="AN141" s="3" t="n">
        <v>3</v>
      </c>
      <c r="AO141" s="3" t="n">
        <v>3</v>
      </c>
    </row>
    <row r="142" customFormat="false" ht="15" hidden="false" customHeight="false" outlineLevel="0" collapsed="false">
      <c r="A142" s="3" t="n">
        <v>0</v>
      </c>
      <c r="B142" s="3" t="n">
        <v>3</v>
      </c>
      <c r="C142" s="3" t="n">
        <v>1</v>
      </c>
      <c r="D142" s="3" t="n">
        <v>1</v>
      </c>
      <c r="E142" s="3" t="n">
        <v>2</v>
      </c>
      <c r="F142" s="3" t="n">
        <v>2</v>
      </c>
      <c r="G142" s="3" t="n">
        <v>1</v>
      </c>
      <c r="H142" s="3" t="n">
        <v>3</v>
      </c>
      <c r="I142" s="3" t="n">
        <v>1</v>
      </c>
      <c r="J142" s="3" t="n">
        <v>25</v>
      </c>
      <c r="K142" s="3" t="n">
        <v>5</v>
      </c>
      <c r="L142" s="3" t="n">
        <v>3</v>
      </c>
      <c r="M142" s="3" t="n">
        <v>5</v>
      </c>
      <c r="N142" s="3" t="n">
        <v>4</v>
      </c>
      <c r="O142" s="3" t="n">
        <v>5</v>
      </c>
      <c r="P142" s="3" t="n">
        <v>5</v>
      </c>
      <c r="Q142" s="3" t="n">
        <v>3</v>
      </c>
      <c r="R142" s="3" t="n">
        <v>1</v>
      </c>
      <c r="S142" s="3" t="n">
        <v>4</v>
      </c>
      <c r="T142" s="3" t="n">
        <v>5</v>
      </c>
      <c r="U142" s="3" t="n">
        <v>4</v>
      </c>
      <c r="V142" s="3" t="n">
        <v>3</v>
      </c>
      <c r="W142" s="3" t="n">
        <v>4</v>
      </c>
      <c r="X142" s="3" t="n">
        <v>3</v>
      </c>
      <c r="Y142" s="3" t="n">
        <v>3</v>
      </c>
      <c r="Z142" s="3" t="n">
        <v>4</v>
      </c>
      <c r="AA142" s="3" t="n">
        <v>5</v>
      </c>
      <c r="AB142" s="3" t="n">
        <v>4</v>
      </c>
      <c r="AC142" s="3" t="n">
        <v>1</v>
      </c>
      <c r="AD142" s="3" t="n">
        <v>2</v>
      </c>
      <c r="AE142" s="3" t="n">
        <v>3</v>
      </c>
      <c r="AF142" s="3" t="n">
        <v>1</v>
      </c>
      <c r="AG142" s="3" t="n">
        <v>4</v>
      </c>
      <c r="AH142" s="3" t="n">
        <v>3</v>
      </c>
      <c r="AI142" s="3" t="n">
        <v>5</v>
      </c>
      <c r="AJ142" s="3" t="n">
        <v>4</v>
      </c>
      <c r="AK142" s="3" t="n">
        <v>5</v>
      </c>
      <c r="AL142" s="3" t="n">
        <v>5</v>
      </c>
      <c r="AM142" s="3" t="n">
        <v>4</v>
      </c>
      <c r="AN142" s="3" t="n">
        <v>2</v>
      </c>
      <c r="AO142" s="3" t="n">
        <v>3</v>
      </c>
    </row>
    <row r="143" customFormat="false" ht="15" hidden="false" customHeight="false" outlineLevel="0" collapsed="false">
      <c r="A143" s="3" t="n">
        <v>0</v>
      </c>
      <c r="B143" s="3" t="n">
        <v>4</v>
      </c>
      <c r="C143" s="3" t="n">
        <v>1</v>
      </c>
      <c r="D143" s="3" t="n">
        <v>1</v>
      </c>
      <c r="E143" s="3" t="n">
        <v>2</v>
      </c>
      <c r="F143" s="3" t="n">
        <v>2</v>
      </c>
      <c r="G143" s="3" t="n">
        <v>1</v>
      </c>
      <c r="H143" s="3" t="n">
        <v>1</v>
      </c>
      <c r="I143" s="3" t="n">
        <v>3</v>
      </c>
      <c r="J143" s="3" t="n">
        <v>25</v>
      </c>
      <c r="K143" s="3" t="n">
        <v>3</v>
      </c>
      <c r="L143" s="3" t="n">
        <v>2</v>
      </c>
      <c r="M143" s="3" t="n">
        <v>4</v>
      </c>
      <c r="N143" s="3" t="n">
        <v>3</v>
      </c>
      <c r="O143" s="3" t="n">
        <v>4</v>
      </c>
      <c r="P143" s="3" t="n">
        <v>2</v>
      </c>
      <c r="Q143" s="3" t="n">
        <v>3</v>
      </c>
      <c r="R143" s="3" t="n">
        <v>4</v>
      </c>
      <c r="S143" s="3" t="n">
        <v>4</v>
      </c>
      <c r="T143" s="3" t="n">
        <v>4</v>
      </c>
      <c r="U143" s="3" t="n">
        <v>4</v>
      </c>
      <c r="V143" s="3" t="n">
        <v>4</v>
      </c>
      <c r="W143" s="3" t="n">
        <v>5</v>
      </c>
      <c r="X143" s="3" t="n">
        <v>4</v>
      </c>
      <c r="Y143" s="3" t="n">
        <v>4</v>
      </c>
      <c r="Z143" s="3" t="n">
        <v>4</v>
      </c>
      <c r="AA143" s="3" t="n">
        <v>4</v>
      </c>
      <c r="AB143" s="3" t="n">
        <v>2</v>
      </c>
      <c r="AC143" s="3" t="n">
        <v>2</v>
      </c>
      <c r="AD143" s="3" t="n">
        <v>4</v>
      </c>
      <c r="AE143" s="3" t="n">
        <v>4</v>
      </c>
      <c r="AF143" s="3" t="n">
        <v>2</v>
      </c>
      <c r="AG143" s="3" t="n">
        <v>3</v>
      </c>
      <c r="AH143" s="3" t="n">
        <v>4</v>
      </c>
      <c r="AI143" s="3" t="n">
        <v>4</v>
      </c>
      <c r="AJ143" s="3" t="n">
        <v>4</v>
      </c>
      <c r="AK143" s="3" t="n">
        <v>4</v>
      </c>
      <c r="AL143" s="3" t="n">
        <v>4</v>
      </c>
      <c r="AM143" s="3" t="n">
        <v>2</v>
      </c>
      <c r="AN143" s="3" t="n">
        <v>3</v>
      </c>
      <c r="AO143" s="3" t="n">
        <v>4</v>
      </c>
    </row>
    <row r="144" customFormat="false" ht="15" hidden="false" customHeight="false" outlineLevel="0" collapsed="false">
      <c r="A144" s="3" t="n">
        <v>0</v>
      </c>
      <c r="B144" s="3" t="n">
        <v>4</v>
      </c>
      <c r="C144" s="3" t="n">
        <v>2</v>
      </c>
      <c r="D144" s="3" t="n">
        <v>1</v>
      </c>
      <c r="E144" s="3" t="n">
        <v>2</v>
      </c>
      <c r="F144" s="3" t="n">
        <v>2</v>
      </c>
      <c r="G144" s="3" t="n">
        <v>2</v>
      </c>
      <c r="H144" s="3" t="n">
        <v>2</v>
      </c>
      <c r="I144" s="3" t="n">
        <v>1</v>
      </c>
      <c r="J144" s="3" t="n">
        <v>23</v>
      </c>
      <c r="K144" s="3" t="n">
        <v>3</v>
      </c>
      <c r="L144" s="3" t="n">
        <v>4</v>
      </c>
      <c r="M144" s="3" t="n">
        <v>3</v>
      </c>
      <c r="N144" s="3" t="n">
        <v>3</v>
      </c>
      <c r="O144" s="3" t="n">
        <v>3</v>
      </c>
      <c r="P144" s="3" t="n">
        <v>3</v>
      </c>
      <c r="Q144" s="3" t="n">
        <v>4</v>
      </c>
      <c r="R144" s="3" t="n">
        <v>2</v>
      </c>
      <c r="S144" s="3" t="n">
        <v>5</v>
      </c>
      <c r="T144" s="3" t="n">
        <v>5</v>
      </c>
      <c r="U144" s="3" t="n">
        <v>5</v>
      </c>
      <c r="V144" s="3" t="n">
        <v>4</v>
      </c>
      <c r="W144" s="3" t="n">
        <v>4</v>
      </c>
      <c r="X144" s="3" t="n">
        <v>4</v>
      </c>
      <c r="Y144" s="3" t="n">
        <v>4</v>
      </c>
      <c r="Z144" s="3" t="n">
        <v>4</v>
      </c>
      <c r="AA144" s="3" t="n">
        <v>4</v>
      </c>
      <c r="AB144" s="3" t="n">
        <v>4</v>
      </c>
      <c r="AC144" s="3" t="n">
        <v>3</v>
      </c>
      <c r="AD144" s="3" t="n">
        <v>3</v>
      </c>
      <c r="AE144" s="3" t="n">
        <v>3</v>
      </c>
      <c r="AF144" s="3" t="n">
        <v>4</v>
      </c>
      <c r="AG144" s="3" t="n">
        <v>4</v>
      </c>
      <c r="AH144" s="3" t="n">
        <v>4</v>
      </c>
      <c r="AI144" s="3" t="n">
        <v>3</v>
      </c>
      <c r="AJ144" s="3" t="n">
        <v>4</v>
      </c>
      <c r="AK144" s="3" t="n">
        <v>3</v>
      </c>
      <c r="AL144" s="3" t="n">
        <v>5</v>
      </c>
      <c r="AM144" s="3" t="n">
        <v>3</v>
      </c>
      <c r="AN144" s="3" t="n">
        <v>3</v>
      </c>
      <c r="AO144" s="3" t="n">
        <v>3</v>
      </c>
    </row>
    <row r="145" customFormat="false" ht="15" hidden="false" customHeight="false" outlineLevel="0" collapsed="false">
      <c r="A145" s="3" t="n">
        <v>0</v>
      </c>
      <c r="B145" s="3" t="n">
        <v>3</v>
      </c>
      <c r="C145" s="3" t="n">
        <v>1</v>
      </c>
      <c r="D145" s="3" t="n">
        <v>2</v>
      </c>
      <c r="E145" s="3" t="n">
        <v>2</v>
      </c>
      <c r="F145" s="3" t="n">
        <v>2</v>
      </c>
      <c r="G145" s="3" t="n">
        <v>1</v>
      </c>
      <c r="H145" s="3" t="n">
        <v>1</v>
      </c>
      <c r="I145" s="3" t="n">
        <v>1</v>
      </c>
      <c r="J145" s="3" t="n">
        <v>24</v>
      </c>
      <c r="K145" s="3" t="n">
        <v>2</v>
      </c>
      <c r="L145" s="3" t="n">
        <v>3</v>
      </c>
      <c r="M145" s="3" t="n">
        <v>4</v>
      </c>
      <c r="N145" s="3" t="n">
        <v>3</v>
      </c>
      <c r="O145" s="3" t="n">
        <v>4</v>
      </c>
      <c r="P145" s="3" t="n">
        <v>3</v>
      </c>
      <c r="Q145" s="3" t="n">
        <v>4</v>
      </c>
      <c r="R145" s="3" t="n">
        <v>3</v>
      </c>
      <c r="S145" s="3" t="n">
        <v>5</v>
      </c>
      <c r="T145" s="3" t="n">
        <v>5</v>
      </c>
      <c r="U145" s="3" t="n">
        <v>5</v>
      </c>
      <c r="V145" s="3" t="n">
        <v>1</v>
      </c>
      <c r="W145" s="3" t="n">
        <v>1</v>
      </c>
      <c r="X145" s="3" t="n">
        <v>1</v>
      </c>
      <c r="Y145" s="3" t="n">
        <v>1</v>
      </c>
      <c r="Z145" s="3" t="n">
        <v>4</v>
      </c>
      <c r="AA145" s="3" t="n">
        <v>2</v>
      </c>
      <c r="AB145" s="3" t="n">
        <v>1</v>
      </c>
      <c r="AC145" s="3" t="n">
        <v>1</v>
      </c>
      <c r="AD145" s="3" t="n">
        <v>1</v>
      </c>
      <c r="AE145" s="3" t="n">
        <v>3</v>
      </c>
      <c r="AF145" s="3" t="n">
        <v>1</v>
      </c>
      <c r="AG145" s="3" t="n">
        <v>1</v>
      </c>
      <c r="AH145" s="3" t="n">
        <v>5</v>
      </c>
      <c r="AI145" s="3" t="n">
        <v>1</v>
      </c>
      <c r="AJ145" s="3" t="n">
        <v>4</v>
      </c>
      <c r="AK145" s="3" t="n">
        <v>3</v>
      </c>
      <c r="AL145" s="3" t="n">
        <v>4</v>
      </c>
      <c r="AM145" s="3" t="n">
        <v>3</v>
      </c>
      <c r="AN145" s="3" t="n">
        <v>3</v>
      </c>
      <c r="AO145" s="3" t="n">
        <v>3</v>
      </c>
    </row>
    <row r="146" customFormat="false" ht="15" hidden="false" customHeight="false" outlineLevel="0" collapsed="false">
      <c r="A146" s="3" t="n">
        <v>0</v>
      </c>
      <c r="B146" s="3" t="n">
        <v>1</v>
      </c>
      <c r="C146" s="3" t="n">
        <v>2</v>
      </c>
      <c r="D146" s="3" t="n">
        <v>2</v>
      </c>
      <c r="E146" s="3" t="n">
        <v>2</v>
      </c>
      <c r="F146" s="3" t="n">
        <v>2</v>
      </c>
      <c r="G146" s="3" t="n">
        <v>4</v>
      </c>
      <c r="H146" s="3" t="n">
        <v>2</v>
      </c>
      <c r="I146" s="3" t="n">
        <v>3</v>
      </c>
      <c r="J146" s="3" t="n">
        <v>24</v>
      </c>
      <c r="K146" s="3" t="n">
        <v>3</v>
      </c>
      <c r="L146" s="3" t="n">
        <v>4</v>
      </c>
      <c r="M146" s="3" t="n">
        <v>2</v>
      </c>
      <c r="N146" s="3" t="n">
        <v>2</v>
      </c>
      <c r="O146" s="3" t="n">
        <v>4</v>
      </c>
      <c r="P146" s="3" t="n">
        <v>3</v>
      </c>
      <c r="Q146" s="3" t="n">
        <v>4</v>
      </c>
      <c r="R146" s="3" t="n">
        <v>3</v>
      </c>
      <c r="S146" s="3" t="n">
        <v>4</v>
      </c>
      <c r="T146" s="3" t="n">
        <v>5</v>
      </c>
      <c r="U146" s="3" t="n">
        <v>2</v>
      </c>
      <c r="V146" s="3" t="n">
        <v>5</v>
      </c>
      <c r="W146" s="3" t="n">
        <v>4</v>
      </c>
      <c r="X146" s="3" t="n">
        <v>4</v>
      </c>
      <c r="Y146" s="3" t="n">
        <v>4</v>
      </c>
      <c r="Z146" s="3" t="n">
        <v>3</v>
      </c>
      <c r="AA146" s="3" t="n">
        <v>4</v>
      </c>
      <c r="AB146" s="3" t="n">
        <v>4</v>
      </c>
      <c r="AC146" s="3" t="n">
        <v>2</v>
      </c>
      <c r="AD146" s="3" t="n">
        <v>1</v>
      </c>
      <c r="AE146" s="3" t="n">
        <v>3</v>
      </c>
      <c r="AF146" s="3" t="n">
        <v>3</v>
      </c>
      <c r="AG146" s="3" t="n">
        <v>1</v>
      </c>
      <c r="AH146" s="3" t="n">
        <v>4</v>
      </c>
      <c r="AI146" s="3" t="n">
        <v>2</v>
      </c>
      <c r="AJ146" s="3" t="n">
        <v>2</v>
      </c>
      <c r="AK146" s="3" t="n">
        <v>3</v>
      </c>
      <c r="AL146" s="3" t="n">
        <v>3</v>
      </c>
      <c r="AM146" s="3" t="n">
        <v>3</v>
      </c>
      <c r="AN146" s="3" t="n">
        <v>4</v>
      </c>
      <c r="AO146" s="3" t="n">
        <v>2</v>
      </c>
    </row>
    <row r="147" customFormat="false" ht="15" hidden="false" customHeight="false" outlineLevel="0" collapsed="false">
      <c r="A147" s="3" t="n">
        <v>0</v>
      </c>
      <c r="B147" s="3" t="n">
        <v>4</v>
      </c>
      <c r="C147" s="3" t="n">
        <v>2</v>
      </c>
      <c r="D147" s="3" t="n">
        <v>1</v>
      </c>
      <c r="E147" s="3" t="n">
        <v>2</v>
      </c>
      <c r="F147" s="3" t="n">
        <v>2</v>
      </c>
      <c r="G147" s="3" t="n">
        <v>2</v>
      </c>
      <c r="H147" s="3" t="n">
        <v>3</v>
      </c>
      <c r="I147" s="3" t="n">
        <v>3</v>
      </c>
      <c r="J147" s="3" t="n">
        <v>26</v>
      </c>
      <c r="K147" s="3" t="n">
        <v>3</v>
      </c>
      <c r="L147" s="3" t="n">
        <v>3</v>
      </c>
      <c r="M147" s="3" t="n">
        <v>4</v>
      </c>
      <c r="N147" s="3" t="n">
        <v>4</v>
      </c>
      <c r="O147" s="3" t="n">
        <v>3</v>
      </c>
      <c r="P147" s="3" t="n">
        <v>2</v>
      </c>
      <c r="Q147" s="3" t="n">
        <v>3</v>
      </c>
      <c r="R147" s="3" t="n">
        <v>3</v>
      </c>
      <c r="S147" s="3" t="n">
        <v>4</v>
      </c>
      <c r="T147" s="3" t="n">
        <v>5</v>
      </c>
      <c r="U147" s="3" t="n">
        <v>5</v>
      </c>
      <c r="V147" s="3" t="n">
        <v>4</v>
      </c>
      <c r="W147" s="3" t="n">
        <v>4</v>
      </c>
      <c r="X147" s="3" t="n">
        <v>4</v>
      </c>
      <c r="Y147" s="3" t="n">
        <v>4</v>
      </c>
      <c r="Z147" s="3" t="n">
        <v>4</v>
      </c>
      <c r="AA147" s="3" t="n">
        <v>2</v>
      </c>
      <c r="AB147" s="3" t="n">
        <v>4</v>
      </c>
      <c r="AC147" s="3" t="n">
        <v>3</v>
      </c>
      <c r="AD147" s="3" t="n">
        <v>3</v>
      </c>
      <c r="AE147" s="3" t="n">
        <v>4</v>
      </c>
      <c r="AF147" s="3" t="n">
        <v>4</v>
      </c>
      <c r="AG147" s="3" t="n">
        <v>3</v>
      </c>
      <c r="AH147" s="3" t="n">
        <v>4</v>
      </c>
      <c r="AI147" s="3" t="n">
        <v>4</v>
      </c>
      <c r="AJ147" s="3" t="n">
        <v>4</v>
      </c>
      <c r="AK147" s="3" t="n">
        <v>3</v>
      </c>
      <c r="AL147" s="3" t="n">
        <v>3</v>
      </c>
      <c r="AM147" s="3" t="n">
        <v>3</v>
      </c>
      <c r="AN147" s="3" t="n">
        <v>3</v>
      </c>
      <c r="AO147" s="3" t="n">
        <v>3</v>
      </c>
    </row>
    <row r="148" customFormat="false" ht="15" hidden="false" customHeight="false" outlineLevel="0" collapsed="false">
      <c r="A148" s="3" t="n">
        <v>0</v>
      </c>
      <c r="B148" s="3" t="n">
        <v>6</v>
      </c>
      <c r="C148" s="3" t="n">
        <v>2</v>
      </c>
      <c r="D148" s="3" t="n">
        <v>1</v>
      </c>
      <c r="E148" s="3" t="n">
        <v>2</v>
      </c>
      <c r="F148" s="3" t="n">
        <v>2</v>
      </c>
      <c r="G148" s="3" t="n">
        <v>1</v>
      </c>
      <c r="H148" s="3" t="n">
        <v>2</v>
      </c>
      <c r="I148" s="3" t="n">
        <v>1</v>
      </c>
      <c r="J148" s="3" t="n">
        <v>23</v>
      </c>
      <c r="K148" s="3" t="n">
        <v>2</v>
      </c>
      <c r="L148" s="3" t="n">
        <v>2</v>
      </c>
      <c r="M148" s="3" t="n">
        <v>3</v>
      </c>
      <c r="N148" s="3" t="n">
        <v>3</v>
      </c>
      <c r="O148" s="3" t="n">
        <v>3</v>
      </c>
      <c r="P148" s="3" t="n">
        <v>2</v>
      </c>
      <c r="Q148" s="3" t="n">
        <v>3</v>
      </c>
      <c r="R148" s="3" t="n">
        <v>4</v>
      </c>
      <c r="S148" s="3" t="n">
        <v>4</v>
      </c>
      <c r="T148" s="3" t="n">
        <v>4</v>
      </c>
      <c r="U148" s="3" t="n">
        <v>5</v>
      </c>
      <c r="V148" s="3" t="n">
        <v>3</v>
      </c>
      <c r="W148" s="3" t="n">
        <v>4</v>
      </c>
      <c r="X148" s="3" t="n">
        <v>4</v>
      </c>
      <c r="Y148" s="3" t="n">
        <v>4</v>
      </c>
      <c r="Z148" s="3" t="n">
        <v>4</v>
      </c>
      <c r="AA148" s="3" t="n">
        <v>3</v>
      </c>
      <c r="AB148" s="3" t="n">
        <v>2</v>
      </c>
      <c r="AC148" s="3" t="n">
        <v>3</v>
      </c>
      <c r="AD148" s="3" t="n">
        <v>3</v>
      </c>
      <c r="AE148" s="3" t="n">
        <v>3</v>
      </c>
      <c r="AF148" s="3" t="n">
        <v>2</v>
      </c>
      <c r="AG148" s="3" t="n">
        <v>4</v>
      </c>
      <c r="AH148" s="3" t="n">
        <v>2</v>
      </c>
      <c r="AI148" s="3" t="n">
        <v>2</v>
      </c>
      <c r="AJ148" s="3" t="n">
        <v>3</v>
      </c>
      <c r="AK148" s="3" t="n">
        <v>2</v>
      </c>
      <c r="AL148" s="3" t="n">
        <v>3</v>
      </c>
      <c r="AM148" s="3" t="n">
        <v>3</v>
      </c>
      <c r="AN148" s="3" t="n">
        <v>4</v>
      </c>
      <c r="AO148" s="3" t="n">
        <v>3</v>
      </c>
    </row>
    <row r="149" customFormat="false" ht="15" hidden="false" customHeight="false" outlineLevel="0" collapsed="false">
      <c r="A149" s="3" t="n">
        <v>0</v>
      </c>
      <c r="B149" s="3" t="n">
        <v>4</v>
      </c>
      <c r="C149" s="3" t="n">
        <v>1</v>
      </c>
      <c r="D149" s="3" t="n">
        <v>1</v>
      </c>
      <c r="E149" s="3" t="n">
        <v>2</v>
      </c>
      <c r="F149" s="3" t="n">
        <v>2</v>
      </c>
      <c r="G149" s="3" t="n">
        <v>2</v>
      </c>
      <c r="H149" s="3" t="n">
        <v>2</v>
      </c>
      <c r="I149" s="3" t="n">
        <v>1</v>
      </c>
      <c r="J149" s="3" t="n">
        <v>24</v>
      </c>
      <c r="K149" s="3" t="n">
        <v>3</v>
      </c>
      <c r="L149" s="3" t="n">
        <v>3</v>
      </c>
      <c r="M149" s="3" t="n">
        <v>3</v>
      </c>
      <c r="N149" s="3" t="n">
        <v>3</v>
      </c>
      <c r="O149" s="3" t="n">
        <v>3</v>
      </c>
      <c r="P149" s="3" t="n">
        <v>2</v>
      </c>
      <c r="Q149" s="3" t="n">
        <v>2</v>
      </c>
      <c r="R149" s="3" t="n">
        <v>2</v>
      </c>
      <c r="S149" s="3" t="n">
        <v>4</v>
      </c>
      <c r="T149" s="3" t="n">
        <v>4</v>
      </c>
      <c r="U149" s="3" t="n">
        <v>4</v>
      </c>
      <c r="V149" s="3" t="n">
        <v>4</v>
      </c>
      <c r="W149" s="3" t="n">
        <v>5</v>
      </c>
      <c r="X149" s="3" t="n">
        <v>4</v>
      </c>
      <c r="Y149" s="3" t="n">
        <v>4</v>
      </c>
      <c r="Z149" s="3" t="n">
        <v>4</v>
      </c>
      <c r="AA149" s="3" t="n">
        <v>4</v>
      </c>
      <c r="AB149" s="3" t="n">
        <v>2</v>
      </c>
      <c r="AC149" s="3" t="n">
        <v>2</v>
      </c>
      <c r="AD149" s="3" t="n">
        <v>2</v>
      </c>
      <c r="AE149" s="3" t="n">
        <v>3</v>
      </c>
      <c r="AF149" s="3" t="n">
        <v>2</v>
      </c>
      <c r="AG149" s="3" t="n">
        <v>4</v>
      </c>
      <c r="AH149" s="3" t="n">
        <v>4</v>
      </c>
      <c r="AI149" s="3" t="n">
        <v>3</v>
      </c>
      <c r="AJ149" s="3" t="n">
        <v>2</v>
      </c>
      <c r="AK149" s="3" t="n">
        <v>2</v>
      </c>
      <c r="AL149" s="3" t="n">
        <v>4</v>
      </c>
      <c r="AM149" s="3" t="n">
        <v>4</v>
      </c>
      <c r="AN149" s="3" t="n">
        <v>2</v>
      </c>
      <c r="AO149" s="3" t="n">
        <v>2</v>
      </c>
    </row>
    <row r="150" customFormat="false" ht="15" hidden="false" customHeight="false" outlineLevel="0" collapsed="false">
      <c r="B150" s="3" t="n">
        <v>3</v>
      </c>
      <c r="C150" s="3" t="n">
        <v>1</v>
      </c>
      <c r="D150" s="3" t="n">
        <v>1</v>
      </c>
      <c r="E150" s="3" t="n">
        <v>2</v>
      </c>
      <c r="F150" s="3" t="n">
        <v>2</v>
      </c>
      <c r="G150" s="3" t="n">
        <v>3</v>
      </c>
      <c r="H150" s="3" t="n">
        <v>2</v>
      </c>
      <c r="I150" s="3" t="n">
        <v>1</v>
      </c>
      <c r="J150" s="3" t="n">
        <v>23</v>
      </c>
      <c r="K150" s="3" t="n">
        <v>3</v>
      </c>
      <c r="L150" s="3" t="n">
        <v>4</v>
      </c>
      <c r="M150" s="3" t="n">
        <v>4</v>
      </c>
      <c r="N150" s="3" t="n">
        <v>4</v>
      </c>
      <c r="O150" s="3" t="n">
        <v>4</v>
      </c>
      <c r="P150" s="3" t="n">
        <v>3</v>
      </c>
      <c r="Q150" s="3" t="n">
        <v>3</v>
      </c>
      <c r="R150" s="3" t="n">
        <v>2</v>
      </c>
      <c r="S150" s="3" t="n">
        <v>4</v>
      </c>
      <c r="T150" s="3" t="n">
        <v>4</v>
      </c>
      <c r="U150" s="3" t="n">
        <v>4</v>
      </c>
      <c r="V150" s="3" t="n">
        <v>3</v>
      </c>
      <c r="W150" s="3" t="n">
        <v>3</v>
      </c>
      <c r="X150" s="3" t="n">
        <v>4</v>
      </c>
      <c r="Y150" s="3" t="n">
        <v>3</v>
      </c>
      <c r="Z150" s="3" t="n">
        <v>3</v>
      </c>
      <c r="AA150" s="3" t="n">
        <v>4</v>
      </c>
      <c r="AB150" s="3" t="n">
        <v>2</v>
      </c>
      <c r="AC150" s="3" t="n">
        <v>2</v>
      </c>
      <c r="AD150" s="3" t="n">
        <v>2</v>
      </c>
      <c r="AE150" s="3" t="n">
        <v>3</v>
      </c>
      <c r="AF150" s="3" t="n">
        <v>4</v>
      </c>
      <c r="AG150" s="3" t="n">
        <v>4</v>
      </c>
      <c r="AH150" s="3" t="n">
        <v>3</v>
      </c>
      <c r="AI150" s="3" t="n">
        <v>3</v>
      </c>
      <c r="AJ150" s="3" t="n">
        <v>4</v>
      </c>
      <c r="AK150" s="3" t="n">
        <v>3</v>
      </c>
      <c r="AL150" s="3" t="n">
        <v>4</v>
      </c>
      <c r="AM150" s="3" t="n">
        <v>4</v>
      </c>
      <c r="AN150" s="3" t="n">
        <v>3</v>
      </c>
      <c r="AO150" s="3" t="n">
        <v>3</v>
      </c>
    </row>
    <row r="151" customFormat="false" ht="15" hidden="false" customHeight="false" outlineLevel="0" collapsed="false">
      <c r="A151" s="3" t="n">
        <v>1</v>
      </c>
      <c r="B151" s="3" t="n">
        <v>4</v>
      </c>
      <c r="C151" s="3" t="n">
        <v>1</v>
      </c>
      <c r="D151" s="3" t="n">
        <v>1</v>
      </c>
      <c r="E151" s="3" t="n">
        <v>2</v>
      </c>
      <c r="F151" s="3" t="n">
        <v>2</v>
      </c>
      <c r="G151" s="3" t="n">
        <v>2</v>
      </c>
      <c r="H151" s="3" t="n">
        <v>2</v>
      </c>
      <c r="I151" s="3" t="n">
        <v>2</v>
      </c>
      <c r="J151" s="3" t="n">
        <v>25</v>
      </c>
      <c r="K151" s="3" t="n">
        <v>3</v>
      </c>
      <c r="L151" s="3" t="n">
        <v>4</v>
      </c>
      <c r="M151" s="3" t="n">
        <v>4</v>
      </c>
      <c r="N151" s="3" t="n">
        <v>4</v>
      </c>
      <c r="O151" s="3" t="n">
        <v>4</v>
      </c>
      <c r="P151" s="3" t="n">
        <v>4</v>
      </c>
      <c r="Q151" s="3" t="n">
        <v>4</v>
      </c>
      <c r="R151" s="3" t="n">
        <v>4</v>
      </c>
      <c r="S151" s="3" t="n">
        <v>4</v>
      </c>
      <c r="T151" s="3" t="n">
        <v>4</v>
      </c>
      <c r="U151" s="3" t="n">
        <v>3</v>
      </c>
      <c r="V151" s="3" t="n">
        <v>4</v>
      </c>
      <c r="W151" s="3" t="n">
        <v>4</v>
      </c>
      <c r="X151" s="3" t="n">
        <v>4</v>
      </c>
      <c r="Y151" s="3" t="n">
        <v>2</v>
      </c>
      <c r="Z151" s="3" t="n">
        <v>4</v>
      </c>
      <c r="AA151" s="3" t="n">
        <v>4</v>
      </c>
      <c r="AB151" s="3" t="n">
        <v>4</v>
      </c>
      <c r="AC151" s="3" t="n">
        <v>1</v>
      </c>
      <c r="AD151" s="3" t="n">
        <v>1</v>
      </c>
      <c r="AE151" s="3" t="n">
        <v>4</v>
      </c>
      <c r="AF151" s="3" t="n">
        <v>2</v>
      </c>
      <c r="AG151" s="3" t="n">
        <v>4</v>
      </c>
      <c r="AH151" s="3" t="n">
        <v>4</v>
      </c>
      <c r="AI151" s="3" t="n">
        <v>4</v>
      </c>
      <c r="AJ151" s="3" t="n">
        <v>4</v>
      </c>
      <c r="AK151" s="3" t="n">
        <v>1</v>
      </c>
      <c r="AL151" s="3" t="n">
        <v>4</v>
      </c>
      <c r="AM151" s="3" t="n">
        <v>4</v>
      </c>
      <c r="AN151" s="3" t="n">
        <v>4</v>
      </c>
      <c r="AO151" s="3" t="n">
        <v>2</v>
      </c>
    </row>
    <row r="152" customFormat="false" ht="15" hidden="false" customHeight="false" outlineLevel="0" collapsed="false">
      <c r="A152" s="3" t="n">
        <v>1</v>
      </c>
      <c r="B152" s="3" t="n">
        <v>4</v>
      </c>
      <c r="C152" s="3" t="n">
        <v>1</v>
      </c>
      <c r="D152" s="3" t="n">
        <v>1</v>
      </c>
      <c r="E152" s="3" t="n">
        <v>2</v>
      </c>
      <c r="F152" s="3" t="n">
        <v>2</v>
      </c>
      <c r="G152" s="3" t="n">
        <v>1</v>
      </c>
      <c r="H152" s="3" t="n">
        <v>3</v>
      </c>
      <c r="I152" s="3" t="n">
        <v>3</v>
      </c>
      <c r="J152" s="3" t="n">
        <v>29</v>
      </c>
      <c r="K152" s="3" t="n">
        <v>2</v>
      </c>
      <c r="L152" s="3" t="n">
        <v>4</v>
      </c>
      <c r="M152" s="3" t="n">
        <v>4</v>
      </c>
      <c r="N152" s="3" t="n">
        <v>3</v>
      </c>
      <c r="O152" s="3" t="n">
        <v>3</v>
      </c>
      <c r="P152" s="3" t="n">
        <v>2</v>
      </c>
      <c r="Q152" s="3" t="n">
        <v>3</v>
      </c>
      <c r="R152" s="3" t="n">
        <v>2</v>
      </c>
      <c r="S152" s="3" t="n">
        <v>4</v>
      </c>
      <c r="T152" s="3" t="n">
        <v>4</v>
      </c>
      <c r="U152" s="3" t="n">
        <v>4</v>
      </c>
      <c r="V152" s="3" t="n">
        <v>3</v>
      </c>
      <c r="W152" s="3" t="n">
        <v>3</v>
      </c>
      <c r="X152" s="3" t="n">
        <v>3</v>
      </c>
      <c r="Y152" s="3" t="n">
        <v>2</v>
      </c>
      <c r="Z152" s="3" t="n">
        <v>4</v>
      </c>
      <c r="AA152" s="3" t="n">
        <v>2</v>
      </c>
      <c r="AB152" s="3" t="n">
        <v>2</v>
      </c>
      <c r="AC152" s="3" t="n">
        <v>2</v>
      </c>
      <c r="AD152" s="3" t="n">
        <v>2</v>
      </c>
      <c r="AE152" s="3" t="n">
        <v>3</v>
      </c>
      <c r="AF152" s="3" t="n">
        <v>2</v>
      </c>
      <c r="AG152" s="3" t="n">
        <v>2</v>
      </c>
      <c r="AH152" s="3" t="n">
        <v>3</v>
      </c>
      <c r="AI152" s="3" t="n">
        <v>2</v>
      </c>
      <c r="AJ152" s="3" t="n">
        <v>3</v>
      </c>
      <c r="AK152" s="3" t="n">
        <v>3</v>
      </c>
      <c r="AL152" s="3" t="n">
        <v>2</v>
      </c>
      <c r="AM152" s="3" t="n">
        <v>4</v>
      </c>
      <c r="AN152" s="3" t="n">
        <v>4</v>
      </c>
      <c r="AO152" s="3" t="n">
        <v>4</v>
      </c>
    </row>
    <row r="153" customFormat="false" ht="15" hidden="false" customHeight="false" outlineLevel="0" collapsed="false">
      <c r="A153" s="3" t="n">
        <v>0</v>
      </c>
      <c r="B153" s="3" t="n">
        <v>4</v>
      </c>
      <c r="C153" s="3" t="n">
        <v>1</v>
      </c>
      <c r="D153" s="3" t="n">
        <v>1</v>
      </c>
      <c r="E153" s="3" t="n">
        <v>2</v>
      </c>
      <c r="F153" s="3" t="n">
        <v>2</v>
      </c>
      <c r="G153" s="3" t="n">
        <v>1</v>
      </c>
      <c r="H153" s="3" t="n">
        <v>2</v>
      </c>
      <c r="I153" s="3" t="n">
        <v>3</v>
      </c>
      <c r="J153" s="3" t="n">
        <v>25</v>
      </c>
      <c r="K153" s="3" t="n">
        <v>4</v>
      </c>
      <c r="L153" s="3" t="n">
        <v>3</v>
      </c>
      <c r="M153" s="3" t="n">
        <v>4</v>
      </c>
      <c r="N153" s="3" t="n">
        <v>2</v>
      </c>
      <c r="O153" s="3" t="n">
        <v>3</v>
      </c>
      <c r="P153" s="3" t="n">
        <v>2</v>
      </c>
      <c r="Q153" s="3" t="n">
        <v>3</v>
      </c>
      <c r="R153" s="3" t="n">
        <v>2</v>
      </c>
      <c r="S153" s="3" t="n">
        <v>4</v>
      </c>
      <c r="T153" s="3" t="n">
        <v>4</v>
      </c>
      <c r="U153" s="3" t="n">
        <v>4</v>
      </c>
      <c r="V153" s="3" t="n">
        <v>4</v>
      </c>
      <c r="W153" s="3" t="n">
        <v>4</v>
      </c>
      <c r="X153" s="3" t="n">
        <v>2</v>
      </c>
      <c r="Y153" s="3" t="n">
        <v>2</v>
      </c>
      <c r="Z153" s="3" t="n">
        <v>4</v>
      </c>
      <c r="AA153" s="3" t="n">
        <v>2</v>
      </c>
      <c r="AB153" s="3" t="n">
        <v>2</v>
      </c>
      <c r="AC153" s="3" t="n">
        <v>2</v>
      </c>
      <c r="AD153" s="3" t="n">
        <v>2</v>
      </c>
      <c r="AE153" s="3" t="n">
        <v>3</v>
      </c>
      <c r="AF153" s="3" t="n">
        <v>3</v>
      </c>
      <c r="AG153" s="3" t="n">
        <v>4</v>
      </c>
      <c r="AH153" s="3" t="n">
        <v>4</v>
      </c>
      <c r="AI153" s="3" t="n">
        <v>3</v>
      </c>
      <c r="AJ153" s="3" t="n">
        <v>4</v>
      </c>
      <c r="AK153" s="3" t="n">
        <v>3</v>
      </c>
      <c r="AL153" s="3" t="n">
        <v>4</v>
      </c>
      <c r="AM153" s="3" t="n">
        <v>3</v>
      </c>
      <c r="AN153" s="3" t="n">
        <v>3</v>
      </c>
      <c r="AO153" s="3" t="n">
        <v>2</v>
      </c>
    </row>
    <row r="154" customFormat="false" ht="15" hidden="false" customHeight="false" outlineLevel="0" collapsed="false">
      <c r="A154" s="3" t="n">
        <v>0</v>
      </c>
      <c r="B154" s="3" t="n">
        <v>3</v>
      </c>
      <c r="C154" s="3" t="n">
        <v>2</v>
      </c>
      <c r="D154" s="3" t="n">
        <v>1</v>
      </c>
      <c r="E154" s="3" t="n">
        <v>2</v>
      </c>
      <c r="F154" s="3" t="n">
        <v>2</v>
      </c>
      <c r="G154" s="3" t="n">
        <v>1</v>
      </c>
      <c r="H154" s="3" t="n">
        <v>2</v>
      </c>
      <c r="I154" s="3" t="n">
        <v>1</v>
      </c>
      <c r="J154" s="3" t="n">
        <v>22</v>
      </c>
      <c r="K154" s="3" t="n">
        <v>3</v>
      </c>
      <c r="L154" s="3" t="n">
        <v>3</v>
      </c>
      <c r="M154" s="3" t="n">
        <v>4</v>
      </c>
      <c r="N154" s="3" t="n">
        <v>3</v>
      </c>
      <c r="O154" s="3" t="n">
        <v>1</v>
      </c>
      <c r="P154" s="3" t="n">
        <v>2</v>
      </c>
      <c r="Q154" s="3" t="n">
        <v>2</v>
      </c>
      <c r="R154" s="3" t="n">
        <v>4</v>
      </c>
      <c r="S154" s="3" t="n">
        <v>5</v>
      </c>
      <c r="T154" s="3" t="n">
        <v>5</v>
      </c>
      <c r="U154" s="3" t="n">
        <v>5</v>
      </c>
      <c r="V154" s="3" t="n">
        <v>5</v>
      </c>
      <c r="W154" s="3" t="n">
        <v>4</v>
      </c>
      <c r="X154" s="3" t="n">
        <v>4</v>
      </c>
      <c r="Y154" s="3" t="n">
        <v>3</v>
      </c>
      <c r="Z154" s="3" t="n">
        <v>4</v>
      </c>
      <c r="AA154" s="3" t="n">
        <v>2</v>
      </c>
      <c r="AB154" s="3" t="n">
        <v>3</v>
      </c>
      <c r="AC154" s="3" t="n">
        <v>2</v>
      </c>
      <c r="AD154" s="3" t="n">
        <v>2</v>
      </c>
      <c r="AE154" s="3" t="n">
        <v>5</v>
      </c>
      <c r="AF154" s="3" t="n">
        <v>5</v>
      </c>
      <c r="AG154" s="3" t="n">
        <v>4</v>
      </c>
      <c r="AH154" s="3" t="n">
        <v>2</v>
      </c>
      <c r="AI154" s="3" t="n">
        <v>2</v>
      </c>
      <c r="AJ154" s="3" t="n">
        <v>5</v>
      </c>
      <c r="AK154" s="3" t="n">
        <v>2</v>
      </c>
      <c r="AL154" s="3" t="n">
        <v>3</v>
      </c>
      <c r="AM154" s="3" t="n">
        <v>3</v>
      </c>
      <c r="AN154" s="3" t="n">
        <v>4</v>
      </c>
      <c r="AO154" s="3" t="n">
        <v>3</v>
      </c>
    </row>
    <row r="155" customFormat="false" ht="15" hidden="false" customHeight="false" outlineLevel="0" collapsed="false">
      <c r="B155" s="3" t="n">
        <v>4</v>
      </c>
      <c r="C155" s="3" t="n">
        <v>1</v>
      </c>
      <c r="D155" s="3" t="n">
        <v>1</v>
      </c>
      <c r="E155" s="3" t="n">
        <v>2</v>
      </c>
      <c r="F155" s="3" t="n">
        <v>2</v>
      </c>
      <c r="G155" s="3" t="n">
        <v>2</v>
      </c>
      <c r="H155" s="3" t="n">
        <v>2</v>
      </c>
      <c r="I155" s="3" t="n">
        <v>3</v>
      </c>
      <c r="J155" s="3" t="n">
        <v>28</v>
      </c>
      <c r="K155" s="3" t="n">
        <v>4</v>
      </c>
      <c r="L155" s="3" t="n">
        <v>3</v>
      </c>
      <c r="M155" s="3" t="n">
        <v>4</v>
      </c>
      <c r="N155" s="3" t="n">
        <v>3</v>
      </c>
      <c r="O155" s="3" t="n">
        <v>5</v>
      </c>
      <c r="P155" s="3" t="n">
        <v>3</v>
      </c>
      <c r="Q155" s="3" t="n">
        <v>4</v>
      </c>
      <c r="R155" s="3" t="n">
        <v>1</v>
      </c>
      <c r="S155" s="3" t="n">
        <v>5</v>
      </c>
      <c r="T155" s="3" t="n">
        <v>5</v>
      </c>
      <c r="U155" s="3" t="n">
        <v>5</v>
      </c>
      <c r="V155" s="3" t="n">
        <v>4</v>
      </c>
      <c r="W155" s="3" t="n">
        <v>5</v>
      </c>
      <c r="X155" s="3" t="n">
        <v>4</v>
      </c>
      <c r="Y155" s="3" t="n">
        <v>5</v>
      </c>
      <c r="Z155" s="3" t="n">
        <v>5</v>
      </c>
      <c r="AA155" s="3" t="n">
        <v>4</v>
      </c>
      <c r="AB155" s="3" t="n">
        <v>3</v>
      </c>
      <c r="AC155" s="3" t="n">
        <v>1</v>
      </c>
      <c r="AD155" s="3" t="n">
        <v>1</v>
      </c>
      <c r="AE155" s="3" t="n">
        <v>3</v>
      </c>
      <c r="AF155" s="3" t="n">
        <v>3</v>
      </c>
      <c r="AG155" s="3" t="n">
        <v>4</v>
      </c>
      <c r="AH155" s="3" t="n">
        <v>3</v>
      </c>
      <c r="AI155" s="3" t="n">
        <v>4</v>
      </c>
      <c r="AJ155" s="3" t="n">
        <v>4</v>
      </c>
      <c r="AK155" s="3" t="n">
        <v>2</v>
      </c>
      <c r="AL155" s="3" t="n">
        <v>5</v>
      </c>
      <c r="AM155" s="3" t="n">
        <v>3</v>
      </c>
      <c r="AN155" s="3" t="n">
        <v>1</v>
      </c>
      <c r="AO155" s="3" t="n">
        <v>2</v>
      </c>
    </row>
    <row r="156" customFormat="false" ht="15" hidden="false" customHeight="false" outlineLevel="0" collapsed="false">
      <c r="A156" s="3" t="n">
        <v>0</v>
      </c>
      <c r="B156" s="3" t="n">
        <v>4</v>
      </c>
      <c r="C156" s="3" t="n">
        <v>1</v>
      </c>
      <c r="D156" s="3" t="n">
        <v>1</v>
      </c>
      <c r="E156" s="3" t="n">
        <v>2</v>
      </c>
      <c r="F156" s="3" t="n">
        <v>2</v>
      </c>
      <c r="G156" s="3" t="n">
        <v>3</v>
      </c>
      <c r="H156" s="3" t="n">
        <v>3</v>
      </c>
      <c r="I156" s="3" t="n">
        <v>1</v>
      </c>
      <c r="J156" s="3" t="n">
        <v>24</v>
      </c>
      <c r="K156" s="3" t="n">
        <v>4</v>
      </c>
      <c r="L156" s="3" t="n">
        <v>2</v>
      </c>
      <c r="M156" s="3" t="n">
        <v>4</v>
      </c>
      <c r="N156" s="3" t="n">
        <v>4</v>
      </c>
      <c r="O156" s="3" t="n">
        <v>4</v>
      </c>
      <c r="P156" s="3" t="n">
        <v>3</v>
      </c>
      <c r="Q156" s="3" t="n">
        <v>3</v>
      </c>
      <c r="R156" s="3" t="n">
        <v>4</v>
      </c>
      <c r="S156" s="3" t="n">
        <v>5</v>
      </c>
      <c r="T156" s="3" t="n">
        <v>4</v>
      </c>
      <c r="U156" s="3" t="n">
        <v>4</v>
      </c>
      <c r="V156" s="3" t="n">
        <v>4</v>
      </c>
      <c r="W156" s="3" t="n">
        <v>5</v>
      </c>
      <c r="X156" s="3" t="n">
        <v>3</v>
      </c>
      <c r="Y156" s="3" t="n">
        <v>4</v>
      </c>
      <c r="Z156" s="3" t="n">
        <v>4</v>
      </c>
      <c r="AA156" s="3" t="n">
        <v>4</v>
      </c>
      <c r="AB156" s="3" t="n">
        <v>2</v>
      </c>
      <c r="AC156" s="3" t="n">
        <v>4</v>
      </c>
      <c r="AD156" s="3" t="n">
        <v>3</v>
      </c>
      <c r="AE156" s="3" t="n">
        <v>3</v>
      </c>
      <c r="AF156" s="3" t="n">
        <v>2</v>
      </c>
      <c r="AG156" s="3" t="n">
        <v>3</v>
      </c>
      <c r="AH156" s="3" t="n">
        <v>4</v>
      </c>
      <c r="AI156" s="3" t="n">
        <v>5</v>
      </c>
      <c r="AJ156" s="3" t="n">
        <v>3</v>
      </c>
      <c r="AK156" s="3" t="n">
        <v>3</v>
      </c>
      <c r="AL156" s="3" t="n">
        <v>3</v>
      </c>
      <c r="AM156" s="3" t="n">
        <v>2</v>
      </c>
      <c r="AN156" s="3" t="n">
        <v>3</v>
      </c>
      <c r="AO156" s="3" t="n">
        <v>4</v>
      </c>
    </row>
    <row r="157" customFormat="false" ht="15" hidden="false" customHeight="false" outlineLevel="0" collapsed="false">
      <c r="B157" s="3" t="n">
        <v>3</v>
      </c>
      <c r="C157" s="3" t="n">
        <v>2</v>
      </c>
      <c r="D157" s="3" t="n">
        <v>1</v>
      </c>
      <c r="E157" s="3" t="n">
        <v>2</v>
      </c>
      <c r="F157" s="3" t="n">
        <v>2</v>
      </c>
      <c r="G157" s="3" t="n">
        <v>1</v>
      </c>
      <c r="H157" s="3" t="n">
        <v>3</v>
      </c>
      <c r="I157" s="3" t="n">
        <v>1</v>
      </c>
      <c r="J157" s="3" t="n">
        <v>23</v>
      </c>
      <c r="K157" s="3" t="n">
        <v>4</v>
      </c>
      <c r="L157" s="3" t="n">
        <v>4</v>
      </c>
      <c r="M157" s="3" t="n">
        <v>4</v>
      </c>
      <c r="N157" s="3" t="n">
        <v>5</v>
      </c>
      <c r="O157" s="3" t="n">
        <v>4</v>
      </c>
      <c r="P157" s="3" t="n">
        <v>2</v>
      </c>
      <c r="Q157" s="3" t="n">
        <v>5</v>
      </c>
      <c r="R157" s="3" t="n">
        <v>4</v>
      </c>
      <c r="S157" s="3" t="n">
        <v>4</v>
      </c>
      <c r="T157" s="3" t="n">
        <v>5</v>
      </c>
      <c r="U157" s="3" t="n">
        <v>3</v>
      </c>
      <c r="V157" s="3" t="n">
        <v>4</v>
      </c>
      <c r="W157" s="3" t="n">
        <v>4</v>
      </c>
      <c r="X157" s="3" t="n">
        <v>2</v>
      </c>
      <c r="Y157" s="3" t="n">
        <v>2</v>
      </c>
      <c r="Z157" s="3" t="n">
        <v>2</v>
      </c>
      <c r="AA157" s="3" t="n">
        <v>5</v>
      </c>
      <c r="AB157" s="3" t="n">
        <v>4</v>
      </c>
      <c r="AC157" s="3" t="n">
        <v>2</v>
      </c>
      <c r="AD157" s="3" t="n">
        <v>2</v>
      </c>
      <c r="AE157" s="3" t="n">
        <v>4</v>
      </c>
      <c r="AF157" s="3" t="n">
        <v>4</v>
      </c>
      <c r="AG157" s="3" t="n">
        <v>5</v>
      </c>
      <c r="AH157" s="3" t="n">
        <v>4</v>
      </c>
      <c r="AI157" s="3" t="n">
        <v>4</v>
      </c>
      <c r="AJ157" s="3" t="n">
        <v>5</v>
      </c>
      <c r="AK157" s="3" t="n">
        <v>2</v>
      </c>
      <c r="AL157" s="3" t="n">
        <v>4</v>
      </c>
      <c r="AM157" s="3" t="n">
        <v>4</v>
      </c>
      <c r="AN157" s="3" t="n">
        <v>5</v>
      </c>
      <c r="AO157" s="3" t="n">
        <v>4</v>
      </c>
    </row>
    <row r="158" customFormat="false" ht="15" hidden="false" customHeight="false" outlineLevel="0" collapsed="false">
      <c r="A158" s="3" t="n">
        <v>0</v>
      </c>
      <c r="B158" s="3" t="n">
        <v>1</v>
      </c>
      <c r="C158" s="3" t="n">
        <v>2</v>
      </c>
      <c r="D158" s="3" t="n">
        <v>1</v>
      </c>
      <c r="E158" s="3" t="n">
        <v>2</v>
      </c>
      <c r="F158" s="3" t="n">
        <v>2</v>
      </c>
      <c r="G158" s="3" t="n">
        <v>3</v>
      </c>
      <c r="H158" s="3" t="n">
        <v>2</v>
      </c>
      <c r="I158" s="3" t="n">
        <v>1</v>
      </c>
      <c r="J158" s="3" t="n">
        <v>23</v>
      </c>
      <c r="K158" s="3" t="n">
        <v>4</v>
      </c>
      <c r="L158" s="3" t="n">
        <v>4</v>
      </c>
      <c r="M158" s="3" t="n">
        <v>4</v>
      </c>
      <c r="N158" s="3" t="n">
        <v>4</v>
      </c>
      <c r="O158" s="3" t="n">
        <v>3</v>
      </c>
      <c r="P158" s="3" t="n">
        <v>3</v>
      </c>
      <c r="Q158" s="3" t="n">
        <v>4</v>
      </c>
      <c r="R158" s="3" t="n">
        <v>3</v>
      </c>
      <c r="S158" s="3" t="n">
        <v>4</v>
      </c>
      <c r="T158" s="3" t="n">
        <v>5</v>
      </c>
      <c r="U158" s="3" t="n">
        <v>3</v>
      </c>
      <c r="V158" s="3" t="n">
        <v>4</v>
      </c>
      <c r="W158" s="3" t="n">
        <v>5</v>
      </c>
      <c r="X158" s="3" t="n">
        <v>3</v>
      </c>
      <c r="Y158" s="3" t="n">
        <v>4</v>
      </c>
      <c r="Z158" s="3" t="n">
        <v>4</v>
      </c>
      <c r="AA158" s="3" t="n">
        <v>4</v>
      </c>
      <c r="AB158" s="3" t="n">
        <v>4</v>
      </c>
      <c r="AC158" s="3" t="n">
        <v>4</v>
      </c>
      <c r="AD158" s="3" t="n">
        <v>4</v>
      </c>
      <c r="AE158" s="3" t="n">
        <v>2</v>
      </c>
      <c r="AF158" s="3" t="n">
        <v>3</v>
      </c>
      <c r="AG158" s="3" t="n">
        <v>2</v>
      </c>
      <c r="AH158" s="3" t="n">
        <v>5</v>
      </c>
      <c r="AI158" s="3" t="n">
        <v>4</v>
      </c>
      <c r="AJ158" s="3" t="n">
        <v>3</v>
      </c>
      <c r="AK158" s="3" t="n">
        <v>3</v>
      </c>
      <c r="AL158" s="3" t="n">
        <v>4</v>
      </c>
      <c r="AM158" s="3" t="n">
        <v>3</v>
      </c>
      <c r="AN158" s="3" t="n">
        <v>3</v>
      </c>
      <c r="AO158" s="3" t="n">
        <v>3</v>
      </c>
    </row>
    <row r="159" customFormat="false" ht="15" hidden="false" customHeight="false" outlineLevel="0" collapsed="false">
      <c r="A159" s="3" t="n">
        <v>0</v>
      </c>
      <c r="B159" s="3" t="n">
        <v>4</v>
      </c>
      <c r="C159" s="3" t="n">
        <v>1</v>
      </c>
      <c r="D159" s="3" t="n">
        <v>2</v>
      </c>
      <c r="E159" s="3" t="n">
        <v>2</v>
      </c>
      <c r="F159" s="3" t="n">
        <v>2</v>
      </c>
      <c r="G159" s="3" t="n">
        <v>3</v>
      </c>
      <c r="H159" s="3" t="n">
        <v>1</v>
      </c>
      <c r="I159" s="3" t="n">
        <v>1</v>
      </c>
      <c r="J159" s="3" t="n">
        <v>24</v>
      </c>
      <c r="K159" s="3" t="n">
        <v>3</v>
      </c>
      <c r="L159" s="3" t="n">
        <v>3</v>
      </c>
      <c r="M159" s="3" t="n">
        <v>2</v>
      </c>
      <c r="N159" s="3" t="n">
        <v>2</v>
      </c>
      <c r="O159" s="3" t="n">
        <v>2</v>
      </c>
      <c r="P159" s="3" t="n">
        <v>4</v>
      </c>
      <c r="Q159" s="3" t="n">
        <v>4</v>
      </c>
      <c r="R159" s="3" t="n">
        <v>2</v>
      </c>
      <c r="S159" s="3" t="n">
        <v>5</v>
      </c>
      <c r="T159" s="3" t="n">
        <v>4</v>
      </c>
      <c r="U159" s="3" t="n">
        <v>4</v>
      </c>
      <c r="V159" s="3" t="n">
        <v>4</v>
      </c>
      <c r="W159" s="3" t="n">
        <v>4</v>
      </c>
      <c r="X159" s="3" t="n">
        <v>4</v>
      </c>
      <c r="Y159" s="3" t="n">
        <v>4</v>
      </c>
      <c r="Z159" s="3" t="n">
        <v>4</v>
      </c>
      <c r="AA159" s="3" t="n">
        <v>4</v>
      </c>
      <c r="AB159" s="3" t="n">
        <v>2</v>
      </c>
      <c r="AC159" s="3" t="n">
        <v>2</v>
      </c>
      <c r="AD159" s="3" t="n">
        <v>2</v>
      </c>
      <c r="AE159" s="3" t="n">
        <v>4</v>
      </c>
      <c r="AF159" s="3" t="n">
        <v>2</v>
      </c>
      <c r="AG159" s="3" t="n">
        <v>4</v>
      </c>
      <c r="AH159" s="3" t="n">
        <v>4</v>
      </c>
      <c r="AI159" s="3" t="n">
        <v>4</v>
      </c>
      <c r="AJ159" s="3" t="n">
        <v>4</v>
      </c>
      <c r="AK159" s="3" t="n">
        <v>4</v>
      </c>
      <c r="AL159" s="3" t="n">
        <v>4</v>
      </c>
      <c r="AM159" s="3" t="n">
        <v>2</v>
      </c>
      <c r="AN159" s="3" t="n">
        <v>2</v>
      </c>
      <c r="AO159" s="3" t="n">
        <v>4</v>
      </c>
    </row>
    <row r="160" customFormat="false" ht="15" hidden="false" customHeight="false" outlineLevel="0" collapsed="false">
      <c r="A160" s="3" t="n">
        <v>0</v>
      </c>
      <c r="B160" s="3" t="n">
        <v>4</v>
      </c>
      <c r="C160" s="3" t="n">
        <v>2</v>
      </c>
      <c r="D160" s="3" t="n">
        <v>1</v>
      </c>
      <c r="E160" s="3" t="n">
        <v>2</v>
      </c>
      <c r="F160" s="3" t="n">
        <v>2</v>
      </c>
      <c r="G160" s="3" t="n">
        <v>3</v>
      </c>
      <c r="H160" s="3" t="n">
        <v>3</v>
      </c>
      <c r="I160" s="3" t="n">
        <v>3</v>
      </c>
      <c r="J160" s="3" t="n">
        <v>25</v>
      </c>
      <c r="K160" s="3" t="n">
        <v>2</v>
      </c>
      <c r="L160" s="3" t="n">
        <v>4</v>
      </c>
      <c r="M160" s="3" t="n">
        <v>2</v>
      </c>
      <c r="N160" s="3" t="n">
        <v>3</v>
      </c>
      <c r="O160" s="3" t="n">
        <v>2</v>
      </c>
      <c r="P160" s="3" t="n">
        <v>2</v>
      </c>
      <c r="Q160" s="3" t="n">
        <v>4</v>
      </c>
      <c r="R160" s="3" t="n">
        <v>2</v>
      </c>
      <c r="S160" s="3" t="n">
        <v>4</v>
      </c>
      <c r="T160" s="3" t="n">
        <v>5</v>
      </c>
      <c r="U160" s="3" t="n">
        <v>4</v>
      </c>
      <c r="V160" s="3" t="n">
        <v>4</v>
      </c>
      <c r="W160" s="3" t="n">
        <v>2</v>
      </c>
      <c r="X160" s="3" t="n">
        <v>4</v>
      </c>
      <c r="Y160" s="3" t="n">
        <v>4</v>
      </c>
      <c r="Z160" s="3" t="n">
        <v>4</v>
      </c>
      <c r="AA160" s="3" t="n">
        <v>4</v>
      </c>
      <c r="AB160" s="3" t="n">
        <v>4</v>
      </c>
      <c r="AC160" s="3" t="n">
        <v>2</v>
      </c>
      <c r="AD160" s="3" t="n">
        <v>2</v>
      </c>
      <c r="AE160" s="3" t="n">
        <v>4</v>
      </c>
      <c r="AF160" s="3" t="n">
        <v>3</v>
      </c>
      <c r="AG160" s="3" t="n">
        <v>4</v>
      </c>
      <c r="AH160" s="3" t="n">
        <v>4</v>
      </c>
      <c r="AI160" s="3" t="n">
        <v>4</v>
      </c>
      <c r="AJ160" s="3" t="n">
        <v>2</v>
      </c>
      <c r="AK160" s="3" t="n">
        <v>2</v>
      </c>
      <c r="AL160" s="3" t="n">
        <v>4</v>
      </c>
      <c r="AM160" s="3" t="n">
        <v>2</v>
      </c>
      <c r="AN160" s="3" t="n">
        <v>2</v>
      </c>
      <c r="AO160" s="3" t="n">
        <v>2</v>
      </c>
    </row>
    <row r="161" customFormat="false" ht="15" hidden="false" customHeight="false" outlineLevel="0" collapsed="false">
      <c r="A161" s="3" t="n">
        <v>0</v>
      </c>
      <c r="B161" s="3" t="n">
        <v>1</v>
      </c>
      <c r="C161" s="3" t="n">
        <v>2</v>
      </c>
      <c r="D161" s="3" t="n">
        <v>1</v>
      </c>
      <c r="E161" s="3" t="n">
        <v>2</v>
      </c>
      <c r="F161" s="3" t="n">
        <v>2</v>
      </c>
      <c r="G161" s="3" t="n">
        <v>4</v>
      </c>
      <c r="H161" s="3" t="n">
        <v>3</v>
      </c>
      <c r="I161" s="3" t="n">
        <v>1</v>
      </c>
      <c r="J161" s="3" t="n">
        <v>22</v>
      </c>
      <c r="K161" s="3" t="n">
        <v>4</v>
      </c>
      <c r="L161" s="3" t="n">
        <v>4</v>
      </c>
      <c r="M161" s="3" t="n">
        <v>4</v>
      </c>
      <c r="N161" s="3" t="n">
        <v>4</v>
      </c>
      <c r="O161" s="3" t="n">
        <v>4</v>
      </c>
      <c r="P161" s="3" t="n">
        <v>4</v>
      </c>
      <c r="Q161" s="3" t="n">
        <v>4</v>
      </c>
      <c r="R161" s="3" t="n">
        <v>4</v>
      </c>
      <c r="S161" s="3" t="n">
        <v>3</v>
      </c>
      <c r="T161" s="3" t="n">
        <v>5</v>
      </c>
      <c r="U161" s="3" t="n">
        <v>4</v>
      </c>
      <c r="V161" s="3" t="n">
        <v>3</v>
      </c>
      <c r="W161" s="3" t="n">
        <v>3</v>
      </c>
      <c r="X161" s="3" t="n">
        <v>3</v>
      </c>
      <c r="Y161" s="3" t="n">
        <v>3</v>
      </c>
      <c r="Z161" s="3" t="n">
        <v>4</v>
      </c>
      <c r="AA161" s="3" t="n">
        <v>4</v>
      </c>
      <c r="AB161" s="3" t="n">
        <v>2</v>
      </c>
      <c r="AC161" s="3" t="n">
        <v>3</v>
      </c>
      <c r="AD161" s="3" t="n">
        <v>2</v>
      </c>
      <c r="AE161" s="3" t="n">
        <v>3</v>
      </c>
      <c r="AF161" s="3" t="n">
        <v>2</v>
      </c>
      <c r="AG161" s="3" t="n">
        <v>3</v>
      </c>
      <c r="AH161" s="3" t="n">
        <v>4</v>
      </c>
      <c r="AI161" s="3" t="n">
        <v>4</v>
      </c>
      <c r="AJ161" s="3" t="n">
        <v>4</v>
      </c>
      <c r="AK161" s="3" t="n">
        <v>3</v>
      </c>
      <c r="AL161" s="3" t="n">
        <v>4</v>
      </c>
      <c r="AM161" s="3" t="n">
        <v>3</v>
      </c>
      <c r="AN161" s="3" t="n">
        <v>4</v>
      </c>
      <c r="AO161" s="3" t="n">
        <v>3</v>
      </c>
    </row>
    <row r="162" customFormat="false" ht="15" hidden="false" customHeight="false" outlineLevel="0" collapsed="false">
      <c r="A162" s="3" t="n">
        <v>1</v>
      </c>
      <c r="B162" s="3" t="n">
        <v>4</v>
      </c>
      <c r="C162" s="3" t="n">
        <v>1</v>
      </c>
      <c r="D162" s="3" t="n">
        <v>1</v>
      </c>
      <c r="E162" s="3" t="n">
        <v>2</v>
      </c>
      <c r="F162" s="3" t="n">
        <v>2</v>
      </c>
      <c r="G162" s="3" t="n">
        <v>2</v>
      </c>
      <c r="H162" s="3" t="n">
        <v>1</v>
      </c>
      <c r="I162" s="3" t="n">
        <v>2</v>
      </c>
      <c r="J162" s="3" t="n">
        <v>25</v>
      </c>
      <c r="K162" s="3" t="n">
        <v>4</v>
      </c>
      <c r="L162" s="3" t="n">
        <v>4</v>
      </c>
      <c r="M162" s="3" t="n">
        <v>4</v>
      </c>
      <c r="N162" s="3" t="n">
        <v>4</v>
      </c>
      <c r="O162" s="3" t="n">
        <v>4</v>
      </c>
      <c r="P162" s="3" t="n">
        <v>5</v>
      </c>
      <c r="Q162" s="3" t="n">
        <v>4</v>
      </c>
      <c r="R162" s="3" t="n">
        <v>1</v>
      </c>
      <c r="S162" s="3" t="n">
        <v>4</v>
      </c>
      <c r="T162" s="3" t="n">
        <v>5</v>
      </c>
      <c r="U162" s="3" t="n">
        <v>5</v>
      </c>
      <c r="V162" s="3" t="n">
        <v>4</v>
      </c>
      <c r="W162" s="3" t="n">
        <v>3</v>
      </c>
      <c r="X162" s="3" t="n">
        <v>2</v>
      </c>
      <c r="Y162" s="3" t="n">
        <v>2</v>
      </c>
      <c r="Z162" s="3" t="n">
        <v>4</v>
      </c>
      <c r="AA162" s="3" t="n">
        <v>4</v>
      </c>
      <c r="AB162" s="3" t="n">
        <v>4</v>
      </c>
      <c r="AC162" s="3" t="n">
        <v>2</v>
      </c>
      <c r="AD162" s="3" t="n">
        <v>1</v>
      </c>
      <c r="AE162" s="3" t="n">
        <v>4</v>
      </c>
      <c r="AF162" s="3" t="n">
        <v>5</v>
      </c>
      <c r="AG162" s="3" t="n">
        <v>4</v>
      </c>
      <c r="AH162" s="3" t="n">
        <v>4</v>
      </c>
      <c r="AI162" s="3" t="n">
        <v>4</v>
      </c>
      <c r="AJ162" s="3" t="n">
        <v>2</v>
      </c>
      <c r="AK162" s="3" t="n">
        <v>2</v>
      </c>
      <c r="AL162" s="3" t="n">
        <v>4</v>
      </c>
      <c r="AM162" s="3" t="n">
        <v>4</v>
      </c>
      <c r="AN162" s="3" t="n">
        <v>2</v>
      </c>
      <c r="AO162" s="3" t="n">
        <v>4</v>
      </c>
    </row>
    <row r="163" customFormat="false" ht="15" hidden="false" customHeight="false" outlineLevel="0" collapsed="false">
      <c r="A163" s="3" t="n">
        <v>0</v>
      </c>
      <c r="B163" s="3" t="n">
        <v>4</v>
      </c>
      <c r="C163" s="3" t="n">
        <v>1</v>
      </c>
      <c r="D163" s="3" t="n">
        <v>1</v>
      </c>
      <c r="E163" s="3" t="n">
        <v>2</v>
      </c>
      <c r="F163" s="3" t="n">
        <v>2</v>
      </c>
      <c r="G163" s="3" t="n">
        <v>3</v>
      </c>
      <c r="H163" s="3" t="n">
        <v>3</v>
      </c>
      <c r="I163" s="3" t="n">
        <v>3</v>
      </c>
      <c r="J163" s="3" t="n">
        <v>26</v>
      </c>
      <c r="K163" s="3" t="n">
        <v>4</v>
      </c>
      <c r="L163" s="3" t="n">
        <v>3</v>
      </c>
      <c r="M163" s="3" t="n">
        <v>4</v>
      </c>
      <c r="N163" s="3" t="n">
        <v>3</v>
      </c>
      <c r="O163" s="3" t="n">
        <v>3</v>
      </c>
      <c r="P163" s="3" t="n">
        <v>3</v>
      </c>
      <c r="Q163" s="3" t="n">
        <v>3</v>
      </c>
      <c r="R163" s="3" t="n">
        <v>2</v>
      </c>
      <c r="S163" s="3" t="n">
        <v>4</v>
      </c>
      <c r="T163" s="3" t="n">
        <v>5</v>
      </c>
      <c r="U163" s="3" t="n">
        <v>5</v>
      </c>
      <c r="V163" s="3" t="n">
        <v>3</v>
      </c>
      <c r="W163" s="3" t="n">
        <v>2</v>
      </c>
      <c r="X163" s="3" t="n">
        <v>3</v>
      </c>
      <c r="Y163" s="3" t="n">
        <v>3</v>
      </c>
      <c r="Z163" s="3" t="n">
        <v>3</v>
      </c>
      <c r="AA163" s="3" t="n">
        <v>4</v>
      </c>
      <c r="AB163" s="3" t="n">
        <v>3</v>
      </c>
      <c r="AC163" s="3" t="n">
        <v>2</v>
      </c>
      <c r="AD163" s="3" t="n">
        <v>2</v>
      </c>
      <c r="AE163" s="3" t="n">
        <v>4</v>
      </c>
      <c r="AF163" s="3" t="n">
        <v>3</v>
      </c>
      <c r="AG163" s="3" t="n">
        <v>4</v>
      </c>
      <c r="AH163" s="3" t="n">
        <v>2</v>
      </c>
      <c r="AI163" s="3" t="n">
        <v>2</v>
      </c>
      <c r="AJ163" s="3" t="n">
        <v>3</v>
      </c>
      <c r="AK163" s="3" t="n">
        <v>2</v>
      </c>
      <c r="AL163" s="3" t="n">
        <v>3</v>
      </c>
      <c r="AM163" s="3" t="n">
        <v>3</v>
      </c>
      <c r="AN163" s="3" t="n">
        <v>3</v>
      </c>
      <c r="AO163" s="3" t="n">
        <v>3</v>
      </c>
    </row>
    <row r="164" customFormat="false" ht="15" hidden="false" customHeight="false" outlineLevel="0" collapsed="false">
      <c r="A164" s="3" t="n">
        <v>1</v>
      </c>
      <c r="B164" s="3" t="n">
        <v>3</v>
      </c>
      <c r="C164" s="3" t="n">
        <v>1</v>
      </c>
      <c r="D164" s="3" t="n">
        <v>1</v>
      </c>
      <c r="E164" s="3" t="n">
        <v>2</v>
      </c>
      <c r="F164" s="3" t="n">
        <v>2</v>
      </c>
      <c r="G164" s="3" t="n">
        <v>1</v>
      </c>
      <c r="H164" s="3" t="n">
        <v>2</v>
      </c>
      <c r="I164" s="3" t="n">
        <v>1</v>
      </c>
      <c r="J164" s="3" t="n">
        <v>24</v>
      </c>
      <c r="K164" s="3" t="n">
        <v>3</v>
      </c>
      <c r="L164" s="3" t="n">
        <v>2</v>
      </c>
      <c r="M164" s="3" t="n">
        <v>2</v>
      </c>
      <c r="N164" s="3" t="n">
        <v>2</v>
      </c>
      <c r="O164" s="3" t="n">
        <v>5</v>
      </c>
      <c r="P164" s="3" t="n">
        <v>4</v>
      </c>
      <c r="Q164" s="3" t="n">
        <v>3</v>
      </c>
      <c r="R164" s="3" t="n">
        <v>5</v>
      </c>
      <c r="S164" s="3" t="n">
        <v>4</v>
      </c>
      <c r="T164" s="3" t="n">
        <v>5</v>
      </c>
      <c r="U164" s="3" t="n">
        <v>4</v>
      </c>
      <c r="V164" s="3" t="n">
        <v>4</v>
      </c>
      <c r="W164" s="3" t="n">
        <v>2</v>
      </c>
      <c r="X164" s="3" t="n">
        <v>2</v>
      </c>
      <c r="Y164" s="3" t="n">
        <v>2</v>
      </c>
      <c r="Z164" s="3" t="n">
        <v>3</v>
      </c>
      <c r="AA164" s="3" t="n">
        <v>3</v>
      </c>
      <c r="AB164" s="3" t="n">
        <v>4</v>
      </c>
      <c r="AC164" s="3" t="n">
        <v>5</v>
      </c>
      <c r="AD164" s="3" t="n">
        <v>5</v>
      </c>
      <c r="AE164" s="3" t="n">
        <v>2</v>
      </c>
      <c r="AF164" s="3" t="n">
        <v>3</v>
      </c>
      <c r="AG164" s="3" t="n">
        <v>4</v>
      </c>
      <c r="AH164" s="3" t="n">
        <v>5</v>
      </c>
      <c r="AI164" s="3" t="n">
        <v>2</v>
      </c>
      <c r="AJ164" s="3" t="n">
        <v>3</v>
      </c>
      <c r="AK164" s="3" t="n">
        <v>3</v>
      </c>
      <c r="AL164" s="3" t="n">
        <v>4</v>
      </c>
      <c r="AM164" s="3" t="n">
        <v>2</v>
      </c>
      <c r="AN164" s="3" t="n">
        <v>3</v>
      </c>
      <c r="AO164" s="3" t="n">
        <v>4</v>
      </c>
    </row>
    <row r="165" customFormat="false" ht="15" hidden="false" customHeight="false" outlineLevel="0" collapsed="false">
      <c r="A165" s="3" t="n">
        <v>1</v>
      </c>
      <c r="B165" s="3" t="n">
        <v>4</v>
      </c>
      <c r="C165" s="3" t="n">
        <v>1</v>
      </c>
      <c r="D165" s="3" t="n">
        <v>1</v>
      </c>
      <c r="E165" s="3" t="n">
        <v>2</v>
      </c>
      <c r="F165" s="3" t="n">
        <v>2</v>
      </c>
      <c r="G165" s="3" t="n">
        <v>4</v>
      </c>
      <c r="H165" s="3" t="n">
        <v>1</v>
      </c>
      <c r="I165" s="3" t="n">
        <v>3</v>
      </c>
      <c r="J165" s="3" t="n">
        <v>29</v>
      </c>
      <c r="K165" s="3" t="n">
        <v>3</v>
      </c>
      <c r="L165" s="3" t="n">
        <v>4</v>
      </c>
      <c r="M165" s="3" t="n">
        <v>5</v>
      </c>
      <c r="N165" s="3" t="n">
        <v>3</v>
      </c>
      <c r="O165" s="3" t="n">
        <v>4</v>
      </c>
      <c r="P165" s="3" t="n">
        <v>4</v>
      </c>
      <c r="Q165" s="3" t="n">
        <v>5</v>
      </c>
      <c r="R165" s="3" t="n">
        <v>2</v>
      </c>
      <c r="S165" s="3" t="n">
        <v>4</v>
      </c>
      <c r="T165" s="3" t="n">
        <v>5</v>
      </c>
      <c r="U165" s="3" t="n">
        <v>5</v>
      </c>
      <c r="V165" s="3" t="n">
        <v>5</v>
      </c>
      <c r="W165" s="3" t="n">
        <v>5</v>
      </c>
      <c r="X165" s="3" t="n">
        <v>3</v>
      </c>
      <c r="Y165" s="3" t="n">
        <v>5</v>
      </c>
      <c r="Z165" s="3" t="n">
        <v>4</v>
      </c>
      <c r="AA165" s="3" t="n">
        <v>4</v>
      </c>
      <c r="AB165" s="3" t="n">
        <v>4</v>
      </c>
      <c r="AC165" s="3" t="n">
        <v>1</v>
      </c>
      <c r="AD165" s="3" t="n">
        <v>4</v>
      </c>
      <c r="AE165" s="3" t="n">
        <v>4</v>
      </c>
      <c r="AF165" s="3" t="n">
        <v>2</v>
      </c>
      <c r="AG165" s="3" t="n">
        <v>4</v>
      </c>
      <c r="AH165" s="3" t="n">
        <v>4</v>
      </c>
      <c r="AI165" s="3" t="n">
        <v>4</v>
      </c>
      <c r="AJ165" s="3" t="n">
        <v>4</v>
      </c>
      <c r="AK165" s="3" t="n">
        <v>4</v>
      </c>
      <c r="AL165" s="3" t="n">
        <v>4</v>
      </c>
      <c r="AM165" s="3" t="n">
        <v>3</v>
      </c>
      <c r="AN165" s="3" t="n">
        <v>5</v>
      </c>
      <c r="AO165" s="3" t="n">
        <v>5</v>
      </c>
    </row>
    <row r="166" customFormat="false" ht="15" hidden="false" customHeight="false" outlineLevel="0" collapsed="false">
      <c r="B166" s="3" t="n">
        <v>4</v>
      </c>
      <c r="C166" s="3" t="n">
        <v>1</v>
      </c>
      <c r="D166" s="3" t="n">
        <v>1</v>
      </c>
      <c r="E166" s="3" t="n">
        <v>2</v>
      </c>
      <c r="F166" s="3" t="n">
        <v>2</v>
      </c>
      <c r="G166" s="3" t="n">
        <v>1</v>
      </c>
      <c r="H166" s="3" t="n">
        <v>3</v>
      </c>
      <c r="I166" s="3" t="n">
        <v>2</v>
      </c>
      <c r="J166" s="3" t="n">
        <v>26</v>
      </c>
      <c r="K166" s="3" t="n">
        <v>4</v>
      </c>
      <c r="L166" s="3" t="n">
        <v>3</v>
      </c>
      <c r="M166" s="3" t="n">
        <v>4</v>
      </c>
      <c r="N166" s="3" t="n">
        <v>4</v>
      </c>
      <c r="O166" s="3" t="n">
        <v>4</v>
      </c>
      <c r="P166" s="3" t="n">
        <v>4</v>
      </c>
      <c r="Q166" s="3" t="n">
        <v>3</v>
      </c>
      <c r="R166" s="3" t="n">
        <v>3</v>
      </c>
      <c r="S166" s="3" t="n">
        <v>3</v>
      </c>
      <c r="T166" s="3" t="n">
        <v>5</v>
      </c>
      <c r="U166" s="3" t="n">
        <v>4</v>
      </c>
      <c r="V166" s="3" t="n">
        <v>3</v>
      </c>
      <c r="W166" s="3" t="n">
        <v>4</v>
      </c>
      <c r="X166" s="3" t="n">
        <v>4</v>
      </c>
      <c r="Y166" s="3" t="n">
        <v>2</v>
      </c>
      <c r="Z166" s="3" t="n">
        <v>3</v>
      </c>
      <c r="AA166" s="3" t="n">
        <v>4</v>
      </c>
      <c r="AB166" s="3" t="n">
        <v>2</v>
      </c>
      <c r="AC166" s="3" t="n">
        <v>2</v>
      </c>
      <c r="AD166" s="3" t="n">
        <v>2</v>
      </c>
      <c r="AE166" s="3" t="n">
        <v>2</v>
      </c>
      <c r="AF166" s="3" t="n">
        <v>1</v>
      </c>
      <c r="AG166" s="3" t="n">
        <v>2</v>
      </c>
      <c r="AH166" s="3" t="n">
        <v>3</v>
      </c>
      <c r="AI166" s="3" t="n">
        <v>4</v>
      </c>
      <c r="AJ166" s="3" t="n">
        <v>4</v>
      </c>
      <c r="AK166" s="3" t="n">
        <v>2</v>
      </c>
      <c r="AL166" s="3" t="n">
        <v>5</v>
      </c>
      <c r="AM166" s="3" t="n">
        <v>3</v>
      </c>
      <c r="AN166" s="3" t="n">
        <v>4</v>
      </c>
      <c r="AO166" s="3" t="n">
        <v>3</v>
      </c>
    </row>
    <row r="167" customFormat="false" ht="15" hidden="false" customHeight="false" outlineLevel="0" collapsed="false">
      <c r="A167" s="3" t="n">
        <v>0</v>
      </c>
      <c r="B167" s="3" t="n">
        <v>3</v>
      </c>
      <c r="C167" s="3" t="n">
        <v>1</v>
      </c>
      <c r="D167" s="3" t="n">
        <v>1</v>
      </c>
      <c r="E167" s="3" t="n">
        <v>2</v>
      </c>
      <c r="F167" s="3" t="n">
        <v>2</v>
      </c>
      <c r="G167" s="3" t="n">
        <v>3</v>
      </c>
      <c r="H167" s="3" t="n">
        <v>3</v>
      </c>
      <c r="I167" s="3" t="n">
        <v>3</v>
      </c>
      <c r="J167" s="3" t="n">
        <v>24</v>
      </c>
      <c r="K167" s="3" t="n">
        <v>2</v>
      </c>
      <c r="L167" s="3" t="n">
        <v>2</v>
      </c>
      <c r="M167" s="3" t="n">
        <v>4</v>
      </c>
      <c r="N167" s="3" t="n">
        <v>2</v>
      </c>
      <c r="O167" s="3" t="n">
        <v>4</v>
      </c>
      <c r="P167" s="3" t="n">
        <v>4</v>
      </c>
      <c r="Q167" s="3" t="n">
        <v>2</v>
      </c>
      <c r="R167" s="3" t="n">
        <v>4</v>
      </c>
      <c r="S167" s="3" t="n">
        <v>3</v>
      </c>
      <c r="T167" s="3" t="n">
        <v>5</v>
      </c>
      <c r="U167" s="3" t="n">
        <v>4</v>
      </c>
      <c r="V167" s="3" t="n">
        <v>2</v>
      </c>
      <c r="W167" s="3" t="n">
        <v>2</v>
      </c>
      <c r="X167" s="3" t="n">
        <v>4</v>
      </c>
      <c r="Y167" s="3" t="n">
        <v>4</v>
      </c>
      <c r="Z167" s="3" t="n">
        <v>4</v>
      </c>
      <c r="AA167" s="3" t="n">
        <v>2</v>
      </c>
      <c r="AB167" s="3" t="n">
        <v>2</v>
      </c>
      <c r="AC167" s="3" t="n">
        <v>2</v>
      </c>
      <c r="AD167" s="3" t="n">
        <v>2</v>
      </c>
      <c r="AE167" s="3" t="n">
        <v>2</v>
      </c>
      <c r="AF167" s="3" t="n">
        <v>2</v>
      </c>
      <c r="AG167" s="3" t="n">
        <v>2</v>
      </c>
      <c r="AH167" s="3" t="n">
        <v>3</v>
      </c>
      <c r="AI167" s="3" t="n">
        <v>4</v>
      </c>
      <c r="AJ167" s="3" t="n">
        <v>4</v>
      </c>
      <c r="AK167" s="3" t="n">
        <v>4</v>
      </c>
      <c r="AL167" s="3" t="n">
        <v>2</v>
      </c>
      <c r="AM167" s="3" t="n">
        <v>3</v>
      </c>
      <c r="AN167" s="3" t="n">
        <v>2</v>
      </c>
      <c r="AO167" s="3" t="n">
        <v>2</v>
      </c>
    </row>
    <row r="168" customFormat="false" ht="15" hidden="false" customHeight="false" outlineLevel="0" collapsed="false">
      <c r="A168" s="3" t="n">
        <v>1</v>
      </c>
      <c r="B168" s="3" t="n">
        <v>3</v>
      </c>
      <c r="C168" s="3" t="n">
        <v>2</v>
      </c>
      <c r="D168" s="3" t="n">
        <v>1</v>
      </c>
      <c r="E168" s="3" t="n">
        <v>2</v>
      </c>
      <c r="F168" s="3" t="n">
        <v>2</v>
      </c>
      <c r="G168" s="3" t="n">
        <v>1</v>
      </c>
      <c r="H168" s="3" t="n">
        <v>2</v>
      </c>
      <c r="I168" s="3" t="n">
        <v>1</v>
      </c>
      <c r="J168" s="3" t="n">
        <v>24</v>
      </c>
      <c r="K168" s="3" t="n">
        <v>4</v>
      </c>
      <c r="L168" s="3" t="n">
        <v>4</v>
      </c>
      <c r="M168" s="3" t="n">
        <v>3</v>
      </c>
      <c r="N168" s="3" t="n">
        <v>4</v>
      </c>
      <c r="O168" s="3" t="n">
        <v>4</v>
      </c>
      <c r="P168" s="3" t="n">
        <v>4</v>
      </c>
      <c r="Q168" s="3" t="n">
        <v>3</v>
      </c>
      <c r="R168" s="3" t="n">
        <v>4</v>
      </c>
      <c r="S168" s="3" t="n">
        <v>5</v>
      </c>
      <c r="T168" s="3" t="n">
        <v>4</v>
      </c>
      <c r="U168" s="3" t="n">
        <v>4</v>
      </c>
      <c r="V168" s="3" t="n">
        <v>4</v>
      </c>
      <c r="W168" s="3" t="n">
        <v>4</v>
      </c>
      <c r="X168" s="3" t="n">
        <v>3</v>
      </c>
      <c r="Y168" s="3" t="n">
        <v>2</v>
      </c>
      <c r="Z168" s="3" t="n">
        <v>2</v>
      </c>
      <c r="AA168" s="3" t="n">
        <v>4</v>
      </c>
      <c r="AB168" s="3" t="n">
        <v>4</v>
      </c>
      <c r="AC168" s="3" t="n">
        <v>2</v>
      </c>
      <c r="AD168" s="3" t="n">
        <v>2</v>
      </c>
      <c r="AE168" s="3" t="n">
        <v>4</v>
      </c>
      <c r="AF168" s="3" t="n">
        <v>4</v>
      </c>
      <c r="AG168" s="3" t="n">
        <v>4</v>
      </c>
      <c r="AH168" s="3" t="n">
        <v>4</v>
      </c>
      <c r="AI168" s="3" t="n">
        <v>4</v>
      </c>
      <c r="AJ168" s="3" t="n">
        <v>4</v>
      </c>
      <c r="AK168" s="3" t="n">
        <v>4</v>
      </c>
      <c r="AL168" s="3" t="n">
        <v>4</v>
      </c>
      <c r="AM168" s="3" t="n">
        <v>3</v>
      </c>
      <c r="AN168" s="3" t="n">
        <v>4</v>
      </c>
      <c r="AO168" s="3" t="n">
        <v>4</v>
      </c>
    </row>
    <row r="169" customFormat="false" ht="15" hidden="false" customHeight="false" outlineLevel="0" collapsed="false">
      <c r="A169" s="3" t="n">
        <v>0</v>
      </c>
      <c r="B169" s="3" t="n">
        <v>4</v>
      </c>
      <c r="C169" s="3" t="n">
        <v>1</v>
      </c>
      <c r="D169" s="3" t="n">
        <v>1</v>
      </c>
      <c r="E169" s="3" t="n">
        <v>2</v>
      </c>
      <c r="F169" s="3" t="n">
        <v>2</v>
      </c>
      <c r="G169" s="3" t="n">
        <v>2</v>
      </c>
      <c r="H169" s="3" t="n">
        <v>1</v>
      </c>
      <c r="I169" s="3" t="n">
        <v>3</v>
      </c>
      <c r="J169" s="3" t="n">
        <v>24</v>
      </c>
      <c r="K169" s="3" t="n">
        <v>4</v>
      </c>
      <c r="L169" s="3" t="n">
        <v>4</v>
      </c>
      <c r="M169" s="3" t="n">
        <v>4</v>
      </c>
      <c r="N169" s="3" t="n">
        <v>4</v>
      </c>
      <c r="O169" s="3" t="n">
        <v>5</v>
      </c>
      <c r="P169" s="3" t="n">
        <v>4</v>
      </c>
      <c r="Q169" s="3" t="n">
        <v>2</v>
      </c>
      <c r="R169" s="3" t="n">
        <v>4</v>
      </c>
      <c r="S169" s="3" t="n">
        <v>5</v>
      </c>
      <c r="T169" s="3" t="n">
        <v>4</v>
      </c>
      <c r="U169" s="3" t="n">
        <v>5</v>
      </c>
      <c r="V169" s="3" t="n">
        <v>5</v>
      </c>
      <c r="W169" s="3" t="n">
        <v>4</v>
      </c>
      <c r="X169" s="3" t="n">
        <v>2</v>
      </c>
      <c r="Y169" s="3" t="n">
        <v>4</v>
      </c>
      <c r="Z169" s="3" t="n">
        <v>5</v>
      </c>
      <c r="AA169" s="3" t="n">
        <v>4</v>
      </c>
      <c r="AB169" s="3" t="n">
        <v>2</v>
      </c>
      <c r="AC169" s="3" t="n">
        <v>2</v>
      </c>
      <c r="AD169" s="3" t="n">
        <v>1</v>
      </c>
      <c r="AE169" s="3" t="n">
        <v>4</v>
      </c>
      <c r="AF169" s="3" t="n">
        <v>4</v>
      </c>
      <c r="AG169" s="3" t="n">
        <v>4</v>
      </c>
      <c r="AH169" s="3" t="n">
        <v>4</v>
      </c>
      <c r="AI169" s="3" t="n">
        <v>4</v>
      </c>
      <c r="AJ169" s="3" t="n">
        <v>5</v>
      </c>
      <c r="AK169" s="3" t="n">
        <v>4</v>
      </c>
      <c r="AL169" s="3" t="n">
        <v>5</v>
      </c>
      <c r="AM169" s="3" t="n">
        <v>5</v>
      </c>
      <c r="AN169" s="3" t="n">
        <v>2</v>
      </c>
      <c r="AO169" s="3" t="n">
        <v>4</v>
      </c>
    </row>
    <row r="170" customFormat="false" ht="15" hidden="false" customHeight="false" outlineLevel="0" collapsed="false">
      <c r="A170" s="3" t="n">
        <v>1</v>
      </c>
      <c r="B170" s="3" t="n">
        <v>4</v>
      </c>
      <c r="C170" s="3" t="n">
        <v>1</v>
      </c>
      <c r="D170" s="3" t="n">
        <v>1</v>
      </c>
      <c r="E170" s="3" t="n">
        <v>2</v>
      </c>
      <c r="F170" s="3" t="n">
        <v>2</v>
      </c>
      <c r="G170" s="3" t="n">
        <v>1</v>
      </c>
      <c r="H170" s="3" t="n">
        <v>3</v>
      </c>
      <c r="I170" s="3" t="n">
        <v>3</v>
      </c>
      <c r="J170" s="3" t="n">
        <v>25</v>
      </c>
      <c r="K170" s="3" t="n">
        <v>3</v>
      </c>
      <c r="L170" s="3" t="n">
        <v>2</v>
      </c>
      <c r="M170" s="3" t="n">
        <v>4</v>
      </c>
      <c r="N170" s="3" t="n">
        <v>2</v>
      </c>
      <c r="O170" s="3" t="n">
        <v>4</v>
      </c>
      <c r="P170" s="3" t="n">
        <v>4</v>
      </c>
      <c r="Q170" s="3" t="n">
        <v>3</v>
      </c>
      <c r="R170" s="3" t="n">
        <v>2</v>
      </c>
      <c r="S170" s="3" t="n">
        <v>4</v>
      </c>
      <c r="T170" s="3" t="n">
        <v>3</v>
      </c>
      <c r="U170" s="3" t="n">
        <v>4</v>
      </c>
      <c r="V170" s="3" t="n">
        <v>4</v>
      </c>
      <c r="W170" s="3" t="n">
        <v>4</v>
      </c>
      <c r="X170" s="3" t="n">
        <v>4</v>
      </c>
      <c r="Y170" s="3" t="n">
        <v>3</v>
      </c>
      <c r="Z170" s="3" t="n">
        <v>3</v>
      </c>
      <c r="AA170" s="3" t="n">
        <v>4</v>
      </c>
      <c r="AB170" s="3" t="n">
        <v>2</v>
      </c>
      <c r="AC170" s="3" t="n">
        <v>2</v>
      </c>
      <c r="AD170" s="3" t="n">
        <v>2</v>
      </c>
      <c r="AE170" s="3" t="n">
        <v>2</v>
      </c>
      <c r="AF170" s="3" t="n">
        <v>2</v>
      </c>
      <c r="AG170" s="3" t="n">
        <v>2</v>
      </c>
      <c r="AH170" s="3" t="n">
        <v>4</v>
      </c>
      <c r="AI170" s="3" t="n">
        <v>3</v>
      </c>
      <c r="AJ170" s="3" t="n">
        <v>4</v>
      </c>
      <c r="AK170" s="3" t="n">
        <v>4</v>
      </c>
      <c r="AL170" s="3" t="n">
        <v>4</v>
      </c>
      <c r="AM170" s="3" t="n">
        <v>2</v>
      </c>
      <c r="AN170" s="3" t="n">
        <v>3</v>
      </c>
      <c r="AO170" s="3" t="n">
        <v>2</v>
      </c>
    </row>
    <row r="171" customFormat="false" ht="15" hidden="false" customHeight="false" outlineLevel="0" collapsed="false">
      <c r="B171" s="3" t="n">
        <v>4</v>
      </c>
      <c r="C171" s="3" t="n">
        <v>1</v>
      </c>
      <c r="D171" s="3" t="n">
        <v>1</v>
      </c>
      <c r="E171" s="3" t="n">
        <v>2</v>
      </c>
      <c r="F171" s="3" t="n">
        <v>2</v>
      </c>
      <c r="G171" s="3" t="n">
        <v>1</v>
      </c>
      <c r="H171" s="3" t="n">
        <v>3</v>
      </c>
      <c r="I171" s="3" t="n">
        <v>3</v>
      </c>
      <c r="J171" s="3" t="n">
        <v>24</v>
      </c>
      <c r="K171" s="3" t="n">
        <v>4</v>
      </c>
      <c r="L171" s="3" t="n">
        <v>4</v>
      </c>
      <c r="M171" s="3" t="n">
        <v>4</v>
      </c>
      <c r="N171" s="3" t="n">
        <v>3</v>
      </c>
      <c r="O171" s="3" t="n">
        <v>4</v>
      </c>
      <c r="P171" s="3" t="n">
        <v>4</v>
      </c>
      <c r="Q171" s="3" t="n">
        <v>4</v>
      </c>
      <c r="R171" s="3" t="n">
        <v>3</v>
      </c>
      <c r="S171" s="3" t="n">
        <v>4</v>
      </c>
      <c r="T171" s="3" t="n">
        <v>4</v>
      </c>
      <c r="U171" s="3" t="n">
        <v>4</v>
      </c>
      <c r="V171" s="3" t="n">
        <v>4</v>
      </c>
      <c r="W171" s="3" t="n">
        <v>4</v>
      </c>
      <c r="X171" s="3" t="n">
        <v>4</v>
      </c>
      <c r="Y171" s="3" t="n">
        <v>4</v>
      </c>
      <c r="Z171" s="3" t="n">
        <v>4</v>
      </c>
      <c r="AA171" s="3" t="n">
        <v>4</v>
      </c>
      <c r="AB171" s="3" t="n">
        <v>5</v>
      </c>
      <c r="AC171" s="3" t="n">
        <v>5</v>
      </c>
      <c r="AD171" s="3" t="n">
        <v>2</v>
      </c>
      <c r="AE171" s="3" t="n">
        <v>4</v>
      </c>
      <c r="AF171" s="3" t="n">
        <v>2</v>
      </c>
      <c r="AG171" s="3" t="n">
        <v>2</v>
      </c>
      <c r="AH171" s="3" t="n">
        <v>4</v>
      </c>
      <c r="AI171" s="3" t="n">
        <v>4</v>
      </c>
      <c r="AJ171" s="3" t="n">
        <v>4</v>
      </c>
      <c r="AK171" s="3" t="n">
        <v>4</v>
      </c>
      <c r="AL171" s="3" t="n">
        <v>5</v>
      </c>
      <c r="AM171" s="3" t="n">
        <v>3</v>
      </c>
      <c r="AN171" s="3" t="n">
        <v>2</v>
      </c>
      <c r="AO171" s="3" t="n">
        <v>3</v>
      </c>
    </row>
    <row r="172" customFormat="false" ht="15" hidden="false" customHeight="false" outlineLevel="0" collapsed="false">
      <c r="A172" s="3" t="n">
        <v>0</v>
      </c>
      <c r="B172" s="3" t="n">
        <v>3</v>
      </c>
      <c r="C172" s="3" t="n">
        <v>2</v>
      </c>
      <c r="D172" s="3" t="n">
        <v>1</v>
      </c>
      <c r="E172" s="3" t="n">
        <v>2</v>
      </c>
      <c r="F172" s="3" t="n">
        <v>2</v>
      </c>
      <c r="G172" s="3" t="n">
        <v>1</v>
      </c>
      <c r="H172" s="3" t="n">
        <v>2</v>
      </c>
      <c r="I172" s="3" t="n">
        <v>3</v>
      </c>
      <c r="J172" s="3" t="n">
        <v>23</v>
      </c>
      <c r="K172" s="3" t="n">
        <v>2</v>
      </c>
      <c r="L172" s="3" t="n">
        <v>4</v>
      </c>
      <c r="M172" s="3" t="n">
        <v>4</v>
      </c>
      <c r="N172" s="3" t="n">
        <v>3</v>
      </c>
      <c r="O172" s="3" t="n">
        <v>5</v>
      </c>
      <c r="P172" s="3" t="n">
        <v>2</v>
      </c>
      <c r="Q172" s="3" t="n">
        <v>2</v>
      </c>
      <c r="R172" s="3" t="n">
        <v>3</v>
      </c>
      <c r="S172" s="3" t="n">
        <v>4</v>
      </c>
      <c r="T172" s="3" t="n">
        <v>3</v>
      </c>
      <c r="U172" s="3" t="n">
        <v>5</v>
      </c>
      <c r="V172" s="3" t="n">
        <v>4</v>
      </c>
      <c r="W172" s="3" t="n">
        <v>3</v>
      </c>
      <c r="X172" s="3" t="n">
        <v>2</v>
      </c>
      <c r="Y172" s="3" t="n">
        <v>3</v>
      </c>
      <c r="Z172" s="3" t="n">
        <v>4</v>
      </c>
      <c r="AA172" s="3" t="n">
        <v>4</v>
      </c>
      <c r="AB172" s="3" t="n">
        <v>2</v>
      </c>
      <c r="AC172" s="3" t="n">
        <v>3</v>
      </c>
      <c r="AD172" s="3" t="n">
        <v>4</v>
      </c>
      <c r="AE172" s="3" t="n">
        <v>4</v>
      </c>
      <c r="AF172" s="3" t="n">
        <v>3</v>
      </c>
      <c r="AG172" s="3" t="n">
        <v>4</v>
      </c>
      <c r="AH172" s="3" t="n">
        <v>3</v>
      </c>
      <c r="AI172" s="3" t="n">
        <v>2</v>
      </c>
      <c r="AJ172" s="3" t="n">
        <v>5</v>
      </c>
      <c r="AK172" s="3" t="n">
        <v>2</v>
      </c>
      <c r="AL172" s="3" t="n">
        <v>4</v>
      </c>
      <c r="AM172" s="3" t="n">
        <v>3</v>
      </c>
      <c r="AN172" s="3" t="n">
        <v>3</v>
      </c>
      <c r="AO172" s="3" t="n">
        <v>3</v>
      </c>
    </row>
    <row r="173" customFormat="false" ht="15" hidden="false" customHeight="false" outlineLevel="0" collapsed="false">
      <c r="A173" s="3" t="n">
        <v>1</v>
      </c>
      <c r="B173" s="3" t="n">
        <v>4</v>
      </c>
      <c r="C173" s="3" t="n">
        <v>2</v>
      </c>
      <c r="D173" s="3" t="n">
        <v>1</v>
      </c>
      <c r="E173" s="3" t="n">
        <v>2</v>
      </c>
      <c r="F173" s="3" t="n">
        <v>2</v>
      </c>
      <c r="G173" s="3" t="n">
        <v>3</v>
      </c>
      <c r="H173" s="3" t="n">
        <v>3</v>
      </c>
      <c r="I173" s="3" t="n">
        <v>1</v>
      </c>
      <c r="J173" s="3" t="n">
        <v>25</v>
      </c>
      <c r="K173" s="3" t="n">
        <v>4</v>
      </c>
      <c r="L173" s="3" t="n">
        <v>3</v>
      </c>
      <c r="M173" s="3" t="n">
        <v>4</v>
      </c>
      <c r="N173" s="3" t="n">
        <v>3</v>
      </c>
      <c r="O173" s="3" t="n">
        <v>4</v>
      </c>
      <c r="P173" s="3" t="n">
        <v>4</v>
      </c>
      <c r="Q173" s="3" t="n">
        <v>3</v>
      </c>
      <c r="R173" s="3" t="n">
        <v>4</v>
      </c>
      <c r="S173" s="3" t="n">
        <v>5</v>
      </c>
      <c r="T173" s="3" t="n">
        <v>5</v>
      </c>
      <c r="U173" s="3" t="n">
        <v>5</v>
      </c>
      <c r="V173" s="3" t="n">
        <v>3</v>
      </c>
      <c r="W173" s="3" t="n">
        <v>4</v>
      </c>
      <c r="X173" s="3" t="n">
        <v>3</v>
      </c>
      <c r="Y173" s="3" t="n">
        <v>2</v>
      </c>
      <c r="Z173" s="3" t="n">
        <v>2</v>
      </c>
      <c r="AA173" s="3" t="n">
        <v>4</v>
      </c>
      <c r="AB173" s="3" t="n">
        <v>3</v>
      </c>
      <c r="AC173" s="3" t="n">
        <v>2</v>
      </c>
      <c r="AD173" s="3" t="n">
        <v>2</v>
      </c>
      <c r="AE173" s="3" t="n">
        <v>3</v>
      </c>
      <c r="AF173" s="3" t="n">
        <v>3</v>
      </c>
      <c r="AG173" s="3" t="n">
        <v>4</v>
      </c>
      <c r="AH173" s="3" t="n">
        <v>4</v>
      </c>
      <c r="AI173" s="3" t="n">
        <v>2</v>
      </c>
      <c r="AJ173" s="3" t="n">
        <v>3</v>
      </c>
      <c r="AK173" s="3" t="n">
        <v>2</v>
      </c>
      <c r="AL173" s="3" t="n">
        <v>4</v>
      </c>
      <c r="AM173" s="3" t="n">
        <v>3</v>
      </c>
      <c r="AN173" s="3" t="n">
        <v>3</v>
      </c>
      <c r="AO173" s="3" t="n">
        <v>4</v>
      </c>
    </row>
    <row r="174" customFormat="false" ht="15" hidden="false" customHeight="false" outlineLevel="0" collapsed="false">
      <c r="B174" s="3" t="n">
        <v>3</v>
      </c>
      <c r="C174" s="3" t="n">
        <v>1</v>
      </c>
      <c r="D174" s="3" t="n">
        <v>1</v>
      </c>
      <c r="E174" s="3" t="n">
        <v>2</v>
      </c>
      <c r="F174" s="3" t="n">
        <v>2</v>
      </c>
      <c r="G174" s="3" t="n">
        <v>3</v>
      </c>
      <c r="H174" s="3" t="n">
        <v>3</v>
      </c>
      <c r="I174" s="3" t="n">
        <v>3</v>
      </c>
      <c r="J174" s="3" t="n">
        <v>28</v>
      </c>
      <c r="K174" s="3" t="n">
        <v>4</v>
      </c>
      <c r="L174" s="3" t="n">
        <v>4</v>
      </c>
      <c r="M174" s="3" t="n">
        <v>4</v>
      </c>
      <c r="N174" s="3" t="n">
        <v>4</v>
      </c>
      <c r="O174" s="3" t="n">
        <v>5</v>
      </c>
      <c r="P174" s="3" t="n">
        <v>5</v>
      </c>
      <c r="Q174" s="3" t="n">
        <v>3</v>
      </c>
      <c r="R174" s="3" t="n">
        <v>5</v>
      </c>
      <c r="S174" s="3" t="n">
        <v>5</v>
      </c>
      <c r="T174" s="3" t="n">
        <v>5</v>
      </c>
      <c r="U174" s="3" t="n">
        <v>5</v>
      </c>
      <c r="V174" s="3" t="n">
        <v>1</v>
      </c>
      <c r="W174" s="3" t="n">
        <v>2</v>
      </c>
      <c r="X174" s="3" t="n">
        <v>2</v>
      </c>
      <c r="Y174" s="3" t="n">
        <v>1</v>
      </c>
      <c r="Z174" s="3" t="n">
        <v>1</v>
      </c>
      <c r="AA174" s="3" t="n">
        <v>1</v>
      </c>
      <c r="AB174" s="3" t="n">
        <v>1</v>
      </c>
      <c r="AC174" s="3" t="n">
        <v>1</v>
      </c>
      <c r="AD174" s="3" t="n">
        <v>1</v>
      </c>
      <c r="AE174" s="3" t="n">
        <v>5</v>
      </c>
      <c r="AF174" s="3" t="n">
        <v>5</v>
      </c>
      <c r="AG174" s="3" t="n">
        <v>5</v>
      </c>
      <c r="AH174" s="3" t="n">
        <v>2</v>
      </c>
      <c r="AI174" s="3" t="n">
        <v>4</v>
      </c>
      <c r="AJ174" s="3" t="n">
        <v>5</v>
      </c>
      <c r="AK174" s="3" t="n">
        <v>3</v>
      </c>
      <c r="AL174" s="3" t="n">
        <v>5</v>
      </c>
      <c r="AM174" s="3" t="n">
        <v>4</v>
      </c>
      <c r="AN174" s="3" t="n">
        <v>2</v>
      </c>
      <c r="AO174" s="3" t="n">
        <v>4</v>
      </c>
    </row>
    <row r="175" customFormat="false" ht="15" hidden="false" customHeight="false" outlineLevel="0" collapsed="false">
      <c r="A175" s="3" t="n">
        <v>0</v>
      </c>
      <c r="B175" s="3" t="n">
        <v>4</v>
      </c>
      <c r="C175" s="3" t="n">
        <v>1</v>
      </c>
      <c r="D175" s="3" t="n">
        <v>1</v>
      </c>
      <c r="E175" s="3" t="n">
        <v>1</v>
      </c>
      <c r="F175" s="3" t="n">
        <v>2</v>
      </c>
      <c r="G175" s="3" t="n">
        <v>2</v>
      </c>
      <c r="H175" s="3" t="n">
        <v>1</v>
      </c>
      <c r="I175" s="3" t="n">
        <v>3</v>
      </c>
      <c r="J175" s="3" t="n">
        <v>25</v>
      </c>
      <c r="K175" s="3" t="n">
        <v>3</v>
      </c>
      <c r="L175" s="3" t="n">
        <v>3</v>
      </c>
      <c r="M175" s="3" t="n">
        <v>2</v>
      </c>
      <c r="N175" s="3" t="n">
        <v>3</v>
      </c>
      <c r="O175" s="3" t="n">
        <v>4</v>
      </c>
      <c r="P175" s="3" t="n">
        <v>3</v>
      </c>
      <c r="Q175" s="3" t="n">
        <v>4</v>
      </c>
      <c r="R175" s="3" t="n">
        <v>4</v>
      </c>
      <c r="S175" s="3" t="n">
        <v>4</v>
      </c>
      <c r="T175" s="3" t="n">
        <v>4</v>
      </c>
      <c r="U175" s="3" t="n">
        <v>4</v>
      </c>
      <c r="V175" s="3" t="n">
        <v>4</v>
      </c>
      <c r="W175" s="3" t="n">
        <v>4</v>
      </c>
      <c r="X175" s="3" t="n">
        <v>4</v>
      </c>
      <c r="Y175" s="3" t="n">
        <v>4</v>
      </c>
      <c r="Z175" s="3" t="n">
        <v>4</v>
      </c>
      <c r="AA175" s="3" t="n">
        <v>4</v>
      </c>
      <c r="AB175" s="3" t="n">
        <v>3</v>
      </c>
      <c r="AC175" s="3" t="n">
        <v>2</v>
      </c>
      <c r="AD175" s="3" t="n">
        <v>2</v>
      </c>
      <c r="AE175" s="3" t="n">
        <v>3</v>
      </c>
      <c r="AF175" s="3" t="n">
        <v>3</v>
      </c>
      <c r="AG175" s="3" t="n">
        <v>4</v>
      </c>
      <c r="AH175" s="3" t="n">
        <v>4</v>
      </c>
      <c r="AI175" s="3" t="n">
        <v>4</v>
      </c>
      <c r="AJ175" s="3" t="n">
        <v>3</v>
      </c>
      <c r="AK175" s="3" t="n">
        <v>3</v>
      </c>
      <c r="AL175" s="3" t="n">
        <v>4</v>
      </c>
      <c r="AM175" s="3" t="n">
        <v>3</v>
      </c>
      <c r="AN175" s="3" t="n">
        <v>4</v>
      </c>
      <c r="AO175" s="3" t="n">
        <v>2</v>
      </c>
    </row>
    <row r="176" customFormat="false" ht="15" hidden="false" customHeight="false" outlineLevel="0" collapsed="false">
      <c r="A176" s="3" t="n">
        <v>0</v>
      </c>
      <c r="B176" s="3" t="n">
        <v>3</v>
      </c>
      <c r="C176" s="3" t="n">
        <v>2</v>
      </c>
      <c r="D176" s="3" t="n">
        <v>1</v>
      </c>
      <c r="E176" s="3" t="n">
        <v>2</v>
      </c>
      <c r="F176" s="3" t="n">
        <v>2</v>
      </c>
      <c r="G176" s="3" t="n">
        <v>3</v>
      </c>
      <c r="H176" s="3" t="n">
        <v>2</v>
      </c>
      <c r="I176" s="3" t="n">
        <v>1</v>
      </c>
      <c r="J176" s="3" t="n">
        <v>23</v>
      </c>
      <c r="K176" s="3" t="n">
        <v>4</v>
      </c>
      <c r="L176" s="3" t="n">
        <v>3</v>
      </c>
      <c r="M176" s="3" t="n">
        <v>2</v>
      </c>
      <c r="N176" s="3" t="n">
        <v>4</v>
      </c>
      <c r="O176" s="3" t="n">
        <v>4</v>
      </c>
      <c r="P176" s="3" t="n">
        <v>2</v>
      </c>
      <c r="Q176" s="3" t="n">
        <v>3</v>
      </c>
      <c r="R176" s="3" t="n">
        <v>3</v>
      </c>
      <c r="S176" s="3" t="n">
        <v>5</v>
      </c>
      <c r="T176" s="3" t="n">
        <v>5</v>
      </c>
      <c r="U176" s="3" t="n">
        <v>5</v>
      </c>
      <c r="V176" s="3" t="n">
        <v>3</v>
      </c>
      <c r="W176" s="3" t="n">
        <v>4</v>
      </c>
      <c r="X176" s="3" t="n">
        <v>3</v>
      </c>
      <c r="Y176" s="3" t="n">
        <v>3</v>
      </c>
      <c r="Z176" s="3" t="n">
        <v>4</v>
      </c>
      <c r="AA176" s="3" t="n">
        <v>3</v>
      </c>
      <c r="AB176" s="3" t="n">
        <v>4</v>
      </c>
      <c r="AC176" s="3" t="n">
        <v>2</v>
      </c>
      <c r="AD176" s="3" t="n">
        <v>3</v>
      </c>
      <c r="AE176" s="3" t="n">
        <v>4</v>
      </c>
      <c r="AF176" s="3" t="n">
        <v>4</v>
      </c>
      <c r="AG176" s="3" t="n">
        <v>3</v>
      </c>
      <c r="AH176" s="3" t="n">
        <v>4</v>
      </c>
      <c r="AI176" s="3" t="n">
        <v>4</v>
      </c>
      <c r="AJ176" s="3" t="n">
        <v>4</v>
      </c>
      <c r="AK176" s="3" t="n">
        <v>3</v>
      </c>
      <c r="AL176" s="3" t="n">
        <v>5</v>
      </c>
      <c r="AM176" s="3" t="n">
        <v>3</v>
      </c>
      <c r="AN176" s="3" t="n">
        <v>2</v>
      </c>
      <c r="AO176" s="3" t="n">
        <v>3</v>
      </c>
    </row>
    <row r="177" customFormat="false" ht="15" hidden="false" customHeight="false" outlineLevel="0" collapsed="false">
      <c r="A177" s="3" t="n">
        <v>0</v>
      </c>
      <c r="B177" s="3" t="n">
        <v>4</v>
      </c>
      <c r="C177" s="3" t="n">
        <v>2</v>
      </c>
      <c r="D177" s="3" t="n">
        <v>1</v>
      </c>
      <c r="E177" s="3" t="n">
        <v>2</v>
      </c>
      <c r="F177" s="3" t="n">
        <v>2</v>
      </c>
      <c r="G177" s="3" t="n">
        <v>4</v>
      </c>
      <c r="H177" s="3" t="n">
        <v>2</v>
      </c>
      <c r="I177" s="3" t="n">
        <v>3</v>
      </c>
      <c r="J177" s="3" t="n">
        <v>25</v>
      </c>
      <c r="K177" s="3" t="n">
        <v>4</v>
      </c>
      <c r="L177" s="3" t="n">
        <v>3</v>
      </c>
      <c r="M177" s="3" t="n">
        <v>4</v>
      </c>
      <c r="N177" s="3" t="n">
        <v>4</v>
      </c>
      <c r="O177" s="3" t="n">
        <v>4</v>
      </c>
      <c r="P177" s="3" t="n">
        <v>2</v>
      </c>
      <c r="Q177" s="3" t="n">
        <v>2</v>
      </c>
      <c r="R177" s="3" t="n">
        <v>3</v>
      </c>
      <c r="S177" s="3" t="n">
        <v>3</v>
      </c>
      <c r="T177" s="3" t="n">
        <v>5</v>
      </c>
      <c r="U177" s="3" t="n">
        <v>4</v>
      </c>
      <c r="V177" s="3" t="n">
        <v>4</v>
      </c>
      <c r="W177" s="3" t="n">
        <v>5</v>
      </c>
      <c r="X177" s="3" t="n">
        <v>4</v>
      </c>
      <c r="Y177" s="3" t="n">
        <v>4</v>
      </c>
      <c r="Z177" s="3" t="n">
        <v>4</v>
      </c>
      <c r="AA177" s="3" t="n">
        <v>3</v>
      </c>
      <c r="AB177" s="3" t="n">
        <v>1</v>
      </c>
      <c r="AC177" s="3" t="n">
        <v>2</v>
      </c>
      <c r="AD177" s="3" t="n">
        <v>3</v>
      </c>
      <c r="AE177" s="3" t="n">
        <v>3</v>
      </c>
      <c r="AF177" s="3" t="n">
        <v>2</v>
      </c>
      <c r="AG177" s="3" t="n">
        <v>4</v>
      </c>
      <c r="AH177" s="3" t="n">
        <v>4</v>
      </c>
      <c r="AI177" s="3" t="n">
        <v>4</v>
      </c>
      <c r="AJ177" s="3" t="n">
        <v>5</v>
      </c>
      <c r="AK177" s="3" t="n">
        <v>2</v>
      </c>
      <c r="AL177" s="3" t="n">
        <v>3</v>
      </c>
      <c r="AM177" s="3" t="n">
        <v>3</v>
      </c>
      <c r="AN177" s="3" t="n">
        <v>3</v>
      </c>
      <c r="AO177" s="3" t="n">
        <v>2</v>
      </c>
    </row>
    <row r="178" customFormat="false" ht="15" hidden="false" customHeight="false" outlineLevel="0" collapsed="false">
      <c r="B178" s="3" t="n">
        <v>3</v>
      </c>
      <c r="C178" s="3" t="n">
        <v>2</v>
      </c>
      <c r="D178" s="3" t="n">
        <v>2</v>
      </c>
      <c r="E178" s="3" t="n">
        <v>2</v>
      </c>
      <c r="F178" s="3" t="n">
        <v>2</v>
      </c>
      <c r="G178" s="3" t="n">
        <v>3</v>
      </c>
      <c r="H178" s="3" t="n">
        <v>3</v>
      </c>
      <c r="I178" s="3" t="n">
        <v>1</v>
      </c>
      <c r="J178" s="3" t="n">
        <v>24</v>
      </c>
      <c r="K178" s="3" t="n">
        <v>3</v>
      </c>
      <c r="L178" s="3" t="n">
        <v>1</v>
      </c>
      <c r="M178" s="3" t="n">
        <v>5</v>
      </c>
      <c r="N178" s="3" t="n">
        <v>5</v>
      </c>
      <c r="O178" s="3" t="n">
        <v>4</v>
      </c>
      <c r="P178" s="3" t="n">
        <v>1</v>
      </c>
      <c r="Q178" s="3" t="n">
        <v>4</v>
      </c>
      <c r="R178" s="3" t="n">
        <v>3</v>
      </c>
      <c r="S178" s="3" t="n">
        <v>4</v>
      </c>
      <c r="T178" s="3" t="n">
        <v>5</v>
      </c>
      <c r="U178" s="3" t="n">
        <v>4</v>
      </c>
      <c r="V178" s="3" t="n">
        <v>3</v>
      </c>
      <c r="W178" s="3" t="n">
        <v>3</v>
      </c>
      <c r="X178" s="3" t="n">
        <v>3</v>
      </c>
      <c r="Y178" s="3" t="n">
        <v>3</v>
      </c>
      <c r="Z178" s="3" t="n">
        <v>3</v>
      </c>
      <c r="AA178" s="3" t="n">
        <v>4</v>
      </c>
      <c r="AB178" s="3" t="n">
        <v>2</v>
      </c>
      <c r="AC178" s="3" t="n">
        <v>3</v>
      </c>
      <c r="AD178" s="3" t="n">
        <v>3</v>
      </c>
      <c r="AE178" s="3" t="n">
        <v>2</v>
      </c>
      <c r="AF178" s="3" t="n">
        <v>1</v>
      </c>
      <c r="AG178" s="3" t="n">
        <v>2</v>
      </c>
      <c r="AH178" s="3" t="n">
        <v>4</v>
      </c>
      <c r="AI178" s="3" t="n">
        <v>4</v>
      </c>
      <c r="AJ178" s="3" t="n">
        <v>4</v>
      </c>
      <c r="AK178" s="3" t="n">
        <v>2</v>
      </c>
      <c r="AL178" s="3" t="n">
        <v>4</v>
      </c>
      <c r="AM178" s="3" t="n">
        <v>5</v>
      </c>
      <c r="AN178" s="3" t="n">
        <v>4</v>
      </c>
      <c r="AO178" s="3" t="n">
        <v>3</v>
      </c>
    </row>
    <row r="179" customFormat="false" ht="15" hidden="false" customHeight="false" outlineLevel="0" collapsed="false">
      <c r="A179" s="3" t="n">
        <v>0</v>
      </c>
      <c r="B179" s="3" t="n">
        <v>4</v>
      </c>
      <c r="C179" s="3" t="n">
        <v>1</v>
      </c>
      <c r="D179" s="3" t="n">
        <v>1</v>
      </c>
      <c r="E179" s="3" t="n">
        <v>2</v>
      </c>
      <c r="F179" s="3" t="n">
        <v>2</v>
      </c>
      <c r="G179" s="3" t="n">
        <v>3</v>
      </c>
      <c r="H179" s="3" t="n">
        <v>2</v>
      </c>
      <c r="I179" s="3" t="n">
        <v>2</v>
      </c>
      <c r="J179" s="3" t="n">
        <v>24</v>
      </c>
      <c r="K179" s="3" t="n">
        <v>4</v>
      </c>
      <c r="L179" s="3" t="n">
        <v>4</v>
      </c>
      <c r="M179" s="3" t="n">
        <v>4</v>
      </c>
      <c r="N179" s="3" t="n">
        <v>4</v>
      </c>
      <c r="O179" s="3" t="n">
        <v>5</v>
      </c>
      <c r="P179" s="3" t="n">
        <v>2</v>
      </c>
      <c r="Q179" s="3" t="n">
        <v>5</v>
      </c>
      <c r="R179" s="3" t="n">
        <v>5</v>
      </c>
      <c r="S179" s="3" t="n">
        <v>5</v>
      </c>
      <c r="T179" s="3" t="n">
        <v>5</v>
      </c>
      <c r="U179" s="3" t="n">
        <v>4</v>
      </c>
      <c r="V179" s="3" t="n">
        <v>3</v>
      </c>
      <c r="W179" s="3" t="n">
        <v>3</v>
      </c>
      <c r="X179" s="3" t="n">
        <v>1</v>
      </c>
      <c r="Y179" s="3" t="n">
        <v>2</v>
      </c>
      <c r="Z179" s="3" t="n">
        <v>4</v>
      </c>
      <c r="AA179" s="3" t="n">
        <v>5</v>
      </c>
      <c r="AB179" s="3" t="n">
        <v>4</v>
      </c>
      <c r="AC179" s="3" t="n">
        <v>1</v>
      </c>
      <c r="AD179" s="3" t="n">
        <v>1</v>
      </c>
      <c r="AE179" s="3" t="n">
        <v>4</v>
      </c>
      <c r="AF179" s="3" t="n">
        <v>1</v>
      </c>
      <c r="AG179" s="3" t="n">
        <v>5</v>
      </c>
      <c r="AH179" s="3" t="n">
        <v>4</v>
      </c>
      <c r="AI179" s="3" t="n">
        <v>4</v>
      </c>
      <c r="AJ179" s="3" t="n">
        <v>5</v>
      </c>
      <c r="AK179" s="3" t="n">
        <v>3</v>
      </c>
      <c r="AL179" s="3" t="n">
        <v>5</v>
      </c>
      <c r="AM179" s="3" t="n">
        <v>5</v>
      </c>
      <c r="AN179" s="3" t="n">
        <v>2</v>
      </c>
      <c r="AO179" s="3" t="n">
        <v>1</v>
      </c>
    </row>
    <row r="180" customFormat="false" ht="15" hidden="false" customHeight="false" outlineLevel="0" collapsed="false">
      <c r="A180" s="3" t="n">
        <v>0</v>
      </c>
      <c r="B180" s="3" t="n">
        <v>3</v>
      </c>
      <c r="C180" s="3" t="n">
        <v>1</v>
      </c>
      <c r="D180" s="3" t="n">
        <v>1</v>
      </c>
      <c r="E180" s="3" t="n">
        <v>2</v>
      </c>
      <c r="F180" s="3" t="n">
        <v>2</v>
      </c>
      <c r="G180" s="3" t="n">
        <v>2</v>
      </c>
      <c r="H180" s="3" t="n">
        <v>3</v>
      </c>
      <c r="I180" s="3" t="n">
        <v>1</v>
      </c>
      <c r="J180" s="3" t="n">
        <v>22</v>
      </c>
      <c r="K180" s="3" t="n">
        <v>3</v>
      </c>
      <c r="L180" s="3" t="n">
        <v>2</v>
      </c>
      <c r="M180" s="3" t="n">
        <v>4</v>
      </c>
      <c r="N180" s="3" t="n">
        <v>3</v>
      </c>
      <c r="O180" s="3" t="n">
        <v>4</v>
      </c>
      <c r="P180" s="3" t="n">
        <v>4</v>
      </c>
      <c r="Q180" s="3" t="n">
        <v>2</v>
      </c>
      <c r="R180" s="3" t="n">
        <v>3</v>
      </c>
      <c r="S180" s="3" t="n">
        <v>1</v>
      </c>
      <c r="T180" s="3" t="n">
        <v>5</v>
      </c>
      <c r="U180" s="3" t="n">
        <v>5</v>
      </c>
      <c r="V180" s="3" t="n">
        <v>3</v>
      </c>
      <c r="W180" s="3" t="n">
        <v>3</v>
      </c>
      <c r="X180" s="3" t="n">
        <v>3</v>
      </c>
      <c r="Y180" s="3" t="n">
        <v>3</v>
      </c>
      <c r="Z180" s="3" t="n">
        <v>4</v>
      </c>
      <c r="AA180" s="3" t="n">
        <v>4</v>
      </c>
      <c r="AB180" s="3" t="n">
        <v>3</v>
      </c>
      <c r="AC180" s="3" t="n">
        <v>3</v>
      </c>
      <c r="AD180" s="3" t="n">
        <v>2</v>
      </c>
      <c r="AE180" s="3" t="n">
        <v>4</v>
      </c>
      <c r="AF180" s="3" t="n">
        <v>4</v>
      </c>
      <c r="AG180" s="3" t="n">
        <v>5</v>
      </c>
      <c r="AH180" s="3" t="n">
        <v>4</v>
      </c>
      <c r="AI180" s="3" t="n">
        <v>4</v>
      </c>
      <c r="AJ180" s="3" t="n">
        <v>3</v>
      </c>
      <c r="AK180" s="3" t="n">
        <v>4</v>
      </c>
      <c r="AL180" s="3" t="n">
        <v>5</v>
      </c>
      <c r="AM180" s="3" t="n">
        <v>2</v>
      </c>
      <c r="AN180" s="3" t="n">
        <v>4</v>
      </c>
      <c r="AO180" s="3" t="n">
        <v>3</v>
      </c>
    </row>
    <row r="181" customFormat="false" ht="15" hidden="false" customHeight="false" outlineLevel="0" collapsed="false">
      <c r="A181" s="3" t="n">
        <v>0</v>
      </c>
      <c r="B181" s="3" t="n">
        <v>3</v>
      </c>
      <c r="C181" s="3" t="n">
        <v>1</v>
      </c>
      <c r="D181" s="3" t="n">
        <v>1</v>
      </c>
      <c r="E181" s="3" t="n">
        <v>1</v>
      </c>
      <c r="F181" s="3" t="n">
        <v>2</v>
      </c>
      <c r="G181" s="3" t="n">
        <v>2</v>
      </c>
      <c r="H181" s="3" t="n">
        <v>1</v>
      </c>
      <c r="I181" s="3" t="n">
        <v>1</v>
      </c>
      <c r="J181" s="3" t="n">
        <v>24</v>
      </c>
      <c r="K181" s="3" t="n">
        <v>3</v>
      </c>
      <c r="L181" s="3" t="n">
        <v>4</v>
      </c>
      <c r="M181" s="3" t="n">
        <v>4</v>
      </c>
      <c r="N181" s="3" t="n">
        <v>4</v>
      </c>
      <c r="O181" s="3" t="n">
        <v>5</v>
      </c>
      <c r="P181" s="3" t="n">
        <v>5</v>
      </c>
      <c r="Q181" s="3" t="n">
        <v>5</v>
      </c>
      <c r="R181" s="3" t="n">
        <v>3</v>
      </c>
      <c r="S181" s="3" t="n">
        <v>4</v>
      </c>
      <c r="T181" s="3" t="n">
        <v>5</v>
      </c>
      <c r="U181" s="3" t="n">
        <v>5</v>
      </c>
      <c r="V181" s="3" t="n">
        <v>4</v>
      </c>
      <c r="W181" s="3" t="n">
        <v>4</v>
      </c>
      <c r="X181" s="3" t="n">
        <v>4</v>
      </c>
      <c r="Y181" s="3" t="n">
        <v>3</v>
      </c>
      <c r="Z181" s="3" t="n">
        <v>4</v>
      </c>
      <c r="AA181" s="3" t="n">
        <v>5</v>
      </c>
      <c r="AB181" s="3" t="n">
        <v>1</v>
      </c>
      <c r="AC181" s="3" t="n">
        <v>2</v>
      </c>
      <c r="AD181" s="3" t="n">
        <v>2</v>
      </c>
      <c r="AE181" s="3" t="n">
        <v>4</v>
      </c>
      <c r="AF181" s="3" t="n">
        <v>4</v>
      </c>
      <c r="AG181" s="3" t="n">
        <v>4</v>
      </c>
      <c r="AH181" s="3" t="n">
        <v>3</v>
      </c>
      <c r="AI181" s="3" t="n">
        <v>4</v>
      </c>
      <c r="AJ181" s="3" t="n">
        <v>5</v>
      </c>
      <c r="AK181" s="3" t="n">
        <v>2</v>
      </c>
      <c r="AL181" s="3" t="n">
        <v>5</v>
      </c>
      <c r="AM181" s="3" t="n">
        <v>5</v>
      </c>
      <c r="AN181" s="3" t="n">
        <v>3</v>
      </c>
      <c r="AO181" s="3" t="n">
        <v>4</v>
      </c>
    </row>
    <row r="182" customFormat="false" ht="15" hidden="false" customHeight="false" outlineLevel="0" collapsed="false">
      <c r="B182" s="3" t="n">
        <v>4</v>
      </c>
      <c r="C182" s="3" t="n">
        <v>1</v>
      </c>
      <c r="D182" s="3" t="n">
        <v>1</v>
      </c>
      <c r="E182" s="3" t="n">
        <v>2</v>
      </c>
      <c r="F182" s="3" t="n">
        <v>2</v>
      </c>
      <c r="G182" s="3" t="n">
        <v>2</v>
      </c>
      <c r="H182" s="3" t="n">
        <v>2</v>
      </c>
      <c r="I182" s="3" t="n">
        <v>3</v>
      </c>
      <c r="J182" s="3" t="n">
        <v>25</v>
      </c>
      <c r="K182" s="3" t="n">
        <v>4</v>
      </c>
      <c r="L182" s="3" t="n">
        <v>4</v>
      </c>
      <c r="M182" s="3" t="n">
        <v>3</v>
      </c>
      <c r="N182" s="3" t="n">
        <v>4</v>
      </c>
      <c r="O182" s="3" t="n">
        <v>4</v>
      </c>
      <c r="P182" s="3" t="n">
        <v>4</v>
      </c>
      <c r="Q182" s="3" t="n">
        <v>4</v>
      </c>
      <c r="R182" s="3" t="n">
        <v>4</v>
      </c>
      <c r="S182" s="3" t="n">
        <v>3</v>
      </c>
      <c r="T182" s="3" t="n">
        <v>4</v>
      </c>
      <c r="U182" s="3" t="n">
        <v>5</v>
      </c>
      <c r="V182" s="3" t="n">
        <v>3</v>
      </c>
      <c r="W182" s="3" t="n">
        <v>3</v>
      </c>
      <c r="X182" s="3" t="n">
        <v>3</v>
      </c>
      <c r="Y182" s="3" t="n">
        <v>3</v>
      </c>
      <c r="Z182" s="3" t="n">
        <v>3</v>
      </c>
      <c r="AA182" s="3" t="n">
        <v>3</v>
      </c>
      <c r="AB182" s="3" t="n">
        <v>4</v>
      </c>
      <c r="AC182" s="3" t="n">
        <v>4</v>
      </c>
      <c r="AD182" s="3" t="n">
        <v>3</v>
      </c>
      <c r="AE182" s="3" t="n">
        <v>4</v>
      </c>
      <c r="AF182" s="3" t="n">
        <v>3</v>
      </c>
      <c r="AG182" s="3" t="n">
        <v>3</v>
      </c>
      <c r="AH182" s="3" t="n">
        <v>3</v>
      </c>
      <c r="AI182" s="3" t="n">
        <v>4</v>
      </c>
      <c r="AJ182" s="3" t="n">
        <v>4</v>
      </c>
      <c r="AK182" s="3" t="n">
        <v>3</v>
      </c>
      <c r="AL182" s="3" t="n">
        <v>5</v>
      </c>
      <c r="AM182" s="3" t="n">
        <v>3</v>
      </c>
      <c r="AN182" s="3" t="n">
        <v>4</v>
      </c>
      <c r="AO182" s="3" t="n">
        <v>5</v>
      </c>
    </row>
    <row r="183" customFormat="false" ht="15" hidden="false" customHeight="false" outlineLevel="0" collapsed="false">
      <c r="A183" s="3" t="n">
        <v>0</v>
      </c>
      <c r="B183" s="3" t="n">
        <v>4</v>
      </c>
      <c r="C183" s="3" t="n">
        <v>1</v>
      </c>
      <c r="D183" s="3" t="n">
        <v>1</v>
      </c>
      <c r="E183" s="3" t="n">
        <v>2</v>
      </c>
      <c r="F183" s="3" t="n">
        <v>2</v>
      </c>
      <c r="G183" s="3" t="n">
        <v>1</v>
      </c>
      <c r="H183" s="3" t="n">
        <v>2</v>
      </c>
      <c r="I183" s="3" t="n">
        <v>3</v>
      </c>
      <c r="J183" s="3" t="n">
        <v>27</v>
      </c>
      <c r="K183" s="3" t="n">
        <v>4</v>
      </c>
      <c r="L183" s="3" t="n">
        <v>2</v>
      </c>
      <c r="M183" s="3" t="n">
        <v>2</v>
      </c>
      <c r="N183" s="3" t="n">
        <v>3</v>
      </c>
      <c r="O183" s="3" t="n">
        <v>5</v>
      </c>
      <c r="P183" s="3" t="n">
        <v>3</v>
      </c>
      <c r="Q183" s="3" t="n">
        <v>4</v>
      </c>
      <c r="R183" s="3" t="n">
        <v>2</v>
      </c>
      <c r="S183" s="3" t="n">
        <v>5</v>
      </c>
      <c r="T183" s="3" t="n">
        <v>5</v>
      </c>
      <c r="U183" s="3" t="n">
        <v>5</v>
      </c>
      <c r="V183" s="3" t="n">
        <v>3</v>
      </c>
      <c r="W183" s="3" t="n">
        <v>4</v>
      </c>
      <c r="X183" s="3" t="n">
        <v>4</v>
      </c>
      <c r="Y183" s="3" t="n">
        <v>3</v>
      </c>
      <c r="Z183" s="3" t="n">
        <v>4</v>
      </c>
      <c r="AA183" s="3" t="n">
        <v>4</v>
      </c>
      <c r="AB183" s="3" t="n">
        <v>4</v>
      </c>
      <c r="AC183" s="3" t="n">
        <v>2</v>
      </c>
      <c r="AD183" s="3" t="n">
        <v>3</v>
      </c>
      <c r="AE183" s="3" t="n">
        <v>4</v>
      </c>
      <c r="AF183" s="3" t="n">
        <v>3</v>
      </c>
      <c r="AG183" s="3" t="n">
        <v>4</v>
      </c>
      <c r="AH183" s="3" t="n">
        <v>4</v>
      </c>
      <c r="AI183" s="3" t="n">
        <v>4</v>
      </c>
      <c r="AJ183" s="3" t="n">
        <v>4</v>
      </c>
      <c r="AK183" s="3" t="n">
        <v>2</v>
      </c>
      <c r="AL183" s="3" t="n">
        <v>4</v>
      </c>
      <c r="AM183" s="3" t="n">
        <v>3</v>
      </c>
      <c r="AN183" s="3" t="n">
        <v>4</v>
      </c>
      <c r="AO183" s="3" t="n">
        <v>2</v>
      </c>
    </row>
    <row r="184" customFormat="false" ht="15" hidden="false" customHeight="false" outlineLevel="0" collapsed="false">
      <c r="B184" s="3" t="n">
        <v>4</v>
      </c>
      <c r="C184" s="3" t="n">
        <v>1</v>
      </c>
      <c r="D184" s="3" t="n">
        <v>1</v>
      </c>
      <c r="E184" s="3" t="n">
        <v>2</v>
      </c>
      <c r="F184" s="3" t="n">
        <v>2</v>
      </c>
      <c r="G184" s="3" t="n">
        <v>2</v>
      </c>
      <c r="H184" s="3" t="n">
        <v>3</v>
      </c>
      <c r="I184" s="3" t="n">
        <v>1</v>
      </c>
      <c r="J184" s="3" t="n">
        <v>23</v>
      </c>
      <c r="K184" s="3" t="n">
        <v>4</v>
      </c>
      <c r="L184" s="3" t="n">
        <v>3</v>
      </c>
      <c r="M184" s="3" t="n">
        <v>2</v>
      </c>
      <c r="N184" s="3" t="n">
        <v>2</v>
      </c>
      <c r="O184" s="3" t="n">
        <v>4</v>
      </c>
      <c r="P184" s="3" t="n">
        <v>4</v>
      </c>
      <c r="Q184" s="3" t="n">
        <v>5</v>
      </c>
      <c r="R184" s="3" t="n">
        <v>3</v>
      </c>
      <c r="S184" s="3" t="n">
        <v>2</v>
      </c>
      <c r="T184" s="3" t="n">
        <v>4</v>
      </c>
      <c r="U184" s="3" t="n">
        <v>4</v>
      </c>
      <c r="V184" s="3" t="n">
        <v>5</v>
      </c>
      <c r="W184" s="3" t="n">
        <v>4</v>
      </c>
      <c r="X184" s="3" t="n">
        <v>4</v>
      </c>
      <c r="Y184" s="3" t="n">
        <v>4</v>
      </c>
      <c r="Z184" s="3" t="n">
        <v>4</v>
      </c>
      <c r="AA184" s="3" t="n">
        <v>5</v>
      </c>
      <c r="AB184" s="3" t="n">
        <v>4</v>
      </c>
      <c r="AC184" s="3" t="n">
        <v>2</v>
      </c>
      <c r="AD184" s="3" t="n">
        <v>2</v>
      </c>
      <c r="AE184" s="3" t="n">
        <v>2</v>
      </c>
      <c r="AF184" s="3" t="n">
        <v>1</v>
      </c>
      <c r="AG184" s="3" t="n">
        <v>4</v>
      </c>
      <c r="AH184" s="3" t="n">
        <v>2</v>
      </c>
      <c r="AI184" s="3" t="n">
        <v>2</v>
      </c>
      <c r="AJ184" s="3" t="n">
        <v>3</v>
      </c>
      <c r="AK184" s="3" t="n">
        <v>4</v>
      </c>
      <c r="AL184" s="3" t="n">
        <v>5</v>
      </c>
      <c r="AM184" s="3" t="n">
        <v>3</v>
      </c>
      <c r="AN184" s="3" t="n">
        <v>4</v>
      </c>
      <c r="AO184" s="3" t="n">
        <v>2</v>
      </c>
    </row>
    <row r="185" customFormat="false" ht="15" hidden="false" customHeight="false" outlineLevel="0" collapsed="false">
      <c r="A185" s="3" t="n">
        <v>1</v>
      </c>
      <c r="B185" s="3" t="n">
        <v>4</v>
      </c>
      <c r="C185" s="3" t="n">
        <v>1</v>
      </c>
      <c r="D185" s="3" t="n">
        <v>1</v>
      </c>
      <c r="E185" s="3" t="n">
        <v>2</v>
      </c>
      <c r="F185" s="3" t="n">
        <v>2</v>
      </c>
      <c r="G185" s="3" t="n">
        <v>4</v>
      </c>
      <c r="H185" s="3" t="n">
        <v>3</v>
      </c>
      <c r="I185" s="3" t="n">
        <v>3</v>
      </c>
      <c r="J185" s="3" t="n">
        <v>28</v>
      </c>
      <c r="K185" s="3" t="n">
        <v>1</v>
      </c>
      <c r="L185" s="3" t="n">
        <v>1</v>
      </c>
      <c r="M185" s="3" t="n">
        <v>2</v>
      </c>
      <c r="N185" s="3" t="n">
        <v>1</v>
      </c>
      <c r="O185" s="3" t="n">
        <v>5</v>
      </c>
      <c r="P185" s="3" t="n">
        <v>4</v>
      </c>
      <c r="Q185" s="3" t="n">
        <v>4</v>
      </c>
      <c r="R185" s="3" t="n">
        <v>2</v>
      </c>
      <c r="S185" s="3" t="n">
        <v>3</v>
      </c>
      <c r="T185" s="3" t="n">
        <v>5</v>
      </c>
      <c r="U185" s="3" t="n">
        <v>4</v>
      </c>
      <c r="V185" s="3" t="n">
        <v>4</v>
      </c>
      <c r="W185" s="3" t="n">
        <v>4</v>
      </c>
      <c r="X185" s="3" t="n">
        <v>4</v>
      </c>
      <c r="Y185" s="3" t="n">
        <v>2</v>
      </c>
      <c r="Z185" s="3" t="n">
        <v>5</v>
      </c>
      <c r="AA185" s="3" t="n">
        <v>4</v>
      </c>
      <c r="AB185" s="3" t="n">
        <v>2</v>
      </c>
      <c r="AC185" s="3" t="n">
        <v>2</v>
      </c>
      <c r="AD185" s="3" t="n">
        <v>1</v>
      </c>
      <c r="AE185" s="3" t="n">
        <v>3</v>
      </c>
      <c r="AF185" s="3" t="n">
        <v>2</v>
      </c>
      <c r="AG185" s="3" t="n">
        <v>2</v>
      </c>
      <c r="AH185" s="3" t="n">
        <v>4</v>
      </c>
      <c r="AI185" s="3" t="n">
        <v>4</v>
      </c>
      <c r="AJ185" s="3" t="n">
        <v>4</v>
      </c>
      <c r="AK185" s="3" t="n">
        <v>5</v>
      </c>
      <c r="AL185" s="3" t="n">
        <v>5</v>
      </c>
      <c r="AM185" s="3" t="n">
        <v>4</v>
      </c>
      <c r="AN185" s="3" t="n">
        <v>5</v>
      </c>
      <c r="AO185" s="3" t="n">
        <v>1</v>
      </c>
    </row>
    <row r="186" customFormat="false" ht="15" hidden="false" customHeight="false" outlineLevel="0" collapsed="false">
      <c r="A186" s="3" t="n">
        <v>0</v>
      </c>
      <c r="B186" s="3" t="n">
        <v>4</v>
      </c>
      <c r="C186" s="3" t="n">
        <v>1</v>
      </c>
      <c r="D186" s="3" t="n">
        <v>2</v>
      </c>
      <c r="E186" s="3" t="n">
        <v>2</v>
      </c>
      <c r="F186" s="3" t="n">
        <v>2</v>
      </c>
      <c r="G186" s="3" t="n">
        <v>2</v>
      </c>
      <c r="H186" s="3" t="n">
        <v>1</v>
      </c>
      <c r="I186" s="3" t="n">
        <v>1</v>
      </c>
      <c r="J186" s="3" t="n">
        <v>24</v>
      </c>
      <c r="K186" s="3" t="n">
        <v>3</v>
      </c>
      <c r="L186" s="3" t="n">
        <v>3</v>
      </c>
      <c r="M186" s="3" t="n">
        <v>4</v>
      </c>
      <c r="N186" s="3" t="n">
        <v>3</v>
      </c>
      <c r="O186" s="3" t="n">
        <v>5</v>
      </c>
      <c r="P186" s="3" t="n">
        <v>4</v>
      </c>
      <c r="Q186" s="3" t="n">
        <v>4</v>
      </c>
      <c r="R186" s="3" t="n">
        <v>5</v>
      </c>
      <c r="S186" s="3" t="n">
        <v>4</v>
      </c>
      <c r="T186" s="3" t="n">
        <v>5</v>
      </c>
      <c r="U186" s="3" t="n">
        <v>5</v>
      </c>
      <c r="V186" s="3" t="n">
        <v>4</v>
      </c>
      <c r="W186" s="3" t="n">
        <v>4</v>
      </c>
      <c r="X186" s="3" t="n">
        <v>4</v>
      </c>
      <c r="Y186" s="3" t="n">
        <v>4</v>
      </c>
      <c r="Z186" s="3" t="n">
        <v>4</v>
      </c>
      <c r="AA186" s="3" t="n">
        <v>5</v>
      </c>
      <c r="AB186" s="3" t="n">
        <v>2</v>
      </c>
      <c r="AC186" s="3" t="n">
        <v>1</v>
      </c>
      <c r="AD186" s="3" t="n">
        <v>1</v>
      </c>
      <c r="AE186" s="3" t="n">
        <v>3</v>
      </c>
      <c r="AF186" s="3" t="n">
        <v>3</v>
      </c>
      <c r="AG186" s="3" t="n">
        <v>5</v>
      </c>
      <c r="AH186" s="3" t="n">
        <v>4</v>
      </c>
      <c r="AI186" s="3" t="n">
        <v>3</v>
      </c>
      <c r="AJ186" s="3" t="n">
        <v>4</v>
      </c>
      <c r="AK186" s="3" t="n">
        <v>4</v>
      </c>
      <c r="AL186" s="3" t="n">
        <v>5</v>
      </c>
      <c r="AM186" s="3" t="n">
        <v>4</v>
      </c>
      <c r="AN186" s="3" t="n">
        <v>2</v>
      </c>
      <c r="AO186" s="3" t="n">
        <v>4</v>
      </c>
    </row>
    <row r="187" customFormat="false" ht="15" hidden="false" customHeight="false" outlineLevel="0" collapsed="false">
      <c r="A187" s="3" t="n">
        <v>0</v>
      </c>
      <c r="B187" s="3" t="n">
        <v>3</v>
      </c>
      <c r="C187" s="3" t="n">
        <v>1</v>
      </c>
      <c r="D187" s="3" t="n">
        <v>1</v>
      </c>
      <c r="E187" s="3" t="n">
        <v>2</v>
      </c>
      <c r="F187" s="3" t="n">
        <v>2</v>
      </c>
      <c r="G187" s="3" t="n">
        <v>1</v>
      </c>
      <c r="H187" s="3" t="n">
        <v>2</v>
      </c>
      <c r="I187" s="3" t="n">
        <v>1</v>
      </c>
      <c r="J187" s="3" t="n">
        <v>23</v>
      </c>
      <c r="K187" s="3" t="n">
        <v>3</v>
      </c>
      <c r="L187" s="3" t="n">
        <v>3</v>
      </c>
      <c r="M187" s="3" t="n">
        <v>4</v>
      </c>
      <c r="N187" s="3" t="n">
        <v>3</v>
      </c>
      <c r="O187" s="3" t="n">
        <v>2</v>
      </c>
      <c r="P187" s="3" t="n">
        <v>3</v>
      </c>
      <c r="Q187" s="3" t="n">
        <v>2</v>
      </c>
      <c r="R187" s="3" t="n">
        <v>4</v>
      </c>
      <c r="S187" s="3" t="n">
        <v>4</v>
      </c>
      <c r="T187" s="3" t="n">
        <v>4</v>
      </c>
      <c r="U187" s="3" t="n">
        <v>3</v>
      </c>
      <c r="V187" s="3" t="n">
        <v>4</v>
      </c>
      <c r="W187" s="3" t="n">
        <v>4</v>
      </c>
      <c r="X187" s="3" t="n">
        <v>3</v>
      </c>
      <c r="Y187" s="3" t="n">
        <v>4</v>
      </c>
      <c r="Z187" s="3" t="n">
        <v>2</v>
      </c>
      <c r="AA187" s="3" t="n">
        <v>3</v>
      </c>
      <c r="AB187" s="3" t="n">
        <v>3</v>
      </c>
      <c r="AC187" s="3" t="n">
        <v>2</v>
      </c>
      <c r="AD187" s="3" t="n">
        <v>3</v>
      </c>
      <c r="AE187" s="3" t="n">
        <v>3</v>
      </c>
      <c r="AF187" s="3" t="n">
        <v>2</v>
      </c>
      <c r="AG187" s="3" t="n">
        <v>3</v>
      </c>
      <c r="AH187" s="3" t="n">
        <v>3</v>
      </c>
      <c r="AI187" s="3" t="n">
        <v>4</v>
      </c>
      <c r="AJ187" s="3" t="n">
        <v>4</v>
      </c>
      <c r="AK187" s="3" t="n">
        <v>3</v>
      </c>
      <c r="AL187" s="3" t="n">
        <v>3</v>
      </c>
      <c r="AM187" s="3" t="n">
        <v>4</v>
      </c>
      <c r="AN187" s="3" t="n">
        <v>4</v>
      </c>
      <c r="AO187" s="3" t="n">
        <v>3</v>
      </c>
    </row>
    <row r="188" customFormat="false" ht="15" hidden="false" customHeight="false" outlineLevel="0" collapsed="false">
      <c r="A188" s="3" t="n">
        <v>1</v>
      </c>
      <c r="B188" s="3" t="n">
        <v>4</v>
      </c>
      <c r="C188" s="3" t="n">
        <v>1</v>
      </c>
      <c r="D188" s="3" t="n">
        <v>1</v>
      </c>
      <c r="E188" s="3" t="n">
        <v>2</v>
      </c>
      <c r="F188" s="3" t="n">
        <v>2</v>
      </c>
      <c r="G188" s="3" t="n">
        <v>4</v>
      </c>
      <c r="H188" s="3" t="n">
        <v>2</v>
      </c>
      <c r="I188" s="3" t="n">
        <v>3</v>
      </c>
      <c r="J188" s="3" t="n">
        <v>26</v>
      </c>
      <c r="K188" s="3" t="n">
        <v>4</v>
      </c>
      <c r="L188" s="3" t="n">
        <v>4</v>
      </c>
      <c r="M188" s="3" t="n">
        <v>5</v>
      </c>
      <c r="N188" s="3" t="n">
        <v>4</v>
      </c>
      <c r="O188" s="3" t="n">
        <v>3</v>
      </c>
      <c r="P188" s="3" t="n">
        <v>4</v>
      </c>
      <c r="Q188" s="3" t="n">
        <v>4</v>
      </c>
      <c r="R188" s="3" t="n">
        <v>2</v>
      </c>
      <c r="S188" s="3" t="n">
        <v>4</v>
      </c>
      <c r="T188" s="3" t="n">
        <v>4</v>
      </c>
      <c r="U188" s="3" t="n">
        <v>5</v>
      </c>
      <c r="V188" s="3" t="n">
        <v>3</v>
      </c>
      <c r="W188" s="3" t="n">
        <v>3</v>
      </c>
      <c r="X188" s="3" t="n">
        <v>3</v>
      </c>
      <c r="Y188" s="3" t="n">
        <v>3</v>
      </c>
      <c r="Z188" s="3" t="n">
        <v>3</v>
      </c>
      <c r="AA188" s="3" t="n">
        <v>4</v>
      </c>
      <c r="AB188" s="3" t="n">
        <v>3</v>
      </c>
      <c r="AC188" s="3" t="n">
        <v>1</v>
      </c>
      <c r="AD188" s="3" t="n">
        <v>2</v>
      </c>
      <c r="AE188" s="3" t="n">
        <v>3</v>
      </c>
      <c r="AF188" s="3" t="n">
        <v>3</v>
      </c>
      <c r="AG188" s="3" t="n">
        <v>3</v>
      </c>
      <c r="AH188" s="3" t="n">
        <v>3</v>
      </c>
      <c r="AI188" s="3" t="n">
        <v>3</v>
      </c>
      <c r="AJ188" s="3" t="n">
        <v>4</v>
      </c>
      <c r="AK188" s="3" t="n">
        <v>3</v>
      </c>
      <c r="AL188" s="3" t="n">
        <v>5</v>
      </c>
      <c r="AM188" s="3" t="n">
        <v>3</v>
      </c>
      <c r="AN188" s="3" t="n">
        <v>2</v>
      </c>
      <c r="AO188" s="3" t="n">
        <v>3</v>
      </c>
    </row>
    <row r="189" customFormat="false" ht="15" hidden="false" customHeight="false" outlineLevel="0" collapsed="false">
      <c r="A189" s="3" t="n">
        <v>0</v>
      </c>
      <c r="B189" s="3" t="n">
        <v>4</v>
      </c>
      <c r="C189" s="3" t="n">
        <v>1</v>
      </c>
      <c r="D189" s="3" t="n">
        <v>1</v>
      </c>
      <c r="E189" s="3" t="n">
        <v>2</v>
      </c>
      <c r="F189" s="3" t="n">
        <v>2</v>
      </c>
      <c r="G189" s="3" t="n">
        <v>1</v>
      </c>
      <c r="H189" s="3" t="n">
        <v>2</v>
      </c>
      <c r="I189" s="3" t="n">
        <v>1</v>
      </c>
      <c r="J189" s="3" t="n">
        <v>23</v>
      </c>
      <c r="K189" s="3" t="n">
        <v>5</v>
      </c>
      <c r="L189" s="3" t="n">
        <v>5</v>
      </c>
      <c r="M189" s="3" t="n">
        <v>5</v>
      </c>
      <c r="N189" s="3" t="n">
        <v>5</v>
      </c>
      <c r="O189" s="3" t="n">
        <v>5</v>
      </c>
      <c r="P189" s="3" t="n">
        <v>1</v>
      </c>
      <c r="Q189" s="3" t="n">
        <v>5</v>
      </c>
      <c r="R189" s="3" t="n">
        <v>1</v>
      </c>
      <c r="S189" s="3" t="n">
        <v>5</v>
      </c>
      <c r="T189" s="3" t="n">
        <v>5</v>
      </c>
      <c r="U189" s="3" t="n">
        <v>5</v>
      </c>
      <c r="V189" s="3" t="n">
        <v>3</v>
      </c>
      <c r="W189" s="3" t="n">
        <v>5</v>
      </c>
      <c r="X189" s="3" t="n">
        <v>5</v>
      </c>
      <c r="Y189" s="3" t="n">
        <v>3</v>
      </c>
      <c r="Z189" s="3" t="n">
        <v>5</v>
      </c>
      <c r="AA189" s="3" t="n">
        <v>5</v>
      </c>
      <c r="AB189" s="3" t="n">
        <v>5</v>
      </c>
      <c r="AC189" s="3" t="n">
        <v>1</v>
      </c>
      <c r="AD189" s="3" t="n">
        <v>1</v>
      </c>
      <c r="AE189" s="3" t="n">
        <v>4</v>
      </c>
      <c r="AF189" s="3" t="n">
        <v>5</v>
      </c>
      <c r="AG189" s="3" t="n">
        <v>5</v>
      </c>
      <c r="AH189" s="3" t="n">
        <v>5</v>
      </c>
      <c r="AI189" s="3" t="n">
        <v>3</v>
      </c>
      <c r="AJ189" s="3" t="n">
        <v>5</v>
      </c>
      <c r="AK189" s="3" t="n">
        <v>1</v>
      </c>
      <c r="AL189" s="3" t="n">
        <v>5</v>
      </c>
      <c r="AM189" s="3" t="n">
        <v>5</v>
      </c>
      <c r="AN189" s="3" t="n">
        <v>3</v>
      </c>
      <c r="AO189" s="3" t="n">
        <v>5</v>
      </c>
    </row>
    <row r="190" customFormat="false" ht="15" hidden="false" customHeight="false" outlineLevel="0" collapsed="false">
      <c r="A190" s="3" t="n">
        <v>0</v>
      </c>
      <c r="B190" s="3" t="n">
        <v>4</v>
      </c>
      <c r="C190" s="3" t="n">
        <v>1</v>
      </c>
      <c r="D190" s="3" t="n">
        <v>1</v>
      </c>
      <c r="E190" s="3" t="n">
        <v>2</v>
      </c>
      <c r="F190" s="3" t="n">
        <v>2</v>
      </c>
      <c r="G190" s="3" t="n">
        <v>1</v>
      </c>
      <c r="H190" s="3" t="n">
        <v>2</v>
      </c>
      <c r="I190" s="3" t="n">
        <v>3</v>
      </c>
      <c r="J190" s="3" t="n">
        <v>26</v>
      </c>
      <c r="K190" s="3" t="n">
        <v>4</v>
      </c>
      <c r="L190" s="3" t="n">
        <v>4</v>
      </c>
      <c r="M190" s="3" t="n">
        <v>4</v>
      </c>
      <c r="N190" s="3" t="n">
        <v>4</v>
      </c>
      <c r="O190" s="3" t="n">
        <v>3</v>
      </c>
      <c r="P190" s="3" t="n">
        <v>4</v>
      </c>
      <c r="Q190" s="3" t="n">
        <v>4</v>
      </c>
      <c r="R190" s="3" t="n">
        <v>4</v>
      </c>
      <c r="S190" s="3" t="n">
        <v>4</v>
      </c>
      <c r="T190" s="3" t="n">
        <v>5</v>
      </c>
      <c r="U190" s="3" t="n">
        <v>5</v>
      </c>
      <c r="V190" s="3" t="n">
        <v>3</v>
      </c>
      <c r="W190" s="3" t="n">
        <v>4</v>
      </c>
      <c r="X190" s="3" t="n">
        <v>4</v>
      </c>
      <c r="Y190" s="3" t="n">
        <v>3</v>
      </c>
      <c r="Z190" s="3" t="n">
        <v>4</v>
      </c>
      <c r="AA190" s="3" t="n">
        <v>4</v>
      </c>
      <c r="AB190" s="3" t="n">
        <v>3</v>
      </c>
      <c r="AC190" s="3" t="n">
        <v>2</v>
      </c>
      <c r="AD190" s="3" t="n">
        <v>2</v>
      </c>
      <c r="AE190" s="3" t="n">
        <v>3</v>
      </c>
      <c r="AF190" s="3" t="n">
        <v>2</v>
      </c>
      <c r="AG190" s="3" t="n">
        <v>4</v>
      </c>
      <c r="AH190" s="3" t="n">
        <v>3</v>
      </c>
      <c r="AI190" s="3" t="n">
        <v>2</v>
      </c>
      <c r="AJ190" s="3" t="n">
        <v>4</v>
      </c>
      <c r="AK190" s="3" t="n">
        <v>4</v>
      </c>
      <c r="AL190" s="3" t="n">
        <v>5</v>
      </c>
      <c r="AM190" s="3" t="n">
        <v>3</v>
      </c>
      <c r="AN190" s="3" t="n">
        <v>4</v>
      </c>
      <c r="AO190" s="3" t="n">
        <v>2</v>
      </c>
    </row>
    <row r="191" customFormat="false" ht="15" hidden="false" customHeight="false" outlineLevel="0" collapsed="false">
      <c r="A191" s="3" t="n">
        <v>0</v>
      </c>
      <c r="B191" s="3" t="n">
        <v>6</v>
      </c>
      <c r="C191" s="3" t="n">
        <v>2</v>
      </c>
      <c r="D191" s="3" t="n">
        <v>1</v>
      </c>
      <c r="E191" s="3" t="n">
        <v>2</v>
      </c>
      <c r="F191" s="3" t="n">
        <v>2</v>
      </c>
      <c r="G191" s="3" t="n">
        <v>2</v>
      </c>
      <c r="H191" s="3" t="n">
        <v>3</v>
      </c>
      <c r="I191" s="3" t="n">
        <v>1</v>
      </c>
      <c r="J191" s="3" t="n">
        <v>23</v>
      </c>
      <c r="K191" s="3" t="n">
        <v>1</v>
      </c>
      <c r="L191" s="3" t="n">
        <v>2</v>
      </c>
      <c r="M191" s="3" t="n">
        <v>2</v>
      </c>
      <c r="N191" s="3" t="n">
        <v>1</v>
      </c>
      <c r="O191" s="3" t="n">
        <v>2</v>
      </c>
      <c r="P191" s="3" t="n">
        <v>1</v>
      </c>
      <c r="Q191" s="3" t="n">
        <v>1</v>
      </c>
      <c r="R191" s="3" t="n">
        <v>1</v>
      </c>
      <c r="S191" s="3" t="n">
        <v>2</v>
      </c>
      <c r="T191" s="3" t="n">
        <v>4</v>
      </c>
      <c r="U191" s="3" t="n">
        <v>1</v>
      </c>
      <c r="V191" s="3" t="n">
        <v>2</v>
      </c>
      <c r="W191" s="3" t="n">
        <v>2</v>
      </c>
      <c r="X191" s="3" t="n">
        <v>2</v>
      </c>
      <c r="Y191" s="3" t="n">
        <v>2</v>
      </c>
      <c r="Z191" s="3" t="n">
        <v>2</v>
      </c>
      <c r="AA191" s="3" t="n">
        <v>1</v>
      </c>
      <c r="AB191" s="3" t="n">
        <v>2</v>
      </c>
      <c r="AC191" s="3" t="n">
        <v>1</v>
      </c>
      <c r="AD191" s="3" t="n">
        <v>1</v>
      </c>
      <c r="AE191" s="3" t="n">
        <v>2</v>
      </c>
      <c r="AF191" s="3" t="n">
        <v>1</v>
      </c>
      <c r="AG191" s="3" t="n">
        <v>2</v>
      </c>
      <c r="AH191" s="3" t="n">
        <v>2</v>
      </c>
      <c r="AI191" s="3" t="n">
        <v>2</v>
      </c>
      <c r="AJ191" s="3" t="n">
        <v>2</v>
      </c>
      <c r="AK191" s="3" t="n">
        <v>1</v>
      </c>
      <c r="AL191" s="3" t="n">
        <v>1</v>
      </c>
      <c r="AM191" s="3" t="n">
        <v>2</v>
      </c>
      <c r="AN191" s="3" t="n">
        <v>2</v>
      </c>
      <c r="AO191" s="3" t="n">
        <v>1</v>
      </c>
    </row>
    <row r="192" customFormat="false" ht="15" hidden="false" customHeight="false" outlineLevel="0" collapsed="false">
      <c r="A192" s="3" t="n">
        <v>0</v>
      </c>
      <c r="B192" s="3" t="n">
        <v>3</v>
      </c>
      <c r="C192" s="3" t="n">
        <v>1</v>
      </c>
      <c r="D192" s="3" t="n">
        <v>2</v>
      </c>
      <c r="E192" s="3" t="n">
        <v>2</v>
      </c>
      <c r="F192" s="3" t="n">
        <v>2</v>
      </c>
      <c r="G192" s="3" t="n">
        <v>1</v>
      </c>
      <c r="H192" s="3" t="n">
        <v>1</v>
      </c>
      <c r="I192" s="3" t="n">
        <v>1</v>
      </c>
      <c r="J192" s="3" t="n">
        <v>24</v>
      </c>
      <c r="K192" s="3" t="n">
        <v>4</v>
      </c>
      <c r="L192" s="3" t="n">
        <v>4</v>
      </c>
      <c r="M192" s="3" t="n">
        <v>4</v>
      </c>
      <c r="N192" s="3" t="n">
        <v>4</v>
      </c>
      <c r="O192" s="3" t="n">
        <v>4</v>
      </c>
      <c r="P192" s="3" t="n">
        <v>4</v>
      </c>
      <c r="Q192" s="3" t="n">
        <v>4</v>
      </c>
      <c r="R192" s="3" t="n">
        <v>4</v>
      </c>
      <c r="S192" s="3" t="n">
        <v>4</v>
      </c>
      <c r="T192" s="3" t="n">
        <v>5</v>
      </c>
      <c r="U192" s="3" t="n">
        <v>4</v>
      </c>
      <c r="V192" s="3" t="n">
        <v>3</v>
      </c>
      <c r="W192" s="3" t="n">
        <v>2</v>
      </c>
      <c r="X192" s="3" t="n">
        <v>4</v>
      </c>
      <c r="Y192" s="3" t="n">
        <v>4</v>
      </c>
      <c r="Z192" s="3" t="n">
        <v>4</v>
      </c>
      <c r="AA192" s="3" t="n">
        <v>4</v>
      </c>
      <c r="AB192" s="3" t="n">
        <v>4</v>
      </c>
      <c r="AC192" s="3" t="n">
        <v>3</v>
      </c>
      <c r="AD192" s="3" t="n">
        <v>3</v>
      </c>
      <c r="AE192" s="3" t="n">
        <v>3</v>
      </c>
      <c r="AF192" s="3" t="n">
        <v>3</v>
      </c>
      <c r="AG192" s="3" t="n">
        <v>3</v>
      </c>
      <c r="AH192" s="3" t="n">
        <v>3</v>
      </c>
      <c r="AI192" s="3" t="n">
        <v>2</v>
      </c>
      <c r="AJ192" s="3" t="n">
        <v>5</v>
      </c>
      <c r="AK192" s="3" t="n">
        <v>4</v>
      </c>
      <c r="AL192" s="3" t="n">
        <v>5</v>
      </c>
      <c r="AM192" s="3" t="n">
        <v>4</v>
      </c>
      <c r="AN192" s="3" t="n">
        <v>3</v>
      </c>
      <c r="AO192" s="3" t="n">
        <v>3</v>
      </c>
    </row>
    <row r="193" customFormat="false" ht="15" hidden="false" customHeight="false" outlineLevel="0" collapsed="false">
      <c r="A193" s="3" t="n">
        <v>0</v>
      </c>
      <c r="B193" s="3" t="n">
        <v>3</v>
      </c>
      <c r="C193" s="3" t="n">
        <v>1</v>
      </c>
      <c r="D193" s="3" t="n">
        <v>1</v>
      </c>
      <c r="E193" s="3" t="n">
        <v>2</v>
      </c>
      <c r="F193" s="3" t="n">
        <v>2</v>
      </c>
      <c r="G193" s="3" t="n">
        <v>2</v>
      </c>
      <c r="H193" s="3" t="n">
        <v>1</v>
      </c>
      <c r="I193" s="3" t="n">
        <v>1</v>
      </c>
      <c r="J193" s="3" t="n">
        <v>22</v>
      </c>
      <c r="K193" s="3" t="n">
        <v>5</v>
      </c>
      <c r="L193" s="3" t="n">
        <v>5</v>
      </c>
      <c r="M193" s="3" t="n">
        <v>5</v>
      </c>
      <c r="N193" s="3" t="n">
        <v>5</v>
      </c>
      <c r="O193" s="3" t="n">
        <v>5</v>
      </c>
      <c r="P193" s="3" t="n">
        <v>2</v>
      </c>
      <c r="Q193" s="3" t="n">
        <v>5</v>
      </c>
      <c r="R193" s="3" t="n">
        <v>4</v>
      </c>
      <c r="S193" s="3" t="n">
        <v>5</v>
      </c>
      <c r="T193" s="3" t="n">
        <v>5</v>
      </c>
      <c r="U193" s="3" t="n">
        <v>5</v>
      </c>
      <c r="V193" s="3" t="n">
        <v>5</v>
      </c>
      <c r="W193" s="3" t="n">
        <v>5</v>
      </c>
      <c r="X193" s="3" t="n">
        <v>5</v>
      </c>
      <c r="Y193" s="3" t="n">
        <v>3</v>
      </c>
      <c r="Z193" s="3" t="n">
        <v>5</v>
      </c>
      <c r="AA193" s="3" t="n">
        <v>5</v>
      </c>
      <c r="AB193" s="3" t="n">
        <v>3</v>
      </c>
      <c r="AC193" s="3" t="n">
        <v>1</v>
      </c>
      <c r="AD193" s="3" t="n">
        <v>1</v>
      </c>
      <c r="AE193" s="3" t="n">
        <v>5</v>
      </c>
      <c r="AF193" s="3" t="n">
        <v>4</v>
      </c>
      <c r="AG193" s="3" t="n">
        <v>5</v>
      </c>
      <c r="AH193" s="3" t="n">
        <v>2</v>
      </c>
      <c r="AI193" s="3" t="n">
        <v>5</v>
      </c>
      <c r="AJ193" s="3" t="n">
        <v>5</v>
      </c>
      <c r="AK193" s="3" t="n">
        <v>2</v>
      </c>
      <c r="AL193" s="3" t="n">
        <v>5</v>
      </c>
      <c r="AM193" s="3" t="n">
        <v>5</v>
      </c>
      <c r="AN193" s="3" t="n">
        <v>2</v>
      </c>
      <c r="AO193" s="3" t="n">
        <v>4</v>
      </c>
    </row>
    <row r="194" customFormat="false" ht="15" hidden="false" customHeight="false" outlineLevel="0" collapsed="false">
      <c r="A194" s="3" t="n">
        <v>0</v>
      </c>
      <c r="B194" s="3" t="n">
        <v>6</v>
      </c>
      <c r="C194" s="3" t="n">
        <v>1</v>
      </c>
      <c r="D194" s="3" t="n">
        <v>1</v>
      </c>
      <c r="E194" s="3" t="n">
        <v>2</v>
      </c>
      <c r="F194" s="3" t="n">
        <v>2</v>
      </c>
      <c r="G194" s="3" t="n">
        <v>3</v>
      </c>
      <c r="H194" s="3" t="n">
        <v>2</v>
      </c>
      <c r="I194" s="3" t="n">
        <v>1</v>
      </c>
      <c r="J194" s="3" t="n">
        <v>23</v>
      </c>
      <c r="K194" s="3" t="n">
        <v>2</v>
      </c>
      <c r="L194" s="3" t="n">
        <v>1</v>
      </c>
      <c r="M194" s="3" t="n">
        <v>2</v>
      </c>
      <c r="N194" s="3" t="n">
        <v>1</v>
      </c>
      <c r="O194" s="3" t="n">
        <v>4</v>
      </c>
      <c r="P194" s="3" t="n">
        <v>2</v>
      </c>
      <c r="Q194" s="3" t="n">
        <v>4</v>
      </c>
      <c r="R194" s="3" t="n">
        <v>2</v>
      </c>
      <c r="S194" s="3" t="n">
        <v>5</v>
      </c>
      <c r="T194" s="3" t="n">
        <v>2</v>
      </c>
      <c r="U194" s="3" t="n">
        <v>3</v>
      </c>
      <c r="V194" s="3" t="n">
        <v>4</v>
      </c>
      <c r="W194" s="3" t="n">
        <v>3</v>
      </c>
      <c r="X194" s="3" t="n">
        <v>3</v>
      </c>
      <c r="Y194" s="3" t="n">
        <v>4</v>
      </c>
      <c r="Z194" s="3" t="n">
        <v>4</v>
      </c>
      <c r="AA194" s="3" t="n">
        <v>5</v>
      </c>
      <c r="AB194" s="3" t="n">
        <v>4</v>
      </c>
      <c r="AC194" s="3" t="n">
        <v>1</v>
      </c>
      <c r="AD194" s="3" t="n">
        <v>2</v>
      </c>
      <c r="AE194" s="3" t="n">
        <v>1</v>
      </c>
      <c r="AF194" s="3" t="n">
        <v>1</v>
      </c>
      <c r="AG194" s="3" t="n">
        <v>1</v>
      </c>
      <c r="AH194" s="3" t="n">
        <v>4</v>
      </c>
      <c r="AI194" s="3" t="n">
        <v>5</v>
      </c>
      <c r="AJ194" s="3" t="n">
        <v>1</v>
      </c>
      <c r="AK194" s="3" t="n">
        <v>3</v>
      </c>
      <c r="AL194" s="3" t="n">
        <v>5</v>
      </c>
      <c r="AM194" s="3" t="n">
        <v>1</v>
      </c>
      <c r="AN194" s="3" t="n">
        <v>1</v>
      </c>
      <c r="AO194" s="3" t="n">
        <v>2</v>
      </c>
    </row>
    <row r="195" customFormat="false" ht="15" hidden="false" customHeight="false" outlineLevel="0" collapsed="false">
      <c r="A195" s="3" t="n">
        <v>0</v>
      </c>
      <c r="B195" s="3" t="n">
        <v>4</v>
      </c>
      <c r="C195" s="3" t="n">
        <v>1</v>
      </c>
      <c r="D195" s="3" t="n">
        <v>1</v>
      </c>
      <c r="E195" s="3" t="n">
        <v>2</v>
      </c>
      <c r="F195" s="3" t="n">
        <v>2</v>
      </c>
      <c r="G195" s="3" t="n">
        <v>2</v>
      </c>
      <c r="H195" s="3" t="n">
        <v>2</v>
      </c>
      <c r="I195" s="3" t="n">
        <v>3</v>
      </c>
      <c r="J195" s="3" t="n">
        <v>26</v>
      </c>
      <c r="K195" s="3" t="n">
        <v>2</v>
      </c>
      <c r="L195" s="3" t="n">
        <v>4</v>
      </c>
      <c r="M195" s="3" t="n">
        <v>2</v>
      </c>
      <c r="N195" s="3" t="n">
        <v>2</v>
      </c>
      <c r="O195" s="3" t="n">
        <v>4</v>
      </c>
      <c r="P195" s="3" t="n">
        <v>2</v>
      </c>
      <c r="Q195" s="3" t="n">
        <v>4</v>
      </c>
      <c r="R195" s="3" t="n">
        <v>3</v>
      </c>
      <c r="S195" s="3" t="n">
        <v>1</v>
      </c>
      <c r="T195" s="3" t="n">
        <v>1</v>
      </c>
      <c r="U195" s="3" t="n">
        <v>4</v>
      </c>
      <c r="V195" s="3" t="n">
        <v>2</v>
      </c>
      <c r="W195" s="3" t="n">
        <v>4</v>
      </c>
      <c r="X195" s="3" t="n">
        <v>4</v>
      </c>
      <c r="Y195" s="3" t="n">
        <v>2</v>
      </c>
      <c r="Z195" s="3" t="n">
        <v>4</v>
      </c>
      <c r="AA195" s="3" t="n">
        <v>4</v>
      </c>
      <c r="AB195" s="3" t="n">
        <v>1</v>
      </c>
      <c r="AC195" s="3" t="n">
        <v>2</v>
      </c>
      <c r="AD195" s="3" t="n">
        <v>2</v>
      </c>
      <c r="AE195" s="3" t="n">
        <v>4</v>
      </c>
      <c r="AF195" s="3" t="n">
        <v>2</v>
      </c>
      <c r="AG195" s="3" t="n">
        <v>4</v>
      </c>
      <c r="AH195" s="3" t="n">
        <v>2</v>
      </c>
      <c r="AI195" s="3" t="n">
        <v>3</v>
      </c>
      <c r="AJ195" s="3" t="n">
        <v>2</v>
      </c>
      <c r="AK195" s="3" t="n">
        <v>4</v>
      </c>
      <c r="AL195" s="3" t="n">
        <v>4</v>
      </c>
      <c r="AM195" s="3" t="n">
        <v>3</v>
      </c>
      <c r="AN195" s="3" t="n">
        <v>3</v>
      </c>
      <c r="AO195" s="3" t="n">
        <v>4</v>
      </c>
    </row>
    <row r="196" customFormat="false" ht="15" hidden="false" customHeight="false" outlineLevel="0" collapsed="false">
      <c r="B196" s="3" t="n">
        <v>6</v>
      </c>
      <c r="C196" s="3" t="n">
        <v>2</v>
      </c>
      <c r="D196" s="3" t="n">
        <v>2</v>
      </c>
      <c r="E196" s="3" t="n">
        <v>2</v>
      </c>
      <c r="F196" s="3" t="n">
        <v>2</v>
      </c>
      <c r="G196" s="3" t="n">
        <v>2</v>
      </c>
      <c r="H196" s="3" t="n">
        <v>1</v>
      </c>
      <c r="I196" s="3" t="n">
        <v>1</v>
      </c>
      <c r="J196" s="3" t="n">
        <v>24</v>
      </c>
      <c r="K196" s="3" t="n">
        <v>3</v>
      </c>
      <c r="L196" s="3" t="n">
        <v>4</v>
      </c>
      <c r="M196" s="3" t="n">
        <v>3</v>
      </c>
      <c r="N196" s="3" t="n">
        <v>3</v>
      </c>
      <c r="O196" s="3" t="n">
        <v>2</v>
      </c>
      <c r="P196" s="3" t="n">
        <v>1</v>
      </c>
      <c r="Q196" s="3" t="n">
        <v>3</v>
      </c>
      <c r="R196" s="3" t="n">
        <v>4</v>
      </c>
      <c r="S196" s="3" t="n">
        <v>5</v>
      </c>
      <c r="T196" s="3" t="n">
        <v>5</v>
      </c>
      <c r="U196" s="3" t="n">
        <v>4</v>
      </c>
      <c r="V196" s="3" t="n">
        <v>5</v>
      </c>
      <c r="W196" s="3" t="n">
        <v>5</v>
      </c>
      <c r="X196" s="3" t="n">
        <v>5</v>
      </c>
      <c r="Y196" s="3" t="n">
        <v>5</v>
      </c>
      <c r="Z196" s="3" t="n">
        <v>5</v>
      </c>
      <c r="AA196" s="3" t="n">
        <v>5</v>
      </c>
      <c r="AB196" s="3" t="n">
        <v>1</v>
      </c>
      <c r="AC196" s="3" t="n">
        <v>1</v>
      </c>
      <c r="AD196" s="3" t="n">
        <v>2</v>
      </c>
      <c r="AE196" s="3" t="n">
        <v>5</v>
      </c>
      <c r="AF196" s="3" t="n">
        <v>3</v>
      </c>
      <c r="AG196" s="3" t="n">
        <v>5</v>
      </c>
      <c r="AH196" s="3" t="n">
        <v>4</v>
      </c>
      <c r="AI196" s="3" t="n">
        <v>5</v>
      </c>
      <c r="AJ196" s="3" t="n">
        <v>5</v>
      </c>
      <c r="AK196" s="3" t="n">
        <v>2</v>
      </c>
      <c r="AL196" s="3" t="n">
        <v>4</v>
      </c>
      <c r="AM196" s="3" t="n">
        <v>5</v>
      </c>
      <c r="AN196" s="3" t="n">
        <v>2</v>
      </c>
      <c r="AO196" s="3" t="n">
        <v>2</v>
      </c>
    </row>
    <row r="197" customFormat="false" ht="15" hidden="false" customHeight="false" outlineLevel="0" collapsed="false">
      <c r="B197" s="3" t="n">
        <v>3</v>
      </c>
      <c r="C197" s="3" t="n">
        <v>2</v>
      </c>
      <c r="D197" s="3" t="n">
        <v>2</v>
      </c>
      <c r="E197" s="3" t="n">
        <v>2</v>
      </c>
      <c r="F197" s="3" t="n">
        <v>2</v>
      </c>
      <c r="G197" s="3" t="n">
        <v>2</v>
      </c>
      <c r="H197" s="3" t="n">
        <v>1</v>
      </c>
      <c r="I197" s="3" t="n">
        <v>1</v>
      </c>
      <c r="J197" s="3" t="n">
        <v>23</v>
      </c>
      <c r="K197" s="3" t="n">
        <v>3</v>
      </c>
      <c r="L197" s="3" t="n">
        <v>4</v>
      </c>
      <c r="M197" s="3" t="n">
        <v>4</v>
      </c>
      <c r="N197" s="3" t="n">
        <v>4</v>
      </c>
      <c r="O197" s="3" t="n">
        <v>3</v>
      </c>
      <c r="P197" s="3" t="n">
        <v>2</v>
      </c>
      <c r="Q197" s="3" t="n">
        <v>4</v>
      </c>
      <c r="R197" s="3" t="n">
        <v>3</v>
      </c>
      <c r="S197" s="3" t="n">
        <v>4</v>
      </c>
      <c r="T197" s="3" t="n">
        <v>4</v>
      </c>
      <c r="U197" s="3" t="n">
        <v>2</v>
      </c>
      <c r="V197" s="3" t="n">
        <v>3</v>
      </c>
      <c r="W197" s="3" t="n">
        <v>4</v>
      </c>
      <c r="X197" s="3" t="n">
        <v>3</v>
      </c>
      <c r="Y197" s="3" t="n">
        <v>3</v>
      </c>
      <c r="Z197" s="3" t="n">
        <v>4</v>
      </c>
      <c r="AA197" s="3" t="n">
        <v>3</v>
      </c>
      <c r="AB197" s="3" t="n">
        <v>4</v>
      </c>
      <c r="AC197" s="3" t="n">
        <v>3</v>
      </c>
      <c r="AD197" s="3" t="n">
        <v>2</v>
      </c>
      <c r="AE197" s="3" t="n">
        <v>4</v>
      </c>
      <c r="AF197" s="3" t="n">
        <v>4</v>
      </c>
      <c r="AG197" s="3" t="n">
        <v>4</v>
      </c>
      <c r="AH197" s="3" t="n">
        <v>3</v>
      </c>
      <c r="AI197" s="3" t="n">
        <v>3</v>
      </c>
      <c r="AJ197" s="3" t="n">
        <v>5</v>
      </c>
      <c r="AK197" s="3" t="n">
        <v>2</v>
      </c>
      <c r="AL197" s="3" t="n">
        <v>4</v>
      </c>
      <c r="AM197" s="3" t="n">
        <v>3</v>
      </c>
      <c r="AN197" s="3" t="n">
        <v>3</v>
      </c>
      <c r="AO197" s="3" t="n">
        <v>4</v>
      </c>
    </row>
    <row r="198" customFormat="false" ht="15" hidden="false" customHeight="false" outlineLevel="0" collapsed="false">
      <c r="B198" s="3" t="n">
        <v>4</v>
      </c>
      <c r="C198" s="3" t="n">
        <v>1</v>
      </c>
      <c r="D198" s="3" t="n">
        <v>1</v>
      </c>
      <c r="E198" s="3" t="n">
        <v>2</v>
      </c>
      <c r="F198" s="3" t="n">
        <v>2</v>
      </c>
      <c r="G198" s="3" t="n">
        <v>4</v>
      </c>
      <c r="H198" s="3" t="n">
        <v>3</v>
      </c>
      <c r="I198" s="3" t="n">
        <v>1</v>
      </c>
      <c r="J198" s="3" t="n">
        <v>22</v>
      </c>
      <c r="K198" s="3" t="n">
        <v>2</v>
      </c>
      <c r="L198" s="3" t="n">
        <v>3</v>
      </c>
      <c r="M198" s="3" t="n">
        <v>3</v>
      </c>
      <c r="N198" s="3" t="n">
        <v>3</v>
      </c>
      <c r="O198" s="3" t="n">
        <v>2</v>
      </c>
      <c r="P198" s="3" t="n">
        <v>4</v>
      </c>
      <c r="Q198" s="3" t="n">
        <v>2</v>
      </c>
      <c r="R198" s="3" t="n">
        <v>2</v>
      </c>
      <c r="S198" s="3" t="n">
        <v>3</v>
      </c>
      <c r="T198" s="3" t="n">
        <v>3</v>
      </c>
      <c r="U198" s="3" t="n">
        <v>4</v>
      </c>
      <c r="V198" s="3" t="n">
        <v>5</v>
      </c>
      <c r="W198" s="3" t="n">
        <v>2</v>
      </c>
      <c r="X198" s="3" t="n">
        <v>5</v>
      </c>
      <c r="Y198" s="3" t="n">
        <v>2</v>
      </c>
      <c r="Z198" s="3" t="n">
        <v>3</v>
      </c>
      <c r="AA198" s="3" t="n">
        <v>3</v>
      </c>
      <c r="AB198" s="3" t="n">
        <v>3</v>
      </c>
      <c r="AC198" s="3" t="n">
        <v>2</v>
      </c>
      <c r="AD198" s="3" t="n">
        <v>3</v>
      </c>
      <c r="AE198" s="3" t="n">
        <v>2</v>
      </c>
      <c r="AF198" s="3" t="n">
        <v>3</v>
      </c>
      <c r="AG198" s="3" t="n">
        <v>2</v>
      </c>
      <c r="AH198" s="3" t="n">
        <v>5</v>
      </c>
      <c r="AI198" s="3" t="n">
        <v>4</v>
      </c>
      <c r="AJ198" s="3" t="n">
        <v>2</v>
      </c>
      <c r="AK198" s="3" t="n">
        <v>3</v>
      </c>
      <c r="AL198" s="3" t="n">
        <v>3</v>
      </c>
      <c r="AM198" s="3" t="n">
        <v>3</v>
      </c>
      <c r="AN198" s="3" t="n">
        <v>3</v>
      </c>
      <c r="AO198" s="3" t="n">
        <v>2</v>
      </c>
    </row>
    <row r="199" customFormat="false" ht="15" hidden="false" customHeight="false" outlineLevel="0" collapsed="false">
      <c r="A199" s="3" t="n">
        <v>1</v>
      </c>
      <c r="B199" s="3" t="n">
        <v>3</v>
      </c>
      <c r="C199" s="3" t="n">
        <v>1</v>
      </c>
      <c r="D199" s="3" t="n">
        <v>2</v>
      </c>
      <c r="E199" s="3" t="n">
        <v>2</v>
      </c>
      <c r="F199" s="3" t="n">
        <v>2</v>
      </c>
      <c r="G199" s="3" t="n">
        <v>1</v>
      </c>
      <c r="H199" s="3" t="n">
        <v>1</v>
      </c>
      <c r="I199" s="3" t="n">
        <v>1</v>
      </c>
      <c r="J199" s="3" t="n">
        <v>22</v>
      </c>
      <c r="K199" s="3" t="n">
        <v>3</v>
      </c>
      <c r="L199" s="3" t="n">
        <v>3</v>
      </c>
      <c r="M199" s="3" t="n">
        <v>4</v>
      </c>
      <c r="N199" s="3" t="n">
        <v>4</v>
      </c>
      <c r="O199" s="3" t="n">
        <v>3</v>
      </c>
      <c r="P199" s="3" t="n">
        <v>2</v>
      </c>
      <c r="Q199" s="3" t="n">
        <v>3</v>
      </c>
      <c r="R199" s="3" t="n">
        <v>4</v>
      </c>
      <c r="S199" s="3" t="n">
        <v>3</v>
      </c>
      <c r="T199" s="3" t="n">
        <v>4</v>
      </c>
      <c r="U199" s="3" t="n">
        <v>4</v>
      </c>
      <c r="V199" s="3" t="n">
        <v>3</v>
      </c>
      <c r="W199" s="3" t="n">
        <v>4</v>
      </c>
      <c r="X199" s="3" t="n">
        <v>3</v>
      </c>
      <c r="Y199" s="3" t="n">
        <v>2</v>
      </c>
      <c r="Z199" s="3" t="n">
        <v>3</v>
      </c>
      <c r="AA199" s="3" t="n">
        <v>5</v>
      </c>
      <c r="AB199" s="3" t="n">
        <v>2</v>
      </c>
      <c r="AC199" s="3" t="n">
        <v>2</v>
      </c>
      <c r="AD199" s="3" t="n">
        <v>2</v>
      </c>
      <c r="AE199" s="3" t="n">
        <v>3</v>
      </c>
      <c r="AF199" s="3" t="n">
        <v>2</v>
      </c>
      <c r="AG199" s="3" t="n">
        <v>4</v>
      </c>
      <c r="AH199" s="3" t="n">
        <v>3</v>
      </c>
      <c r="AI199" s="3" t="n">
        <v>3</v>
      </c>
      <c r="AJ199" s="3" t="n">
        <v>3</v>
      </c>
      <c r="AK199" s="3" t="n">
        <v>4</v>
      </c>
      <c r="AL199" s="3" t="n">
        <v>5</v>
      </c>
      <c r="AM199" s="3" t="n">
        <v>3</v>
      </c>
      <c r="AN199" s="3" t="n">
        <v>2</v>
      </c>
      <c r="AO199" s="3" t="n">
        <v>4</v>
      </c>
    </row>
    <row r="200" customFormat="false" ht="15" hidden="false" customHeight="false" outlineLevel="0" collapsed="false">
      <c r="B200" s="3" t="n">
        <v>4</v>
      </c>
      <c r="C200" s="3" t="n">
        <v>1</v>
      </c>
      <c r="D200" s="3" t="n">
        <v>2</v>
      </c>
      <c r="E200" s="3" t="n">
        <v>2</v>
      </c>
      <c r="F200" s="3" t="n">
        <v>2</v>
      </c>
      <c r="G200" s="3" t="n">
        <v>4</v>
      </c>
      <c r="H200" s="3" t="n">
        <v>1</v>
      </c>
      <c r="I200" s="3" t="n">
        <v>3</v>
      </c>
      <c r="J200" s="3" t="n">
        <v>26</v>
      </c>
      <c r="K200" s="3" t="n">
        <v>4</v>
      </c>
      <c r="L200" s="3" t="n">
        <v>4</v>
      </c>
      <c r="M200" s="3" t="n">
        <v>4</v>
      </c>
      <c r="N200" s="3" t="n">
        <v>5</v>
      </c>
      <c r="O200" s="3" t="n">
        <v>5</v>
      </c>
      <c r="P200" s="3" t="n">
        <v>4</v>
      </c>
      <c r="Q200" s="3" t="n">
        <v>2</v>
      </c>
      <c r="R200" s="3" t="n">
        <v>3</v>
      </c>
      <c r="S200" s="3" t="n">
        <v>5</v>
      </c>
      <c r="T200" s="3" t="n">
        <v>3</v>
      </c>
      <c r="U200" s="3" t="n">
        <v>3</v>
      </c>
      <c r="V200" s="3" t="n">
        <v>3</v>
      </c>
      <c r="W200" s="3" t="n">
        <v>5</v>
      </c>
      <c r="X200" s="3" t="n">
        <v>4</v>
      </c>
      <c r="Y200" s="3" t="n">
        <v>5</v>
      </c>
      <c r="Z200" s="3" t="n">
        <v>4</v>
      </c>
      <c r="AA200" s="3" t="n">
        <v>3</v>
      </c>
      <c r="AB200" s="3" t="n">
        <v>3</v>
      </c>
      <c r="AC200" s="3" t="n">
        <v>5</v>
      </c>
      <c r="AD200" s="3" t="n">
        <v>4</v>
      </c>
      <c r="AE200" s="3" t="n">
        <v>4</v>
      </c>
      <c r="AF200" s="3" t="n">
        <v>5</v>
      </c>
      <c r="AG200" s="3" t="n">
        <v>4</v>
      </c>
      <c r="AH200" s="3" t="n">
        <v>4</v>
      </c>
      <c r="AI200" s="3" t="n">
        <v>3</v>
      </c>
      <c r="AJ200" s="3" t="n">
        <v>4</v>
      </c>
      <c r="AK200" s="3" t="n">
        <v>4</v>
      </c>
      <c r="AL200" s="3" t="n">
        <v>4</v>
      </c>
      <c r="AM200" s="3" t="n">
        <v>4</v>
      </c>
      <c r="AN200" s="3" t="n">
        <v>4</v>
      </c>
      <c r="AO200" s="3" t="n">
        <v>4</v>
      </c>
    </row>
    <row r="201" customFormat="false" ht="15" hidden="false" customHeight="false" outlineLevel="0" collapsed="false">
      <c r="B201" s="3" t="n">
        <v>3</v>
      </c>
      <c r="C201" s="3" t="n">
        <v>1</v>
      </c>
      <c r="D201" s="3" t="n">
        <v>1</v>
      </c>
      <c r="E201" s="3" t="n">
        <v>2</v>
      </c>
      <c r="F201" s="3" t="n">
        <v>2</v>
      </c>
      <c r="G201" s="3" t="n">
        <v>3</v>
      </c>
      <c r="H201" s="3" t="n">
        <v>2</v>
      </c>
      <c r="I201" s="3" t="n">
        <v>2</v>
      </c>
      <c r="J201" s="3" t="n">
        <v>25</v>
      </c>
      <c r="K201" s="3" t="n">
        <v>3</v>
      </c>
      <c r="L201" s="3" t="n">
        <v>4</v>
      </c>
      <c r="M201" s="3" t="n">
        <v>4</v>
      </c>
      <c r="N201" s="3" t="n">
        <v>4</v>
      </c>
      <c r="O201" s="3" t="n">
        <v>4</v>
      </c>
      <c r="P201" s="3" t="n">
        <v>3</v>
      </c>
      <c r="Q201" s="3" t="n">
        <v>4</v>
      </c>
      <c r="R201" s="3" t="n">
        <v>1</v>
      </c>
      <c r="S201" s="3" t="n">
        <v>1</v>
      </c>
      <c r="T201" s="3" t="n">
        <v>4</v>
      </c>
      <c r="U201" s="3" t="n">
        <v>1</v>
      </c>
      <c r="V201" s="3" t="n">
        <v>4</v>
      </c>
      <c r="W201" s="3" t="n">
        <v>5</v>
      </c>
      <c r="X201" s="3" t="n">
        <v>2</v>
      </c>
      <c r="Y201" s="3" t="n">
        <v>4</v>
      </c>
      <c r="Z201" s="3" t="n">
        <v>4</v>
      </c>
      <c r="AA201" s="3" t="n">
        <v>4</v>
      </c>
      <c r="AB201" s="3" t="n">
        <v>4</v>
      </c>
      <c r="AC201" s="3" t="n">
        <v>1</v>
      </c>
      <c r="AD201" s="3" t="n">
        <v>1</v>
      </c>
      <c r="AE201" s="3" t="n">
        <v>2</v>
      </c>
      <c r="AF201" s="3" t="n">
        <v>1</v>
      </c>
      <c r="AG201" s="3" t="n">
        <v>1</v>
      </c>
      <c r="AH201" s="3" t="n">
        <v>1</v>
      </c>
      <c r="AI201" s="3" t="n">
        <v>1</v>
      </c>
      <c r="AJ201" s="3" t="n">
        <v>4</v>
      </c>
      <c r="AK201" s="3" t="n">
        <v>2</v>
      </c>
      <c r="AL201" s="3" t="n">
        <v>4</v>
      </c>
      <c r="AM201" s="3" t="n">
        <v>4</v>
      </c>
      <c r="AN201" s="3" t="n">
        <v>2</v>
      </c>
      <c r="AO201" s="3" t="n">
        <v>1</v>
      </c>
    </row>
    <row r="202" customFormat="false" ht="15" hidden="false" customHeight="false" outlineLevel="0" collapsed="false">
      <c r="A202" s="3" t="n">
        <v>0</v>
      </c>
      <c r="B202" s="3" t="n">
        <v>3</v>
      </c>
      <c r="C202" s="3" t="n">
        <v>1</v>
      </c>
      <c r="D202" s="3" t="n">
        <v>1</v>
      </c>
      <c r="E202" s="3" t="n">
        <v>2</v>
      </c>
      <c r="F202" s="3" t="n">
        <v>2</v>
      </c>
      <c r="G202" s="3" t="n">
        <v>3</v>
      </c>
      <c r="H202" s="3" t="n">
        <v>2</v>
      </c>
      <c r="I202" s="3" t="n">
        <v>1</v>
      </c>
      <c r="J202" s="3" t="n">
        <v>21</v>
      </c>
      <c r="K202" s="3" t="n">
        <v>4</v>
      </c>
      <c r="L202" s="3" t="n">
        <v>2</v>
      </c>
      <c r="M202" s="3" t="n">
        <v>4</v>
      </c>
      <c r="N202" s="3" t="n">
        <v>3</v>
      </c>
      <c r="O202" s="3" t="n">
        <v>4</v>
      </c>
      <c r="P202" s="3" t="n">
        <v>4</v>
      </c>
      <c r="Q202" s="3" t="n">
        <v>3</v>
      </c>
      <c r="R202" s="3" t="n">
        <v>3</v>
      </c>
      <c r="S202" s="3" t="n">
        <v>4</v>
      </c>
      <c r="T202" s="3" t="n">
        <v>4</v>
      </c>
      <c r="U202" s="3" t="n">
        <v>4</v>
      </c>
      <c r="V202" s="3" t="n">
        <v>4</v>
      </c>
      <c r="W202" s="3" t="n">
        <v>4</v>
      </c>
      <c r="X202" s="3" t="n">
        <v>4</v>
      </c>
      <c r="Y202" s="3" t="n">
        <v>2</v>
      </c>
      <c r="Z202" s="3" t="n">
        <v>3</v>
      </c>
      <c r="AA202" s="3" t="n">
        <v>4</v>
      </c>
      <c r="AB202" s="3" t="n">
        <v>4</v>
      </c>
      <c r="AC202" s="3" t="n">
        <v>2</v>
      </c>
      <c r="AD202" s="3" t="n">
        <v>3</v>
      </c>
      <c r="AE202" s="3" t="n">
        <v>2</v>
      </c>
      <c r="AF202" s="3" t="n">
        <v>2</v>
      </c>
      <c r="AG202" s="3" t="n">
        <v>4</v>
      </c>
      <c r="AH202" s="3" t="n">
        <v>4</v>
      </c>
      <c r="AI202" s="3" t="n">
        <v>4</v>
      </c>
      <c r="AJ202" s="3" t="n">
        <v>5</v>
      </c>
      <c r="AK202" s="3" t="n">
        <v>4</v>
      </c>
      <c r="AL202" s="3" t="n">
        <v>4</v>
      </c>
      <c r="AM202" s="3" t="n">
        <v>3</v>
      </c>
      <c r="AN202" s="3" t="n">
        <v>5</v>
      </c>
      <c r="AO202" s="3" t="n">
        <v>2</v>
      </c>
    </row>
    <row r="203" customFormat="false" ht="15" hidden="false" customHeight="false" outlineLevel="0" collapsed="false">
      <c r="A203" s="3" t="n">
        <v>1</v>
      </c>
      <c r="B203" s="3" t="n">
        <v>3</v>
      </c>
      <c r="C203" s="3" t="n">
        <v>1</v>
      </c>
      <c r="D203" s="3" t="n">
        <v>1</v>
      </c>
      <c r="E203" s="3" t="n">
        <v>2</v>
      </c>
      <c r="F203" s="3" t="n">
        <v>2</v>
      </c>
      <c r="G203" s="3" t="n">
        <v>1</v>
      </c>
      <c r="H203" s="3" t="n">
        <v>2</v>
      </c>
      <c r="I203" s="3" t="n">
        <v>1</v>
      </c>
      <c r="J203" s="3" t="n">
        <v>24</v>
      </c>
      <c r="K203" s="3" t="n">
        <v>3</v>
      </c>
      <c r="L203" s="3" t="n">
        <v>4</v>
      </c>
      <c r="M203" s="3" t="n">
        <v>4</v>
      </c>
      <c r="N203" s="3" t="n">
        <v>4</v>
      </c>
      <c r="O203" s="3" t="n">
        <v>4</v>
      </c>
      <c r="P203" s="3" t="n">
        <v>3</v>
      </c>
      <c r="Q203" s="3" t="n">
        <v>4</v>
      </c>
      <c r="R203" s="3" t="n">
        <v>3</v>
      </c>
      <c r="S203" s="3" t="n">
        <v>4</v>
      </c>
      <c r="T203" s="3" t="n">
        <v>5</v>
      </c>
      <c r="U203" s="3" t="n">
        <v>4</v>
      </c>
      <c r="V203" s="3" t="n">
        <v>4</v>
      </c>
      <c r="W203" s="3" t="n">
        <v>2</v>
      </c>
      <c r="X203" s="3" t="n">
        <v>4</v>
      </c>
      <c r="Y203" s="3" t="n">
        <v>2</v>
      </c>
      <c r="Z203" s="3" t="n">
        <v>4</v>
      </c>
      <c r="AA203" s="3" t="n">
        <v>4</v>
      </c>
      <c r="AB203" s="3" t="n">
        <v>3</v>
      </c>
      <c r="AC203" s="3" t="n">
        <v>3</v>
      </c>
      <c r="AD203" s="3" t="n">
        <v>3</v>
      </c>
      <c r="AE203" s="3" t="n">
        <v>4</v>
      </c>
      <c r="AF203" s="3" t="n">
        <v>3</v>
      </c>
      <c r="AG203" s="3" t="n">
        <v>4</v>
      </c>
      <c r="AH203" s="3" t="n">
        <v>4</v>
      </c>
      <c r="AI203" s="3" t="n">
        <v>4</v>
      </c>
      <c r="AJ203" s="3" t="n">
        <v>5</v>
      </c>
      <c r="AK203" s="3" t="n">
        <v>3</v>
      </c>
      <c r="AL203" s="3" t="n">
        <v>4</v>
      </c>
      <c r="AM203" s="3" t="n">
        <v>4</v>
      </c>
      <c r="AN203" s="3" t="n">
        <v>3</v>
      </c>
      <c r="AO203" s="3" t="n">
        <v>3</v>
      </c>
    </row>
    <row r="204" customFormat="false" ht="15" hidden="false" customHeight="false" outlineLevel="0" collapsed="false">
      <c r="A204" s="3" t="n">
        <v>0</v>
      </c>
      <c r="B204" s="3" t="n">
        <v>4</v>
      </c>
      <c r="C204" s="3" t="n">
        <v>1</v>
      </c>
      <c r="D204" s="3" t="n">
        <v>1</v>
      </c>
      <c r="E204" s="3" t="n">
        <v>2</v>
      </c>
      <c r="F204" s="3" t="n">
        <v>2</v>
      </c>
      <c r="G204" s="3" t="n">
        <v>2</v>
      </c>
      <c r="H204" s="3" t="n">
        <v>3</v>
      </c>
      <c r="I204" s="3" t="n">
        <v>1</v>
      </c>
      <c r="J204" s="3" t="n">
        <v>24</v>
      </c>
      <c r="K204" s="3" t="n">
        <v>4</v>
      </c>
      <c r="L204" s="3" t="n">
        <v>4</v>
      </c>
      <c r="M204" s="3" t="n">
        <v>4</v>
      </c>
      <c r="N204" s="3" t="n">
        <v>4</v>
      </c>
      <c r="O204" s="3" t="n">
        <v>5</v>
      </c>
      <c r="P204" s="3" t="n">
        <v>3</v>
      </c>
      <c r="Q204" s="3" t="n">
        <v>3</v>
      </c>
      <c r="R204" s="3" t="n">
        <v>5</v>
      </c>
      <c r="S204" s="3" t="n">
        <v>4</v>
      </c>
      <c r="T204" s="3" t="n">
        <v>5</v>
      </c>
      <c r="U204" s="3" t="n">
        <v>5</v>
      </c>
      <c r="V204" s="3" t="n">
        <v>3</v>
      </c>
      <c r="W204" s="3" t="n">
        <v>3</v>
      </c>
      <c r="X204" s="3" t="n">
        <v>3</v>
      </c>
      <c r="Y204" s="3" t="n">
        <v>3</v>
      </c>
      <c r="Z204" s="3" t="n">
        <v>4</v>
      </c>
      <c r="AA204" s="3" t="n">
        <v>4</v>
      </c>
      <c r="AB204" s="3" t="n">
        <v>2</v>
      </c>
      <c r="AC204" s="3" t="n">
        <v>2</v>
      </c>
      <c r="AD204" s="3" t="n">
        <v>2</v>
      </c>
      <c r="AE204" s="3" t="n">
        <v>4</v>
      </c>
      <c r="AF204" s="3" t="n">
        <v>3</v>
      </c>
      <c r="AG204" s="3" t="n">
        <v>4</v>
      </c>
      <c r="AH204" s="3" t="n">
        <v>5</v>
      </c>
      <c r="AI204" s="3" t="n">
        <v>4</v>
      </c>
      <c r="AJ204" s="3" t="n">
        <v>5</v>
      </c>
      <c r="AK204" s="3" t="n">
        <v>5</v>
      </c>
      <c r="AL204" s="3" t="n">
        <v>5</v>
      </c>
      <c r="AM204" s="3" t="n">
        <v>3</v>
      </c>
      <c r="AN204" s="3" t="n">
        <v>4</v>
      </c>
      <c r="AO204" s="3" t="n">
        <v>2</v>
      </c>
    </row>
    <row r="205" customFormat="false" ht="15" hidden="false" customHeight="false" outlineLevel="0" collapsed="false">
      <c r="B205" s="3" t="n">
        <v>4</v>
      </c>
      <c r="C205" s="3" t="n">
        <v>2</v>
      </c>
      <c r="D205" s="3" t="n">
        <v>1</v>
      </c>
      <c r="E205" s="3" t="n">
        <v>2</v>
      </c>
      <c r="F205" s="3" t="n">
        <v>2</v>
      </c>
      <c r="G205" s="3" t="n">
        <v>2</v>
      </c>
      <c r="H205" s="3" t="n">
        <v>2</v>
      </c>
      <c r="I205" s="3" t="n">
        <v>1</v>
      </c>
      <c r="J205" s="3" t="n">
        <v>24</v>
      </c>
      <c r="K205" s="3" t="n">
        <v>3</v>
      </c>
      <c r="L205" s="3" t="n">
        <v>4</v>
      </c>
      <c r="M205" s="3" t="n">
        <v>5</v>
      </c>
      <c r="N205" s="3" t="n">
        <v>4</v>
      </c>
      <c r="O205" s="3" t="n">
        <v>5</v>
      </c>
      <c r="P205" s="3" t="n">
        <v>2</v>
      </c>
      <c r="Q205" s="3" t="n">
        <v>2</v>
      </c>
      <c r="R205" s="3" t="n">
        <v>4</v>
      </c>
      <c r="S205" s="3" t="n">
        <v>5</v>
      </c>
      <c r="T205" s="3" t="n">
        <v>5</v>
      </c>
      <c r="U205" s="3" t="n">
        <v>5</v>
      </c>
      <c r="V205" s="3" t="n">
        <v>4</v>
      </c>
      <c r="W205" s="3" t="n">
        <v>4</v>
      </c>
      <c r="X205" s="3" t="n">
        <v>4</v>
      </c>
      <c r="Y205" s="3" t="n">
        <v>4</v>
      </c>
      <c r="Z205" s="3" t="n">
        <v>4</v>
      </c>
      <c r="AA205" s="3" t="n">
        <v>5</v>
      </c>
      <c r="AB205" s="3" t="n">
        <v>5</v>
      </c>
      <c r="AC205" s="3" t="n">
        <v>4</v>
      </c>
      <c r="AD205" s="3" t="n">
        <v>4</v>
      </c>
      <c r="AE205" s="3" t="n">
        <v>4</v>
      </c>
      <c r="AF205" s="3" t="n">
        <v>1</v>
      </c>
      <c r="AG205" s="3" t="n">
        <v>3</v>
      </c>
      <c r="AH205" s="3" t="n">
        <v>4</v>
      </c>
      <c r="AI205" s="3" t="n">
        <v>2</v>
      </c>
      <c r="AJ205" s="3" t="n">
        <v>4</v>
      </c>
      <c r="AK205" s="3" t="n">
        <v>4</v>
      </c>
      <c r="AL205" s="3" t="n">
        <v>2</v>
      </c>
      <c r="AM205" s="3" t="n">
        <v>4</v>
      </c>
      <c r="AN205" s="3" t="n">
        <v>4</v>
      </c>
      <c r="AO205" s="3" t="n">
        <v>4</v>
      </c>
    </row>
    <row r="206" customFormat="false" ht="15" hidden="false" customHeight="false" outlineLevel="0" collapsed="false">
      <c r="A206" s="3" t="n">
        <v>0</v>
      </c>
      <c r="B206" s="3" t="n">
        <v>3</v>
      </c>
      <c r="C206" s="3" t="n">
        <v>1</v>
      </c>
      <c r="D206" s="3" t="n">
        <v>1</v>
      </c>
      <c r="E206" s="3" t="n">
        <v>1</v>
      </c>
      <c r="F206" s="3" t="n">
        <v>2</v>
      </c>
      <c r="G206" s="3" t="n">
        <v>2</v>
      </c>
      <c r="H206" s="3" t="n">
        <v>2</v>
      </c>
      <c r="I206" s="3" t="n">
        <v>1</v>
      </c>
      <c r="J206" s="3" t="n">
        <v>24</v>
      </c>
      <c r="K206" s="3" t="n">
        <v>4</v>
      </c>
      <c r="L206" s="3" t="n">
        <v>4</v>
      </c>
      <c r="M206" s="3" t="n">
        <v>5</v>
      </c>
      <c r="N206" s="3" t="n">
        <v>4</v>
      </c>
      <c r="O206" s="3" t="n">
        <v>4</v>
      </c>
      <c r="P206" s="3" t="n">
        <v>2</v>
      </c>
      <c r="Q206" s="3" t="n">
        <v>3</v>
      </c>
      <c r="R206" s="3" t="n">
        <v>4</v>
      </c>
      <c r="S206" s="3" t="n">
        <v>5</v>
      </c>
      <c r="T206" s="3" t="n">
        <v>5</v>
      </c>
      <c r="U206" s="3" t="n">
        <v>5</v>
      </c>
      <c r="V206" s="3" t="n">
        <v>4</v>
      </c>
      <c r="W206" s="3" t="n">
        <v>4</v>
      </c>
      <c r="X206" s="3" t="n">
        <v>2</v>
      </c>
      <c r="Y206" s="3" t="n">
        <v>3</v>
      </c>
      <c r="Z206" s="3" t="n">
        <v>5</v>
      </c>
      <c r="AA206" s="3" t="n">
        <v>5</v>
      </c>
      <c r="AB206" s="3" t="n">
        <v>5</v>
      </c>
      <c r="AC206" s="3" t="n">
        <v>1</v>
      </c>
      <c r="AD206" s="3" t="n">
        <v>2</v>
      </c>
      <c r="AE206" s="3" t="n">
        <v>3</v>
      </c>
      <c r="AF206" s="3" t="n">
        <v>2</v>
      </c>
      <c r="AG206" s="3" t="n">
        <v>3</v>
      </c>
      <c r="AH206" s="3" t="n">
        <v>4</v>
      </c>
      <c r="AI206" s="3" t="n">
        <v>4</v>
      </c>
      <c r="AJ206" s="3" t="n">
        <v>5</v>
      </c>
      <c r="AK206" s="3" t="n">
        <v>3</v>
      </c>
      <c r="AL206" s="3" t="n">
        <v>4</v>
      </c>
      <c r="AM206" s="3" t="n">
        <v>4</v>
      </c>
      <c r="AN206" s="3" t="n">
        <v>3</v>
      </c>
      <c r="AO206" s="3" t="n">
        <v>2</v>
      </c>
    </row>
    <row r="207" customFormat="false" ht="15" hidden="false" customHeight="false" outlineLevel="0" collapsed="false">
      <c r="A207" s="3" t="n">
        <v>0</v>
      </c>
      <c r="B207" s="3" t="n">
        <v>6</v>
      </c>
      <c r="C207" s="3" t="n">
        <v>2</v>
      </c>
      <c r="D207" s="3" t="n">
        <v>1</v>
      </c>
      <c r="E207" s="3" t="n">
        <v>2</v>
      </c>
      <c r="F207" s="3" t="n">
        <v>2</v>
      </c>
      <c r="G207" s="3" t="n">
        <v>3</v>
      </c>
      <c r="H207" s="3" t="n">
        <v>3</v>
      </c>
      <c r="I207" s="3" t="n">
        <v>2</v>
      </c>
      <c r="J207" s="3" t="n">
        <v>25</v>
      </c>
      <c r="K207" s="3" t="n">
        <v>3</v>
      </c>
      <c r="L207" s="3" t="n">
        <v>4</v>
      </c>
      <c r="M207" s="3" t="n">
        <v>3</v>
      </c>
      <c r="N207" s="3" t="n">
        <v>4</v>
      </c>
      <c r="O207" s="3" t="n">
        <v>4</v>
      </c>
      <c r="P207" s="3" t="n">
        <v>3</v>
      </c>
      <c r="Q207" s="3" t="n">
        <v>3</v>
      </c>
      <c r="R207" s="3" t="n">
        <v>2</v>
      </c>
      <c r="S207" s="3" t="n">
        <v>4</v>
      </c>
      <c r="T207" s="3" t="n">
        <v>4</v>
      </c>
      <c r="U207" s="3" t="n">
        <v>4</v>
      </c>
      <c r="V207" s="3" t="n">
        <v>4</v>
      </c>
      <c r="W207" s="3" t="n">
        <v>4</v>
      </c>
      <c r="X207" s="3" t="n">
        <v>4</v>
      </c>
      <c r="Y207" s="3" t="n">
        <v>4</v>
      </c>
      <c r="Z207" s="3" t="n">
        <v>4</v>
      </c>
      <c r="AA207" s="3" t="n">
        <v>4</v>
      </c>
      <c r="AB207" s="3" t="n">
        <v>2</v>
      </c>
      <c r="AC207" s="3" t="n">
        <v>2</v>
      </c>
      <c r="AD207" s="3" t="n">
        <v>2</v>
      </c>
      <c r="AE207" s="3" t="n">
        <v>4</v>
      </c>
      <c r="AF207" s="3" t="n">
        <v>2</v>
      </c>
      <c r="AG207" s="3" t="n">
        <v>3</v>
      </c>
      <c r="AH207" s="3" t="n">
        <v>4</v>
      </c>
      <c r="AI207" s="3" t="n">
        <v>4</v>
      </c>
      <c r="AJ207" s="3" t="n">
        <v>4</v>
      </c>
      <c r="AK207" s="3" t="n">
        <v>2</v>
      </c>
      <c r="AL207" s="3" t="n">
        <v>3</v>
      </c>
      <c r="AM207" s="3" t="n">
        <v>3</v>
      </c>
      <c r="AN207" s="3" t="n">
        <v>4</v>
      </c>
      <c r="AO207" s="3" t="n">
        <v>4</v>
      </c>
    </row>
    <row r="208" customFormat="false" ht="15" hidden="false" customHeight="false" outlineLevel="0" collapsed="false">
      <c r="A208" s="3" t="n">
        <v>0</v>
      </c>
      <c r="B208" s="3" t="n">
        <v>3</v>
      </c>
      <c r="C208" s="3" t="n">
        <v>1</v>
      </c>
      <c r="D208" s="3" t="n">
        <v>1</v>
      </c>
      <c r="E208" s="3" t="n">
        <v>2</v>
      </c>
      <c r="F208" s="3" t="n">
        <v>2</v>
      </c>
      <c r="G208" s="3" t="n">
        <v>3</v>
      </c>
      <c r="H208" s="3" t="n">
        <v>2</v>
      </c>
      <c r="I208" s="3" t="n">
        <v>2</v>
      </c>
      <c r="J208" s="3" t="n">
        <v>23</v>
      </c>
      <c r="K208" s="3" t="n">
        <v>2</v>
      </c>
      <c r="L208" s="3" t="n">
        <v>4</v>
      </c>
      <c r="M208" s="3" t="n">
        <v>4</v>
      </c>
      <c r="N208" s="3" t="n">
        <v>5</v>
      </c>
      <c r="O208" s="3" t="n">
        <v>4</v>
      </c>
      <c r="P208" s="3" t="n">
        <v>3</v>
      </c>
      <c r="Q208" s="3" t="n">
        <v>3</v>
      </c>
      <c r="R208" s="3" t="n">
        <v>3</v>
      </c>
      <c r="S208" s="3" t="n">
        <v>4</v>
      </c>
      <c r="T208" s="3" t="n">
        <v>5</v>
      </c>
      <c r="U208" s="3" t="n">
        <v>5</v>
      </c>
      <c r="V208" s="3" t="n">
        <v>4</v>
      </c>
      <c r="W208" s="3" t="n">
        <v>4</v>
      </c>
      <c r="X208" s="3" t="n">
        <v>4</v>
      </c>
      <c r="Y208" s="3" t="n">
        <v>4</v>
      </c>
      <c r="Z208" s="3" t="n">
        <v>5</v>
      </c>
      <c r="AA208" s="3" t="n">
        <v>4</v>
      </c>
      <c r="AB208" s="3" t="n">
        <v>4</v>
      </c>
      <c r="AC208" s="3" t="n">
        <v>2</v>
      </c>
      <c r="AD208" s="3" t="n">
        <v>2</v>
      </c>
      <c r="AE208" s="3" t="n">
        <v>4</v>
      </c>
      <c r="AF208" s="3" t="n">
        <v>4</v>
      </c>
      <c r="AG208" s="3" t="n">
        <v>4</v>
      </c>
      <c r="AH208" s="3" t="n">
        <v>4</v>
      </c>
      <c r="AI208" s="3" t="n">
        <v>5</v>
      </c>
      <c r="AJ208" s="3" t="n">
        <v>2</v>
      </c>
      <c r="AK208" s="3" t="n">
        <v>2</v>
      </c>
      <c r="AL208" s="3" t="n">
        <v>4</v>
      </c>
      <c r="AM208" s="3" t="n">
        <v>3</v>
      </c>
      <c r="AN208" s="3" t="n">
        <v>4</v>
      </c>
      <c r="AO208" s="3" t="n">
        <v>3</v>
      </c>
    </row>
    <row r="209" customFormat="false" ht="15" hidden="false" customHeight="false" outlineLevel="0" collapsed="false">
      <c r="A209" s="3" t="n">
        <v>1</v>
      </c>
      <c r="B209" s="3" t="n">
        <v>4</v>
      </c>
      <c r="C209" s="3" t="n">
        <v>1</v>
      </c>
      <c r="D209" s="3" t="n">
        <v>1</v>
      </c>
      <c r="E209" s="3" t="n">
        <v>2</v>
      </c>
      <c r="F209" s="3" t="n">
        <v>2</v>
      </c>
      <c r="G209" s="3" t="n">
        <v>3</v>
      </c>
      <c r="H209" s="3" t="n">
        <v>2</v>
      </c>
      <c r="I209" s="3" t="n">
        <v>1</v>
      </c>
      <c r="J209" s="3" t="n">
        <v>23</v>
      </c>
      <c r="K209" s="3" t="n">
        <v>4</v>
      </c>
      <c r="L209" s="3" t="n">
        <v>3</v>
      </c>
      <c r="M209" s="3" t="n">
        <v>2</v>
      </c>
      <c r="N209" s="3" t="n">
        <v>3</v>
      </c>
      <c r="O209" s="3" t="n">
        <v>4</v>
      </c>
      <c r="P209" s="3" t="n">
        <v>4</v>
      </c>
      <c r="Q209" s="3" t="n">
        <v>4</v>
      </c>
      <c r="R209" s="3" t="n">
        <v>2</v>
      </c>
      <c r="S209" s="3" t="n">
        <v>5</v>
      </c>
      <c r="T209" s="3" t="n">
        <v>5</v>
      </c>
      <c r="U209" s="3" t="n">
        <v>4</v>
      </c>
      <c r="V209" s="3" t="n">
        <v>4</v>
      </c>
      <c r="W209" s="3" t="n">
        <v>5</v>
      </c>
      <c r="X209" s="3" t="n">
        <v>4</v>
      </c>
      <c r="Y209" s="3" t="n">
        <v>4</v>
      </c>
      <c r="Z209" s="3" t="n">
        <v>4</v>
      </c>
      <c r="AA209" s="3" t="n">
        <v>2</v>
      </c>
      <c r="AB209" s="3" t="n">
        <v>2</v>
      </c>
      <c r="AC209" s="3" t="n">
        <v>1</v>
      </c>
      <c r="AD209" s="3" t="n">
        <v>1</v>
      </c>
      <c r="AE209" s="3" t="n">
        <v>4</v>
      </c>
      <c r="AF209" s="3" t="n">
        <v>2</v>
      </c>
      <c r="AG209" s="3" t="n">
        <v>4</v>
      </c>
      <c r="AH209" s="3" t="n">
        <v>4</v>
      </c>
      <c r="AI209" s="3" t="n">
        <v>3</v>
      </c>
      <c r="AJ209" s="3" t="n">
        <v>4</v>
      </c>
      <c r="AK209" s="3" t="n">
        <v>3</v>
      </c>
      <c r="AL209" s="3" t="n">
        <v>4</v>
      </c>
      <c r="AM209" s="3" t="n">
        <v>3</v>
      </c>
      <c r="AN209" s="3" t="n">
        <v>4</v>
      </c>
      <c r="AO209" s="3" t="n">
        <v>2</v>
      </c>
    </row>
    <row r="210" customFormat="false" ht="15" hidden="false" customHeight="false" outlineLevel="0" collapsed="false">
      <c r="A210" s="3" t="n">
        <v>0</v>
      </c>
      <c r="B210" s="3" t="n">
        <v>3</v>
      </c>
      <c r="C210" s="3" t="n">
        <v>2</v>
      </c>
      <c r="D210" s="3" t="n">
        <v>1</v>
      </c>
      <c r="E210" s="3" t="n">
        <v>2</v>
      </c>
      <c r="F210" s="3" t="n">
        <v>2</v>
      </c>
      <c r="G210" s="3" t="n">
        <v>1</v>
      </c>
      <c r="H210" s="3" t="n">
        <v>2</v>
      </c>
      <c r="I210" s="3" t="n">
        <v>1</v>
      </c>
      <c r="J210" s="3" t="n">
        <v>21</v>
      </c>
      <c r="K210" s="3" t="n">
        <v>4</v>
      </c>
      <c r="L210" s="3" t="n">
        <v>4</v>
      </c>
      <c r="M210" s="3" t="n">
        <v>4</v>
      </c>
      <c r="N210" s="3" t="n">
        <v>4</v>
      </c>
      <c r="O210" s="3" t="n">
        <v>4</v>
      </c>
      <c r="P210" s="3" t="n">
        <v>2</v>
      </c>
      <c r="Q210" s="3" t="n">
        <v>4</v>
      </c>
      <c r="R210" s="3" t="n">
        <v>4</v>
      </c>
      <c r="S210" s="3" t="n">
        <v>4</v>
      </c>
      <c r="T210" s="3" t="n">
        <v>5</v>
      </c>
      <c r="U210" s="3" t="n">
        <v>5</v>
      </c>
      <c r="V210" s="3" t="n">
        <v>4</v>
      </c>
      <c r="W210" s="3" t="n">
        <v>4</v>
      </c>
      <c r="X210" s="3" t="n">
        <v>4</v>
      </c>
      <c r="Y210" s="3" t="n">
        <v>4</v>
      </c>
      <c r="Z210" s="3" t="n">
        <v>4</v>
      </c>
      <c r="AA210" s="3" t="n">
        <v>4</v>
      </c>
      <c r="AB210" s="3" t="n">
        <v>4</v>
      </c>
      <c r="AC210" s="3" t="n">
        <v>4</v>
      </c>
      <c r="AD210" s="3" t="n">
        <v>3</v>
      </c>
      <c r="AE210" s="3" t="n">
        <v>4</v>
      </c>
      <c r="AF210" s="3" t="n">
        <v>4</v>
      </c>
      <c r="AG210" s="3" t="n">
        <v>4</v>
      </c>
      <c r="AH210" s="3" t="n">
        <v>4</v>
      </c>
      <c r="AI210" s="3" t="n">
        <v>5</v>
      </c>
      <c r="AJ210" s="3" t="n">
        <v>4</v>
      </c>
      <c r="AK210" s="3" t="n">
        <v>4</v>
      </c>
      <c r="AL210" s="3" t="n">
        <v>4</v>
      </c>
      <c r="AM210" s="3" t="n">
        <v>3</v>
      </c>
      <c r="AN210" s="3" t="n">
        <v>4</v>
      </c>
      <c r="AO210" s="3" t="n">
        <v>5</v>
      </c>
    </row>
    <row r="211" customFormat="false" ht="15" hidden="false" customHeight="false" outlineLevel="0" collapsed="false">
      <c r="B211" s="3" t="n">
        <v>3</v>
      </c>
      <c r="C211" s="3" t="n">
        <v>1</v>
      </c>
      <c r="D211" s="3" t="n">
        <v>1</v>
      </c>
      <c r="E211" s="3" t="n">
        <v>2</v>
      </c>
      <c r="F211" s="3" t="n">
        <v>2</v>
      </c>
      <c r="G211" s="3" t="n">
        <v>3</v>
      </c>
      <c r="H211" s="3" t="n">
        <v>2</v>
      </c>
      <c r="I211" s="3" t="n">
        <v>1</v>
      </c>
      <c r="J211" s="3" t="n">
        <v>22</v>
      </c>
      <c r="K211" s="3" t="n">
        <v>4</v>
      </c>
      <c r="L211" s="3" t="n">
        <v>4</v>
      </c>
      <c r="M211" s="3" t="n">
        <v>5</v>
      </c>
      <c r="N211" s="3" t="n">
        <v>4</v>
      </c>
      <c r="O211" s="3" t="n">
        <v>4</v>
      </c>
      <c r="P211" s="3" t="n">
        <v>4</v>
      </c>
      <c r="Q211" s="3" t="n">
        <v>5</v>
      </c>
      <c r="R211" s="3" t="n">
        <v>5</v>
      </c>
      <c r="S211" s="3" t="n">
        <v>4</v>
      </c>
      <c r="T211" s="3" t="n">
        <v>4</v>
      </c>
      <c r="U211" s="3" t="n">
        <v>4</v>
      </c>
      <c r="V211" s="3" t="n">
        <v>5</v>
      </c>
      <c r="W211" s="3" t="n">
        <v>5</v>
      </c>
      <c r="X211" s="3" t="n">
        <v>4</v>
      </c>
      <c r="Y211" s="3" t="n">
        <v>5</v>
      </c>
      <c r="Z211" s="3" t="n">
        <v>5</v>
      </c>
      <c r="AA211" s="3" t="n">
        <v>4</v>
      </c>
      <c r="AB211" s="3" t="n">
        <v>4</v>
      </c>
      <c r="AC211" s="3" t="n">
        <v>4</v>
      </c>
      <c r="AD211" s="3" t="n">
        <v>5</v>
      </c>
      <c r="AE211" s="3" t="n">
        <v>4</v>
      </c>
      <c r="AF211" s="3" t="n">
        <v>4</v>
      </c>
      <c r="AG211" s="3" t="n">
        <v>5</v>
      </c>
      <c r="AH211" s="3" t="n">
        <v>5</v>
      </c>
      <c r="AI211" s="3" t="n">
        <v>4</v>
      </c>
      <c r="AJ211" s="3" t="n">
        <v>4</v>
      </c>
      <c r="AK211" s="3" t="n">
        <v>4</v>
      </c>
      <c r="AL211" s="3" t="n">
        <v>4</v>
      </c>
      <c r="AM211" s="3" t="n">
        <v>2</v>
      </c>
      <c r="AN211" s="3" t="n">
        <v>3</v>
      </c>
      <c r="AO211" s="3" t="n">
        <v>3</v>
      </c>
    </row>
    <row r="212" customFormat="false" ht="15" hidden="false" customHeight="false" outlineLevel="0" collapsed="false">
      <c r="A212" s="3" t="n">
        <v>1</v>
      </c>
      <c r="B212" s="3" t="n">
        <v>3</v>
      </c>
      <c r="C212" s="3" t="n">
        <v>2</v>
      </c>
      <c r="D212" s="3" t="n">
        <v>1</v>
      </c>
      <c r="E212" s="3" t="n">
        <v>2</v>
      </c>
      <c r="F212" s="3" t="n">
        <v>2</v>
      </c>
      <c r="G212" s="3" t="n">
        <v>1</v>
      </c>
      <c r="H212" s="3" t="n">
        <v>3</v>
      </c>
      <c r="I212" s="3" t="n">
        <v>1</v>
      </c>
      <c r="J212" s="3" t="n">
        <v>23</v>
      </c>
      <c r="K212" s="3" t="n">
        <v>2</v>
      </c>
      <c r="L212" s="3" t="n">
        <v>4</v>
      </c>
      <c r="M212" s="3" t="n">
        <v>4</v>
      </c>
      <c r="N212" s="3" t="n">
        <v>4</v>
      </c>
      <c r="O212" s="3" t="n">
        <v>4</v>
      </c>
      <c r="P212" s="3" t="n">
        <v>2</v>
      </c>
      <c r="Q212" s="3" t="n">
        <v>3</v>
      </c>
      <c r="R212" s="3" t="n">
        <v>4</v>
      </c>
      <c r="S212" s="3" t="n">
        <v>4</v>
      </c>
      <c r="T212" s="3" t="n">
        <v>4</v>
      </c>
      <c r="U212" s="3" t="n">
        <v>4</v>
      </c>
      <c r="V212" s="3" t="n">
        <v>4</v>
      </c>
      <c r="W212" s="3" t="n">
        <v>4</v>
      </c>
      <c r="X212" s="3" t="n">
        <v>4</v>
      </c>
      <c r="Y212" s="3" t="n">
        <v>4</v>
      </c>
      <c r="Z212" s="3" t="n">
        <v>2</v>
      </c>
      <c r="AA212" s="3" t="n">
        <v>4</v>
      </c>
      <c r="AB212" s="3" t="n">
        <v>2</v>
      </c>
      <c r="AC212" s="3" t="n">
        <v>2</v>
      </c>
      <c r="AD212" s="3" t="n">
        <v>2</v>
      </c>
      <c r="AE212" s="3" t="n">
        <v>4</v>
      </c>
      <c r="AF212" s="3" t="n">
        <v>3</v>
      </c>
      <c r="AG212" s="3" t="n">
        <v>4</v>
      </c>
      <c r="AH212" s="3" t="n">
        <v>4</v>
      </c>
      <c r="AI212" s="3" t="n">
        <v>4</v>
      </c>
      <c r="AJ212" s="3" t="n">
        <v>4</v>
      </c>
      <c r="AK212" s="3" t="n">
        <v>4</v>
      </c>
      <c r="AL212" s="3" t="n">
        <v>2</v>
      </c>
      <c r="AM212" s="3" t="n">
        <v>3</v>
      </c>
      <c r="AN212" s="3" t="n">
        <v>2</v>
      </c>
      <c r="AO212" s="3" t="n">
        <v>4</v>
      </c>
    </row>
    <row r="213" customFormat="false" ht="15" hidden="false" customHeight="false" outlineLevel="0" collapsed="false">
      <c r="A213" s="3" t="n">
        <v>0</v>
      </c>
      <c r="B213" s="3" t="n">
        <v>4</v>
      </c>
      <c r="C213" s="3" t="n">
        <v>1</v>
      </c>
      <c r="D213" s="3" t="n">
        <v>1</v>
      </c>
      <c r="E213" s="3" t="n">
        <v>2</v>
      </c>
      <c r="F213" s="3" t="n">
        <v>2</v>
      </c>
      <c r="G213" s="3" t="n">
        <v>1</v>
      </c>
      <c r="H213" s="3" t="n">
        <v>2</v>
      </c>
      <c r="I213" s="3" t="n">
        <v>1</v>
      </c>
      <c r="J213" s="3" t="n">
        <v>24</v>
      </c>
      <c r="K213" s="3" t="n">
        <v>3</v>
      </c>
      <c r="L213" s="3" t="n">
        <v>4</v>
      </c>
      <c r="M213" s="3" t="n">
        <v>3</v>
      </c>
      <c r="N213" s="3" t="n">
        <v>3</v>
      </c>
      <c r="O213" s="3" t="n">
        <v>4</v>
      </c>
      <c r="P213" s="3" t="n">
        <v>2</v>
      </c>
      <c r="Q213" s="3" t="n">
        <v>2</v>
      </c>
      <c r="R213" s="3" t="n">
        <v>3</v>
      </c>
      <c r="S213" s="3" t="n">
        <v>4</v>
      </c>
      <c r="T213" s="3" t="n">
        <v>3</v>
      </c>
      <c r="U213" s="3" t="n">
        <v>2</v>
      </c>
      <c r="V213" s="3" t="n">
        <v>3</v>
      </c>
      <c r="W213" s="3" t="n">
        <v>3</v>
      </c>
      <c r="X213" s="3" t="n">
        <v>2</v>
      </c>
      <c r="Y213" s="3" t="n">
        <v>4</v>
      </c>
      <c r="Z213" s="3" t="n">
        <v>4</v>
      </c>
      <c r="AA213" s="3" t="n">
        <v>2</v>
      </c>
      <c r="AB213" s="3" t="n">
        <v>2</v>
      </c>
      <c r="AC213" s="3" t="n">
        <v>2</v>
      </c>
      <c r="AD213" s="3" t="n">
        <v>2</v>
      </c>
      <c r="AE213" s="3" t="n">
        <v>2</v>
      </c>
      <c r="AF213" s="3" t="n">
        <v>1</v>
      </c>
      <c r="AG213" s="3" t="n">
        <v>4</v>
      </c>
      <c r="AH213" s="3" t="n">
        <v>3</v>
      </c>
      <c r="AI213" s="3" t="n">
        <v>2</v>
      </c>
      <c r="AJ213" s="3" t="n">
        <v>4</v>
      </c>
      <c r="AK213" s="3" t="n">
        <v>3</v>
      </c>
      <c r="AL213" s="3" t="n">
        <v>3</v>
      </c>
      <c r="AM213" s="3" t="n">
        <v>1</v>
      </c>
      <c r="AN213" s="3" t="n">
        <v>2</v>
      </c>
      <c r="AO213" s="3" t="n">
        <v>4</v>
      </c>
    </row>
    <row r="214" customFormat="false" ht="15" hidden="false" customHeight="false" outlineLevel="0" collapsed="false">
      <c r="A214" s="3" t="n">
        <v>1</v>
      </c>
      <c r="B214" s="3" t="n">
        <v>4</v>
      </c>
      <c r="C214" s="3" t="n">
        <v>1</v>
      </c>
      <c r="D214" s="3" t="n">
        <v>1</v>
      </c>
      <c r="E214" s="3" t="n">
        <v>2</v>
      </c>
      <c r="F214" s="3" t="n">
        <v>2</v>
      </c>
      <c r="G214" s="3" t="n">
        <v>2</v>
      </c>
      <c r="H214" s="3" t="n">
        <v>3</v>
      </c>
      <c r="I214" s="3" t="n">
        <v>3</v>
      </c>
      <c r="J214" s="3" t="n">
        <v>27</v>
      </c>
      <c r="K214" s="3" t="n">
        <v>4</v>
      </c>
      <c r="L214" s="3" t="n">
        <v>5</v>
      </c>
      <c r="M214" s="3" t="n">
        <v>5</v>
      </c>
      <c r="N214" s="3" t="n">
        <v>4</v>
      </c>
      <c r="O214" s="3" t="n">
        <v>5</v>
      </c>
      <c r="P214" s="3" t="n">
        <v>5</v>
      </c>
      <c r="Q214" s="3" t="n">
        <v>5</v>
      </c>
      <c r="R214" s="3" t="n">
        <v>1</v>
      </c>
      <c r="S214" s="3" t="n">
        <v>3</v>
      </c>
      <c r="T214" s="3" t="n">
        <v>5</v>
      </c>
      <c r="U214" s="3" t="n">
        <v>4</v>
      </c>
      <c r="V214" s="3" t="n">
        <v>4</v>
      </c>
      <c r="W214" s="3" t="n">
        <v>4</v>
      </c>
      <c r="X214" s="3" t="n">
        <v>5</v>
      </c>
      <c r="Y214" s="3" t="n">
        <v>4</v>
      </c>
      <c r="Z214" s="3" t="n">
        <v>5</v>
      </c>
      <c r="AA214" s="3" t="n">
        <v>5</v>
      </c>
      <c r="AB214" s="3" t="n">
        <v>2</v>
      </c>
      <c r="AC214" s="3" t="n">
        <v>1</v>
      </c>
      <c r="AD214" s="3" t="n">
        <v>2</v>
      </c>
      <c r="AE214" s="3" t="n">
        <v>2</v>
      </c>
      <c r="AF214" s="3" t="n">
        <v>1</v>
      </c>
      <c r="AG214" s="3" t="n">
        <v>4</v>
      </c>
      <c r="AH214" s="3" t="n">
        <v>5</v>
      </c>
      <c r="AI214" s="3" t="n">
        <v>4</v>
      </c>
      <c r="AJ214" s="3" t="n">
        <v>2</v>
      </c>
      <c r="AK214" s="3" t="n">
        <v>2</v>
      </c>
      <c r="AL214" s="3" t="n">
        <v>5</v>
      </c>
      <c r="AM214" s="3" t="n">
        <v>5</v>
      </c>
      <c r="AN214" s="3" t="n">
        <v>2</v>
      </c>
      <c r="AO214" s="3" t="n">
        <v>1</v>
      </c>
    </row>
    <row r="215" customFormat="false" ht="15" hidden="false" customHeight="false" outlineLevel="0" collapsed="false">
      <c r="A215" s="3" t="n">
        <v>1</v>
      </c>
      <c r="B215" s="3" t="n">
        <v>3</v>
      </c>
      <c r="C215" s="3" t="n">
        <v>1</v>
      </c>
      <c r="D215" s="3" t="n">
        <v>2</v>
      </c>
      <c r="E215" s="3" t="n">
        <v>2</v>
      </c>
      <c r="F215" s="3" t="n">
        <v>2</v>
      </c>
      <c r="G215" s="3" t="n">
        <v>1</v>
      </c>
      <c r="H215" s="3" t="n">
        <v>1</v>
      </c>
      <c r="I215" s="3" t="n">
        <v>3</v>
      </c>
      <c r="J215" s="3" t="n">
        <v>24</v>
      </c>
      <c r="K215" s="3" t="n">
        <v>3</v>
      </c>
      <c r="L215" s="3" t="n">
        <v>3</v>
      </c>
      <c r="M215" s="3" t="n">
        <v>4</v>
      </c>
      <c r="N215" s="3" t="n">
        <v>3</v>
      </c>
      <c r="O215" s="3" t="n">
        <v>3</v>
      </c>
      <c r="P215" s="3" t="n">
        <v>3</v>
      </c>
      <c r="Q215" s="3" t="n">
        <v>3</v>
      </c>
      <c r="R215" s="3" t="n">
        <v>3</v>
      </c>
      <c r="S215" s="3" t="n">
        <v>3</v>
      </c>
      <c r="T215" s="3" t="n">
        <v>4</v>
      </c>
      <c r="U215" s="3" t="n">
        <v>4</v>
      </c>
      <c r="V215" s="3" t="n">
        <v>4</v>
      </c>
      <c r="W215" s="3" t="n">
        <v>4</v>
      </c>
      <c r="X215" s="3" t="n">
        <v>4</v>
      </c>
      <c r="Y215" s="3" t="n">
        <v>4</v>
      </c>
      <c r="Z215" s="3" t="n">
        <v>4</v>
      </c>
      <c r="AA215" s="3" t="n">
        <v>4</v>
      </c>
      <c r="AB215" s="3" t="n">
        <v>2</v>
      </c>
      <c r="AC215" s="3" t="n">
        <v>2</v>
      </c>
      <c r="AD215" s="3" t="n">
        <v>2</v>
      </c>
      <c r="AE215" s="3" t="n">
        <v>3</v>
      </c>
      <c r="AF215" s="3" t="n">
        <v>2</v>
      </c>
      <c r="AG215" s="3" t="n">
        <v>3</v>
      </c>
      <c r="AH215" s="3" t="n">
        <v>4</v>
      </c>
      <c r="AI215" s="3" t="n">
        <v>4</v>
      </c>
      <c r="AJ215" s="3" t="n">
        <v>3</v>
      </c>
      <c r="AK215" s="3" t="n">
        <v>4</v>
      </c>
      <c r="AL215" s="3" t="n">
        <v>5</v>
      </c>
      <c r="AM215" s="3" t="n">
        <v>3</v>
      </c>
      <c r="AN215" s="3" t="n">
        <v>3</v>
      </c>
      <c r="AO215" s="3" t="n">
        <v>3</v>
      </c>
    </row>
    <row r="216" customFormat="false" ht="15" hidden="false" customHeight="false" outlineLevel="0" collapsed="false">
      <c r="A216" s="3" t="n">
        <v>0</v>
      </c>
      <c r="B216" s="3" t="n">
        <v>4</v>
      </c>
      <c r="C216" s="3" t="n">
        <v>1</v>
      </c>
      <c r="D216" s="3" t="n">
        <v>1</v>
      </c>
      <c r="E216" s="3" t="n">
        <v>2</v>
      </c>
      <c r="F216" s="3" t="n">
        <v>2</v>
      </c>
      <c r="G216" s="3" t="n">
        <v>3</v>
      </c>
      <c r="H216" s="3" t="n">
        <v>2</v>
      </c>
      <c r="I216" s="3" t="n">
        <v>1</v>
      </c>
      <c r="J216" s="3" t="n">
        <v>24</v>
      </c>
      <c r="K216" s="3" t="n">
        <v>3</v>
      </c>
      <c r="L216" s="3" t="n">
        <v>4</v>
      </c>
      <c r="M216" s="3" t="n">
        <v>5</v>
      </c>
      <c r="N216" s="3" t="n">
        <v>3</v>
      </c>
      <c r="O216" s="3" t="n">
        <v>5</v>
      </c>
      <c r="P216" s="3" t="n">
        <v>4</v>
      </c>
      <c r="Q216" s="3" t="n">
        <v>4</v>
      </c>
      <c r="R216" s="3" t="n">
        <v>5</v>
      </c>
      <c r="S216" s="3" t="n">
        <v>4</v>
      </c>
      <c r="T216" s="3" t="n">
        <v>5</v>
      </c>
      <c r="U216" s="3" t="n">
        <v>5</v>
      </c>
      <c r="V216" s="3" t="n">
        <v>4</v>
      </c>
      <c r="W216" s="3" t="n">
        <v>4</v>
      </c>
      <c r="X216" s="3" t="n">
        <v>5</v>
      </c>
      <c r="Y216" s="3" t="n">
        <v>4</v>
      </c>
      <c r="Z216" s="3" t="n">
        <v>5</v>
      </c>
      <c r="AA216" s="3" t="n">
        <v>4</v>
      </c>
      <c r="AB216" s="3" t="n">
        <v>2</v>
      </c>
      <c r="AC216" s="3" t="n">
        <v>1</v>
      </c>
      <c r="AD216" s="3" t="n">
        <v>1</v>
      </c>
      <c r="AE216" s="3" t="n">
        <v>5</v>
      </c>
      <c r="AF216" s="3" t="n">
        <v>3</v>
      </c>
      <c r="AG216" s="3" t="n">
        <v>5</v>
      </c>
      <c r="AH216" s="3" t="n">
        <v>4</v>
      </c>
      <c r="AI216" s="3" t="n">
        <v>4</v>
      </c>
      <c r="AJ216" s="3" t="n">
        <v>2</v>
      </c>
      <c r="AK216" s="3" t="n">
        <v>4</v>
      </c>
      <c r="AL216" s="3" t="n">
        <v>5</v>
      </c>
      <c r="AM216" s="3" t="n">
        <v>4</v>
      </c>
      <c r="AN216" s="3" t="n">
        <v>4</v>
      </c>
      <c r="AO216" s="3" t="n">
        <v>3</v>
      </c>
    </row>
    <row r="217" customFormat="false" ht="15" hidden="false" customHeight="false" outlineLevel="0" collapsed="false">
      <c r="A217" s="3" t="n">
        <v>1</v>
      </c>
      <c r="B217" s="3" t="n">
        <v>4</v>
      </c>
      <c r="C217" s="3" t="n">
        <v>1</v>
      </c>
      <c r="D217" s="3" t="n">
        <v>2</v>
      </c>
      <c r="E217" s="3" t="n">
        <v>2</v>
      </c>
      <c r="F217" s="3" t="n">
        <v>2</v>
      </c>
      <c r="G217" s="3" t="n">
        <v>4</v>
      </c>
      <c r="H217" s="3" t="n">
        <v>3</v>
      </c>
      <c r="I217" s="3" t="n">
        <v>1</v>
      </c>
      <c r="J217" s="3" t="n">
        <v>23</v>
      </c>
      <c r="K217" s="3" t="n">
        <v>3</v>
      </c>
      <c r="L217" s="3" t="n">
        <v>3</v>
      </c>
      <c r="M217" s="3" t="n">
        <v>3</v>
      </c>
      <c r="N217" s="3" t="n">
        <v>3</v>
      </c>
      <c r="O217" s="3" t="n">
        <v>3</v>
      </c>
      <c r="P217" s="3" t="n">
        <v>3</v>
      </c>
      <c r="Q217" s="3" t="n">
        <v>2</v>
      </c>
      <c r="R217" s="3" t="n">
        <v>2</v>
      </c>
      <c r="S217" s="3" t="n">
        <v>3</v>
      </c>
      <c r="T217" s="3" t="n">
        <v>4</v>
      </c>
      <c r="U217" s="3" t="n">
        <v>3</v>
      </c>
      <c r="V217" s="3" t="n">
        <v>4</v>
      </c>
      <c r="W217" s="3" t="n">
        <v>4</v>
      </c>
      <c r="X217" s="3" t="n">
        <v>3</v>
      </c>
      <c r="Y217" s="3" t="n">
        <v>2</v>
      </c>
      <c r="Z217" s="3" t="n">
        <v>4</v>
      </c>
      <c r="AA217" s="3" t="n">
        <v>4</v>
      </c>
      <c r="AB217" s="3" t="n">
        <v>2</v>
      </c>
      <c r="AC217" s="3" t="n">
        <v>2</v>
      </c>
      <c r="AD217" s="3" t="n">
        <v>2</v>
      </c>
      <c r="AE217" s="3" t="n">
        <v>2</v>
      </c>
      <c r="AF217" s="3" t="n">
        <v>2</v>
      </c>
      <c r="AG217" s="3" t="n">
        <v>2</v>
      </c>
      <c r="AH217" s="3" t="n">
        <v>4</v>
      </c>
      <c r="AI217" s="3" t="n">
        <v>3</v>
      </c>
      <c r="AJ217" s="3" t="n">
        <v>3</v>
      </c>
      <c r="AK217" s="3" t="n">
        <v>3</v>
      </c>
      <c r="AL217" s="3" t="n">
        <v>4</v>
      </c>
      <c r="AM217" s="3" t="n">
        <v>2</v>
      </c>
      <c r="AN217" s="3" t="n">
        <v>3</v>
      </c>
      <c r="AO217" s="3" t="n">
        <v>2</v>
      </c>
    </row>
    <row r="218" customFormat="false" ht="15" hidden="false" customHeight="false" outlineLevel="0" collapsed="false">
      <c r="B218" s="3" t="n">
        <v>1</v>
      </c>
      <c r="C218" s="3" t="n">
        <v>1</v>
      </c>
      <c r="D218" s="3" t="n">
        <v>1</v>
      </c>
      <c r="E218" s="3" t="n">
        <v>2</v>
      </c>
      <c r="F218" s="3" t="n">
        <v>2</v>
      </c>
      <c r="G218" s="3" t="n">
        <v>3</v>
      </c>
      <c r="H218" s="3" t="n">
        <v>3</v>
      </c>
      <c r="I218" s="3" t="n">
        <v>3</v>
      </c>
      <c r="J218" s="3" t="n">
        <v>26</v>
      </c>
      <c r="K218" s="3" t="n">
        <v>3</v>
      </c>
      <c r="L218" s="3" t="n">
        <v>4</v>
      </c>
      <c r="M218" s="3" t="n">
        <v>4</v>
      </c>
      <c r="N218" s="3" t="n">
        <v>3</v>
      </c>
      <c r="O218" s="3" t="n">
        <v>4</v>
      </c>
      <c r="P218" s="3" t="n">
        <v>2</v>
      </c>
      <c r="Q218" s="3" t="n">
        <v>4</v>
      </c>
      <c r="R218" s="3" t="n">
        <v>4</v>
      </c>
      <c r="S218" s="3" t="n">
        <v>4</v>
      </c>
      <c r="T218" s="3" t="n">
        <v>4</v>
      </c>
      <c r="U218" s="3" t="n">
        <v>4</v>
      </c>
      <c r="V218" s="3" t="n">
        <v>4</v>
      </c>
      <c r="W218" s="3" t="n">
        <v>4</v>
      </c>
      <c r="X218" s="3" t="n">
        <v>4</v>
      </c>
      <c r="Y218" s="3" t="n">
        <v>4</v>
      </c>
      <c r="Z218" s="3" t="n">
        <v>4</v>
      </c>
      <c r="AA218" s="3" t="n">
        <v>2</v>
      </c>
      <c r="AB218" s="3" t="n">
        <v>4</v>
      </c>
      <c r="AC218" s="3" t="n">
        <v>1</v>
      </c>
      <c r="AD218" s="3" t="n">
        <v>1</v>
      </c>
      <c r="AE218" s="3" t="n">
        <v>2</v>
      </c>
      <c r="AF218" s="3" t="n">
        <v>2</v>
      </c>
      <c r="AG218" s="3" t="n">
        <v>3</v>
      </c>
      <c r="AH218" s="3" t="n">
        <v>4</v>
      </c>
      <c r="AI218" s="3" t="n">
        <v>4</v>
      </c>
      <c r="AJ218" s="3" t="n">
        <v>4</v>
      </c>
      <c r="AK218" s="3" t="n">
        <v>4</v>
      </c>
      <c r="AL218" s="3" t="n">
        <v>4</v>
      </c>
      <c r="AM218" s="3" t="n">
        <v>3</v>
      </c>
      <c r="AN218" s="3" t="n">
        <v>4</v>
      </c>
      <c r="AO218" s="3" t="n">
        <v>3</v>
      </c>
    </row>
    <row r="219" customFormat="false" ht="15" hidden="false" customHeight="false" outlineLevel="0" collapsed="false">
      <c r="A219" s="3" t="n">
        <v>0</v>
      </c>
      <c r="B219" s="3" t="n">
        <v>3</v>
      </c>
      <c r="C219" s="3" t="n">
        <v>1</v>
      </c>
      <c r="D219" s="3" t="n">
        <v>1</v>
      </c>
      <c r="E219" s="3" t="n">
        <v>2</v>
      </c>
      <c r="F219" s="3" t="n">
        <v>2</v>
      </c>
      <c r="G219" s="3" t="n">
        <v>2</v>
      </c>
      <c r="H219" s="3" t="n">
        <v>3</v>
      </c>
      <c r="I219" s="3" t="n">
        <v>1</v>
      </c>
      <c r="J219" s="3" t="n">
        <v>23</v>
      </c>
      <c r="K219" s="3" t="n">
        <v>4</v>
      </c>
      <c r="L219" s="3" t="n">
        <v>3</v>
      </c>
      <c r="M219" s="3" t="n">
        <v>4</v>
      </c>
      <c r="N219" s="3" t="n">
        <v>4</v>
      </c>
      <c r="O219" s="3" t="n">
        <v>4</v>
      </c>
      <c r="P219" s="3" t="n">
        <v>3</v>
      </c>
      <c r="Q219" s="3" t="n">
        <v>3</v>
      </c>
      <c r="R219" s="3" t="n">
        <v>3</v>
      </c>
      <c r="S219" s="3" t="n">
        <v>4</v>
      </c>
      <c r="T219" s="3" t="n">
        <v>4</v>
      </c>
      <c r="U219" s="3" t="n">
        <v>4</v>
      </c>
      <c r="V219" s="3" t="n">
        <v>3</v>
      </c>
      <c r="W219" s="3" t="n">
        <v>4</v>
      </c>
      <c r="X219" s="3" t="n">
        <v>3</v>
      </c>
      <c r="Y219" s="3" t="n">
        <v>3</v>
      </c>
      <c r="Z219" s="3" t="n">
        <v>4</v>
      </c>
      <c r="AA219" s="3" t="n">
        <v>4</v>
      </c>
      <c r="AB219" s="3" t="n">
        <v>3</v>
      </c>
      <c r="AC219" s="3" t="n">
        <v>2</v>
      </c>
      <c r="AD219" s="3" t="n">
        <v>2</v>
      </c>
      <c r="AE219" s="3" t="n">
        <v>4</v>
      </c>
      <c r="AF219" s="3" t="n">
        <v>4</v>
      </c>
      <c r="AG219" s="3" t="n">
        <v>3</v>
      </c>
      <c r="AH219" s="3" t="n">
        <v>4</v>
      </c>
      <c r="AI219" s="3" t="n">
        <v>4</v>
      </c>
      <c r="AJ219" s="3" t="n">
        <v>4</v>
      </c>
      <c r="AK219" s="3" t="n">
        <v>2</v>
      </c>
      <c r="AL219" s="3" t="n">
        <v>4</v>
      </c>
      <c r="AM219" s="3" t="n">
        <v>3</v>
      </c>
      <c r="AN219" s="3" t="n">
        <v>3</v>
      </c>
      <c r="AO219" s="3" t="n">
        <v>3</v>
      </c>
    </row>
    <row r="220" customFormat="false" ht="15" hidden="false" customHeight="false" outlineLevel="0" collapsed="false">
      <c r="A220" s="3" t="n">
        <v>1</v>
      </c>
      <c r="B220" s="3" t="n">
        <v>1</v>
      </c>
      <c r="C220" s="3" t="n">
        <v>2</v>
      </c>
      <c r="D220" s="3" t="n">
        <v>1</v>
      </c>
      <c r="E220" s="3" t="n">
        <v>2</v>
      </c>
      <c r="F220" s="3" t="n">
        <v>2</v>
      </c>
      <c r="G220" s="3" t="n">
        <v>3</v>
      </c>
      <c r="H220" s="3" t="n">
        <v>1</v>
      </c>
      <c r="I220" s="3" t="n">
        <v>1</v>
      </c>
      <c r="J220" s="3" t="n">
        <v>23</v>
      </c>
      <c r="K220" s="3" t="n">
        <v>2</v>
      </c>
      <c r="L220" s="3" t="n">
        <v>4</v>
      </c>
      <c r="M220" s="3" t="n">
        <v>5</v>
      </c>
      <c r="N220" s="3" t="n">
        <v>4</v>
      </c>
      <c r="O220" s="3" t="n">
        <v>4</v>
      </c>
      <c r="P220" s="3" t="n">
        <v>5</v>
      </c>
      <c r="Q220" s="3" t="n">
        <v>4</v>
      </c>
      <c r="R220" s="3" t="n">
        <v>4</v>
      </c>
      <c r="S220" s="3" t="n">
        <v>4</v>
      </c>
      <c r="T220" s="3" t="n">
        <v>4</v>
      </c>
      <c r="U220" s="3" t="n">
        <v>5</v>
      </c>
      <c r="V220" s="3" t="n">
        <v>4</v>
      </c>
      <c r="W220" s="3" t="n">
        <v>4</v>
      </c>
      <c r="X220" s="3" t="n">
        <v>5</v>
      </c>
      <c r="Y220" s="3" t="n">
        <v>4</v>
      </c>
      <c r="Z220" s="3" t="n">
        <v>4</v>
      </c>
      <c r="AA220" s="3" t="n">
        <v>4</v>
      </c>
      <c r="AB220" s="3" t="n">
        <v>4</v>
      </c>
      <c r="AC220" s="3" t="n">
        <v>4</v>
      </c>
      <c r="AD220" s="3" t="n">
        <v>5</v>
      </c>
      <c r="AE220" s="3" t="n">
        <v>4</v>
      </c>
      <c r="AF220" s="3" t="n">
        <v>4</v>
      </c>
      <c r="AG220" s="3" t="n">
        <v>4</v>
      </c>
      <c r="AH220" s="3" t="n">
        <v>5</v>
      </c>
      <c r="AI220" s="3" t="n">
        <v>4</v>
      </c>
      <c r="AJ220" s="3" t="n">
        <v>2</v>
      </c>
      <c r="AK220" s="3" t="n">
        <v>5</v>
      </c>
      <c r="AL220" s="3" t="n">
        <v>5</v>
      </c>
      <c r="AM220" s="3" t="n">
        <v>4</v>
      </c>
      <c r="AN220" s="3" t="n">
        <v>4</v>
      </c>
      <c r="AO220" s="3" t="n">
        <v>4</v>
      </c>
    </row>
    <row r="221" customFormat="false" ht="15" hidden="false" customHeight="false" outlineLevel="0" collapsed="false">
      <c r="A221" s="3" t="n">
        <v>0</v>
      </c>
      <c r="B221" s="3" t="n">
        <v>4</v>
      </c>
      <c r="C221" s="3" t="n">
        <v>1</v>
      </c>
      <c r="D221" s="3" t="n">
        <v>1</v>
      </c>
      <c r="E221" s="3" t="n">
        <v>2</v>
      </c>
      <c r="F221" s="3" t="n">
        <v>2</v>
      </c>
      <c r="G221" s="3" t="n">
        <v>2</v>
      </c>
      <c r="H221" s="3" t="n">
        <v>3</v>
      </c>
      <c r="I221" s="3" t="n">
        <v>1</v>
      </c>
      <c r="J221" s="3" t="n">
        <v>25</v>
      </c>
      <c r="K221" s="3" t="n">
        <v>2</v>
      </c>
      <c r="L221" s="3" t="n">
        <v>2</v>
      </c>
      <c r="M221" s="3" t="n">
        <v>2</v>
      </c>
      <c r="N221" s="3" t="n">
        <v>2</v>
      </c>
      <c r="O221" s="3" t="n">
        <v>2</v>
      </c>
      <c r="P221" s="3" t="n">
        <v>3</v>
      </c>
      <c r="Q221" s="3" t="n">
        <v>3</v>
      </c>
      <c r="R221" s="3" t="n">
        <v>2</v>
      </c>
      <c r="S221" s="3" t="n">
        <v>2</v>
      </c>
      <c r="T221" s="3" t="n">
        <v>2</v>
      </c>
      <c r="U221" s="3" t="n">
        <v>3</v>
      </c>
      <c r="V221" s="3" t="n">
        <v>3</v>
      </c>
      <c r="W221" s="3" t="n">
        <v>2</v>
      </c>
      <c r="X221" s="3" t="n">
        <v>2</v>
      </c>
      <c r="Y221" s="3" t="n">
        <v>4</v>
      </c>
      <c r="Z221" s="3" t="n">
        <v>3</v>
      </c>
      <c r="AA221" s="3" t="n">
        <v>2</v>
      </c>
      <c r="AB221" s="3" t="n">
        <v>4</v>
      </c>
      <c r="AC221" s="3" t="n">
        <v>2</v>
      </c>
      <c r="AD221" s="3" t="n">
        <v>3</v>
      </c>
      <c r="AE221" s="3" t="n">
        <v>3</v>
      </c>
      <c r="AF221" s="3" t="n">
        <v>2</v>
      </c>
      <c r="AG221" s="3" t="n">
        <v>4</v>
      </c>
      <c r="AH221" s="3" t="n">
        <v>2</v>
      </c>
      <c r="AI221" s="3" t="n">
        <v>2</v>
      </c>
      <c r="AJ221" s="3" t="n">
        <v>3</v>
      </c>
      <c r="AK221" s="3" t="n">
        <v>2</v>
      </c>
      <c r="AL221" s="3" t="n">
        <v>2</v>
      </c>
      <c r="AM221" s="3" t="n">
        <v>4</v>
      </c>
      <c r="AN221" s="3" t="n">
        <v>4</v>
      </c>
      <c r="AO221" s="3" t="n">
        <v>2</v>
      </c>
    </row>
    <row r="222" customFormat="false" ht="15" hidden="false" customHeight="false" outlineLevel="0" collapsed="false">
      <c r="A222" s="3" t="n">
        <v>0</v>
      </c>
      <c r="B222" s="3" t="n">
        <v>3</v>
      </c>
      <c r="C222" s="3" t="n">
        <v>1</v>
      </c>
      <c r="D222" s="3" t="n">
        <v>1</v>
      </c>
      <c r="E222" s="3" t="n">
        <v>2</v>
      </c>
      <c r="F222" s="3" t="n">
        <v>2</v>
      </c>
      <c r="G222" s="3" t="n">
        <v>3</v>
      </c>
      <c r="H222" s="3" t="n">
        <v>2</v>
      </c>
      <c r="I222" s="3" t="n">
        <v>2</v>
      </c>
      <c r="J222" s="3" t="n">
        <v>23</v>
      </c>
      <c r="K222" s="3" t="n">
        <v>3</v>
      </c>
      <c r="L222" s="3" t="n">
        <v>5</v>
      </c>
      <c r="M222" s="3" t="n">
        <v>5</v>
      </c>
      <c r="N222" s="3" t="n">
        <v>5</v>
      </c>
      <c r="O222" s="3" t="n">
        <v>5</v>
      </c>
      <c r="P222" s="3" t="n">
        <v>4</v>
      </c>
      <c r="Q222" s="3" t="n">
        <v>5</v>
      </c>
      <c r="R222" s="3" t="n">
        <v>3</v>
      </c>
      <c r="S222" s="3" t="n">
        <v>5</v>
      </c>
      <c r="T222" s="3" t="n">
        <v>5</v>
      </c>
      <c r="U222" s="3" t="n">
        <v>5</v>
      </c>
      <c r="V222" s="3" t="n">
        <v>4</v>
      </c>
      <c r="W222" s="3" t="n">
        <v>5</v>
      </c>
      <c r="X222" s="3" t="n">
        <v>5</v>
      </c>
      <c r="Y222" s="3" t="n">
        <v>3</v>
      </c>
      <c r="Z222" s="3" t="n">
        <v>5</v>
      </c>
      <c r="AA222" s="3" t="n">
        <v>5</v>
      </c>
      <c r="AB222" s="3" t="n">
        <v>5</v>
      </c>
      <c r="AC222" s="3" t="n">
        <v>3</v>
      </c>
      <c r="AD222" s="3" t="n">
        <v>3</v>
      </c>
      <c r="AE222" s="3" t="n">
        <v>5</v>
      </c>
      <c r="AF222" s="3" t="n">
        <v>3</v>
      </c>
      <c r="AG222" s="3" t="n">
        <v>5</v>
      </c>
      <c r="AH222" s="3" t="n">
        <v>5</v>
      </c>
      <c r="AI222" s="3" t="n">
        <v>5</v>
      </c>
      <c r="AJ222" s="3" t="n">
        <v>5</v>
      </c>
      <c r="AK222" s="3" t="n">
        <v>5</v>
      </c>
      <c r="AL222" s="3" t="n">
        <v>5</v>
      </c>
      <c r="AM222" s="3" t="n">
        <v>5</v>
      </c>
      <c r="AN222" s="3" t="n">
        <v>5</v>
      </c>
      <c r="AO222" s="3" t="n">
        <v>3</v>
      </c>
    </row>
    <row r="223" customFormat="false" ht="15" hidden="false" customHeight="false" outlineLevel="0" collapsed="false">
      <c r="A223" s="3" t="n">
        <v>0</v>
      </c>
      <c r="B223" s="3" t="n">
        <v>3</v>
      </c>
      <c r="C223" s="3" t="n">
        <v>1</v>
      </c>
      <c r="D223" s="3" t="n">
        <v>1</v>
      </c>
      <c r="E223" s="3" t="n">
        <v>2</v>
      </c>
      <c r="F223" s="3" t="n">
        <v>2</v>
      </c>
      <c r="G223" s="3" t="n">
        <v>1</v>
      </c>
      <c r="H223" s="3" t="n">
        <v>1</v>
      </c>
      <c r="I223" s="3" t="n">
        <v>1</v>
      </c>
      <c r="J223" s="3" t="n">
        <v>24</v>
      </c>
      <c r="K223" s="3" t="n">
        <v>3</v>
      </c>
      <c r="L223" s="3" t="n">
        <v>4</v>
      </c>
      <c r="M223" s="3" t="n">
        <v>4</v>
      </c>
      <c r="N223" s="3" t="n">
        <v>3</v>
      </c>
      <c r="O223" s="3" t="n">
        <v>4</v>
      </c>
      <c r="P223" s="3" t="n">
        <v>2</v>
      </c>
      <c r="Q223" s="3" t="n">
        <v>4</v>
      </c>
      <c r="R223" s="3" t="n">
        <v>4</v>
      </c>
      <c r="S223" s="3" t="n">
        <v>4</v>
      </c>
      <c r="T223" s="3" t="n">
        <v>4</v>
      </c>
      <c r="U223" s="3" t="n">
        <v>4</v>
      </c>
      <c r="V223" s="3" t="n">
        <v>4</v>
      </c>
      <c r="W223" s="3" t="n">
        <v>4</v>
      </c>
      <c r="X223" s="3" t="n">
        <v>3</v>
      </c>
      <c r="Y223" s="3" t="n">
        <v>4</v>
      </c>
      <c r="Z223" s="3" t="n">
        <v>4</v>
      </c>
      <c r="AA223" s="3" t="n">
        <v>4</v>
      </c>
      <c r="AB223" s="3" t="n">
        <v>2</v>
      </c>
      <c r="AC223" s="3" t="n">
        <v>4</v>
      </c>
      <c r="AD223" s="3" t="n">
        <v>4</v>
      </c>
      <c r="AE223" s="3" t="n">
        <v>4</v>
      </c>
      <c r="AF223" s="3" t="n">
        <v>2</v>
      </c>
      <c r="AG223" s="3" t="n">
        <v>3</v>
      </c>
      <c r="AH223" s="3" t="n">
        <v>3</v>
      </c>
      <c r="AI223" s="3" t="n">
        <v>2</v>
      </c>
      <c r="AJ223" s="3" t="n">
        <v>3</v>
      </c>
      <c r="AK223" s="3" t="n">
        <v>3</v>
      </c>
      <c r="AL223" s="3" t="n">
        <v>3</v>
      </c>
      <c r="AM223" s="3" t="n">
        <v>2</v>
      </c>
      <c r="AN223" s="3" t="n">
        <v>4</v>
      </c>
      <c r="AO223" s="3" t="n">
        <v>4</v>
      </c>
    </row>
    <row r="224" customFormat="false" ht="15" hidden="false" customHeight="false" outlineLevel="0" collapsed="false">
      <c r="A224" s="3" t="n">
        <v>1</v>
      </c>
      <c r="B224" s="3" t="n">
        <v>3</v>
      </c>
      <c r="C224" s="3" t="n">
        <v>1</v>
      </c>
      <c r="D224" s="3" t="n">
        <v>1</v>
      </c>
      <c r="E224" s="3" t="n">
        <v>2</v>
      </c>
      <c r="F224" s="3" t="n">
        <v>2</v>
      </c>
      <c r="G224" s="3" t="n">
        <v>4</v>
      </c>
      <c r="H224" s="3" t="n">
        <v>3</v>
      </c>
      <c r="I224" s="3" t="n">
        <v>3</v>
      </c>
      <c r="J224" s="3" t="n">
        <v>25</v>
      </c>
      <c r="K224" s="3" t="n">
        <v>3</v>
      </c>
      <c r="L224" s="3" t="n">
        <v>4</v>
      </c>
      <c r="M224" s="3" t="n">
        <v>4</v>
      </c>
      <c r="N224" s="3" t="n">
        <v>4</v>
      </c>
      <c r="O224" s="3" t="n">
        <v>5</v>
      </c>
      <c r="P224" s="3" t="n">
        <v>4</v>
      </c>
      <c r="Q224" s="3" t="n">
        <v>3</v>
      </c>
      <c r="R224" s="3" t="n">
        <v>4</v>
      </c>
      <c r="S224" s="3" t="n">
        <v>5</v>
      </c>
      <c r="T224" s="3" t="n">
        <v>5</v>
      </c>
      <c r="U224" s="3" t="n">
        <v>5</v>
      </c>
      <c r="V224" s="3" t="n">
        <v>4</v>
      </c>
      <c r="W224" s="3" t="n">
        <v>4</v>
      </c>
      <c r="X224" s="3" t="n">
        <v>4</v>
      </c>
      <c r="Y224" s="3" t="n">
        <v>4</v>
      </c>
      <c r="Z224" s="3" t="n">
        <v>4</v>
      </c>
      <c r="AA224" s="3" t="n">
        <v>4</v>
      </c>
      <c r="AB224" s="3" t="n">
        <v>4</v>
      </c>
      <c r="AC224" s="3" t="n">
        <v>4</v>
      </c>
      <c r="AD224" s="3" t="n">
        <v>4</v>
      </c>
      <c r="AE224" s="3" t="n">
        <v>4</v>
      </c>
      <c r="AF224" s="3" t="n">
        <v>4</v>
      </c>
      <c r="AG224" s="3" t="n">
        <v>4</v>
      </c>
      <c r="AH224" s="3" t="n">
        <v>5</v>
      </c>
      <c r="AI224" s="3" t="n">
        <v>5</v>
      </c>
      <c r="AJ224" s="3" t="n">
        <v>4</v>
      </c>
      <c r="AK224" s="3" t="n">
        <v>3</v>
      </c>
      <c r="AL224" s="3" t="n">
        <v>5</v>
      </c>
      <c r="AM224" s="3" t="n">
        <v>3</v>
      </c>
      <c r="AN224" s="3" t="n">
        <v>3</v>
      </c>
      <c r="AO224" s="3" t="n">
        <v>4</v>
      </c>
    </row>
    <row r="225" customFormat="false" ht="15" hidden="false" customHeight="false" outlineLevel="0" collapsed="false">
      <c r="A225" s="3" t="n">
        <v>0</v>
      </c>
      <c r="B225" s="3" t="n">
        <v>3</v>
      </c>
      <c r="C225" s="3" t="n">
        <v>1</v>
      </c>
      <c r="D225" s="3" t="n">
        <v>2</v>
      </c>
      <c r="E225" s="3" t="n">
        <v>2</v>
      </c>
      <c r="F225" s="3" t="n">
        <v>2</v>
      </c>
      <c r="G225" s="3" t="n">
        <v>1</v>
      </c>
      <c r="H225" s="3" t="n">
        <v>1</v>
      </c>
      <c r="I225" s="3" t="n">
        <v>3</v>
      </c>
      <c r="J225" s="3" t="n">
        <v>22</v>
      </c>
      <c r="K225" s="3" t="n">
        <v>3</v>
      </c>
      <c r="L225" s="3" t="n">
        <v>3</v>
      </c>
      <c r="M225" s="3" t="n">
        <v>3</v>
      </c>
      <c r="N225" s="3" t="n">
        <v>3</v>
      </c>
      <c r="O225" s="3" t="n">
        <v>5</v>
      </c>
      <c r="P225" s="3" t="n">
        <v>3</v>
      </c>
      <c r="Q225" s="3" t="n">
        <v>3</v>
      </c>
      <c r="R225" s="3" t="n">
        <v>3</v>
      </c>
      <c r="S225" s="3" t="n">
        <v>5</v>
      </c>
      <c r="T225" s="3" t="n">
        <v>5</v>
      </c>
      <c r="U225" s="3" t="n">
        <v>5</v>
      </c>
      <c r="V225" s="3" t="n">
        <v>3</v>
      </c>
      <c r="W225" s="3" t="n">
        <v>3</v>
      </c>
      <c r="X225" s="3" t="n">
        <v>3</v>
      </c>
      <c r="Y225" s="3" t="n">
        <v>3</v>
      </c>
      <c r="Z225" s="3" t="n">
        <v>4</v>
      </c>
      <c r="AA225" s="3" t="n">
        <v>3</v>
      </c>
      <c r="AB225" s="3" t="n">
        <v>3</v>
      </c>
      <c r="AC225" s="3" t="n">
        <v>1</v>
      </c>
      <c r="AD225" s="3" t="n">
        <v>1</v>
      </c>
      <c r="AE225" s="3" t="n">
        <v>5</v>
      </c>
      <c r="AF225" s="3" t="n">
        <v>5</v>
      </c>
      <c r="AG225" s="3" t="n">
        <v>5</v>
      </c>
      <c r="AH225" s="3" t="n">
        <v>2</v>
      </c>
      <c r="AI225" s="3" t="n">
        <v>4</v>
      </c>
      <c r="AJ225" s="3" t="n">
        <v>5</v>
      </c>
      <c r="AK225" s="3" t="n">
        <v>2</v>
      </c>
      <c r="AL225" s="3" t="n">
        <v>3</v>
      </c>
      <c r="AM225" s="3" t="n">
        <v>3</v>
      </c>
      <c r="AN225" s="3" t="n">
        <v>3</v>
      </c>
      <c r="AO225" s="3" t="n">
        <v>3</v>
      </c>
    </row>
    <row r="226" customFormat="false" ht="15" hidden="false" customHeight="false" outlineLevel="0" collapsed="false">
      <c r="A226" s="3" t="n">
        <v>0</v>
      </c>
      <c r="B226" s="3" t="n">
        <v>3</v>
      </c>
      <c r="C226" s="3" t="n">
        <v>1</v>
      </c>
      <c r="D226" s="3" t="n">
        <v>1</v>
      </c>
      <c r="E226" s="3" t="n">
        <v>2</v>
      </c>
      <c r="F226" s="3" t="n">
        <v>2</v>
      </c>
      <c r="G226" s="3" t="n">
        <v>3</v>
      </c>
      <c r="H226" s="3" t="n">
        <v>2</v>
      </c>
      <c r="I226" s="3" t="n">
        <v>1</v>
      </c>
      <c r="J226" s="3" t="n">
        <v>23</v>
      </c>
      <c r="K226" s="3" t="n">
        <v>3</v>
      </c>
      <c r="L226" s="3" t="n">
        <v>3</v>
      </c>
      <c r="M226" s="3" t="n">
        <v>2</v>
      </c>
      <c r="N226" s="3" t="n">
        <v>3</v>
      </c>
      <c r="O226" s="3" t="n">
        <v>4</v>
      </c>
      <c r="P226" s="3" t="n">
        <v>3</v>
      </c>
      <c r="Q226" s="3" t="n">
        <v>3</v>
      </c>
      <c r="R226" s="3" t="n">
        <v>1</v>
      </c>
      <c r="S226" s="3" t="n">
        <v>3</v>
      </c>
      <c r="T226" s="3" t="n">
        <v>4</v>
      </c>
      <c r="U226" s="3" t="n">
        <v>4</v>
      </c>
      <c r="V226" s="3" t="n">
        <v>3</v>
      </c>
      <c r="W226" s="3" t="n">
        <v>4</v>
      </c>
      <c r="X226" s="3" t="n">
        <v>4</v>
      </c>
      <c r="Y226" s="3" t="n">
        <v>2</v>
      </c>
      <c r="Z226" s="3" t="n">
        <v>4</v>
      </c>
      <c r="AA226" s="3" t="n">
        <v>4</v>
      </c>
      <c r="AB226" s="3" t="n">
        <v>3</v>
      </c>
      <c r="AC226" s="3" t="n">
        <v>2</v>
      </c>
      <c r="AD226" s="3" t="n">
        <v>2</v>
      </c>
      <c r="AE226" s="3" t="n">
        <v>2</v>
      </c>
      <c r="AF226" s="3" t="n">
        <v>3</v>
      </c>
      <c r="AG226" s="3" t="n">
        <v>3</v>
      </c>
      <c r="AH226" s="3" t="n">
        <v>3</v>
      </c>
      <c r="AI226" s="3" t="n">
        <v>2</v>
      </c>
      <c r="AJ226" s="3" t="n">
        <v>3</v>
      </c>
      <c r="AK226" s="3" t="n">
        <v>3</v>
      </c>
      <c r="AL226" s="3" t="n">
        <v>4</v>
      </c>
      <c r="AM226" s="3" t="n">
        <v>3</v>
      </c>
      <c r="AN226" s="3" t="n">
        <v>2</v>
      </c>
      <c r="AO226" s="3" t="n">
        <v>2</v>
      </c>
    </row>
    <row r="227" customFormat="false" ht="15" hidden="false" customHeight="false" outlineLevel="0" collapsed="false">
      <c r="A227" s="3" t="n">
        <v>1</v>
      </c>
      <c r="B227" s="3" t="n">
        <v>3</v>
      </c>
      <c r="C227" s="3" t="n">
        <v>1</v>
      </c>
      <c r="D227" s="3" t="n">
        <v>1</v>
      </c>
      <c r="E227" s="3" t="n">
        <v>2</v>
      </c>
      <c r="F227" s="3" t="n">
        <v>2</v>
      </c>
      <c r="G227" s="3" t="n">
        <v>2</v>
      </c>
      <c r="H227" s="3" t="n">
        <v>2</v>
      </c>
      <c r="I227" s="3" t="n">
        <v>1</v>
      </c>
      <c r="J227" s="3" t="n">
        <v>23</v>
      </c>
      <c r="K227" s="3" t="n">
        <v>4</v>
      </c>
      <c r="L227" s="3" t="n">
        <v>2</v>
      </c>
      <c r="M227" s="3" t="n">
        <v>3</v>
      </c>
      <c r="N227" s="3" t="n">
        <v>2</v>
      </c>
      <c r="O227" s="3" t="n">
        <v>2</v>
      </c>
      <c r="P227" s="3" t="n">
        <v>4</v>
      </c>
      <c r="Q227" s="3" t="n">
        <v>4</v>
      </c>
      <c r="R227" s="3" t="n">
        <v>3</v>
      </c>
      <c r="S227" s="3" t="n">
        <v>3</v>
      </c>
      <c r="T227" s="3" t="n">
        <v>4</v>
      </c>
      <c r="U227" s="3" t="n">
        <v>4</v>
      </c>
      <c r="V227" s="3" t="n">
        <v>4</v>
      </c>
      <c r="W227" s="3" t="n">
        <v>5</v>
      </c>
      <c r="X227" s="3" t="n">
        <v>3</v>
      </c>
      <c r="Y227" s="3" t="n">
        <v>2</v>
      </c>
      <c r="Z227" s="3" t="n">
        <v>3</v>
      </c>
      <c r="AA227" s="3" t="n">
        <v>4</v>
      </c>
      <c r="AB227" s="3" t="n">
        <v>4</v>
      </c>
      <c r="AC227" s="3" t="n">
        <v>2</v>
      </c>
      <c r="AD227" s="3" t="n">
        <v>2</v>
      </c>
      <c r="AE227" s="3" t="n">
        <v>3</v>
      </c>
      <c r="AF227" s="3" t="n">
        <v>2</v>
      </c>
      <c r="AG227" s="3" t="n">
        <v>3</v>
      </c>
      <c r="AH227" s="3" t="n">
        <v>3</v>
      </c>
      <c r="AI227" s="3" t="n">
        <v>3</v>
      </c>
      <c r="AJ227" s="3" t="n">
        <v>3</v>
      </c>
      <c r="AK227" s="3" t="n">
        <v>4</v>
      </c>
      <c r="AL227" s="3" t="n">
        <v>4</v>
      </c>
      <c r="AM227" s="3" t="n">
        <v>3</v>
      </c>
      <c r="AN227" s="3" t="n">
        <v>4</v>
      </c>
      <c r="AO227" s="3" t="n">
        <v>2</v>
      </c>
    </row>
    <row r="228" customFormat="false" ht="15" hidden="false" customHeight="false" outlineLevel="0" collapsed="false">
      <c r="A228" s="3" t="n">
        <v>0</v>
      </c>
      <c r="B228" s="3" t="n">
        <v>3</v>
      </c>
      <c r="C228" s="3" t="n">
        <v>1</v>
      </c>
      <c r="D228" s="3" t="n">
        <v>1</v>
      </c>
      <c r="E228" s="3" t="n">
        <v>2</v>
      </c>
      <c r="F228" s="3" t="n">
        <v>2</v>
      </c>
      <c r="G228" s="3" t="n">
        <v>3</v>
      </c>
      <c r="H228" s="3" t="n">
        <v>2</v>
      </c>
      <c r="I228" s="3" t="n">
        <v>1</v>
      </c>
      <c r="J228" s="3" t="n">
        <v>23</v>
      </c>
      <c r="K228" s="3" t="n">
        <v>3</v>
      </c>
      <c r="L228" s="3" t="n">
        <v>4</v>
      </c>
      <c r="M228" s="3" t="n">
        <v>4</v>
      </c>
      <c r="N228" s="3" t="n">
        <v>4</v>
      </c>
      <c r="O228" s="3" t="n">
        <v>4</v>
      </c>
      <c r="P228" s="3" t="n">
        <v>3</v>
      </c>
      <c r="Q228" s="3" t="n">
        <v>3</v>
      </c>
      <c r="R228" s="3" t="n">
        <v>4</v>
      </c>
      <c r="S228" s="3" t="n">
        <v>5</v>
      </c>
      <c r="T228" s="3" t="n">
        <v>5</v>
      </c>
      <c r="U228" s="3" t="n">
        <v>5</v>
      </c>
      <c r="V228" s="3" t="n">
        <v>4</v>
      </c>
      <c r="W228" s="3" t="n">
        <v>5</v>
      </c>
      <c r="X228" s="3" t="n">
        <v>5</v>
      </c>
      <c r="Y228" s="3" t="n">
        <v>5</v>
      </c>
      <c r="Z228" s="3" t="n">
        <v>5</v>
      </c>
      <c r="AA228" s="3" t="n">
        <v>4</v>
      </c>
      <c r="AB228" s="3" t="n">
        <v>5</v>
      </c>
      <c r="AC228" s="3" t="n">
        <v>2</v>
      </c>
      <c r="AD228" s="3" t="n">
        <v>2</v>
      </c>
      <c r="AE228" s="3" t="n">
        <v>5</v>
      </c>
      <c r="AF228" s="3" t="n">
        <v>4</v>
      </c>
      <c r="AG228" s="3" t="n">
        <v>4</v>
      </c>
      <c r="AH228" s="3" t="n">
        <v>4</v>
      </c>
      <c r="AI228" s="3" t="n">
        <v>5</v>
      </c>
      <c r="AJ228" s="3" t="n">
        <v>3</v>
      </c>
      <c r="AK228" s="3" t="n">
        <v>3</v>
      </c>
      <c r="AL228" s="3" t="n">
        <v>4</v>
      </c>
      <c r="AM228" s="3" t="n">
        <v>4</v>
      </c>
      <c r="AN228" s="3" t="n">
        <v>4</v>
      </c>
      <c r="AO228" s="3" t="n">
        <v>4</v>
      </c>
    </row>
    <row r="229" customFormat="false" ht="15" hidden="false" customHeight="false" outlineLevel="0" collapsed="false">
      <c r="A229" s="3" t="n">
        <v>0</v>
      </c>
      <c r="B229" s="3" t="n">
        <v>4</v>
      </c>
      <c r="C229" s="3" t="n">
        <v>1</v>
      </c>
      <c r="D229" s="3" t="n">
        <v>1</v>
      </c>
      <c r="E229" s="3" t="n">
        <v>2</v>
      </c>
      <c r="F229" s="3" t="n">
        <v>2</v>
      </c>
      <c r="G229" s="3" t="n">
        <v>2</v>
      </c>
      <c r="H229" s="3" t="n">
        <v>2</v>
      </c>
      <c r="I229" s="3" t="n">
        <v>1</v>
      </c>
      <c r="J229" s="3" t="n">
        <v>24</v>
      </c>
      <c r="K229" s="3" t="n">
        <v>3</v>
      </c>
      <c r="L229" s="3" t="n">
        <v>3</v>
      </c>
      <c r="M229" s="3" t="n">
        <v>4</v>
      </c>
      <c r="N229" s="3" t="n">
        <v>3</v>
      </c>
      <c r="O229" s="3" t="n">
        <v>4</v>
      </c>
      <c r="P229" s="3" t="n">
        <v>3</v>
      </c>
      <c r="Q229" s="3" t="n">
        <v>3</v>
      </c>
      <c r="R229" s="3" t="n">
        <v>4</v>
      </c>
      <c r="S229" s="3" t="n">
        <v>4</v>
      </c>
      <c r="T229" s="3" t="n">
        <v>4</v>
      </c>
      <c r="U229" s="3" t="n">
        <v>4</v>
      </c>
      <c r="V229" s="3" t="n">
        <v>4</v>
      </c>
      <c r="W229" s="3" t="n">
        <v>4</v>
      </c>
      <c r="X229" s="3" t="n">
        <v>3</v>
      </c>
      <c r="Y229" s="3" t="n">
        <v>5</v>
      </c>
      <c r="Z229" s="3" t="n">
        <v>4</v>
      </c>
      <c r="AA229" s="3" t="n">
        <v>4</v>
      </c>
      <c r="AB229" s="3" t="n">
        <v>2</v>
      </c>
      <c r="AC229" s="3" t="n">
        <v>2</v>
      </c>
      <c r="AD229" s="3" t="n">
        <v>1</v>
      </c>
      <c r="AE229" s="3" t="n">
        <v>3</v>
      </c>
      <c r="AF229" s="3" t="n">
        <v>4</v>
      </c>
      <c r="AG229" s="3" t="n">
        <v>5</v>
      </c>
      <c r="AH229" s="3" t="n">
        <v>3</v>
      </c>
      <c r="AI229" s="3" t="n">
        <v>4</v>
      </c>
      <c r="AJ229" s="3" t="n">
        <v>4</v>
      </c>
      <c r="AK229" s="3" t="n">
        <v>3</v>
      </c>
      <c r="AL229" s="3" t="n">
        <v>4</v>
      </c>
      <c r="AM229" s="3" t="n">
        <v>3</v>
      </c>
      <c r="AN229" s="3" t="n">
        <v>3</v>
      </c>
      <c r="AO229" s="3" t="n">
        <v>3</v>
      </c>
    </row>
    <row r="230" customFormat="false" ht="15" hidden="false" customHeight="false" outlineLevel="0" collapsed="false">
      <c r="A230" s="3" t="n">
        <v>1</v>
      </c>
      <c r="B230" s="3" t="n">
        <v>3</v>
      </c>
      <c r="C230" s="3" t="n">
        <v>2</v>
      </c>
      <c r="D230" s="3" t="n">
        <v>1</v>
      </c>
      <c r="E230" s="3" t="n">
        <v>2</v>
      </c>
      <c r="F230" s="3" t="n">
        <v>2</v>
      </c>
      <c r="G230" s="3" t="n">
        <v>2</v>
      </c>
      <c r="H230" s="3" t="n">
        <v>1</v>
      </c>
      <c r="I230" s="3" t="n">
        <v>1</v>
      </c>
      <c r="J230" s="3" t="n">
        <v>23</v>
      </c>
      <c r="K230" s="3" t="n">
        <v>3</v>
      </c>
      <c r="L230" s="3" t="n">
        <v>3</v>
      </c>
      <c r="M230" s="3" t="n">
        <v>1</v>
      </c>
      <c r="N230" s="3" t="n">
        <v>4</v>
      </c>
      <c r="O230" s="3" t="n">
        <v>3</v>
      </c>
      <c r="P230" s="3" t="n">
        <v>2</v>
      </c>
      <c r="Q230" s="3" t="n">
        <v>2</v>
      </c>
      <c r="R230" s="3" t="n">
        <v>3</v>
      </c>
      <c r="S230" s="3" t="n">
        <v>4</v>
      </c>
      <c r="T230" s="3" t="n">
        <v>4</v>
      </c>
      <c r="U230" s="3" t="n">
        <v>5</v>
      </c>
      <c r="V230" s="3" t="n">
        <v>4</v>
      </c>
      <c r="W230" s="3" t="n">
        <v>4</v>
      </c>
      <c r="X230" s="3" t="n">
        <v>2</v>
      </c>
      <c r="Y230" s="3" t="n">
        <v>2</v>
      </c>
      <c r="Z230" s="3" t="n">
        <v>5</v>
      </c>
      <c r="AA230" s="3" t="n">
        <v>4</v>
      </c>
      <c r="AB230" s="3" t="n">
        <v>1</v>
      </c>
      <c r="AC230" s="3" t="n">
        <v>2</v>
      </c>
      <c r="AD230" s="3" t="n">
        <v>4</v>
      </c>
      <c r="AE230" s="3" t="n">
        <v>3</v>
      </c>
      <c r="AF230" s="3" t="n">
        <v>3</v>
      </c>
      <c r="AG230" s="3" t="n">
        <v>2</v>
      </c>
      <c r="AH230" s="3" t="n">
        <v>4</v>
      </c>
      <c r="AI230" s="3" t="n">
        <v>4</v>
      </c>
      <c r="AJ230" s="3" t="n">
        <v>3</v>
      </c>
      <c r="AK230" s="3" t="n">
        <v>2</v>
      </c>
      <c r="AL230" s="3" t="n">
        <v>3</v>
      </c>
      <c r="AM230" s="3" t="n">
        <v>4</v>
      </c>
      <c r="AN230" s="3" t="n">
        <v>4</v>
      </c>
      <c r="AO230" s="3" t="n">
        <v>4</v>
      </c>
    </row>
    <row r="231" customFormat="false" ht="15" hidden="false" customHeight="false" outlineLevel="0" collapsed="false">
      <c r="A231" s="3" t="n">
        <v>1</v>
      </c>
      <c r="B231" s="3" t="n">
        <v>3</v>
      </c>
      <c r="C231" s="3" t="n">
        <v>1</v>
      </c>
      <c r="D231" s="3" t="n">
        <v>1</v>
      </c>
      <c r="E231" s="3" t="n">
        <v>2</v>
      </c>
      <c r="F231" s="3" t="n">
        <v>2</v>
      </c>
      <c r="G231" s="3" t="n">
        <v>1</v>
      </c>
      <c r="H231" s="3" t="n">
        <v>1</v>
      </c>
      <c r="I231" s="3" t="n">
        <v>1</v>
      </c>
      <c r="J231" s="3" t="n">
        <v>25</v>
      </c>
      <c r="K231" s="3" t="n">
        <v>3</v>
      </c>
      <c r="L231" s="3" t="n">
        <v>3</v>
      </c>
      <c r="M231" s="3" t="n">
        <v>4</v>
      </c>
      <c r="N231" s="3" t="n">
        <v>4</v>
      </c>
      <c r="O231" s="3" t="n">
        <v>2</v>
      </c>
      <c r="P231" s="3" t="n">
        <v>3</v>
      </c>
      <c r="Q231" s="3" t="n">
        <v>4</v>
      </c>
      <c r="R231" s="3" t="n">
        <v>2</v>
      </c>
      <c r="S231" s="3" t="n">
        <v>5</v>
      </c>
      <c r="T231" s="3" t="n">
        <v>5</v>
      </c>
      <c r="U231" s="3" t="n">
        <v>4</v>
      </c>
      <c r="V231" s="3" t="n">
        <v>4</v>
      </c>
      <c r="W231" s="3" t="n">
        <v>4</v>
      </c>
      <c r="X231" s="3" t="n">
        <v>4</v>
      </c>
      <c r="Y231" s="3" t="n">
        <v>4</v>
      </c>
      <c r="Z231" s="3" t="n">
        <v>4</v>
      </c>
      <c r="AA231" s="3" t="n">
        <v>5</v>
      </c>
      <c r="AB231" s="3" t="n">
        <v>2</v>
      </c>
      <c r="AC231" s="3" t="n">
        <v>1</v>
      </c>
      <c r="AD231" s="3" t="n">
        <v>1</v>
      </c>
      <c r="AE231" s="3" t="n">
        <v>4</v>
      </c>
      <c r="AF231" s="3" t="n">
        <v>2</v>
      </c>
      <c r="AG231" s="3" t="n">
        <v>3</v>
      </c>
      <c r="AH231" s="3" t="n">
        <v>4</v>
      </c>
      <c r="AI231" s="3" t="n">
        <v>4</v>
      </c>
      <c r="AJ231" s="3" t="n">
        <v>4</v>
      </c>
      <c r="AK231" s="3" t="n">
        <v>4</v>
      </c>
      <c r="AL231" s="3" t="n">
        <v>4</v>
      </c>
      <c r="AM231" s="3" t="n">
        <v>3</v>
      </c>
      <c r="AN231" s="3" t="n">
        <v>2</v>
      </c>
      <c r="AO231" s="3" t="n">
        <v>4</v>
      </c>
    </row>
    <row r="232" customFormat="false" ht="15" hidden="false" customHeight="false" outlineLevel="0" collapsed="false">
      <c r="A232" s="3" t="n">
        <v>1</v>
      </c>
      <c r="B232" s="3" t="n">
        <v>3</v>
      </c>
      <c r="C232" s="3" t="n">
        <v>1</v>
      </c>
      <c r="D232" s="3" t="n">
        <v>1</v>
      </c>
      <c r="E232" s="3" t="n">
        <v>2</v>
      </c>
      <c r="F232" s="3" t="n">
        <v>2</v>
      </c>
      <c r="G232" s="3" t="n">
        <v>2</v>
      </c>
      <c r="H232" s="3" t="n">
        <v>3</v>
      </c>
      <c r="I232" s="3" t="n">
        <v>1</v>
      </c>
      <c r="J232" s="3" t="n">
        <v>23</v>
      </c>
      <c r="K232" s="3" t="n">
        <v>2</v>
      </c>
      <c r="L232" s="3" t="n">
        <v>2</v>
      </c>
      <c r="M232" s="3" t="n">
        <v>1</v>
      </c>
      <c r="N232" s="3" t="n">
        <v>3</v>
      </c>
      <c r="O232" s="3" t="n">
        <v>4</v>
      </c>
      <c r="P232" s="3" t="n">
        <v>2</v>
      </c>
      <c r="Q232" s="3" t="n">
        <v>2</v>
      </c>
      <c r="R232" s="3" t="n">
        <v>1</v>
      </c>
      <c r="S232" s="3" t="n">
        <v>4</v>
      </c>
      <c r="T232" s="3" t="n">
        <v>5</v>
      </c>
      <c r="U232" s="3" t="n">
        <v>4</v>
      </c>
      <c r="V232" s="3" t="n">
        <v>5</v>
      </c>
      <c r="W232" s="3" t="n">
        <v>4</v>
      </c>
      <c r="X232" s="3" t="n">
        <v>2</v>
      </c>
      <c r="Y232" s="3" t="n">
        <v>4</v>
      </c>
      <c r="Z232" s="3" t="n">
        <v>4</v>
      </c>
      <c r="AA232" s="3" t="n">
        <v>4</v>
      </c>
      <c r="AB232" s="3" t="n">
        <v>1</v>
      </c>
      <c r="AC232" s="3" t="n">
        <v>1</v>
      </c>
      <c r="AD232" s="3" t="n">
        <v>2</v>
      </c>
      <c r="AE232" s="3" t="n">
        <v>3</v>
      </c>
      <c r="AF232" s="3" t="n">
        <v>2</v>
      </c>
      <c r="AG232" s="3" t="n">
        <v>4</v>
      </c>
      <c r="AH232" s="3" t="n">
        <v>4</v>
      </c>
      <c r="AI232" s="3" t="n">
        <v>4</v>
      </c>
      <c r="AJ232" s="3" t="n">
        <v>5</v>
      </c>
      <c r="AK232" s="3" t="n">
        <v>3</v>
      </c>
      <c r="AL232" s="3" t="n">
        <v>5</v>
      </c>
      <c r="AM232" s="3" t="n">
        <v>2</v>
      </c>
      <c r="AN232" s="3" t="n">
        <v>1</v>
      </c>
      <c r="AO232" s="3" t="n">
        <v>2</v>
      </c>
    </row>
    <row r="233" customFormat="false" ht="15" hidden="false" customHeight="false" outlineLevel="0" collapsed="false">
      <c r="A233" s="3" t="n">
        <v>1</v>
      </c>
      <c r="B233" s="3" t="n">
        <v>4</v>
      </c>
      <c r="C233" s="3" t="n">
        <v>1</v>
      </c>
      <c r="D233" s="3" t="n">
        <v>1</v>
      </c>
      <c r="E233" s="3" t="n">
        <v>2</v>
      </c>
      <c r="F233" s="3" t="n">
        <v>2</v>
      </c>
      <c r="G233" s="3" t="n">
        <v>1</v>
      </c>
      <c r="H233" s="3" t="n">
        <v>1</v>
      </c>
      <c r="I233" s="3" t="n">
        <v>3</v>
      </c>
      <c r="J233" s="3" t="n">
        <v>26</v>
      </c>
      <c r="K233" s="3" t="n">
        <v>4</v>
      </c>
      <c r="L233" s="3" t="n">
        <v>4</v>
      </c>
      <c r="M233" s="3" t="n">
        <v>4</v>
      </c>
      <c r="N233" s="3" t="n">
        <v>3</v>
      </c>
      <c r="O233" s="3" t="n">
        <v>3</v>
      </c>
      <c r="P233" s="3" t="n">
        <v>4</v>
      </c>
      <c r="Q233" s="3" t="n">
        <v>3</v>
      </c>
      <c r="R233" s="3" t="n">
        <v>3</v>
      </c>
      <c r="S233" s="3" t="n">
        <v>4</v>
      </c>
      <c r="T233" s="3" t="n">
        <v>4</v>
      </c>
      <c r="U233" s="3" t="n">
        <v>3</v>
      </c>
      <c r="V233" s="3" t="n">
        <v>3</v>
      </c>
      <c r="W233" s="3" t="n">
        <v>3</v>
      </c>
      <c r="X233" s="3" t="n">
        <v>4</v>
      </c>
      <c r="Y233" s="3" t="n">
        <v>3</v>
      </c>
      <c r="Z233" s="3" t="n">
        <v>4</v>
      </c>
      <c r="AA233" s="3" t="n">
        <v>2</v>
      </c>
      <c r="AB233" s="3" t="n">
        <v>2</v>
      </c>
      <c r="AC233" s="3" t="n">
        <v>2</v>
      </c>
      <c r="AD233" s="3" t="n">
        <v>3</v>
      </c>
      <c r="AE233" s="3" t="n">
        <v>3</v>
      </c>
      <c r="AF233" s="3" t="n">
        <v>2</v>
      </c>
      <c r="AG233" s="3" t="n">
        <v>2</v>
      </c>
      <c r="AH233" s="3" t="n">
        <v>4</v>
      </c>
      <c r="AI233" s="3" t="n">
        <v>4</v>
      </c>
      <c r="AJ233" s="3" t="n">
        <v>4</v>
      </c>
      <c r="AK233" s="3" t="n">
        <v>3</v>
      </c>
      <c r="AL233" s="3" t="n">
        <v>4</v>
      </c>
      <c r="AM233" s="3" t="n">
        <v>3</v>
      </c>
      <c r="AN233" s="3" t="n">
        <v>3</v>
      </c>
      <c r="AO233" s="3" t="n">
        <v>3</v>
      </c>
    </row>
    <row r="234" customFormat="false" ht="15" hidden="false" customHeight="false" outlineLevel="0" collapsed="false">
      <c r="A234" s="3" t="n">
        <v>0</v>
      </c>
      <c r="B234" s="3" t="n">
        <v>4</v>
      </c>
      <c r="C234" s="3" t="n">
        <v>1</v>
      </c>
      <c r="D234" s="3" t="n">
        <v>1</v>
      </c>
      <c r="E234" s="3" t="n">
        <v>2</v>
      </c>
      <c r="F234" s="3" t="n">
        <v>2</v>
      </c>
      <c r="G234" s="3" t="n">
        <v>1</v>
      </c>
      <c r="H234" s="3" t="n">
        <v>2</v>
      </c>
      <c r="I234" s="3" t="n">
        <v>1</v>
      </c>
      <c r="J234" s="3" t="n">
        <v>26</v>
      </c>
      <c r="K234" s="3" t="n">
        <v>4</v>
      </c>
      <c r="L234" s="3" t="n">
        <v>4</v>
      </c>
      <c r="M234" s="3" t="n">
        <v>4</v>
      </c>
      <c r="N234" s="3" t="n">
        <v>5</v>
      </c>
      <c r="O234" s="3" t="n">
        <v>4</v>
      </c>
      <c r="P234" s="3" t="n">
        <v>4</v>
      </c>
      <c r="Q234" s="3" t="n">
        <v>2</v>
      </c>
      <c r="R234" s="3" t="n">
        <v>4</v>
      </c>
      <c r="S234" s="3" t="n">
        <v>5</v>
      </c>
      <c r="T234" s="3" t="n">
        <v>5</v>
      </c>
      <c r="U234" s="3" t="n">
        <v>5</v>
      </c>
      <c r="V234" s="3" t="n">
        <v>3</v>
      </c>
      <c r="W234" s="3" t="n">
        <v>4</v>
      </c>
      <c r="X234" s="3" t="n">
        <v>4</v>
      </c>
      <c r="Y234" s="3" t="n">
        <v>2</v>
      </c>
      <c r="Z234" s="3" t="n">
        <v>4</v>
      </c>
      <c r="AA234" s="3" t="n">
        <v>4</v>
      </c>
      <c r="AB234" s="3" t="n">
        <v>2</v>
      </c>
      <c r="AC234" s="3" t="n">
        <v>1</v>
      </c>
      <c r="AD234" s="3" t="n">
        <v>2</v>
      </c>
      <c r="AE234" s="3" t="n">
        <v>4</v>
      </c>
      <c r="AF234" s="3" t="n">
        <v>3</v>
      </c>
      <c r="AG234" s="3" t="n">
        <v>4</v>
      </c>
      <c r="AH234" s="3" t="n">
        <v>2</v>
      </c>
      <c r="AI234" s="3" t="n">
        <v>2</v>
      </c>
      <c r="AJ234" s="3" t="n">
        <v>4</v>
      </c>
      <c r="AK234" s="3" t="n">
        <v>2</v>
      </c>
      <c r="AL234" s="3" t="n">
        <v>5</v>
      </c>
      <c r="AM234" s="3" t="n">
        <v>3</v>
      </c>
      <c r="AN234" s="3" t="n">
        <v>2</v>
      </c>
      <c r="AO234" s="3" t="n">
        <v>4</v>
      </c>
    </row>
    <row r="235" customFormat="false" ht="15" hidden="false" customHeight="false" outlineLevel="0" collapsed="false">
      <c r="A235" s="3" t="n">
        <v>0</v>
      </c>
      <c r="B235" s="3" t="n">
        <v>1</v>
      </c>
      <c r="C235" s="3" t="n">
        <v>1</v>
      </c>
      <c r="D235" s="3" t="n">
        <v>2</v>
      </c>
      <c r="E235" s="3" t="n">
        <v>2</v>
      </c>
      <c r="F235" s="3" t="n">
        <v>2</v>
      </c>
      <c r="G235" s="3" t="n">
        <v>2</v>
      </c>
      <c r="H235" s="3" t="n">
        <v>2</v>
      </c>
      <c r="I235" s="3" t="n">
        <v>3</v>
      </c>
      <c r="J235" s="3" t="n">
        <v>27</v>
      </c>
      <c r="K235" s="3" t="n">
        <v>3</v>
      </c>
      <c r="L235" s="3" t="n">
        <v>2</v>
      </c>
      <c r="M235" s="3" t="n">
        <v>3</v>
      </c>
      <c r="N235" s="3" t="n">
        <v>3</v>
      </c>
      <c r="O235" s="3" t="n">
        <v>4</v>
      </c>
      <c r="P235" s="3" t="n">
        <v>3</v>
      </c>
      <c r="Q235" s="3" t="n">
        <v>2</v>
      </c>
      <c r="R235" s="3" t="n">
        <v>5</v>
      </c>
      <c r="S235" s="3" t="n">
        <v>4</v>
      </c>
      <c r="T235" s="3" t="n">
        <v>2</v>
      </c>
      <c r="U235" s="3" t="n">
        <v>4</v>
      </c>
      <c r="V235" s="3" t="n">
        <v>3</v>
      </c>
      <c r="W235" s="3" t="n">
        <v>1</v>
      </c>
      <c r="X235" s="3" t="n">
        <v>4</v>
      </c>
      <c r="Y235" s="3" t="n">
        <v>2</v>
      </c>
      <c r="Z235" s="3" t="n">
        <v>3</v>
      </c>
      <c r="AA235" s="3" t="n">
        <v>3</v>
      </c>
      <c r="AB235" s="3" t="n">
        <v>1</v>
      </c>
      <c r="AC235" s="3" t="n">
        <v>5</v>
      </c>
      <c r="AD235" s="3" t="n">
        <v>5</v>
      </c>
      <c r="AE235" s="3" t="n">
        <v>3</v>
      </c>
      <c r="AF235" s="3" t="n">
        <v>4</v>
      </c>
      <c r="AG235" s="3" t="n">
        <v>4</v>
      </c>
      <c r="AH235" s="3" t="n">
        <v>5</v>
      </c>
      <c r="AI235" s="3" t="n">
        <v>2</v>
      </c>
      <c r="AJ235" s="3" t="n">
        <v>3</v>
      </c>
      <c r="AK235" s="3" t="n">
        <v>5</v>
      </c>
      <c r="AL235" s="3" t="n">
        <v>3</v>
      </c>
      <c r="AM235" s="3" t="n">
        <v>3</v>
      </c>
      <c r="AN235" s="3" t="n">
        <v>3</v>
      </c>
      <c r="AO235" s="3" t="n">
        <v>5</v>
      </c>
    </row>
    <row r="236" customFormat="false" ht="15" hidden="false" customHeight="false" outlineLevel="0" collapsed="false">
      <c r="A236" s="3" t="n">
        <v>0</v>
      </c>
      <c r="B236" s="3" t="n">
        <v>4</v>
      </c>
      <c r="C236" s="3" t="n">
        <v>1</v>
      </c>
      <c r="D236" s="3" t="n">
        <v>1</v>
      </c>
      <c r="E236" s="3" t="n">
        <v>2</v>
      </c>
      <c r="F236" s="3" t="n">
        <v>2</v>
      </c>
      <c r="G236" s="3" t="n">
        <v>2</v>
      </c>
      <c r="H236" s="3" t="n">
        <v>1</v>
      </c>
      <c r="I236" s="3" t="n">
        <v>3</v>
      </c>
      <c r="J236" s="3" t="n">
        <v>28</v>
      </c>
      <c r="K236" s="3" t="n">
        <v>2</v>
      </c>
      <c r="L236" s="3" t="n">
        <v>3</v>
      </c>
      <c r="M236" s="3" t="n">
        <v>2</v>
      </c>
      <c r="N236" s="3" t="n">
        <v>4</v>
      </c>
      <c r="O236" s="3" t="n">
        <v>1</v>
      </c>
      <c r="P236" s="3" t="n">
        <v>1</v>
      </c>
      <c r="Q236" s="3" t="n">
        <v>4</v>
      </c>
      <c r="R236" s="3" t="n">
        <v>1</v>
      </c>
      <c r="S236" s="3" t="n">
        <v>5</v>
      </c>
      <c r="T236" s="3" t="n">
        <v>5</v>
      </c>
      <c r="U236" s="3" t="n">
        <v>5</v>
      </c>
      <c r="V236" s="3" t="n">
        <v>2</v>
      </c>
      <c r="W236" s="3" t="n">
        <v>1</v>
      </c>
      <c r="X236" s="3" t="n">
        <v>1</v>
      </c>
      <c r="Y236" s="3" t="n">
        <v>1</v>
      </c>
      <c r="Z236" s="3" t="n">
        <v>4</v>
      </c>
      <c r="AA236" s="3" t="n">
        <v>4</v>
      </c>
      <c r="AB236" s="3" t="n">
        <v>4</v>
      </c>
      <c r="AC236" s="3" t="n">
        <v>1</v>
      </c>
      <c r="AD236" s="3" t="n">
        <v>1</v>
      </c>
      <c r="AE236" s="3" t="n">
        <v>4</v>
      </c>
      <c r="AF236" s="3" t="n">
        <v>4</v>
      </c>
      <c r="AG236" s="3" t="n">
        <v>4</v>
      </c>
      <c r="AH236" s="3" t="n">
        <v>4</v>
      </c>
      <c r="AI236" s="3" t="n">
        <v>4</v>
      </c>
      <c r="AJ236" s="3" t="n">
        <v>3</v>
      </c>
      <c r="AK236" s="3" t="n">
        <v>1</v>
      </c>
      <c r="AL236" s="3" t="n">
        <v>5</v>
      </c>
      <c r="AM236" s="3" t="n">
        <v>4</v>
      </c>
      <c r="AN236" s="3" t="n">
        <v>1</v>
      </c>
      <c r="AO236" s="3" t="n">
        <v>1</v>
      </c>
    </row>
    <row r="237" customFormat="false" ht="15" hidden="false" customHeight="false" outlineLevel="0" collapsed="false">
      <c r="A237" s="3" t="n">
        <v>0</v>
      </c>
      <c r="B237" s="3" t="n">
        <v>4</v>
      </c>
      <c r="C237" s="3" t="n">
        <v>1</v>
      </c>
      <c r="D237" s="3" t="n">
        <v>2</v>
      </c>
      <c r="E237" s="3" t="n">
        <v>2</v>
      </c>
      <c r="F237" s="3" t="n">
        <v>2</v>
      </c>
      <c r="G237" s="3" t="n">
        <v>1</v>
      </c>
      <c r="H237" s="3" t="n">
        <v>1</v>
      </c>
      <c r="I237" s="3" t="n">
        <v>3</v>
      </c>
      <c r="J237" s="3" t="n">
        <v>28</v>
      </c>
      <c r="K237" s="3" t="n">
        <v>4</v>
      </c>
      <c r="L237" s="3" t="n">
        <v>3</v>
      </c>
      <c r="M237" s="3" t="n">
        <v>2</v>
      </c>
      <c r="N237" s="3" t="n">
        <v>4</v>
      </c>
      <c r="O237" s="3" t="n">
        <v>3</v>
      </c>
      <c r="P237" s="3" t="n">
        <v>2</v>
      </c>
      <c r="Q237" s="3" t="n">
        <v>4</v>
      </c>
      <c r="R237" s="3" t="n">
        <v>4</v>
      </c>
      <c r="S237" s="3" t="n">
        <v>4</v>
      </c>
      <c r="T237" s="3" t="n">
        <v>5</v>
      </c>
      <c r="U237" s="3" t="n">
        <v>4</v>
      </c>
      <c r="V237" s="3" t="n">
        <v>3</v>
      </c>
      <c r="W237" s="3" t="n">
        <v>4</v>
      </c>
      <c r="X237" s="3" t="n">
        <v>3</v>
      </c>
      <c r="Y237" s="3" t="n">
        <v>4</v>
      </c>
      <c r="Z237" s="3" t="n">
        <v>4</v>
      </c>
      <c r="AA237" s="3" t="n">
        <v>3</v>
      </c>
      <c r="AB237" s="3" t="n">
        <v>3</v>
      </c>
      <c r="AC237" s="3" t="n">
        <v>1</v>
      </c>
      <c r="AD237" s="3" t="n">
        <v>2</v>
      </c>
      <c r="AE237" s="3" t="n">
        <v>4</v>
      </c>
      <c r="AF237" s="3" t="n">
        <v>2</v>
      </c>
      <c r="AG237" s="3" t="n">
        <v>4</v>
      </c>
      <c r="AH237" s="3" t="n">
        <v>4</v>
      </c>
      <c r="AI237" s="3" t="n">
        <v>4</v>
      </c>
      <c r="AJ237" s="3" t="n">
        <v>4</v>
      </c>
      <c r="AK237" s="3" t="n">
        <v>2</v>
      </c>
      <c r="AL237" s="3" t="n">
        <v>4</v>
      </c>
      <c r="AM237" s="3" t="n">
        <v>3</v>
      </c>
      <c r="AN237" s="3" t="n">
        <v>2</v>
      </c>
      <c r="AO237" s="3" t="n">
        <v>4</v>
      </c>
    </row>
    <row r="238" customFormat="false" ht="15" hidden="false" customHeight="false" outlineLevel="0" collapsed="false">
      <c r="A238" s="3" t="n">
        <v>1</v>
      </c>
      <c r="B238" s="3" t="n">
        <v>3</v>
      </c>
      <c r="C238" s="3" t="n">
        <v>1</v>
      </c>
      <c r="D238" s="3" t="n">
        <v>1</v>
      </c>
      <c r="E238" s="3" t="n">
        <v>2</v>
      </c>
      <c r="F238" s="3" t="n">
        <v>2</v>
      </c>
      <c r="G238" s="3" t="n">
        <v>2</v>
      </c>
      <c r="H238" s="3" t="n">
        <v>1</v>
      </c>
      <c r="I238" s="3" t="n">
        <v>1</v>
      </c>
      <c r="J238" s="3" t="n">
        <v>23</v>
      </c>
      <c r="K238" s="3" t="n">
        <v>1</v>
      </c>
      <c r="L238" s="3" t="n">
        <v>1</v>
      </c>
      <c r="M238" s="3" t="n">
        <v>4</v>
      </c>
      <c r="N238" s="3" t="n">
        <v>2</v>
      </c>
      <c r="O238" s="3" t="n">
        <v>4</v>
      </c>
      <c r="P238" s="3" t="n">
        <v>1</v>
      </c>
      <c r="Q238" s="3" t="n">
        <v>1</v>
      </c>
      <c r="R238" s="3" t="n">
        <v>1</v>
      </c>
      <c r="S238" s="3" t="n">
        <v>3</v>
      </c>
      <c r="T238" s="3" t="n">
        <v>5</v>
      </c>
      <c r="U238" s="3" t="n">
        <v>3</v>
      </c>
      <c r="V238" s="3" t="n">
        <v>4</v>
      </c>
      <c r="W238" s="3" t="n">
        <v>4</v>
      </c>
      <c r="X238" s="3" t="n">
        <v>4</v>
      </c>
      <c r="Y238" s="3" t="n">
        <v>4</v>
      </c>
      <c r="Z238" s="3" t="n">
        <v>4</v>
      </c>
      <c r="AA238" s="3" t="n">
        <v>4</v>
      </c>
      <c r="AB238" s="3" t="n">
        <v>1</v>
      </c>
      <c r="AC238" s="3" t="n">
        <v>1</v>
      </c>
      <c r="AD238" s="3" t="n">
        <v>1</v>
      </c>
      <c r="AE238" s="3" t="n">
        <v>5</v>
      </c>
      <c r="AF238" s="3" t="n">
        <v>1</v>
      </c>
      <c r="AG238" s="3" t="n">
        <v>5</v>
      </c>
      <c r="AH238" s="3" t="n">
        <v>4</v>
      </c>
      <c r="AI238" s="3" t="n">
        <v>2</v>
      </c>
      <c r="AJ238" s="3" t="n">
        <v>5</v>
      </c>
      <c r="AK238" s="3" t="n">
        <v>1</v>
      </c>
      <c r="AL238" s="3" t="n">
        <v>5</v>
      </c>
      <c r="AM238" s="3" t="n">
        <v>5</v>
      </c>
      <c r="AN238" s="3" t="n">
        <v>1</v>
      </c>
      <c r="AO238" s="3" t="n">
        <v>1</v>
      </c>
    </row>
    <row r="239" customFormat="false" ht="15" hidden="false" customHeight="false" outlineLevel="0" collapsed="false">
      <c r="A239" s="3" t="n">
        <v>0</v>
      </c>
      <c r="B239" s="3" t="n">
        <v>4</v>
      </c>
      <c r="C239" s="3" t="n">
        <v>1</v>
      </c>
      <c r="D239" s="3" t="n">
        <v>1</v>
      </c>
      <c r="E239" s="3" t="n">
        <v>2</v>
      </c>
      <c r="F239" s="3" t="n">
        <v>2</v>
      </c>
      <c r="G239" s="3" t="n">
        <v>1</v>
      </c>
      <c r="H239" s="3" t="n">
        <v>3</v>
      </c>
      <c r="I239" s="3" t="n">
        <v>1</v>
      </c>
      <c r="J239" s="3" t="n">
        <v>24</v>
      </c>
      <c r="K239" s="3" t="n">
        <v>2</v>
      </c>
      <c r="L239" s="3" t="n">
        <v>3</v>
      </c>
      <c r="M239" s="3" t="n">
        <v>2</v>
      </c>
      <c r="N239" s="3" t="n">
        <v>4</v>
      </c>
      <c r="O239" s="3" t="n">
        <v>4</v>
      </c>
      <c r="P239" s="3" t="n">
        <v>5</v>
      </c>
      <c r="Q239" s="3" t="n">
        <v>3</v>
      </c>
      <c r="R239" s="3" t="n">
        <v>5</v>
      </c>
      <c r="S239" s="3" t="n">
        <v>3</v>
      </c>
      <c r="T239" s="3" t="n">
        <v>2</v>
      </c>
      <c r="U239" s="3" t="n">
        <v>2</v>
      </c>
      <c r="V239" s="3" t="n">
        <v>5</v>
      </c>
      <c r="W239" s="3" t="n">
        <v>4</v>
      </c>
      <c r="X239" s="3" t="n">
        <v>4</v>
      </c>
      <c r="Y239" s="3" t="n">
        <v>3</v>
      </c>
      <c r="Z239" s="3" t="n">
        <v>4</v>
      </c>
      <c r="AA239" s="3" t="n">
        <v>3</v>
      </c>
      <c r="AB239" s="3" t="n">
        <v>2</v>
      </c>
      <c r="AC239" s="3" t="n">
        <v>3</v>
      </c>
      <c r="AD239" s="3" t="n">
        <v>2</v>
      </c>
      <c r="AE239" s="3" t="n">
        <v>4</v>
      </c>
      <c r="AF239" s="3" t="n">
        <v>3</v>
      </c>
      <c r="AG239" s="3" t="n">
        <v>2</v>
      </c>
      <c r="AH239" s="3" t="n">
        <v>4</v>
      </c>
      <c r="AI239" s="3" t="n">
        <v>2</v>
      </c>
      <c r="AJ239" s="3" t="n">
        <v>5</v>
      </c>
      <c r="AK239" s="3" t="n">
        <v>3</v>
      </c>
      <c r="AL239" s="3" t="n">
        <v>3</v>
      </c>
      <c r="AM239" s="3" t="n">
        <v>3</v>
      </c>
      <c r="AN239" s="3" t="n">
        <v>1</v>
      </c>
      <c r="AO239" s="3" t="n">
        <v>4</v>
      </c>
    </row>
    <row r="240" customFormat="false" ht="15" hidden="false" customHeight="false" outlineLevel="0" collapsed="false">
      <c r="A240" s="3" t="n">
        <v>0</v>
      </c>
      <c r="B240" s="3" t="n">
        <v>1</v>
      </c>
      <c r="C240" s="3" t="n">
        <v>2</v>
      </c>
      <c r="D240" s="3" t="n">
        <v>1</v>
      </c>
      <c r="E240" s="3" t="n">
        <v>2</v>
      </c>
      <c r="F240" s="3" t="n">
        <v>2</v>
      </c>
      <c r="G240" s="3" t="n">
        <v>3</v>
      </c>
      <c r="H240" s="3" t="n">
        <v>1</v>
      </c>
      <c r="I240" s="3" t="n">
        <v>1</v>
      </c>
      <c r="J240" s="3" t="n">
        <v>22</v>
      </c>
      <c r="K240" s="3" t="n">
        <v>4</v>
      </c>
      <c r="L240" s="3" t="n">
        <v>2</v>
      </c>
      <c r="M240" s="3" t="n">
        <v>2</v>
      </c>
      <c r="N240" s="3" t="n">
        <v>2</v>
      </c>
      <c r="O240" s="3" t="n">
        <v>4</v>
      </c>
      <c r="P240" s="3" t="n">
        <v>2</v>
      </c>
      <c r="Q240" s="3" t="n">
        <v>4</v>
      </c>
      <c r="R240" s="3" t="n">
        <v>1</v>
      </c>
      <c r="S240" s="3" t="n">
        <v>3</v>
      </c>
      <c r="T240" s="3" t="n">
        <v>5</v>
      </c>
      <c r="U240" s="3" t="n">
        <v>4</v>
      </c>
      <c r="V240" s="3" t="n">
        <v>4</v>
      </c>
      <c r="W240" s="3" t="n">
        <v>5</v>
      </c>
      <c r="X240" s="3" t="n">
        <v>5</v>
      </c>
      <c r="Y240" s="3" t="n">
        <v>4</v>
      </c>
      <c r="Z240" s="3" t="n">
        <v>4</v>
      </c>
      <c r="AA240" s="3" t="n">
        <v>4</v>
      </c>
      <c r="AB240" s="3" t="n">
        <v>4</v>
      </c>
      <c r="AC240" s="3" t="n">
        <v>2</v>
      </c>
      <c r="AD240" s="3" t="n">
        <v>2</v>
      </c>
      <c r="AE240" s="3" t="n">
        <v>3</v>
      </c>
      <c r="AF240" s="3" t="n">
        <v>2</v>
      </c>
      <c r="AG240" s="3" t="n">
        <v>4</v>
      </c>
      <c r="AH240" s="3" t="n">
        <v>3</v>
      </c>
      <c r="AI240" s="3" t="n">
        <v>3</v>
      </c>
      <c r="AJ240" s="3" t="n">
        <v>5</v>
      </c>
      <c r="AK240" s="3" t="n">
        <v>2</v>
      </c>
      <c r="AL240" s="3" t="n">
        <v>5</v>
      </c>
      <c r="AM240" s="3" t="n">
        <v>2</v>
      </c>
      <c r="AN240" s="3" t="n">
        <v>4</v>
      </c>
      <c r="AO240" s="3" t="n">
        <v>2</v>
      </c>
    </row>
    <row r="241" customFormat="false" ht="15" hidden="false" customHeight="false" outlineLevel="0" collapsed="false">
      <c r="A241" s="3" t="n">
        <v>0</v>
      </c>
      <c r="B241" s="3" t="n">
        <v>3</v>
      </c>
      <c r="C241" s="3" t="n">
        <v>1</v>
      </c>
      <c r="D241" s="3" t="n">
        <v>1</v>
      </c>
      <c r="E241" s="3" t="n">
        <v>1</v>
      </c>
      <c r="F241" s="3" t="n">
        <v>2</v>
      </c>
      <c r="G241" s="3" t="n">
        <v>3</v>
      </c>
      <c r="H241" s="3" t="n">
        <v>2</v>
      </c>
      <c r="I241" s="3" t="n">
        <v>1</v>
      </c>
      <c r="J241" s="3" t="n">
        <v>24</v>
      </c>
      <c r="K241" s="3" t="n">
        <v>3</v>
      </c>
      <c r="L241" s="3" t="n">
        <v>3</v>
      </c>
      <c r="M241" s="3" t="n">
        <v>4</v>
      </c>
      <c r="N241" s="3" t="n">
        <v>2</v>
      </c>
      <c r="O241" s="3" t="n">
        <v>3</v>
      </c>
      <c r="P241" s="3" t="n">
        <v>2</v>
      </c>
      <c r="Q241" s="3" t="n">
        <v>2</v>
      </c>
      <c r="R241" s="3" t="n">
        <v>3</v>
      </c>
      <c r="S241" s="3" t="n">
        <v>4</v>
      </c>
      <c r="T241" s="3" t="n">
        <v>5</v>
      </c>
      <c r="U241" s="3" t="n">
        <v>4</v>
      </c>
      <c r="V241" s="3" t="n">
        <v>3</v>
      </c>
      <c r="W241" s="3" t="n">
        <v>4</v>
      </c>
      <c r="X241" s="3" t="n">
        <v>2</v>
      </c>
      <c r="Y241" s="3" t="n">
        <v>3</v>
      </c>
      <c r="Z241" s="3" t="n">
        <v>4</v>
      </c>
      <c r="AA241" s="3" t="n">
        <v>4</v>
      </c>
      <c r="AB241" s="3" t="n">
        <v>2</v>
      </c>
      <c r="AC241" s="3" t="n">
        <v>2</v>
      </c>
      <c r="AD241" s="3" t="n">
        <v>2</v>
      </c>
      <c r="AE241" s="3" t="n">
        <v>4</v>
      </c>
      <c r="AF241" s="3" t="n">
        <v>3</v>
      </c>
      <c r="AG241" s="3" t="n">
        <v>4</v>
      </c>
      <c r="AH241" s="3" t="n">
        <v>4</v>
      </c>
      <c r="AI241" s="3" t="n">
        <v>4</v>
      </c>
      <c r="AJ241" s="3" t="n">
        <v>4</v>
      </c>
      <c r="AK241" s="3" t="n">
        <v>2</v>
      </c>
      <c r="AL241" s="3" t="n">
        <v>4</v>
      </c>
      <c r="AM241" s="3" t="n">
        <v>3</v>
      </c>
      <c r="AN241" s="3" t="n">
        <v>4</v>
      </c>
      <c r="AO241" s="3" t="n">
        <v>3</v>
      </c>
    </row>
    <row r="242" customFormat="false" ht="15" hidden="false" customHeight="false" outlineLevel="0" collapsed="false">
      <c r="A242" s="3" t="n">
        <v>1</v>
      </c>
      <c r="B242" s="3" t="n">
        <v>4</v>
      </c>
      <c r="C242" s="3" t="n">
        <v>1</v>
      </c>
      <c r="D242" s="3" t="n">
        <v>1</v>
      </c>
      <c r="E242" s="3" t="n">
        <v>2</v>
      </c>
      <c r="F242" s="3" t="n">
        <v>2</v>
      </c>
      <c r="G242" s="3" t="n">
        <v>2</v>
      </c>
      <c r="H242" s="3" t="n">
        <v>2</v>
      </c>
      <c r="I242" s="3" t="n">
        <v>2</v>
      </c>
      <c r="J242" s="3" t="n">
        <v>24</v>
      </c>
      <c r="K242" s="3" t="n">
        <v>3</v>
      </c>
      <c r="L242" s="3" t="n">
        <v>5</v>
      </c>
      <c r="M242" s="3" t="n">
        <v>5</v>
      </c>
      <c r="N242" s="3" t="n">
        <v>4</v>
      </c>
      <c r="O242" s="3" t="n">
        <v>5</v>
      </c>
      <c r="P242" s="3" t="n">
        <v>4</v>
      </c>
      <c r="Q242" s="3" t="n">
        <v>5</v>
      </c>
      <c r="R242" s="3" t="n">
        <v>5</v>
      </c>
      <c r="S242" s="3" t="n">
        <v>5</v>
      </c>
      <c r="T242" s="3" t="n">
        <v>5</v>
      </c>
      <c r="U242" s="3" t="n">
        <v>4</v>
      </c>
      <c r="V242" s="3" t="n">
        <v>5</v>
      </c>
      <c r="W242" s="3" t="n">
        <v>4</v>
      </c>
      <c r="X242" s="3" t="n">
        <v>4</v>
      </c>
      <c r="Y242" s="3" t="n">
        <v>4</v>
      </c>
      <c r="Z242" s="3" t="n">
        <v>5</v>
      </c>
      <c r="AA242" s="3" t="n">
        <v>4</v>
      </c>
      <c r="AB242" s="3" t="n">
        <v>4</v>
      </c>
      <c r="AC242" s="3" t="n">
        <v>4</v>
      </c>
      <c r="AD242" s="3" t="n">
        <v>4</v>
      </c>
      <c r="AE242" s="3" t="n">
        <v>4</v>
      </c>
      <c r="AF242" s="3" t="n">
        <v>4</v>
      </c>
      <c r="AG242" s="3" t="n">
        <v>4</v>
      </c>
      <c r="AH242" s="3" t="n">
        <v>4</v>
      </c>
      <c r="AI242" s="3" t="n">
        <v>4</v>
      </c>
      <c r="AJ242" s="3" t="n">
        <v>2</v>
      </c>
      <c r="AK242" s="3" t="n">
        <v>4</v>
      </c>
      <c r="AL242" s="3" t="n">
        <v>4</v>
      </c>
      <c r="AM242" s="3" t="n">
        <v>3</v>
      </c>
      <c r="AN242" s="3" t="n">
        <v>4</v>
      </c>
      <c r="AO242" s="3" t="n">
        <v>5</v>
      </c>
    </row>
    <row r="243" customFormat="false" ht="15" hidden="false" customHeight="false" outlineLevel="0" collapsed="false">
      <c r="A243" s="3" t="n">
        <v>0</v>
      </c>
      <c r="B243" s="3" t="n">
        <v>4</v>
      </c>
      <c r="C243" s="3" t="n">
        <v>1</v>
      </c>
      <c r="D243" s="3" t="n">
        <v>1</v>
      </c>
      <c r="E243" s="3" t="n">
        <v>2</v>
      </c>
      <c r="F243" s="3" t="n">
        <v>2</v>
      </c>
      <c r="G243" s="3" t="n">
        <v>1</v>
      </c>
      <c r="H243" s="3" t="n">
        <v>2</v>
      </c>
      <c r="I243" s="3" t="n">
        <v>2</v>
      </c>
      <c r="J243" s="3" t="n">
        <v>27</v>
      </c>
      <c r="K243" s="3" t="n">
        <v>3</v>
      </c>
      <c r="L243" s="3" t="n">
        <v>3</v>
      </c>
      <c r="M243" s="3" t="n">
        <v>4</v>
      </c>
      <c r="N243" s="3" t="n">
        <v>3</v>
      </c>
      <c r="O243" s="3" t="n">
        <v>3</v>
      </c>
      <c r="P243" s="3" t="n">
        <v>5</v>
      </c>
      <c r="Q243" s="3" t="n">
        <v>4</v>
      </c>
      <c r="R243" s="3" t="n">
        <v>4</v>
      </c>
      <c r="S243" s="3" t="n">
        <v>5</v>
      </c>
      <c r="T243" s="3" t="n">
        <v>5</v>
      </c>
      <c r="U243" s="3" t="n">
        <v>5</v>
      </c>
      <c r="V243" s="3" t="n">
        <v>4</v>
      </c>
      <c r="W243" s="3" t="n">
        <v>3</v>
      </c>
      <c r="X243" s="3" t="n">
        <v>3</v>
      </c>
      <c r="Y243" s="3" t="n">
        <v>3</v>
      </c>
      <c r="Z243" s="3" t="n">
        <v>4</v>
      </c>
      <c r="AA243" s="3" t="n">
        <v>4</v>
      </c>
      <c r="AB243" s="3" t="n">
        <v>3</v>
      </c>
      <c r="AC243" s="3" t="n">
        <v>3</v>
      </c>
      <c r="AD243" s="3" t="n">
        <v>3</v>
      </c>
      <c r="AE243" s="3" t="n">
        <v>4</v>
      </c>
      <c r="AF243" s="3" t="n">
        <v>4</v>
      </c>
      <c r="AG243" s="3" t="n">
        <v>4</v>
      </c>
      <c r="AH243" s="3" t="n">
        <v>3</v>
      </c>
      <c r="AI243" s="3" t="n">
        <v>4</v>
      </c>
      <c r="AJ243" s="3" t="n">
        <v>5</v>
      </c>
      <c r="AK243" s="3" t="n">
        <v>5</v>
      </c>
      <c r="AL243" s="3" t="n">
        <v>5</v>
      </c>
      <c r="AM243" s="3" t="n">
        <v>3</v>
      </c>
      <c r="AN243" s="3" t="n">
        <v>3</v>
      </c>
      <c r="AO243" s="3" t="n">
        <v>3</v>
      </c>
    </row>
    <row r="244" customFormat="false" ht="15" hidden="false" customHeight="false" outlineLevel="0" collapsed="false">
      <c r="A244" s="3" t="n">
        <v>0</v>
      </c>
      <c r="B244" s="3" t="n">
        <v>4</v>
      </c>
      <c r="C244" s="3" t="n">
        <v>2</v>
      </c>
      <c r="D244" s="3" t="n">
        <v>1</v>
      </c>
      <c r="E244" s="3" t="n">
        <v>2</v>
      </c>
      <c r="F244" s="3" t="n">
        <v>2</v>
      </c>
      <c r="G244" s="3" t="n">
        <v>1</v>
      </c>
      <c r="H244" s="3" t="n">
        <v>2</v>
      </c>
      <c r="I244" s="3" t="n">
        <v>3</v>
      </c>
      <c r="J244" s="3" t="n">
        <v>26</v>
      </c>
      <c r="K244" s="3" t="n">
        <v>3</v>
      </c>
      <c r="L244" s="3" t="n">
        <v>3</v>
      </c>
      <c r="M244" s="3" t="n">
        <v>3</v>
      </c>
      <c r="N244" s="3" t="n">
        <v>4</v>
      </c>
      <c r="O244" s="3" t="n">
        <v>2</v>
      </c>
      <c r="P244" s="3" t="n">
        <v>3</v>
      </c>
      <c r="Q244" s="3" t="n">
        <v>3</v>
      </c>
      <c r="R244" s="3" t="n">
        <v>2</v>
      </c>
      <c r="S244" s="3" t="n">
        <v>5</v>
      </c>
      <c r="T244" s="3" t="n">
        <v>5</v>
      </c>
      <c r="U244" s="3" t="n">
        <v>5</v>
      </c>
      <c r="V244" s="3" t="n">
        <v>3</v>
      </c>
      <c r="W244" s="3" t="n">
        <v>4</v>
      </c>
      <c r="X244" s="3" t="n">
        <v>4</v>
      </c>
      <c r="Y244" s="3" t="n">
        <v>4</v>
      </c>
      <c r="Z244" s="3" t="n">
        <v>4</v>
      </c>
      <c r="AA244" s="3" t="n">
        <v>4</v>
      </c>
      <c r="AB244" s="3" t="n">
        <v>3</v>
      </c>
      <c r="AC244" s="3" t="n">
        <v>1</v>
      </c>
      <c r="AD244" s="3" t="n">
        <v>1</v>
      </c>
      <c r="AE244" s="3" t="n">
        <v>4</v>
      </c>
      <c r="AF244" s="3" t="n">
        <v>3</v>
      </c>
      <c r="AG244" s="3" t="n">
        <v>4</v>
      </c>
      <c r="AH244" s="3" t="n">
        <v>5</v>
      </c>
      <c r="AI244" s="3" t="n">
        <v>4</v>
      </c>
      <c r="AJ244" s="3" t="n">
        <v>4</v>
      </c>
      <c r="AK244" s="3" t="n">
        <v>2</v>
      </c>
      <c r="AL244" s="3" t="n">
        <v>4</v>
      </c>
      <c r="AM244" s="3" t="n">
        <v>3</v>
      </c>
      <c r="AN244" s="3" t="n">
        <v>2</v>
      </c>
      <c r="AO244" s="3" t="n">
        <v>2</v>
      </c>
    </row>
    <row r="245" customFormat="false" ht="15" hidden="false" customHeight="false" outlineLevel="0" collapsed="false">
      <c r="A245" s="3" t="n">
        <v>0</v>
      </c>
      <c r="B245" s="3" t="n">
        <v>4</v>
      </c>
      <c r="C245" s="3" t="n">
        <v>1</v>
      </c>
      <c r="D245" s="3" t="n">
        <v>1</v>
      </c>
      <c r="E245" s="3" t="n">
        <v>2</v>
      </c>
      <c r="F245" s="3" t="n">
        <v>2</v>
      </c>
      <c r="G245" s="3" t="n">
        <v>3</v>
      </c>
      <c r="H245" s="3" t="n">
        <v>3</v>
      </c>
      <c r="I245" s="3" t="n">
        <v>1</v>
      </c>
      <c r="J245" s="3" t="n">
        <v>25</v>
      </c>
      <c r="K245" s="3" t="n">
        <v>3</v>
      </c>
      <c r="L245" s="3" t="n">
        <v>2</v>
      </c>
      <c r="M245" s="3" t="n">
        <v>3</v>
      </c>
      <c r="N245" s="3" t="n">
        <v>4</v>
      </c>
      <c r="O245" s="3" t="n">
        <v>4</v>
      </c>
      <c r="P245" s="3" t="n">
        <v>4</v>
      </c>
      <c r="Q245" s="3" t="n">
        <v>3</v>
      </c>
      <c r="R245" s="3" t="n">
        <v>3</v>
      </c>
      <c r="S245" s="3" t="n">
        <v>3</v>
      </c>
      <c r="T245" s="3" t="n">
        <v>5</v>
      </c>
      <c r="U245" s="3" t="n">
        <v>4</v>
      </c>
      <c r="V245" s="3" t="n">
        <v>3</v>
      </c>
      <c r="W245" s="3" t="n">
        <v>4</v>
      </c>
      <c r="X245" s="3" t="n">
        <v>4</v>
      </c>
      <c r="Y245" s="3" t="n">
        <v>4</v>
      </c>
      <c r="Z245" s="3" t="n">
        <v>4</v>
      </c>
      <c r="AA245" s="3" t="n">
        <v>1</v>
      </c>
      <c r="AB245" s="3" t="n">
        <v>1</v>
      </c>
      <c r="AC245" s="3" t="n">
        <v>3</v>
      </c>
      <c r="AD245" s="3" t="n">
        <v>2</v>
      </c>
      <c r="AE245" s="3" t="n">
        <v>2</v>
      </c>
      <c r="AF245" s="3" t="n">
        <v>3</v>
      </c>
      <c r="AG245" s="3" t="n">
        <v>2</v>
      </c>
      <c r="AH245" s="3" t="n">
        <v>4</v>
      </c>
      <c r="AI245" s="3" t="n">
        <v>4</v>
      </c>
      <c r="AJ245" s="3" t="n">
        <v>5</v>
      </c>
      <c r="AK245" s="3" t="n">
        <v>2</v>
      </c>
      <c r="AL245" s="3" t="n">
        <v>4</v>
      </c>
      <c r="AM245" s="3" t="n">
        <v>3</v>
      </c>
      <c r="AN245" s="3" t="n">
        <v>2</v>
      </c>
      <c r="AO245" s="3" t="n">
        <v>3</v>
      </c>
    </row>
    <row r="246" customFormat="false" ht="15" hidden="false" customHeight="false" outlineLevel="0" collapsed="false">
      <c r="A246" s="3" t="n">
        <v>1</v>
      </c>
      <c r="B246" s="3" t="n">
        <v>3</v>
      </c>
      <c r="C246" s="3" t="n">
        <v>2</v>
      </c>
      <c r="D246" s="3" t="n">
        <v>1</v>
      </c>
      <c r="E246" s="3" t="n">
        <v>2</v>
      </c>
      <c r="F246" s="3" t="n">
        <v>2</v>
      </c>
      <c r="G246" s="3" t="n">
        <v>3</v>
      </c>
      <c r="H246" s="3" t="n">
        <v>3</v>
      </c>
      <c r="I246" s="3" t="n">
        <v>1</v>
      </c>
      <c r="J246" s="3" t="n">
        <v>22</v>
      </c>
      <c r="K246" s="3" t="n">
        <v>3</v>
      </c>
      <c r="L246" s="3" t="n">
        <v>3</v>
      </c>
      <c r="M246" s="3" t="n">
        <v>4</v>
      </c>
      <c r="N246" s="3" t="n">
        <v>4</v>
      </c>
      <c r="O246" s="3" t="n">
        <v>4</v>
      </c>
      <c r="P246" s="3" t="n">
        <v>2</v>
      </c>
      <c r="Q246" s="3" t="n">
        <v>4</v>
      </c>
      <c r="R246" s="3" t="n">
        <v>4</v>
      </c>
      <c r="S246" s="3" t="n">
        <v>3</v>
      </c>
      <c r="T246" s="3" t="n">
        <v>4</v>
      </c>
      <c r="U246" s="3" t="n">
        <v>4</v>
      </c>
      <c r="V246" s="3" t="n">
        <v>4</v>
      </c>
      <c r="W246" s="3" t="n">
        <v>4</v>
      </c>
      <c r="X246" s="3" t="n">
        <v>2</v>
      </c>
      <c r="Y246" s="3" t="n">
        <v>2</v>
      </c>
      <c r="Z246" s="3" t="n">
        <v>4</v>
      </c>
      <c r="AA246" s="3" t="n">
        <v>2</v>
      </c>
      <c r="AB246" s="3" t="n">
        <v>4</v>
      </c>
      <c r="AC246" s="3" t="n">
        <v>4</v>
      </c>
      <c r="AD246" s="3" t="n">
        <v>2</v>
      </c>
      <c r="AE246" s="3" t="n">
        <v>2</v>
      </c>
      <c r="AF246" s="3" t="n">
        <v>2</v>
      </c>
      <c r="AG246" s="3" t="n">
        <v>2</v>
      </c>
      <c r="AH246" s="3" t="n">
        <v>2</v>
      </c>
      <c r="AI246" s="3" t="n">
        <v>2</v>
      </c>
      <c r="AJ246" s="3" t="n">
        <v>4</v>
      </c>
      <c r="AK246" s="3" t="n">
        <v>2</v>
      </c>
      <c r="AL246" s="3" t="n">
        <v>2</v>
      </c>
      <c r="AM246" s="3" t="n">
        <v>3</v>
      </c>
      <c r="AN246" s="3" t="n">
        <v>2</v>
      </c>
      <c r="AO246" s="3" t="n">
        <v>2</v>
      </c>
    </row>
    <row r="247" customFormat="false" ht="15" hidden="false" customHeight="false" outlineLevel="0" collapsed="false">
      <c r="A247" s="3" t="n">
        <v>1</v>
      </c>
      <c r="B247" s="3" t="n">
        <v>3</v>
      </c>
      <c r="C247" s="3" t="n">
        <v>1</v>
      </c>
      <c r="D247" s="3" t="n">
        <v>1</v>
      </c>
      <c r="E247" s="3" t="n">
        <v>2</v>
      </c>
      <c r="F247" s="3" t="n">
        <v>2</v>
      </c>
      <c r="G247" s="3" t="n">
        <v>3</v>
      </c>
      <c r="H247" s="3" t="n">
        <v>2</v>
      </c>
      <c r="I247" s="3" t="n">
        <v>1</v>
      </c>
      <c r="J247" s="3" t="n">
        <v>23</v>
      </c>
      <c r="K247" s="3" t="n">
        <v>2</v>
      </c>
      <c r="L247" s="3" t="n">
        <v>3</v>
      </c>
      <c r="M247" s="3" t="n">
        <v>2</v>
      </c>
      <c r="N247" s="3" t="n">
        <v>3</v>
      </c>
      <c r="O247" s="3" t="n">
        <v>3</v>
      </c>
      <c r="P247" s="3" t="n">
        <v>3</v>
      </c>
      <c r="Q247" s="3" t="n">
        <v>4</v>
      </c>
      <c r="R247" s="3" t="n">
        <v>5</v>
      </c>
      <c r="S247" s="3" t="n">
        <v>5</v>
      </c>
      <c r="T247" s="3" t="n">
        <v>5</v>
      </c>
      <c r="U247" s="3" t="n">
        <v>5</v>
      </c>
      <c r="V247" s="3" t="n">
        <v>4</v>
      </c>
      <c r="W247" s="3" t="n">
        <v>2</v>
      </c>
      <c r="X247" s="3" t="n">
        <v>2</v>
      </c>
      <c r="Y247" s="3" t="n">
        <v>3</v>
      </c>
      <c r="Z247" s="3" t="n">
        <v>3</v>
      </c>
      <c r="AA247" s="3" t="n">
        <v>5</v>
      </c>
      <c r="AB247" s="3" t="n">
        <v>3</v>
      </c>
      <c r="AC247" s="3" t="n">
        <v>2</v>
      </c>
      <c r="AD247" s="3" t="n">
        <v>1</v>
      </c>
      <c r="AE247" s="3" t="n">
        <v>3</v>
      </c>
      <c r="AF247" s="3" t="n">
        <v>1</v>
      </c>
      <c r="AG247" s="3" t="n">
        <v>5</v>
      </c>
      <c r="AH247" s="3" t="n">
        <v>5</v>
      </c>
      <c r="AI247" s="3" t="n">
        <v>3</v>
      </c>
      <c r="AJ247" s="3" t="n">
        <v>2</v>
      </c>
      <c r="AK247" s="3" t="n">
        <v>3</v>
      </c>
      <c r="AL247" s="3" t="n">
        <v>4</v>
      </c>
      <c r="AM247" s="3" t="n">
        <v>3</v>
      </c>
      <c r="AN247" s="3" t="n">
        <v>2</v>
      </c>
      <c r="AO247" s="3" t="n">
        <v>3</v>
      </c>
    </row>
    <row r="248" customFormat="false" ht="15" hidden="false" customHeight="false" outlineLevel="0" collapsed="false">
      <c r="A248" s="3" t="n">
        <v>1</v>
      </c>
      <c r="B248" s="3" t="n">
        <v>4</v>
      </c>
      <c r="C248" s="3" t="n">
        <v>1</v>
      </c>
      <c r="D248" s="3" t="n">
        <v>1</v>
      </c>
      <c r="E248" s="3" t="n">
        <v>1</v>
      </c>
      <c r="F248" s="3" t="n">
        <v>2</v>
      </c>
      <c r="G248" s="3" t="n">
        <v>4</v>
      </c>
      <c r="H248" s="3" t="n">
        <v>2</v>
      </c>
      <c r="I248" s="3" t="n">
        <v>3</v>
      </c>
      <c r="J248" s="3" t="n">
        <v>25</v>
      </c>
      <c r="K248" s="3" t="n">
        <v>3</v>
      </c>
      <c r="L248" s="3" t="n">
        <v>1</v>
      </c>
      <c r="M248" s="3" t="n">
        <v>1</v>
      </c>
      <c r="N248" s="3" t="n">
        <v>1</v>
      </c>
      <c r="O248" s="3" t="n">
        <v>1</v>
      </c>
      <c r="P248" s="3" t="n">
        <v>3</v>
      </c>
      <c r="Q248" s="3" t="n">
        <v>3</v>
      </c>
      <c r="R248" s="3" t="n">
        <v>3</v>
      </c>
      <c r="S248" s="3" t="n">
        <v>1</v>
      </c>
      <c r="T248" s="3" t="n">
        <v>1</v>
      </c>
      <c r="U248" s="3" t="n">
        <v>1</v>
      </c>
      <c r="V248" s="3" t="n">
        <v>1</v>
      </c>
      <c r="W248" s="3" t="n">
        <v>3</v>
      </c>
      <c r="X248" s="3" t="n">
        <v>3</v>
      </c>
      <c r="Y248" s="3" t="n">
        <v>1</v>
      </c>
      <c r="Z248" s="3" t="n">
        <v>1</v>
      </c>
      <c r="AA248" s="3" t="n">
        <v>3</v>
      </c>
      <c r="AB248" s="3" t="n">
        <v>3</v>
      </c>
      <c r="AC248" s="3" t="n">
        <v>3</v>
      </c>
      <c r="AD248" s="3" t="n">
        <v>3</v>
      </c>
      <c r="AE248" s="3" t="n">
        <v>1</v>
      </c>
      <c r="AF248" s="3" t="n">
        <v>3</v>
      </c>
      <c r="AG248" s="3" t="n">
        <v>1</v>
      </c>
      <c r="AH248" s="3" t="n">
        <v>3</v>
      </c>
      <c r="AI248" s="3" t="n">
        <v>3</v>
      </c>
      <c r="AJ248" s="3" t="n">
        <v>3</v>
      </c>
      <c r="AK248" s="3" t="n">
        <v>1</v>
      </c>
      <c r="AL248" s="3" t="n">
        <v>1</v>
      </c>
      <c r="AM248" s="3" t="n">
        <v>1</v>
      </c>
      <c r="AN248" s="3" t="n">
        <v>3</v>
      </c>
      <c r="AO248" s="3" t="n">
        <v>3</v>
      </c>
    </row>
    <row r="249" customFormat="false" ht="15" hidden="false" customHeight="false" outlineLevel="0" collapsed="false">
      <c r="A249" s="3" t="n">
        <v>0</v>
      </c>
      <c r="B249" s="3" t="n">
        <v>4</v>
      </c>
      <c r="C249" s="3" t="n">
        <v>1</v>
      </c>
      <c r="D249" s="3" t="n">
        <v>1</v>
      </c>
      <c r="E249" s="3" t="n">
        <v>2</v>
      </c>
      <c r="F249" s="3" t="n">
        <v>2</v>
      </c>
      <c r="G249" s="3" t="n">
        <v>3</v>
      </c>
      <c r="H249" s="3" t="n">
        <v>3</v>
      </c>
      <c r="I249" s="3" t="n">
        <v>3</v>
      </c>
      <c r="J249" s="3" t="n">
        <v>27</v>
      </c>
      <c r="K249" s="3" t="n">
        <v>5</v>
      </c>
      <c r="L249" s="3" t="n">
        <v>2</v>
      </c>
      <c r="M249" s="3" t="n">
        <v>2</v>
      </c>
      <c r="N249" s="3" t="n">
        <v>1</v>
      </c>
      <c r="O249" s="3" t="n">
        <v>5</v>
      </c>
      <c r="P249" s="3" t="n">
        <v>4</v>
      </c>
      <c r="Q249" s="3" t="n">
        <v>2</v>
      </c>
      <c r="R249" s="3" t="n">
        <v>1</v>
      </c>
      <c r="S249" s="3" t="n">
        <v>5</v>
      </c>
      <c r="T249" s="3" t="n">
        <v>5</v>
      </c>
      <c r="U249" s="3" t="n">
        <v>5</v>
      </c>
      <c r="V249" s="3" t="n">
        <v>4</v>
      </c>
      <c r="W249" s="3" t="n">
        <v>4</v>
      </c>
      <c r="X249" s="3" t="n">
        <v>4</v>
      </c>
      <c r="Y249" s="3" t="n">
        <v>2</v>
      </c>
      <c r="Z249" s="3" t="n">
        <v>5</v>
      </c>
      <c r="AA249" s="3" t="n">
        <v>2</v>
      </c>
      <c r="AB249" s="3" t="n">
        <v>1</v>
      </c>
      <c r="AC249" s="3" t="n">
        <v>1</v>
      </c>
      <c r="AD249" s="3" t="n">
        <v>1</v>
      </c>
      <c r="AE249" s="3" t="n">
        <v>5</v>
      </c>
      <c r="AF249" s="3" t="n">
        <v>2</v>
      </c>
      <c r="AG249" s="3" t="n">
        <v>4</v>
      </c>
      <c r="AH249" s="3" t="n">
        <v>2</v>
      </c>
      <c r="AI249" s="3" t="n">
        <v>4</v>
      </c>
      <c r="AJ249" s="3" t="n">
        <v>2</v>
      </c>
      <c r="AK249" s="3" t="n">
        <v>5</v>
      </c>
      <c r="AL249" s="3" t="n">
        <v>5</v>
      </c>
      <c r="AM249" s="3" t="n">
        <v>2</v>
      </c>
      <c r="AN249" s="3" t="n">
        <v>2</v>
      </c>
      <c r="AO249" s="3" t="n">
        <v>1</v>
      </c>
    </row>
    <row r="250" customFormat="false" ht="15" hidden="false" customHeight="false" outlineLevel="0" collapsed="false">
      <c r="A250" s="3" t="n">
        <v>1</v>
      </c>
      <c r="B250" s="3" t="n">
        <v>3</v>
      </c>
      <c r="C250" s="3" t="n">
        <v>1</v>
      </c>
      <c r="D250" s="3" t="n">
        <v>1</v>
      </c>
      <c r="E250" s="3" t="n">
        <v>2</v>
      </c>
      <c r="F250" s="3" t="n">
        <v>2</v>
      </c>
      <c r="G250" s="3" t="n">
        <v>1</v>
      </c>
      <c r="H250" s="3" t="n">
        <v>2</v>
      </c>
      <c r="I250" s="3" t="n">
        <v>1</v>
      </c>
      <c r="J250" s="3" t="n">
        <v>24</v>
      </c>
      <c r="K250" s="3" t="n">
        <v>1</v>
      </c>
      <c r="L250" s="3" t="n">
        <v>3</v>
      </c>
      <c r="M250" s="3" t="n">
        <v>1</v>
      </c>
      <c r="N250" s="3" t="n">
        <v>4</v>
      </c>
      <c r="O250" s="3" t="n">
        <v>4</v>
      </c>
      <c r="P250" s="3" t="n">
        <v>5</v>
      </c>
      <c r="Q250" s="3" t="n">
        <v>5</v>
      </c>
      <c r="R250" s="3" t="n">
        <v>3</v>
      </c>
      <c r="S250" s="3" t="n">
        <v>5</v>
      </c>
      <c r="T250" s="3" t="n">
        <v>5</v>
      </c>
      <c r="U250" s="3" t="n">
        <v>5</v>
      </c>
      <c r="V250" s="3" t="n">
        <v>4</v>
      </c>
      <c r="W250" s="3" t="n">
        <v>5</v>
      </c>
      <c r="X250" s="3" t="n">
        <v>4</v>
      </c>
      <c r="Y250" s="3" t="n">
        <v>5</v>
      </c>
      <c r="Z250" s="3" t="n">
        <v>5</v>
      </c>
      <c r="AA250" s="3" t="n">
        <v>5</v>
      </c>
      <c r="AB250" s="3" t="n">
        <v>5</v>
      </c>
      <c r="AC250" s="3" t="n">
        <v>1</v>
      </c>
      <c r="AD250" s="3" t="n">
        <v>1</v>
      </c>
      <c r="AE250" s="3" t="n">
        <v>4</v>
      </c>
      <c r="AF250" s="3" t="n">
        <v>2</v>
      </c>
      <c r="AG250" s="3" t="n">
        <v>4</v>
      </c>
      <c r="AH250" s="3" t="n">
        <v>2</v>
      </c>
      <c r="AI250" s="3" t="n">
        <v>2</v>
      </c>
      <c r="AJ250" s="3" t="n">
        <v>5</v>
      </c>
      <c r="AK250" s="3" t="n">
        <v>2</v>
      </c>
      <c r="AL250" s="3" t="n">
        <v>5</v>
      </c>
      <c r="AM250" s="3" t="n">
        <v>3</v>
      </c>
      <c r="AN250" s="3" t="n">
        <v>2</v>
      </c>
      <c r="AO250" s="3" t="n">
        <v>5</v>
      </c>
    </row>
    <row r="251" customFormat="false" ht="15" hidden="false" customHeight="false" outlineLevel="0" collapsed="false">
      <c r="A251" s="3" t="n">
        <v>1</v>
      </c>
      <c r="B251" s="3" t="n">
        <v>4</v>
      </c>
      <c r="C251" s="3" t="n">
        <v>1</v>
      </c>
      <c r="D251" s="3" t="n">
        <v>1</v>
      </c>
      <c r="E251" s="3" t="n">
        <v>2</v>
      </c>
      <c r="F251" s="3" t="n">
        <v>2</v>
      </c>
      <c r="G251" s="3" t="n">
        <v>1</v>
      </c>
      <c r="H251" s="3" t="n">
        <v>2</v>
      </c>
      <c r="I251" s="3" t="n">
        <v>1</v>
      </c>
      <c r="J251" s="3" t="n">
        <v>23</v>
      </c>
      <c r="K251" s="3" t="n">
        <v>3</v>
      </c>
      <c r="L251" s="3" t="n">
        <v>3</v>
      </c>
      <c r="M251" s="3" t="n">
        <v>2</v>
      </c>
      <c r="N251" s="3" t="n">
        <v>2</v>
      </c>
      <c r="O251" s="3" t="n">
        <v>4</v>
      </c>
      <c r="P251" s="3" t="n">
        <v>4</v>
      </c>
      <c r="Q251" s="3" t="n">
        <v>2</v>
      </c>
      <c r="R251" s="3" t="n">
        <v>2</v>
      </c>
      <c r="S251" s="3" t="n">
        <v>4</v>
      </c>
      <c r="T251" s="3" t="n">
        <v>5</v>
      </c>
      <c r="U251" s="3" t="n">
        <v>4</v>
      </c>
      <c r="V251" s="3" t="n">
        <v>4</v>
      </c>
      <c r="W251" s="3" t="n">
        <v>5</v>
      </c>
      <c r="X251" s="3" t="n">
        <v>3</v>
      </c>
      <c r="Y251" s="3" t="n">
        <v>4</v>
      </c>
      <c r="Z251" s="3" t="n">
        <v>4</v>
      </c>
      <c r="AA251" s="3" t="n">
        <v>4</v>
      </c>
      <c r="AB251" s="3" t="n">
        <v>2</v>
      </c>
      <c r="AC251" s="3" t="n">
        <v>2</v>
      </c>
      <c r="AD251" s="3" t="n">
        <v>2</v>
      </c>
      <c r="AE251" s="3" t="n">
        <v>3</v>
      </c>
      <c r="AF251" s="3" t="n">
        <v>2</v>
      </c>
      <c r="AG251" s="3" t="n">
        <v>3</v>
      </c>
      <c r="AH251" s="3" t="n">
        <v>3</v>
      </c>
      <c r="AI251" s="3" t="n">
        <v>2</v>
      </c>
      <c r="AJ251" s="3" t="n">
        <v>2</v>
      </c>
      <c r="AK251" s="3" t="n">
        <v>2</v>
      </c>
      <c r="AL251" s="3" t="n">
        <v>3</v>
      </c>
      <c r="AM251" s="3" t="n">
        <v>3</v>
      </c>
      <c r="AN251" s="3" t="n">
        <v>4</v>
      </c>
      <c r="AO251" s="3" t="n">
        <v>2</v>
      </c>
    </row>
    <row r="252" customFormat="false" ht="15" hidden="false" customHeight="false" outlineLevel="0" collapsed="false">
      <c r="A252" s="3" t="n">
        <v>1</v>
      </c>
      <c r="B252" s="3" t="n">
        <v>4</v>
      </c>
      <c r="C252" s="3" t="n">
        <v>1</v>
      </c>
      <c r="D252" s="3" t="n">
        <v>2</v>
      </c>
      <c r="E252" s="3" t="n">
        <v>2</v>
      </c>
      <c r="F252" s="3" t="n">
        <v>2</v>
      </c>
      <c r="G252" s="3" t="n">
        <v>1</v>
      </c>
      <c r="H252" s="3" t="n">
        <v>1</v>
      </c>
      <c r="I252" s="3" t="n">
        <v>3</v>
      </c>
      <c r="J252" s="3" t="n">
        <v>25</v>
      </c>
      <c r="K252" s="3" t="n">
        <v>4</v>
      </c>
      <c r="L252" s="3" t="n">
        <v>3</v>
      </c>
      <c r="M252" s="3" t="n">
        <v>4</v>
      </c>
      <c r="N252" s="3" t="n">
        <v>3</v>
      </c>
      <c r="O252" s="3" t="n">
        <v>4</v>
      </c>
      <c r="P252" s="3" t="n">
        <v>3</v>
      </c>
      <c r="Q252" s="3" t="n">
        <v>4</v>
      </c>
      <c r="R252" s="3" t="n">
        <v>3</v>
      </c>
      <c r="S252" s="3" t="n">
        <v>5</v>
      </c>
      <c r="T252" s="3" t="n">
        <v>5</v>
      </c>
      <c r="U252" s="3" t="n">
        <v>4</v>
      </c>
      <c r="V252" s="3" t="n">
        <v>3</v>
      </c>
      <c r="W252" s="3" t="n">
        <v>5</v>
      </c>
      <c r="X252" s="3" t="n">
        <v>2</v>
      </c>
      <c r="Y252" s="3" t="n">
        <v>2</v>
      </c>
      <c r="Z252" s="3" t="n">
        <v>4</v>
      </c>
      <c r="AA252" s="3" t="n">
        <v>3</v>
      </c>
      <c r="AB252" s="3" t="n">
        <v>3</v>
      </c>
      <c r="AC252" s="3" t="n">
        <v>1</v>
      </c>
      <c r="AD252" s="3" t="n">
        <v>1</v>
      </c>
      <c r="AE252" s="3" t="n">
        <v>3</v>
      </c>
      <c r="AF252" s="3" t="n">
        <v>4</v>
      </c>
      <c r="AG252" s="3" t="n">
        <v>5</v>
      </c>
      <c r="AH252" s="3" t="n">
        <v>4</v>
      </c>
      <c r="AI252" s="3" t="n">
        <v>4</v>
      </c>
      <c r="AJ252" s="3" t="n">
        <v>4</v>
      </c>
      <c r="AK252" s="3" t="n">
        <v>3</v>
      </c>
      <c r="AL252" s="3" t="n">
        <v>3</v>
      </c>
      <c r="AM252" s="3" t="n">
        <v>4</v>
      </c>
      <c r="AN252" s="3" t="n">
        <v>4</v>
      </c>
      <c r="AO252" s="3" t="n">
        <v>4</v>
      </c>
    </row>
    <row r="253" customFormat="false" ht="15" hidden="false" customHeight="false" outlineLevel="0" collapsed="false">
      <c r="A253" s="3" t="n">
        <v>0</v>
      </c>
      <c r="B253" s="3" t="n">
        <v>4</v>
      </c>
      <c r="C253" s="3" t="n">
        <v>1</v>
      </c>
      <c r="D253" s="3" t="n">
        <v>1</v>
      </c>
      <c r="E253" s="3" t="n">
        <v>2</v>
      </c>
      <c r="F253" s="3" t="n">
        <v>2</v>
      </c>
      <c r="G253" s="3" t="n">
        <v>2</v>
      </c>
      <c r="H253" s="3" t="n">
        <v>2</v>
      </c>
      <c r="I253" s="3" t="n">
        <v>3</v>
      </c>
      <c r="J253" s="3" t="n">
        <v>26</v>
      </c>
      <c r="K253" s="3" t="n">
        <v>4</v>
      </c>
      <c r="L253" s="3" t="n">
        <v>3</v>
      </c>
      <c r="M253" s="3" t="n">
        <v>2</v>
      </c>
      <c r="N253" s="3" t="n">
        <v>3</v>
      </c>
      <c r="O253" s="3" t="n">
        <v>5</v>
      </c>
      <c r="P253" s="3" t="n">
        <v>4</v>
      </c>
      <c r="Q253" s="3" t="n">
        <v>4</v>
      </c>
      <c r="R253" s="3" t="n">
        <v>4</v>
      </c>
      <c r="S253" s="3" t="n">
        <v>4</v>
      </c>
      <c r="T253" s="3" t="n">
        <v>5</v>
      </c>
      <c r="U253" s="3" t="n">
        <v>4</v>
      </c>
      <c r="V253" s="3" t="n">
        <v>4</v>
      </c>
      <c r="W253" s="3" t="n">
        <v>5</v>
      </c>
      <c r="X253" s="3" t="n">
        <v>4</v>
      </c>
      <c r="Y253" s="3" t="n">
        <v>3</v>
      </c>
      <c r="Z253" s="3" t="n">
        <v>4</v>
      </c>
      <c r="AA253" s="3" t="n">
        <v>4</v>
      </c>
      <c r="AB253" s="3" t="n">
        <v>2</v>
      </c>
      <c r="AC253" s="3" t="n">
        <v>1</v>
      </c>
      <c r="AD253" s="3" t="n">
        <v>1</v>
      </c>
      <c r="AE253" s="3" t="n">
        <v>3</v>
      </c>
      <c r="AF253" s="3" t="n">
        <v>3</v>
      </c>
      <c r="AG253" s="3" t="n">
        <v>3</v>
      </c>
      <c r="AH253" s="3" t="n">
        <v>5</v>
      </c>
      <c r="AI253" s="3" t="n">
        <v>4</v>
      </c>
      <c r="AJ253" s="3" t="n">
        <v>3</v>
      </c>
      <c r="AK253" s="3" t="n">
        <v>5</v>
      </c>
      <c r="AL253" s="3" t="n">
        <v>5</v>
      </c>
      <c r="AM253" s="3" t="n">
        <v>4</v>
      </c>
      <c r="AN253" s="3" t="n">
        <v>3</v>
      </c>
      <c r="AO253" s="3" t="n">
        <v>3</v>
      </c>
    </row>
    <row r="254" customFormat="false" ht="15" hidden="false" customHeight="false" outlineLevel="0" collapsed="false">
      <c r="A254" s="3" t="n">
        <v>0</v>
      </c>
      <c r="B254" s="3" t="n">
        <v>1</v>
      </c>
      <c r="C254" s="3" t="n">
        <v>1</v>
      </c>
      <c r="D254" s="3" t="n">
        <v>1</v>
      </c>
      <c r="E254" s="3" t="n">
        <v>2</v>
      </c>
      <c r="F254" s="3" t="n">
        <v>2</v>
      </c>
      <c r="G254" s="3" t="n">
        <v>3</v>
      </c>
      <c r="H254" s="3" t="n">
        <v>2</v>
      </c>
      <c r="I254" s="3" t="n">
        <v>2</v>
      </c>
      <c r="J254" s="3" t="n">
        <v>24</v>
      </c>
      <c r="K254" s="3" t="n">
        <v>4</v>
      </c>
      <c r="L254" s="3" t="n">
        <v>2</v>
      </c>
      <c r="M254" s="3" t="n">
        <v>4</v>
      </c>
      <c r="N254" s="3" t="n">
        <v>4</v>
      </c>
      <c r="O254" s="3" t="n">
        <v>4</v>
      </c>
      <c r="P254" s="3" t="n">
        <v>2</v>
      </c>
      <c r="Q254" s="3" t="n">
        <v>4</v>
      </c>
      <c r="R254" s="3" t="n">
        <v>4</v>
      </c>
      <c r="S254" s="3" t="n">
        <v>4</v>
      </c>
      <c r="T254" s="3" t="n">
        <v>4</v>
      </c>
      <c r="U254" s="3" t="n">
        <v>4</v>
      </c>
      <c r="V254" s="3" t="n">
        <v>4</v>
      </c>
      <c r="W254" s="3" t="n">
        <v>2</v>
      </c>
      <c r="X254" s="3" t="n">
        <v>2</v>
      </c>
      <c r="Y254" s="3" t="n">
        <v>2</v>
      </c>
      <c r="Z254" s="3" t="n">
        <v>4</v>
      </c>
      <c r="AA254" s="3" t="n">
        <v>2</v>
      </c>
      <c r="AB254" s="3" t="n">
        <v>5</v>
      </c>
      <c r="AC254" s="3" t="n">
        <v>2</v>
      </c>
      <c r="AD254" s="3" t="n">
        <v>4</v>
      </c>
      <c r="AE254" s="3" t="n">
        <v>4</v>
      </c>
      <c r="AF254" s="3" t="n">
        <v>2</v>
      </c>
      <c r="AG254" s="3" t="n">
        <v>5</v>
      </c>
      <c r="AH254" s="3" t="n">
        <v>5</v>
      </c>
      <c r="AI254" s="3" t="n">
        <v>2</v>
      </c>
      <c r="AJ254" s="3" t="n">
        <v>4</v>
      </c>
      <c r="AK254" s="3" t="n">
        <v>4</v>
      </c>
      <c r="AL254" s="3" t="n">
        <v>5</v>
      </c>
      <c r="AM254" s="3" t="n">
        <v>4</v>
      </c>
      <c r="AN254" s="3" t="n">
        <v>4</v>
      </c>
      <c r="AO254" s="3" t="n">
        <v>4</v>
      </c>
    </row>
    <row r="255" customFormat="false" ht="15" hidden="false" customHeight="false" outlineLevel="0" collapsed="false">
      <c r="A255" s="3" t="n">
        <v>0</v>
      </c>
      <c r="B255" s="3" t="n">
        <v>3</v>
      </c>
      <c r="C255" s="3" t="n">
        <v>2</v>
      </c>
      <c r="D255" s="3" t="n">
        <v>1</v>
      </c>
      <c r="E255" s="3" t="n">
        <v>1</v>
      </c>
      <c r="F255" s="3" t="n">
        <v>2</v>
      </c>
      <c r="G255" s="3" t="n">
        <v>1</v>
      </c>
      <c r="H255" s="3" t="n">
        <v>3</v>
      </c>
      <c r="I255" s="3" t="n">
        <v>1</v>
      </c>
      <c r="J255" s="3" t="n">
        <v>22</v>
      </c>
      <c r="K255" s="3" t="n">
        <v>3</v>
      </c>
      <c r="L255" s="3" t="n">
        <v>3</v>
      </c>
      <c r="M255" s="3" t="n">
        <v>3</v>
      </c>
      <c r="N255" s="3" t="n">
        <v>4</v>
      </c>
      <c r="O255" s="3" t="n">
        <v>4</v>
      </c>
      <c r="P255" s="3" t="n">
        <v>3</v>
      </c>
      <c r="Q255" s="3" t="n">
        <v>3</v>
      </c>
      <c r="R255" s="3" t="n">
        <v>4</v>
      </c>
      <c r="S255" s="3" t="n">
        <v>3</v>
      </c>
      <c r="T255" s="3" t="n">
        <v>4</v>
      </c>
      <c r="U255" s="3" t="n">
        <v>3</v>
      </c>
      <c r="V255" s="3" t="n">
        <v>3</v>
      </c>
      <c r="W255" s="3" t="n">
        <v>4</v>
      </c>
      <c r="X255" s="3" t="n">
        <v>3</v>
      </c>
      <c r="Y255" s="3" t="n">
        <v>4</v>
      </c>
      <c r="Z255" s="3" t="n">
        <v>3</v>
      </c>
      <c r="AA255" s="3" t="n">
        <v>3</v>
      </c>
      <c r="AB255" s="3" t="n">
        <v>4</v>
      </c>
      <c r="AC255" s="3" t="n">
        <v>3</v>
      </c>
      <c r="AD255" s="3" t="n">
        <v>4</v>
      </c>
      <c r="AE255" s="3" t="n">
        <v>4</v>
      </c>
      <c r="AF255" s="3" t="n">
        <v>2</v>
      </c>
      <c r="AG255" s="3" t="n">
        <v>3</v>
      </c>
      <c r="AH255" s="3" t="n">
        <v>4</v>
      </c>
      <c r="AI255" s="3" t="n">
        <v>3</v>
      </c>
      <c r="AJ255" s="3" t="n">
        <v>4</v>
      </c>
      <c r="AK255" s="3" t="n">
        <v>3</v>
      </c>
      <c r="AL255" s="3" t="n">
        <v>3</v>
      </c>
      <c r="AM255" s="3" t="n">
        <v>4</v>
      </c>
      <c r="AN255" s="3" t="n">
        <v>3</v>
      </c>
      <c r="AO255" s="3" t="n">
        <v>3</v>
      </c>
    </row>
    <row r="256" customFormat="false" ht="15" hidden="false" customHeight="false" outlineLevel="0" collapsed="false">
      <c r="A256" s="3" t="n">
        <v>0</v>
      </c>
      <c r="B256" s="3" t="n">
        <v>4</v>
      </c>
      <c r="C256" s="3" t="n">
        <v>2</v>
      </c>
      <c r="D256" s="3" t="n">
        <v>1</v>
      </c>
      <c r="E256" s="3" t="n">
        <v>2</v>
      </c>
      <c r="F256" s="3" t="n">
        <v>2</v>
      </c>
      <c r="G256" s="3" t="n">
        <v>3</v>
      </c>
      <c r="H256" s="3" t="n">
        <v>2</v>
      </c>
      <c r="I256" s="3" t="n">
        <v>1</v>
      </c>
      <c r="J256" s="3" t="n">
        <v>23</v>
      </c>
      <c r="K256" s="3" t="n">
        <v>3</v>
      </c>
      <c r="L256" s="3" t="n">
        <v>3</v>
      </c>
      <c r="M256" s="3" t="n">
        <v>3</v>
      </c>
      <c r="N256" s="3" t="n">
        <v>4</v>
      </c>
      <c r="O256" s="3" t="n">
        <v>4</v>
      </c>
      <c r="P256" s="3" t="n">
        <v>2</v>
      </c>
      <c r="Q256" s="3" t="n">
        <v>2</v>
      </c>
      <c r="R256" s="3" t="n">
        <v>2</v>
      </c>
      <c r="S256" s="3" t="n">
        <v>4</v>
      </c>
      <c r="T256" s="3" t="n">
        <v>5</v>
      </c>
      <c r="U256" s="3" t="n">
        <v>4</v>
      </c>
      <c r="V256" s="3" t="n">
        <v>3</v>
      </c>
      <c r="W256" s="3" t="n">
        <v>4</v>
      </c>
      <c r="X256" s="3" t="n">
        <v>3</v>
      </c>
      <c r="Y256" s="3" t="n">
        <v>2</v>
      </c>
      <c r="Z256" s="3" t="n">
        <v>4</v>
      </c>
      <c r="AA256" s="3" t="n">
        <v>4</v>
      </c>
      <c r="AB256" s="3" t="n">
        <v>4</v>
      </c>
      <c r="AC256" s="3" t="n">
        <v>2</v>
      </c>
      <c r="AD256" s="3" t="n">
        <v>2</v>
      </c>
      <c r="AE256" s="3" t="n">
        <v>4</v>
      </c>
      <c r="AF256" s="3" t="n">
        <v>2</v>
      </c>
      <c r="AG256" s="3" t="n">
        <v>3</v>
      </c>
      <c r="AH256" s="3" t="n">
        <v>4</v>
      </c>
      <c r="AI256" s="3" t="n">
        <v>4</v>
      </c>
      <c r="AJ256" s="3" t="n">
        <v>4</v>
      </c>
      <c r="AK256" s="3" t="n">
        <v>2</v>
      </c>
      <c r="AL256" s="3" t="n">
        <v>4</v>
      </c>
      <c r="AM256" s="3" t="n">
        <v>3</v>
      </c>
      <c r="AN256" s="3" t="n">
        <v>3</v>
      </c>
      <c r="AO256" s="3" t="n">
        <v>3</v>
      </c>
    </row>
    <row r="257" customFormat="false" ht="15" hidden="false" customHeight="false" outlineLevel="0" collapsed="false">
      <c r="A257" s="3" t="n">
        <v>0</v>
      </c>
      <c r="B257" s="3" t="n">
        <v>4</v>
      </c>
      <c r="C257" s="3" t="n">
        <v>1</v>
      </c>
      <c r="D257" s="3" t="n">
        <v>2</v>
      </c>
      <c r="E257" s="3" t="n">
        <v>2</v>
      </c>
      <c r="F257" s="3" t="n">
        <v>2</v>
      </c>
      <c r="G257" s="3" t="n">
        <v>2</v>
      </c>
      <c r="H257" s="3" t="n">
        <v>1</v>
      </c>
      <c r="I257" s="3" t="n">
        <v>3</v>
      </c>
      <c r="J257" s="3" t="n">
        <v>25</v>
      </c>
      <c r="K257" s="3" t="n">
        <v>2</v>
      </c>
      <c r="L257" s="3" t="n">
        <v>3</v>
      </c>
      <c r="M257" s="3" t="n">
        <v>4</v>
      </c>
      <c r="N257" s="3" t="n">
        <v>3</v>
      </c>
      <c r="O257" s="3" t="n">
        <v>3</v>
      </c>
      <c r="P257" s="3" t="n">
        <v>2</v>
      </c>
      <c r="Q257" s="3" t="n">
        <v>2</v>
      </c>
      <c r="R257" s="3" t="n">
        <v>3</v>
      </c>
      <c r="S257" s="3" t="n">
        <v>4</v>
      </c>
      <c r="T257" s="3" t="n">
        <v>5</v>
      </c>
      <c r="U257" s="3" t="n">
        <v>4</v>
      </c>
      <c r="V257" s="3" t="n">
        <v>3</v>
      </c>
      <c r="W257" s="3" t="n">
        <v>4</v>
      </c>
      <c r="X257" s="3" t="n">
        <v>4</v>
      </c>
      <c r="Y257" s="3" t="n">
        <v>3</v>
      </c>
      <c r="Z257" s="3" t="n">
        <v>4</v>
      </c>
      <c r="AA257" s="3" t="n">
        <v>3</v>
      </c>
      <c r="AB257" s="3" t="n">
        <v>1</v>
      </c>
      <c r="AC257" s="3" t="n">
        <v>1</v>
      </c>
      <c r="AD257" s="3" t="n">
        <v>1</v>
      </c>
      <c r="AE257" s="3" t="n">
        <v>3</v>
      </c>
      <c r="AF257" s="3" t="n">
        <v>1</v>
      </c>
      <c r="AG257" s="3" t="n">
        <v>4</v>
      </c>
      <c r="AH257" s="3" t="n">
        <v>4</v>
      </c>
      <c r="AI257" s="3" t="n">
        <v>4</v>
      </c>
      <c r="AJ257" s="3" t="n">
        <v>3</v>
      </c>
      <c r="AK257" s="3" t="n">
        <v>2</v>
      </c>
      <c r="AL257" s="3" t="n">
        <v>4</v>
      </c>
      <c r="AM257" s="3" t="n">
        <v>3</v>
      </c>
      <c r="AN257" s="3" t="n">
        <v>4</v>
      </c>
      <c r="AO257" s="3" t="n">
        <v>2</v>
      </c>
    </row>
    <row r="258" customFormat="false" ht="15" hidden="false" customHeight="false" outlineLevel="0" collapsed="false">
      <c r="A258" s="3" t="n">
        <v>0</v>
      </c>
      <c r="B258" s="3" t="n">
        <v>3</v>
      </c>
      <c r="C258" s="3" t="n">
        <v>2</v>
      </c>
      <c r="D258" s="3" t="n">
        <v>1</v>
      </c>
      <c r="E258" s="3" t="n">
        <v>2</v>
      </c>
      <c r="F258" s="3" t="n">
        <v>2</v>
      </c>
      <c r="G258" s="3" t="n">
        <v>3</v>
      </c>
      <c r="H258" s="3" t="n">
        <v>2</v>
      </c>
      <c r="I258" s="3" t="n">
        <v>1</v>
      </c>
      <c r="J258" s="3" t="n">
        <v>22</v>
      </c>
      <c r="K258" s="3" t="n">
        <v>3</v>
      </c>
      <c r="L258" s="3" t="n">
        <v>2</v>
      </c>
      <c r="M258" s="3" t="n">
        <v>3</v>
      </c>
      <c r="N258" s="3" t="n">
        <v>3</v>
      </c>
      <c r="O258" s="3" t="n">
        <v>3</v>
      </c>
      <c r="P258" s="3" t="n">
        <v>2</v>
      </c>
      <c r="Q258" s="3" t="n">
        <v>2</v>
      </c>
      <c r="R258" s="3" t="n">
        <v>2</v>
      </c>
      <c r="S258" s="3" t="n">
        <v>4</v>
      </c>
      <c r="T258" s="3" t="n">
        <v>3</v>
      </c>
      <c r="U258" s="3" t="n">
        <v>3</v>
      </c>
      <c r="V258" s="3" t="n">
        <v>2</v>
      </c>
      <c r="W258" s="3" t="n">
        <v>5</v>
      </c>
      <c r="X258" s="3" t="n">
        <v>3</v>
      </c>
      <c r="Y258" s="3" t="n">
        <v>3</v>
      </c>
      <c r="Z258" s="3" t="n">
        <v>3</v>
      </c>
      <c r="AA258" s="3" t="n">
        <v>2</v>
      </c>
      <c r="AB258" s="3" t="n">
        <v>2</v>
      </c>
      <c r="AC258" s="3" t="n">
        <v>4</v>
      </c>
      <c r="AD258" s="3" t="n">
        <v>3</v>
      </c>
      <c r="AE258" s="3" t="n">
        <v>3</v>
      </c>
      <c r="AF258" s="3" t="n">
        <v>1</v>
      </c>
      <c r="AG258" s="3" t="n">
        <v>2</v>
      </c>
      <c r="AH258" s="3" t="n">
        <v>3</v>
      </c>
      <c r="AI258" s="3" t="n">
        <v>2</v>
      </c>
      <c r="AJ258" s="3" t="n">
        <v>5</v>
      </c>
      <c r="AK258" s="3" t="n">
        <v>2</v>
      </c>
      <c r="AL258" s="3" t="n">
        <v>2</v>
      </c>
      <c r="AM258" s="3" t="n">
        <v>3</v>
      </c>
      <c r="AN258" s="3" t="n">
        <v>4</v>
      </c>
      <c r="AO258" s="3" t="n">
        <v>3</v>
      </c>
    </row>
    <row r="259" customFormat="false" ht="15" hidden="false" customHeight="false" outlineLevel="0" collapsed="false">
      <c r="A259" s="3" t="n">
        <v>1</v>
      </c>
      <c r="B259" s="3" t="n">
        <v>6</v>
      </c>
      <c r="C259" s="3" t="n">
        <v>1</v>
      </c>
      <c r="D259" s="3" t="n">
        <v>1</v>
      </c>
      <c r="E259" s="3" t="n">
        <v>2</v>
      </c>
      <c r="F259" s="3" t="n">
        <v>2</v>
      </c>
      <c r="G259" s="3" t="n">
        <v>3</v>
      </c>
      <c r="H259" s="3" t="n">
        <v>1</v>
      </c>
      <c r="I259" s="3" t="n">
        <v>1</v>
      </c>
      <c r="J259" s="3" t="n">
        <v>21</v>
      </c>
      <c r="K259" s="3" t="n">
        <v>4</v>
      </c>
      <c r="L259" s="3" t="n">
        <v>4</v>
      </c>
      <c r="M259" s="3" t="n">
        <v>3</v>
      </c>
      <c r="N259" s="3" t="n">
        <v>4</v>
      </c>
      <c r="O259" s="3" t="n">
        <v>3</v>
      </c>
      <c r="P259" s="3" t="n">
        <v>3</v>
      </c>
      <c r="Q259" s="3" t="n">
        <v>2</v>
      </c>
      <c r="R259" s="3" t="n">
        <v>3</v>
      </c>
      <c r="S259" s="3" t="n">
        <v>5</v>
      </c>
      <c r="T259" s="3" t="n">
        <v>3</v>
      </c>
      <c r="U259" s="3" t="n">
        <v>4</v>
      </c>
      <c r="V259" s="3" t="n">
        <v>4</v>
      </c>
      <c r="W259" s="3" t="n">
        <v>3</v>
      </c>
      <c r="X259" s="3" t="n">
        <v>4</v>
      </c>
      <c r="Y259" s="3" t="n">
        <v>4</v>
      </c>
      <c r="Z259" s="3" t="n">
        <v>3</v>
      </c>
      <c r="AA259" s="3" t="n">
        <v>1</v>
      </c>
      <c r="AB259" s="3" t="n">
        <v>4</v>
      </c>
      <c r="AC259" s="3" t="n">
        <v>3</v>
      </c>
      <c r="AD259" s="3" t="n">
        <v>4</v>
      </c>
      <c r="AE259" s="3" t="n">
        <v>4</v>
      </c>
      <c r="AF259" s="3" t="n">
        <v>4</v>
      </c>
      <c r="AG259" s="3" t="n">
        <v>3</v>
      </c>
      <c r="AH259" s="3" t="n">
        <v>3</v>
      </c>
      <c r="AI259" s="3" t="n">
        <v>3</v>
      </c>
      <c r="AJ259" s="3" t="n">
        <v>4</v>
      </c>
      <c r="AK259" s="3" t="n">
        <v>4</v>
      </c>
      <c r="AL259" s="3" t="n">
        <v>2</v>
      </c>
      <c r="AM259" s="3" t="n">
        <v>4</v>
      </c>
      <c r="AN259" s="3" t="n">
        <v>2</v>
      </c>
      <c r="AO259" s="3" t="n">
        <v>4</v>
      </c>
    </row>
    <row r="260" customFormat="false" ht="15" hidden="false" customHeight="false" outlineLevel="0" collapsed="false">
      <c r="A260" s="3" t="n">
        <v>1</v>
      </c>
      <c r="B260" s="3" t="n">
        <v>4</v>
      </c>
      <c r="C260" s="3" t="n">
        <v>2</v>
      </c>
      <c r="D260" s="3" t="n">
        <v>1</v>
      </c>
      <c r="E260" s="3" t="n">
        <v>1</v>
      </c>
      <c r="F260" s="3" t="n">
        <v>2</v>
      </c>
      <c r="G260" s="3" t="n">
        <v>4</v>
      </c>
      <c r="H260" s="3" t="n">
        <v>2</v>
      </c>
      <c r="I260" s="3" t="n">
        <v>3</v>
      </c>
      <c r="J260" s="3" t="n">
        <v>25</v>
      </c>
      <c r="K260" s="3" t="n">
        <v>2</v>
      </c>
      <c r="L260" s="3" t="n">
        <v>3</v>
      </c>
      <c r="M260" s="3" t="n">
        <v>2</v>
      </c>
      <c r="N260" s="3" t="n">
        <v>3</v>
      </c>
      <c r="O260" s="3" t="n">
        <v>3</v>
      </c>
      <c r="P260" s="3" t="n">
        <v>2</v>
      </c>
      <c r="Q260" s="3" t="n">
        <v>4</v>
      </c>
      <c r="R260" s="3" t="n">
        <v>2</v>
      </c>
      <c r="S260" s="3" t="n">
        <v>4</v>
      </c>
      <c r="T260" s="3" t="n">
        <v>2</v>
      </c>
      <c r="U260" s="3" t="n">
        <v>4</v>
      </c>
      <c r="V260" s="3" t="n">
        <v>4</v>
      </c>
      <c r="W260" s="3" t="n">
        <v>4</v>
      </c>
      <c r="X260" s="3" t="n">
        <v>4</v>
      </c>
      <c r="Y260" s="3" t="n">
        <v>4</v>
      </c>
      <c r="Z260" s="3" t="n">
        <v>4</v>
      </c>
      <c r="AA260" s="3" t="n">
        <v>3</v>
      </c>
      <c r="AB260" s="3" t="n">
        <v>3</v>
      </c>
      <c r="AC260" s="3" t="n">
        <v>3</v>
      </c>
      <c r="AD260" s="3" t="n">
        <v>2</v>
      </c>
      <c r="AE260" s="3" t="n">
        <v>3</v>
      </c>
      <c r="AF260" s="3" t="n">
        <v>3</v>
      </c>
      <c r="AG260" s="3" t="n">
        <v>3</v>
      </c>
      <c r="AH260" s="3" t="n">
        <v>4</v>
      </c>
      <c r="AI260" s="3" t="n">
        <v>4</v>
      </c>
      <c r="AJ260" s="3" t="n">
        <v>4</v>
      </c>
      <c r="AK260" s="3" t="n">
        <v>2</v>
      </c>
      <c r="AL260" s="3" t="n">
        <v>4</v>
      </c>
      <c r="AM260" s="3" t="n">
        <v>3</v>
      </c>
      <c r="AN260" s="3" t="n">
        <v>2</v>
      </c>
      <c r="AO260" s="3" t="n">
        <v>3</v>
      </c>
    </row>
    <row r="261" customFormat="false" ht="15" hidden="false" customHeight="false" outlineLevel="0" collapsed="false">
      <c r="A261" s="3" t="n">
        <v>1</v>
      </c>
      <c r="B261" s="3" t="n">
        <v>3</v>
      </c>
      <c r="C261" s="3" t="n">
        <v>1</v>
      </c>
      <c r="D261" s="3" t="n">
        <v>1</v>
      </c>
      <c r="E261" s="3" t="n">
        <v>2</v>
      </c>
      <c r="F261" s="3" t="n">
        <v>2</v>
      </c>
      <c r="G261" s="3" t="n">
        <v>3</v>
      </c>
      <c r="H261" s="3" t="n">
        <v>3</v>
      </c>
      <c r="I261" s="3" t="n">
        <v>2</v>
      </c>
      <c r="J261" s="3" t="n">
        <v>24</v>
      </c>
      <c r="K261" s="3" t="n">
        <v>2</v>
      </c>
      <c r="L261" s="3" t="n">
        <v>3</v>
      </c>
      <c r="M261" s="3" t="n">
        <v>3</v>
      </c>
      <c r="N261" s="3" t="n">
        <v>4</v>
      </c>
      <c r="O261" s="3" t="n">
        <v>5</v>
      </c>
      <c r="P261" s="3" t="n">
        <v>3</v>
      </c>
      <c r="Q261" s="3" t="n">
        <v>2</v>
      </c>
      <c r="R261" s="3" t="n">
        <v>5</v>
      </c>
      <c r="S261" s="3" t="n">
        <v>5</v>
      </c>
      <c r="T261" s="3" t="n">
        <v>5</v>
      </c>
      <c r="U261" s="3" t="n">
        <v>5</v>
      </c>
      <c r="V261" s="3" t="n">
        <v>4</v>
      </c>
      <c r="W261" s="3" t="n">
        <v>4</v>
      </c>
      <c r="X261" s="3" t="n">
        <v>4</v>
      </c>
      <c r="Y261" s="3" t="n">
        <v>5</v>
      </c>
      <c r="Z261" s="3" t="n">
        <v>5</v>
      </c>
      <c r="AA261" s="3" t="n">
        <v>2</v>
      </c>
      <c r="AB261" s="3" t="n">
        <v>4</v>
      </c>
      <c r="AC261" s="3" t="n">
        <v>1</v>
      </c>
      <c r="AD261" s="3" t="n">
        <v>2</v>
      </c>
      <c r="AE261" s="3" t="n">
        <v>5</v>
      </c>
      <c r="AF261" s="3" t="n">
        <v>3</v>
      </c>
      <c r="AG261" s="3" t="n">
        <v>5</v>
      </c>
      <c r="AH261" s="3" t="n">
        <v>3</v>
      </c>
      <c r="AI261" s="3" t="n">
        <v>4</v>
      </c>
      <c r="AJ261" s="3" t="n">
        <v>4</v>
      </c>
      <c r="AK261" s="3" t="n">
        <v>4</v>
      </c>
      <c r="AL261" s="3" t="n">
        <v>5</v>
      </c>
      <c r="AM261" s="3" t="n">
        <v>3</v>
      </c>
      <c r="AN261" s="3" t="n">
        <v>3</v>
      </c>
      <c r="AO261" s="3" t="n">
        <v>3</v>
      </c>
    </row>
    <row r="262" customFormat="false" ht="15" hidden="false" customHeight="false" outlineLevel="0" collapsed="false">
      <c r="A262" s="3" t="n">
        <v>0</v>
      </c>
      <c r="B262" s="3" t="n">
        <v>4</v>
      </c>
      <c r="C262" s="3" t="n">
        <v>1</v>
      </c>
      <c r="D262" s="3" t="n">
        <v>1</v>
      </c>
      <c r="E262" s="3" t="n">
        <v>2</v>
      </c>
      <c r="F262" s="3" t="n">
        <v>2</v>
      </c>
      <c r="G262" s="3" t="n">
        <v>1</v>
      </c>
      <c r="H262" s="3" t="n">
        <v>3</v>
      </c>
      <c r="I262" s="3" t="n">
        <v>3</v>
      </c>
      <c r="J262" s="3" t="n">
        <v>23</v>
      </c>
      <c r="K262" s="3" t="n">
        <v>4</v>
      </c>
      <c r="L262" s="3" t="n">
        <v>4</v>
      </c>
      <c r="M262" s="3" t="n">
        <v>3</v>
      </c>
      <c r="N262" s="3" t="n">
        <v>3</v>
      </c>
      <c r="O262" s="3" t="n">
        <v>3</v>
      </c>
      <c r="P262" s="3" t="n">
        <v>3</v>
      </c>
      <c r="Q262" s="3" t="n">
        <v>2</v>
      </c>
      <c r="R262" s="3" t="n">
        <v>4</v>
      </c>
      <c r="S262" s="3" t="n">
        <v>5</v>
      </c>
      <c r="T262" s="3" t="n">
        <v>1</v>
      </c>
      <c r="U262" s="3" t="n">
        <v>5</v>
      </c>
      <c r="V262" s="3" t="n">
        <v>4</v>
      </c>
      <c r="W262" s="3" t="n">
        <v>4</v>
      </c>
      <c r="X262" s="3" t="n">
        <v>4</v>
      </c>
      <c r="Y262" s="3" t="n">
        <v>2</v>
      </c>
      <c r="Z262" s="3" t="n">
        <v>5</v>
      </c>
      <c r="AA262" s="3" t="n">
        <v>4</v>
      </c>
      <c r="AB262" s="3" t="n">
        <v>4</v>
      </c>
      <c r="AC262" s="3" t="n">
        <v>1</v>
      </c>
      <c r="AD262" s="3" t="n">
        <v>1</v>
      </c>
      <c r="AE262" s="3" t="n">
        <v>5</v>
      </c>
      <c r="AF262" s="3" t="n">
        <v>4</v>
      </c>
      <c r="AG262" s="3" t="n">
        <v>4</v>
      </c>
      <c r="AH262" s="3" t="n">
        <v>3</v>
      </c>
      <c r="AI262" s="3" t="n">
        <v>3</v>
      </c>
      <c r="AJ262" s="3" t="n">
        <v>5</v>
      </c>
      <c r="AK262" s="3" t="n">
        <v>5</v>
      </c>
      <c r="AL262" s="3" t="n">
        <v>5</v>
      </c>
      <c r="AM262" s="3" t="n">
        <v>3</v>
      </c>
      <c r="AN262" s="3" t="n">
        <v>1</v>
      </c>
      <c r="AO262" s="3" t="n">
        <v>2</v>
      </c>
    </row>
    <row r="263" customFormat="false" ht="15" hidden="false" customHeight="false" outlineLevel="0" collapsed="false">
      <c r="A263" s="3" t="n">
        <v>1</v>
      </c>
      <c r="B263" s="3" t="n">
        <v>4</v>
      </c>
      <c r="C263" s="3" t="n">
        <v>1</v>
      </c>
      <c r="D263" s="3" t="n">
        <v>1</v>
      </c>
      <c r="E263" s="3" t="n">
        <v>2</v>
      </c>
      <c r="F263" s="3" t="n">
        <v>2</v>
      </c>
      <c r="G263" s="3" t="n">
        <v>2</v>
      </c>
      <c r="H263" s="3" t="n">
        <v>3</v>
      </c>
      <c r="I263" s="3" t="n">
        <v>2</v>
      </c>
      <c r="J263" s="3" t="n">
        <v>23</v>
      </c>
      <c r="K263" s="3" t="n">
        <v>4</v>
      </c>
      <c r="L263" s="3" t="n">
        <v>4</v>
      </c>
      <c r="M263" s="3" t="n">
        <v>4</v>
      </c>
      <c r="N263" s="3" t="n">
        <v>4</v>
      </c>
      <c r="O263" s="3" t="n">
        <v>5</v>
      </c>
      <c r="P263" s="3" t="n">
        <v>4</v>
      </c>
      <c r="Q263" s="3" t="n">
        <v>5</v>
      </c>
      <c r="R263" s="3" t="n">
        <v>4</v>
      </c>
      <c r="S263" s="3" t="n">
        <v>4</v>
      </c>
      <c r="T263" s="3" t="n">
        <v>4</v>
      </c>
      <c r="U263" s="3" t="n">
        <v>5</v>
      </c>
      <c r="V263" s="3" t="n">
        <v>4</v>
      </c>
      <c r="W263" s="3" t="n">
        <v>5</v>
      </c>
      <c r="X263" s="3" t="n">
        <v>4</v>
      </c>
      <c r="Y263" s="3" t="n">
        <v>4</v>
      </c>
      <c r="Z263" s="3" t="n">
        <v>4</v>
      </c>
      <c r="AA263" s="3" t="n">
        <v>4</v>
      </c>
      <c r="AB263" s="3" t="n">
        <v>4</v>
      </c>
      <c r="AC263" s="3" t="n">
        <v>1</v>
      </c>
      <c r="AD263" s="3" t="n">
        <v>1</v>
      </c>
      <c r="AE263" s="3" t="n">
        <v>4</v>
      </c>
      <c r="AF263" s="3" t="n">
        <v>4</v>
      </c>
      <c r="AG263" s="3" t="n">
        <v>5</v>
      </c>
      <c r="AH263" s="3" t="n">
        <v>4</v>
      </c>
      <c r="AI263" s="3" t="n">
        <v>4</v>
      </c>
      <c r="AJ263" s="3" t="n">
        <v>4</v>
      </c>
      <c r="AK263" s="3" t="n">
        <v>2</v>
      </c>
      <c r="AL263" s="3" t="n">
        <v>4</v>
      </c>
      <c r="AM263" s="3" t="n">
        <v>4</v>
      </c>
      <c r="AN263" s="3" t="n">
        <v>2</v>
      </c>
      <c r="AO263" s="3" t="n">
        <v>2</v>
      </c>
    </row>
    <row r="264" customFormat="false" ht="15" hidden="false" customHeight="false" outlineLevel="0" collapsed="false">
      <c r="A264" s="3" t="n">
        <v>1</v>
      </c>
      <c r="B264" s="3" t="n">
        <v>4</v>
      </c>
      <c r="C264" s="3" t="n">
        <v>2</v>
      </c>
      <c r="D264" s="3" t="n">
        <v>1</v>
      </c>
      <c r="E264" s="3" t="n">
        <v>2</v>
      </c>
      <c r="F264" s="3" t="n">
        <v>2</v>
      </c>
      <c r="G264" s="3" t="n">
        <v>4</v>
      </c>
      <c r="H264" s="3" t="n">
        <v>3</v>
      </c>
      <c r="I264" s="3" t="n">
        <v>3</v>
      </c>
      <c r="J264" s="3" t="n">
        <v>25</v>
      </c>
      <c r="K264" s="3" t="n">
        <v>3</v>
      </c>
      <c r="L264" s="3" t="n">
        <v>5</v>
      </c>
      <c r="M264" s="3" t="n">
        <v>3</v>
      </c>
      <c r="N264" s="3" t="n">
        <v>3</v>
      </c>
      <c r="O264" s="3" t="n">
        <v>3</v>
      </c>
      <c r="P264" s="3" t="n">
        <v>3</v>
      </c>
      <c r="Q264" s="3" t="n">
        <v>2</v>
      </c>
      <c r="R264" s="3" t="n">
        <v>4</v>
      </c>
      <c r="S264" s="3" t="n">
        <v>4</v>
      </c>
      <c r="T264" s="3" t="n">
        <v>5</v>
      </c>
      <c r="U264" s="3" t="n">
        <v>4</v>
      </c>
      <c r="V264" s="3" t="n">
        <v>4</v>
      </c>
      <c r="W264" s="3" t="n">
        <v>4</v>
      </c>
      <c r="X264" s="3" t="n">
        <v>4</v>
      </c>
      <c r="Y264" s="3" t="n">
        <v>4</v>
      </c>
      <c r="Z264" s="3" t="n">
        <v>5</v>
      </c>
      <c r="AA264" s="3" t="n">
        <v>4</v>
      </c>
      <c r="AB264" s="3" t="n">
        <v>4</v>
      </c>
      <c r="AC264" s="3" t="n">
        <v>1</v>
      </c>
      <c r="AD264" s="3" t="n">
        <v>1</v>
      </c>
      <c r="AE264" s="3" t="n">
        <v>4</v>
      </c>
      <c r="AF264" s="3" t="n">
        <v>4</v>
      </c>
      <c r="AG264" s="3" t="n">
        <v>4</v>
      </c>
      <c r="AH264" s="3" t="n">
        <v>3</v>
      </c>
      <c r="AI264" s="3" t="n">
        <v>5</v>
      </c>
      <c r="AJ264" s="3" t="n">
        <v>4</v>
      </c>
      <c r="AK264" s="3" t="n">
        <v>5</v>
      </c>
      <c r="AL264" s="3" t="n">
        <v>4</v>
      </c>
      <c r="AM264" s="3" t="n">
        <v>3</v>
      </c>
      <c r="AN264" s="3" t="n">
        <v>4</v>
      </c>
      <c r="AO264" s="3" t="n">
        <v>2</v>
      </c>
    </row>
    <row r="265" customFormat="false" ht="15" hidden="false" customHeight="false" outlineLevel="0" collapsed="false">
      <c r="A265" s="3" t="n">
        <v>0</v>
      </c>
      <c r="B265" s="3" t="n">
        <v>4</v>
      </c>
      <c r="C265" s="3" t="n">
        <v>2</v>
      </c>
      <c r="D265" s="3" t="n">
        <v>1</v>
      </c>
      <c r="E265" s="3" t="n">
        <v>2</v>
      </c>
      <c r="F265" s="3" t="n">
        <v>2</v>
      </c>
      <c r="G265" s="3" t="n">
        <v>3</v>
      </c>
      <c r="H265" s="3" t="n">
        <v>2</v>
      </c>
      <c r="I265" s="3" t="n">
        <v>1</v>
      </c>
      <c r="J265" s="3" t="n">
        <v>23</v>
      </c>
      <c r="K265" s="3" t="n">
        <v>3</v>
      </c>
      <c r="L265" s="3" t="n">
        <v>4</v>
      </c>
      <c r="M265" s="3" t="n">
        <v>4</v>
      </c>
      <c r="N265" s="3" t="n">
        <v>4</v>
      </c>
      <c r="O265" s="3" t="n">
        <v>4</v>
      </c>
      <c r="P265" s="3" t="n">
        <v>3</v>
      </c>
      <c r="Q265" s="3" t="n">
        <v>3</v>
      </c>
      <c r="R265" s="3" t="n">
        <v>4</v>
      </c>
      <c r="S265" s="3" t="n">
        <v>4</v>
      </c>
      <c r="T265" s="3" t="n">
        <v>4</v>
      </c>
      <c r="U265" s="3" t="n">
        <v>4</v>
      </c>
      <c r="V265" s="3" t="n">
        <v>4</v>
      </c>
      <c r="W265" s="3" t="n">
        <v>4</v>
      </c>
      <c r="X265" s="3" t="n">
        <v>4</v>
      </c>
      <c r="Y265" s="3" t="n">
        <v>3</v>
      </c>
      <c r="Z265" s="3" t="n">
        <v>4</v>
      </c>
      <c r="AA265" s="3" t="n">
        <v>2</v>
      </c>
      <c r="AB265" s="3" t="n">
        <v>4</v>
      </c>
      <c r="AC265" s="3" t="n">
        <v>3</v>
      </c>
      <c r="AD265" s="3" t="n">
        <v>4</v>
      </c>
      <c r="AE265" s="3" t="n">
        <v>4</v>
      </c>
      <c r="AF265" s="3" t="n">
        <v>2</v>
      </c>
      <c r="AG265" s="3" t="n">
        <v>2</v>
      </c>
      <c r="AH265" s="3" t="n">
        <v>4</v>
      </c>
      <c r="AI265" s="3" t="n">
        <v>4</v>
      </c>
      <c r="AJ265" s="3" t="n">
        <v>4</v>
      </c>
      <c r="AK265" s="3" t="n">
        <v>4</v>
      </c>
      <c r="AL265" s="3" t="n">
        <v>4</v>
      </c>
      <c r="AM265" s="3" t="n">
        <v>4</v>
      </c>
      <c r="AN265" s="3" t="n">
        <v>4</v>
      </c>
      <c r="AO265" s="3" t="n">
        <v>4</v>
      </c>
    </row>
    <row r="266" customFormat="false" ht="15" hidden="false" customHeight="false" outlineLevel="0" collapsed="false">
      <c r="A266" s="3" t="n">
        <v>0</v>
      </c>
      <c r="B266" s="3" t="n">
        <v>4</v>
      </c>
      <c r="C266" s="3" t="n">
        <v>1</v>
      </c>
      <c r="D266" s="3" t="n">
        <v>1</v>
      </c>
      <c r="E266" s="3" t="n">
        <v>2</v>
      </c>
      <c r="F266" s="3" t="n">
        <v>2</v>
      </c>
      <c r="G266" s="3" t="n">
        <v>3</v>
      </c>
      <c r="H266" s="3" t="n">
        <v>1</v>
      </c>
      <c r="I266" s="3" t="n">
        <v>3</v>
      </c>
      <c r="J266" s="3" t="n">
        <v>27</v>
      </c>
      <c r="K266" s="3" t="n">
        <v>2</v>
      </c>
      <c r="L266" s="3" t="n">
        <v>2</v>
      </c>
      <c r="M266" s="3" t="n">
        <v>1</v>
      </c>
      <c r="N266" s="3" t="n">
        <v>2</v>
      </c>
      <c r="O266" s="3" t="n">
        <v>3</v>
      </c>
      <c r="P266" s="3" t="n">
        <v>4</v>
      </c>
      <c r="Q266" s="3" t="n">
        <v>3</v>
      </c>
      <c r="R266" s="3" t="n">
        <v>3</v>
      </c>
      <c r="S266" s="3" t="n">
        <v>3</v>
      </c>
      <c r="T266" s="3" t="n">
        <v>5</v>
      </c>
      <c r="U266" s="3" t="n">
        <v>4</v>
      </c>
      <c r="V266" s="3" t="n">
        <v>4</v>
      </c>
      <c r="W266" s="3" t="n">
        <v>4</v>
      </c>
      <c r="X266" s="3" t="n">
        <v>3</v>
      </c>
      <c r="Y266" s="3" t="n">
        <v>3</v>
      </c>
      <c r="Z266" s="3" t="n">
        <v>3</v>
      </c>
      <c r="AA266" s="3" t="n">
        <v>4</v>
      </c>
      <c r="AB266" s="3" t="n">
        <v>1</v>
      </c>
      <c r="AC266" s="3" t="n">
        <v>3</v>
      </c>
      <c r="AD266" s="3" t="n">
        <v>3</v>
      </c>
      <c r="AE266" s="3" t="n">
        <v>3</v>
      </c>
      <c r="AF266" s="3" t="n">
        <v>1</v>
      </c>
      <c r="AG266" s="3" t="n">
        <v>4</v>
      </c>
      <c r="AH266" s="3" t="n">
        <v>4</v>
      </c>
      <c r="AI266" s="3" t="n">
        <v>4</v>
      </c>
      <c r="AJ266" s="3" t="n">
        <v>3</v>
      </c>
      <c r="AK266" s="3" t="n">
        <v>3</v>
      </c>
      <c r="AL266" s="3" t="n">
        <v>5</v>
      </c>
      <c r="AM266" s="3" t="n">
        <v>3</v>
      </c>
      <c r="AN266" s="3" t="n">
        <v>1</v>
      </c>
      <c r="AO266" s="3" t="n">
        <v>1</v>
      </c>
    </row>
    <row r="267" customFormat="false" ht="15" hidden="false" customHeight="false" outlineLevel="0" collapsed="false">
      <c r="A267" s="3" t="n">
        <v>0</v>
      </c>
      <c r="B267" s="3" t="n">
        <v>4</v>
      </c>
      <c r="C267" s="3" t="n">
        <v>1</v>
      </c>
      <c r="D267" s="3" t="n">
        <v>1</v>
      </c>
      <c r="E267" s="3" t="n">
        <v>2</v>
      </c>
      <c r="F267" s="3" t="n">
        <v>2</v>
      </c>
      <c r="G267" s="3" t="n">
        <v>2</v>
      </c>
      <c r="H267" s="3" t="n">
        <v>2</v>
      </c>
      <c r="I267" s="3" t="n">
        <v>3</v>
      </c>
      <c r="J267" s="3" t="n">
        <v>27</v>
      </c>
      <c r="K267" s="3" t="n">
        <v>2</v>
      </c>
      <c r="L267" s="3" t="n">
        <v>4</v>
      </c>
      <c r="M267" s="3" t="n">
        <v>3</v>
      </c>
      <c r="N267" s="3" t="n">
        <v>4</v>
      </c>
      <c r="O267" s="3" t="n">
        <v>4</v>
      </c>
      <c r="P267" s="3" t="n">
        <v>4</v>
      </c>
      <c r="Q267" s="3" t="n">
        <v>3</v>
      </c>
      <c r="R267" s="3" t="n">
        <v>4</v>
      </c>
      <c r="S267" s="3" t="n">
        <v>5</v>
      </c>
      <c r="T267" s="3" t="n">
        <v>5</v>
      </c>
      <c r="U267" s="3" t="n">
        <v>5</v>
      </c>
      <c r="V267" s="3" t="n">
        <v>3</v>
      </c>
      <c r="W267" s="3" t="n">
        <v>3</v>
      </c>
      <c r="X267" s="3" t="n">
        <v>4</v>
      </c>
      <c r="Y267" s="3" t="n">
        <v>3</v>
      </c>
      <c r="Z267" s="3" t="n">
        <v>4</v>
      </c>
      <c r="AA267" s="3" t="n">
        <v>3</v>
      </c>
      <c r="AB267" s="3" t="n">
        <v>2</v>
      </c>
      <c r="AC267" s="3" t="n">
        <v>2</v>
      </c>
      <c r="AD267" s="3" t="n">
        <v>2</v>
      </c>
      <c r="AE267" s="3" t="n">
        <v>3</v>
      </c>
      <c r="AF267" s="3" t="n">
        <v>3</v>
      </c>
      <c r="AG267" s="3" t="n">
        <v>4</v>
      </c>
      <c r="AH267" s="3" t="n">
        <v>4</v>
      </c>
      <c r="AI267" s="3" t="n">
        <v>4</v>
      </c>
      <c r="AJ267" s="3" t="n">
        <v>5</v>
      </c>
      <c r="AK267" s="3" t="n">
        <v>3</v>
      </c>
      <c r="AL267" s="3" t="n">
        <v>4</v>
      </c>
      <c r="AM267" s="3" t="n">
        <v>4</v>
      </c>
      <c r="AN267" s="3" t="n">
        <v>4</v>
      </c>
      <c r="AO267" s="3" t="n">
        <v>4</v>
      </c>
    </row>
    <row r="268" customFormat="false" ht="15" hidden="false" customHeight="false" outlineLevel="0" collapsed="false">
      <c r="A268" s="3" t="n">
        <v>0</v>
      </c>
      <c r="B268" s="3" t="n">
        <v>6</v>
      </c>
      <c r="C268" s="3" t="n">
        <v>1</v>
      </c>
      <c r="D268" s="3" t="n">
        <v>1</v>
      </c>
      <c r="E268" s="3" t="n">
        <v>2</v>
      </c>
      <c r="F268" s="3" t="n">
        <v>2</v>
      </c>
      <c r="G268" s="3" t="n">
        <v>4</v>
      </c>
      <c r="H268" s="3" t="n">
        <v>3</v>
      </c>
      <c r="I268" s="3" t="n">
        <v>1</v>
      </c>
      <c r="J268" s="3" t="n">
        <v>24</v>
      </c>
      <c r="K268" s="3" t="n">
        <v>3</v>
      </c>
      <c r="L268" s="3" t="n">
        <v>3</v>
      </c>
      <c r="M268" s="3" t="n">
        <v>2</v>
      </c>
      <c r="N268" s="3" t="n">
        <v>3</v>
      </c>
      <c r="O268" s="3" t="n">
        <v>3</v>
      </c>
      <c r="P268" s="3" t="n">
        <v>4</v>
      </c>
      <c r="Q268" s="3" t="n">
        <v>4</v>
      </c>
      <c r="R268" s="3" t="n">
        <v>4</v>
      </c>
      <c r="S268" s="3" t="n">
        <v>4</v>
      </c>
      <c r="T268" s="3" t="n">
        <v>2</v>
      </c>
      <c r="U268" s="3" t="n">
        <v>4</v>
      </c>
      <c r="V268" s="3" t="n">
        <v>4</v>
      </c>
      <c r="W268" s="3" t="n">
        <v>4</v>
      </c>
      <c r="X268" s="3" t="n">
        <v>4</v>
      </c>
      <c r="Y268" s="3" t="n">
        <v>3</v>
      </c>
      <c r="Z268" s="3" t="n">
        <v>4</v>
      </c>
      <c r="AA268" s="3" t="n">
        <v>5</v>
      </c>
      <c r="AB268" s="3" t="n">
        <v>4</v>
      </c>
      <c r="AC268" s="3" t="n">
        <v>2</v>
      </c>
      <c r="AD268" s="3" t="n">
        <v>2</v>
      </c>
      <c r="AE268" s="3" t="n">
        <v>3</v>
      </c>
      <c r="AF268" s="3" t="n">
        <v>4</v>
      </c>
      <c r="AG268" s="3" t="n">
        <v>4</v>
      </c>
      <c r="AH268" s="3" t="n">
        <v>4</v>
      </c>
      <c r="AI268" s="3" t="n">
        <v>4</v>
      </c>
      <c r="AJ268" s="3" t="n">
        <v>3</v>
      </c>
      <c r="AK268" s="3" t="n">
        <v>3</v>
      </c>
      <c r="AL268" s="3" t="n">
        <v>5</v>
      </c>
      <c r="AM268" s="3" t="n">
        <v>2</v>
      </c>
      <c r="AN268" s="3" t="n">
        <v>4</v>
      </c>
      <c r="AO268" s="3" t="n">
        <v>4</v>
      </c>
    </row>
    <row r="269" customFormat="false" ht="15" hidden="false" customHeight="false" outlineLevel="0" collapsed="false">
      <c r="A269" s="3" t="n">
        <v>1</v>
      </c>
      <c r="B269" s="3" t="n">
        <v>4</v>
      </c>
      <c r="C269" s="3" t="n">
        <v>1</v>
      </c>
      <c r="D269" s="3" t="n">
        <v>1</v>
      </c>
      <c r="E269" s="3" t="n">
        <v>2</v>
      </c>
      <c r="F269" s="3" t="n">
        <v>2</v>
      </c>
      <c r="G269" s="3" t="n">
        <v>1</v>
      </c>
      <c r="H269" s="3" t="n">
        <v>3</v>
      </c>
      <c r="I269" s="3" t="n">
        <v>3</v>
      </c>
      <c r="J269" s="3" t="n">
        <v>26</v>
      </c>
      <c r="K269" s="3" t="n">
        <v>4</v>
      </c>
      <c r="L269" s="3" t="n">
        <v>4</v>
      </c>
      <c r="M269" s="3" t="n">
        <v>2</v>
      </c>
      <c r="N269" s="3" t="n">
        <v>3</v>
      </c>
      <c r="O269" s="3" t="n">
        <v>4</v>
      </c>
      <c r="P269" s="3" t="n">
        <v>4</v>
      </c>
      <c r="Q269" s="3" t="n">
        <v>3</v>
      </c>
      <c r="R269" s="3" t="n">
        <v>3</v>
      </c>
      <c r="S269" s="3" t="n">
        <v>1</v>
      </c>
      <c r="T269" s="3" t="n">
        <v>5</v>
      </c>
      <c r="U269" s="3" t="n">
        <v>5</v>
      </c>
      <c r="V269" s="3" t="n">
        <v>4</v>
      </c>
      <c r="W269" s="3" t="n">
        <v>4</v>
      </c>
      <c r="X269" s="3" t="n">
        <v>4</v>
      </c>
      <c r="Y269" s="3" t="n">
        <v>4</v>
      </c>
      <c r="Z269" s="3" t="n">
        <v>4</v>
      </c>
      <c r="AA269" s="3" t="n">
        <v>3</v>
      </c>
      <c r="AB269" s="3" t="n">
        <v>1</v>
      </c>
      <c r="AC269" s="3" t="n">
        <v>1</v>
      </c>
      <c r="AD269" s="3" t="n">
        <v>3</v>
      </c>
      <c r="AE269" s="3" t="n">
        <v>4</v>
      </c>
      <c r="AF269" s="3" t="n">
        <v>2</v>
      </c>
      <c r="AG269" s="3" t="n">
        <v>5</v>
      </c>
      <c r="AH269" s="3" t="n">
        <v>4</v>
      </c>
      <c r="AI269" s="3" t="n">
        <v>4</v>
      </c>
      <c r="AJ269" s="3" t="n">
        <v>4</v>
      </c>
      <c r="AK269" s="3" t="n">
        <v>2</v>
      </c>
      <c r="AL269" s="3" t="n">
        <v>5</v>
      </c>
      <c r="AM269" s="3" t="n">
        <v>2</v>
      </c>
      <c r="AN269" s="3" t="n">
        <v>1</v>
      </c>
      <c r="AO269" s="3" t="n">
        <v>1</v>
      </c>
    </row>
    <row r="270" customFormat="false" ht="15" hidden="false" customHeight="false" outlineLevel="0" collapsed="false">
      <c r="A270" s="3" t="n">
        <v>0</v>
      </c>
      <c r="B270" s="3" t="n">
        <v>3</v>
      </c>
      <c r="C270" s="3" t="n">
        <v>2</v>
      </c>
      <c r="D270" s="3" t="n">
        <v>1</v>
      </c>
      <c r="E270" s="3" t="n">
        <v>2</v>
      </c>
      <c r="F270" s="3" t="n">
        <v>2</v>
      </c>
      <c r="G270" s="3" t="n">
        <v>1</v>
      </c>
      <c r="H270" s="3" t="n">
        <v>2</v>
      </c>
      <c r="I270" s="3" t="n">
        <v>1</v>
      </c>
      <c r="J270" s="3" t="n">
        <v>23</v>
      </c>
      <c r="K270" s="3" t="n">
        <v>3</v>
      </c>
      <c r="L270" s="3" t="n">
        <v>3</v>
      </c>
      <c r="M270" s="3" t="n">
        <v>3</v>
      </c>
      <c r="N270" s="3" t="n">
        <v>3</v>
      </c>
      <c r="O270" s="3" t="n">
        <v>3</v>
      </c>
      <c r="P270" s="3" t="n">
        <v>4</v>
      </c>
      <c r="Q270" s="3" t="n">
        <v>5</v>
      </c>
      <c r="R270" s="3" t="n">
        <v>3</v>
      </c>
      <c r="S270" s="3" t="n">
        <v>4</v>
      </c>
      <c r="T270" s="3" t="n">
        <v>4</v>
      </c>
      <c r="U270" s="3" t="n">
        <v>5</v>
      </c>
      <c r="V270" s="3" t="n">
        <v>4</v>
      </c>
      <c r="W270" s="3" t="n">
        <v>3</v>
      </c>
      <c r="X270" s="3" t="n">
        <v>4</v>
      </c>
      <c r="Y270" s="3" t="n">
        <v>4</v>
      </c>
      <c r="Z270" s="3" t="n">
        <v>4</v>
      </c>
      <c r="AA270" s="3" t="n">
        <v>5</v>
      </c>
      <c r="AB270" s="3" t="n">
        <v>4</v>
      </c>
      <c r="AC270" s="3" t="n">
        <v>3</v>
      </c>
      <c r="AD270" s="3" t="n">
        <v>2</v>
      </c>
      <c r="AE270" s="3" t="n">
        <v>4</v>
      </c>
      <c r="AF270" s="3" t="n">
        <v>3</v>
      </c>
      <c r="AG270" s="3" t="n">
        <v>4</v>
      </c>
      <c r="AH270" s="3" t="n">
        <v>4</v>
      </c>
      <c r="AI270" s="3" t="n">
        <v>4</v>
      </c>
      <c r="AJ270" s="3" t="n">
        <v>4</v>
      </c>
      <c r="AK270" s="3" t="n">
        <v>4</v>
      </c>
      <c r="AL270" s="3" t="n">
        <v>4</v>
      </c>
      <c r="AM270" s="3" t="n">
        <v>3</v>
      </c>
      <c r="AN270" s="3" t="n">
        <v>2</v>
      </c>
      <c r="AO270" s="3" t="n">
        <v>2</v>
      </c>
    </row>
    <row r="271" customFormat="false" ht="15" hidden="false" customHeight="false" outlineLevel="0" collapsed="false">
      <c r="A271" s="3" t="n">
        <v>0</v>
      </c>
      <c r="B271" s="3" t="n">
        <v>4</v>
      </c>
      <c r="C271" s="3" t="n">
        <v>1</v>
      </c>
      <c r="D271" s="3" t="n">
        <v>1</v>
      </c>
      <c r="E271" s="3" t="n">
        <v>2</v>
      </c>
      <c r="F271" s="3" t="n">
        <v>2</v>
      </c>
      <c r="G271" s="3" t="n">
        <v>2</v>
      </c>
      <c r="H271" s="3" t="n">
        <v>3</v>
      </c>
      <c r="I271" s="3" t="n">
        <v>1</v>
      </c>
      <c r="J271" s="3" t="n">
        <v>23</v>
      </c>
      <c r="K271" s="3" t="n">
        <v>3</v>
      </c>
      <c r="L271" s="3" t="n">
        <v>3</v>
      </c>
      <c r="M271" s="3" t="n">
        <v>2</v>
      </c>
      <c r="N271" s="3" t="n">
        <v>3</v>
      </c>
      <c r="O271" s="3" t="n">
        <v>4</v>
      </c>
      <c r="P271" s="3" t="n">
        <v>3</v>
      </c>
      <c r="Q271" s="3" t="n">
        <v>1</v>
      </c>
      <c r="R271" s="3" t="n">
        <v>3</v>
      </c>
      <c r="S271" s="3" t="n">
        <v>3</v>
      </c>
      <c r="T271" s="3" t="n">
        <v>5</v>
      </c>
      <c r="U271" s="3" t="n">
        <v>4</v>
      </c>
      <c r="V271" s="3" t="n">
        <v>4</v>
      </c>
      <c r="W271" s="3" t="n">
        <v>5</v>
      </c>
      <c r="X271" s="3" t="n">
        <v>5</v>
      </c>
      <c r="Y271" s="3" t="n">
        <v>2</v>
      </c>
      <c r="Z271" s="3" t="n">
        <v>4</v>
      </c>
      <c r="AA271" s="3" t="n">
        <v>1</v>
      </c>
      <c r="AB271" s="3" t="n">
        <v>1</v>
      </c>
      <c r="AC271" s="3" t="n">
        <v>1</v>
      </c>
      <c r="AD271" s="3" t="n">
        <v>3</v>
      </c>
      <c r="AE271" s="3" t="n">
        <v>3</v>
      </c>
      <c r="AF271" s="3" t="n">
        <v>2</v>
      </c>
      <c r="AG271" s="3" t="n">
        <v>3</v>
      </c>
      <c r="AH271" s="3" t="n">
        <v>4</v>
      </c>
      <c r="AI271" s="3" t="n">
        <v>4</v>
      </c>
      <c r="AJ271" s="3" t="n">
        <v>2</v>
      </c>
      <c r="AK271" s="3" t="n">
        <v>3</v>
      </c>
      <c r="AL271" s="3" t="n">
        <v>5</v>
      </c>
      <c r="AM271" s="3" t="n">
        <v>2</v>
      </c>
      <c r="AN271" s="3" t="n">
        <v>2</v>
      </c>
      <c r="AO271" s="3" t="n">
        <v>1</v>
      </c>
    </row>
    <row r="272" customFormat="false" ht="15" hidden="false" customHeight="false" outlineLevel="0" collapsed="false">
      <c r="A272" s="3" t="n">
        <v>0</v>
      </c>
      <c r="B272" s="3" t="n">
        <v>4</v>
      </c>
      <c r="C272" s="3" t="n">
        <v>1</v>
      </c>
      <c r="D272" s="3" t="n">
        <v>1</v>
      </c>
      <c r="E272" s="3" t="n">
        <v>2</v>
      </c>
      <c r="F272" s="3" t="n">
        <v>2</v>
      </c>
      <c r="G272" s="3" t="n">
        <v>4</v>
      </c>
      <c r="H272" s="3" t="n">
        <v>2</v>
      </c>
      <c r="I272" s="3" t="n">
        <v>3</v>
      </c>
      <c r="J272" s="3" t="n">
        <v>26</v>
      </c>
      <c r="K272" s="3" t="n">
        <v>4</v>
      </c>
      <c r="L272" s="3" t="n">
        <v>4</v>
      </c>
      <c r="M272" s="3" t="n">
        <v>4</v>
      </c>
      <c r="N272" s="3" t="n">
        <v>4</v>
      </c>
      <c r="O272" s="3" t="n">
        <v>4</v>
      </c>
      <c r="P272" s="3" t="n">
        <v>4</v>
      </c>
      <c r="Q272" s="3" t="n">
        <v>3</v>
      </c>
      <c r="R272" s="3" t="n">
        <v>4</v>
      </c>
      <c r="S272" s="3" t="n">
        <v>3</v>
      </c>
      <c r="T272" s="3" t="n">
        <v>5</v>
      </c>
      <c r="U272" s="3" t="n">
        <v>4</v>
      </c>
      <c r="V272" s="3" t="n">
        <v>4</v>
      </c>
      <c r="W272" s="3" t="n">
        <v>4</v>
      </c>
      <c r="X272" s="3" t="n">
        <v>4</v>
      </c>
      <c r="Y272" s="3" t="n">
        <v>4</v>
      </c>
      <c r="Z272" s="3" t="n">
        <v>4</v>
      </c>
      <c r="AA272" s="3" t="n">
        <v>4</v>
      </c>
      <c r="AB272" s="3" t="n">
        <v>4</v>
      </c>
      <c r="AC272" s="3" t="n">
        <v>2</v>
      </c>
      <c r="AD272" s="3" t="n">
        <v>2</v>
      </c>
      <c r="AE272" s="3" t="n">
        <v>4</v>
      </c>
      <c r="AF272" s="3" t="n">
        <v>3</v>
      </c>
      <c r="AG272" s="3" t="n">
        <v>3</v>
      </c>
      <c r="AH272" s="3" t="n">
        <v>4</v>
      </c>
      <c r="AI272" s="3" t="n">
        <v>3</v>
      </c>
      <c r="AJ272" s="3" t="n">
        <v>4</v>
      </c>
      <c r="AK272" s="3" t="n">
        <v>3</v>
      </c>
      <c r="AL272" s="3" t="n">
        <v>4</v>
      </c>
      <c r="AM272" s="3" t="n">
        <v>4</v>
      </c>
      <c r="AN272" s="3" t="n">
        <v>3</v>
      </c>
      <c r="AO272" s="3" t="n">
        <v>4</v>
      </c>
    </row>
    <row r="273" customFormat="false" ht="15" hidden="false" customHeight="false" outlineLevel="0" collapsed="false">
      <c r="A273" s="3" t="n">
        <v>0</v>
      </c>
      <c r="B273" s="3" t="n">
        <v>3</v>
      </c>
      <c r="C273" s="3" t="n">
        <v>2</v>
      </c>
      <c r="D273" s="3" t="n">
        <v>1</v>
      </c>
      <c r="E273" s="3" t="n">
        <v>2</v>
      </c>
      <c r="F273" s="3" t="n">
        <v>2</v>
      </c>
      <c r="G273" s="3" t="n">
        <v>3</v>
      </c>
      <c r="H273" s="3" t="n">
        <v>2</v>
      </c>
      <c r="I273" s="3" t="n">
        <v>1</v>
      </c>
      <c r="J273" s="3" t="n">
        <v>23</v>
      </c>
      <c r="K273" s="3" t="n">
        <v>3</v>
      </c>
      <c r="L273" s="3" t="n">
        <v>3</v>
      </c>
      <c r="M273" s="3" t="n">
        <v>3</v>
      </c>
      <c r="N273" s="3" t="n">
        <v>3</v>
      </c>
      <c r="O273" s="3" t="n">
        <v>3</v>
      </c>
      <c r="P273" s="3" t="n">
        <v>3</v>
      </c>
      <c r="Q273" s="3" t="n">
        <v>3</v>
      </c>
      <c r="R273" s="3" t="n">
        <v>3</v>
      </c>
      <c r="S273" s="3" t="n">
        <v>4</v>
      </c>
      <c r="T273" s="3" t="n">
        <v>4</v>
      </c>
      <c r="U273" s="3" t="n">
        <v>4</v>
      </c>
      <c r="V273" s="3" t="n">
        <v>4</v>
      </c>
      <c r="W273" s="3" t="n">
        <v>3</v>
      </c>
      <c r="X273" s="3" t="n">
        <v>3</v>
      </c>
      <c r="Y273" s="3" t="n">
        <v>4</v>
      </c>
      <c r="Z273" s="3" t="n">
        <v>4</v>
      </c>
      <c r="AA273" s="3" t="n">
        <v>4</v>
      </c>
      <c r="AB273" s="3" t="n">
        <v>2</v>
      </c>
      <c r="AC273" s="3" t="n">
        <v>3</v>
      </c>
      <c r="AD273" s="3" t="n">
        <v>3</v>
      </c>
      <c r="AE273" s="3" t="n">
        <v>3</v>
      </c>
      <c r="AF273" s="3" t="n">
        <v>3</v>
      </c>
      <c r="AG273" s="3" t="n">
        <v>3</v>
      </c>
      <c r="AH273" s="3" t="n">
        <v>4</v>
      </c>
      <c r="AI273" s="3" t="n">
        <v>4</v>
      </c>
      <c r="AJ273" s="3" t="n">
        <v>1</v>
      </c>
      <c r="AK273" s="3" t="n">
        <v>4</v>
      </c>
      <c r="AL273" s="3" t="n">
        <v>3</v>
      </c>
      <c r="AM273" s="3" t="n">
        <v>3</v>
      </c>
      <c r="AN273" s="3" t="n">
        <v>3</v>
      </c>
      <c r="AO273" s="3" t="n">
        <v>3</v>
      </c>
    </row>
    <row r="274" customFormat="false" ht="15" hidden="false" customHeight="false" outlineLevel="0" collapsed="false">
      <c r="A274" s="3" t="n">
        <v>0</v>
      </c>
      <c r="B274" s="3" t="n">
        <v>3</v>
      </c>
      <c r="C274" s="3" t="n">
        <v>2</v>
      </c>
      <c r="D274" s="3" t="n">
        <v>2</v>
      </c>
      <c r="E274" s="3" t="n">
        <v>2</v>
      </c>
      <c r="F274" s="3" t="n">
        <v>2</v>
      </c>
      <c r="G274" s="3" t="n">
        <v>2</v>
      </c>
      <c r="H274" s="3" t="n">
        <v>2</v>
      </c>
      <c r="I274" s="3" t="n">
        <v>1</v>
      </c>
      <c r="J274" s="3" t="n">
        <v>26</v>
      </c>
      <c r="K274" s="3" t="n">
        <v>2</v>
      </c>
      <c r="L274" s="3" t="n">
        <v>3</v>
      </c>
      <c r="M274" s="3" t="n">
        <v>2</v>
      </c>
      <c r="N274" s="3" t="n">
        <v>2</v>
      </c>
      <c r="O274" s="3" t="n">
        <v>3</v>
      </c>
      <c r="P274" s="3" t="n">
        <v>2</v>
      </c>
      <c r="Q274" s="3" t="n">
        <v>3</v>
      </c>
      <c r="R274" s="3" t="n">
        <v>3</v>
      </c>
      <c r="S274" s="3" t="n">
        <v>4</v>
      </c>
      <c r="T274" s="3" t="n">
        <v>4</v>
      </c>
      <c r="U274" s="3" t="n">
        <v>4</v>
      </c>
      <c r="V274" s="3" t="n">
        <v>4</v>
      </c>
      <c r="W274" s="3" t="n">
        <v>4</v>
      </c>
      <c r="X274" s="3" t="n">
        <v>4</v>
      </c>
      <c r="Y274" s="3" t="n">
        <v>4</v>
      </c>
      <c r="Z274" s="3" t="n">
        <v>4</v>
      </c>
      <c r="AA274" s="3" t="n">
        <v>4</v>
      </c>
      <c r="AB274" s="3" t="n">
        <v>2</v>
      </c>
      <c r="AC274" s="3" t="n">
        <v>2</v>
      </c>
      <c r="AD274" s="3" t="n">
        <v>2</v>
      </c>
      <c r="AE274" s="3" t="n">
        <v>3</v>
      </c>
      <c r="AF274" s="3" t="n">
        <v>2</v>
      </c>
      <c r="AG274" s="3" t="n">
        <v>3</v>
      </c>
      <c r="AH274" s="3" t="n">
        <v>3</v>
      </c>
      <c r="AI274" s="3" t="n">
        <v>3</v>
      </c>
      <c r="AJ274" s="3" t="n">
        <v>4</v>
      </c>
      <c r="AK274" s="3" t="n">
        <v>2</v>
      </c>
      <c r="AL274" s="3" t="n">
        <v>4</v>
      </c>
      <c r="AM274" s="3" t="n">
        <v>3</v>
      </c>
      <c r="AN274" s="3" t="n">
        <v>1</v>
      </c>
      <c r="AO274" s="3" t="n">
        <v>4</v>
      </c>
    </row>
    <row r="275" customFormat="false" ht="15" hidden="false" customHeight="false" outlineLevel="0" collapsed="false">
      <c r="A275" s="3" t="n">
        <v>0</v>
      </c>
      <c r="B275" s="3" t="n">
        <v>1</v>
      </c>
      <c r="C275" s="3" t="n">
        <v>1</v>
      </c>
      <c r="D275" s="3" t="n">
        <v>1</v>
      </c>
      <c r="E275" s="3" t="n">
        <v>2</v>
      </c>
      <c r="F275" s="3" t="n">
        <v>2</v>
      </c>
      <c r="G275" s="3" t="n">
        <v>3</v>
      </c>
      <c r="H275" s="3" t="n">
        <v>1</v>
      </c>
      <c r="I275" s="3" t="n">
        <v>1</v>
      </c>
      <c r="J275" s="3" t="n">
        <v>24</v>
      </c>
      <c r="K275" s="3" t="n">
        <v>4</v>
      </c>
      <c r="L275" s="3" t="n">
        <v>4</v>
      </c>
      <c r="M275" s="3" t="n">
        <v>3</v>
      </c>
      <c r="N275" s="3" t="n">
        <v>4</v>
      </c>
      <c r="O275" s="3" t="n">
        <v>5</v>
      </c>
      <c r="P275" s="3" t="n">
        <v>3</v>
      </c>
      <c r="Q275" s="3" t="n">
        <v>3</v>
      </c>
      <c r="R275" s="3" t="n">
        <v>3</v>
      </c>
      <c r="S275" s="3" t="n">
        <v>5</v>
      </c>
      <c r="T275" s="3" t="n">
        <v>4</v>
      </c>
      <c r="U275" s="3" t="n">
        <v>4</v>
      </c>
      <c r="V275" s="3" t="n">
        <v>3</v>
      </c>
      <c r="W275" s="3" t="n">
        <v>4</v>
      </c>
      <c r="X275" s="3" t="n">
        <v>4</v>
      </c>
      <c r="Y275" s="3" t="n">
        <v>3</v>
      </c>
      <c r="Z275" s="3" t="n">
        <v>3</v>
      </c>
      <c r="AA275" s="3" t="n">
        <v>4</v>
      </c>
      <c r="AB275" s="3" t="n">
        <v>3</v>
      </c>
      <c r="AC275" s="3" t="n">
        <v>3</v>
      </c>
      <c r="AD275" s="3" t="n">
        <v>2</v>
      </c>
      <c r="AE275" s="3" t="n">
        <v>3</v>
      </c>
      <c r="AF275" s="3" t="n">
        <v>4</v>
      </c>
      <c r="AG275" s="3" t="n">
        <v>4</v>
      </c>
      <c r="AH275" s="3" t="n">
        <v>4</v>
      </c>
      <c r="AI275" s="3" t="n">
        <v>4</v>
      </c>
      <c r="AJ275" s="3" t="n">
        <v>5</v>
      </c>
      <c r="AK275" s="3" t="n">
        <v>3</v>
      </c>
      <c r="AL275" s="3" t="n">
        <v>4</v>
      </c>
      <c r="AM275" s="3" t="n">
        <v>3</v>
      </c>
      <c r="AN275" s="3" t="n">
        <v>3</v>
      </c>
      <c r="AO275" s="3" t="n">
        <v>4</v>
      </c>
    </row>
    <row r="276" customFormat="false" ht="15" hidden="false" customHeight="false" outlineLevel="0" collapsed="false">
      <c r="A276" s="3" t="n">
        <v>0</v>
      </c>
      <c r="B276" s="3" t="n">
        <v>1</v>
      </c>
      <c r="C276" s="3" t="n">
        <v>1</v>
      </c>
      <c r="D276" s="3" t="n">
        <v>2</v>
      </c>
      <c r="E276" s="3" t="n">
        <v>2</v>
      </c>
      <c r="F276" s="3" t="n">
        <v>2</v>
      </c>
      <c r="G276" s="3" t="n">
        <v>3</v>
      </c>
      <c r="H276" s="3" t="n">
        <v>3</v>
      </c>
      <c r="I276" s="3" t="n">
        <v>1</v>
      </c>
      <c r="J276" s="3" t="n">
        <v>22</v>
      </c>
      <c r="K276" s="3" t="n">
        <v>4</v>
      </c>
      <c r="L276" s="3" t="n">
        <v>3</v>
      </c>
      <c r="M276" s="3" t="n">
        <v>4</v>
      </c>
      <c r="N276" s="3" t="n">
        <v>4</v>
      </c>
      <c r="O276" s="3" t="n">
        <v>3</v>
      </c>
      <c r="P276" s="3" t="n">
        <v>3</v>
      </c>
      <c r="Q276" s="3" t="n">
        <v>3</v>
      </c>
      <c r="R276" s="3" t="n">
        <v>3</v>
      </c>
      <c r="S276" s="3" t="n">
        <v>5</v>
      </c>
      <c r="T276" s="3" t="n">
        <v>5</v>
      </c>
      <c r="U276" s="3" t="n">
        <v>4</v>
      </c>
      <c r="V276" s="3" t="n">
        <v>4</v>
      </c>
      <c r="W276" s="3" t="n">
        <v>4</v>
      </c>
      <c r="X276" s="3" t="n">
        <v>5</v>
      </c>
      <c r="Y276" s="3" t="n">
        <v>3</v>
      </c>
      <c r="Z276" s="3" t="n">
        <v>4</v>
      </c>
      <c r="AA276" s="3" t="n">
        <v>5</v>
      </c>
      <c r="AB276" s="3" t="n">
        <v>4</v>
      </c>
      <c r="AC276" s="3" t="n">
        <v>2</v>
      </c>
      <c r="AD276" s="3" t="n">
        <v>3</v>
      </c>
      <c r="AE276" s="3" t="n">
        <v>4</v>
      </c>
      <c r="AF276" s="3" t="n">
        <v>4</v>
      </c>
      <c r="AG276" s="3" t="n">
        <v>3</v>
      </c>
      <c r="AH276" s="3" t="n">
        <v>4</v>
      </c>
      <c r="AI276" s="3" t="n">
        <v>4</v>
      </c>
      <c r="AJ276" s="3" t="n">
        <v>4</v>
      </c>
      <c r="AK276" s="3" t="n">
        <v>3</v>
      </c>
      <c r="AL276" s="3" t="n">
        <v>5</v>
      </c>
      <c r="AM276" s="3" t="n">
        <v>4</v>
      </c>
      <c r="AN276" s="3" t="n">
        <v>3</v>
      </c>
      <c r="AO276" s="3" t="n">
        <v>3</v>
      </c>
    </row>
    <row r="277" customFormat="false" ht="15" hidden="false" customHeight="false" outlineLevel="0" collapsed="false">
      <c r="A277" s="3" t="n">
        <v>0</v>
      </c>
      <c r="B277" s="3" t="n">
        <v>4</v>
      </c>
      <c r="C277" s="3" t="n">
        <v>2</v>
      </c>
      <c r="D277" s="3" t="n">
        <v>1</v>
      </c>
      <c r="E277" s="3" t="n">
        <v>2</v>
      </c>
      <c r="F277" s="3" t="n">
        <v>2</v>
      </c>
      <c r="G277" s="3" t="n">
        <v>2</v>
      </c>
      <c r="H277" s="3" t="n">
        <v>2</v>
      </c>
      <c r="I277" s="3" t="n">
        <v>3</v>
      </c>
      <c r="J277" s="3" t="n">
        <v>27</v>
      </c>
      <c r="K277" s="3" t="n">
        <v>3</v>
      </c>
      <c r="L277" s="3" t="n">
        <v>3</v>
      </c>
      <c r="M277" s="3" t="n">
        <v>3</v>
      </c>
      <c r="N277" s="3" t="n">
        <v>4</v>
      </c>
      <c r="O277" s="3" t="n">
        <v>2</v>
      </c>
      <c r="P277" s="3" t="n">
        <v>2</v>
      </c>
      <c r="Q277" s="3" t="n">
        <v>4</v>
      </c>
      <c r="R277" s="3" t="n">
        <v>1</v>
      </c>
      <c r="S277" s="3" t="n">
        <v>4</v>
      </c>
      <c r="T277" s="3" t="n">
        <v>4</v>
      </c>
      <c r="U277" s="3" t="n">
        <v>4</v>
      </c>
      <c r="V277" s="3" t="n">
        <v>4</v>
      </c>
      <c r="W277" s="3" t="n">
        <v>4</v>
      </c>
      <c r="X277" s="3" t="n">
        <v>4</v>
      </c>
      <c r="Y277" s="3" t="n">
        <v>4</v>
      </c>
      <c r="Z277" s="3" t="n">
        <v>4</v>
      </c>
      <c r="AA277" s="3" t="n">
        <v>2</v>
      </c>
      <c r="AB277" s="3" t="n">
        <v>2</v>
      </c>
      <c r="AC277" s="3" t="n">
        <v>1</v>
      </c>
      <c r="AD277" s="3" t="n">
        <v>1</v>
      </c>
      <c r="AE277" s="3" t="n">
        <v>3</v>
      </c>
      <c r="AF277" s="3" t="n">
        <v>3</v>
      </c>
      <c r="AG277" s="3" t="n">
        <v>4</v>
      </c>
      <c r="AH277" s="3" t="n">
        <v>4</v>
      </c>
      <c r="AI277" s="3" t="n">
        <v>4</v>
      </c>
      <c r="AJ277" s="3" t="n">
        <v>4</v>
      </c>
      <c r="AK277" s="3" t="n">
        <v>2</v>
      </c>
      <c r="AL277" s="3" t="n">
        <v>4</v>
      </c>
      <c r="AM277" s="3" t="n">
        <v>3</v>
      </c>
      <c r="AN277" s="3" t="n">
        <v>2</v>
      </c>
      <c r="AO277" s="3" t="n">
        <v>2</v>
      </c>
    </row>
    <row r="278" customFormat="false" ht="15" hidden="false" customHeight="false" outlineLevel="0" collapsed="false">
      <c r="A278" s="3" t="n">
        <v>0</v>
      </c>
      <c r="B278" s="3" t="n">
        <v>3</v>
      </c>
      <c r="C278" s="3" t="n">
        <v>1</v>
      </c>
      <c r="D278" s="3" t="n">
        <v>1</v>
      </c>
      <c r="E278" s="3" t="n">
        <v>2</v>
      </c>
      <c r="F278" s="3" t="n">
        <v>2</v>
      </c>
      <c r="G278" s="3" t="n">
        <v>3</v>
      </c>
      <c r="H278" s="3" t="n">
        <v>2</v>
      </c>
      <c r="I278" s="3" t="n">
        <v>2</v>
      </c>
      <c r="J278" s="3" t="n">
        <v>22</v>
      </c>
      <c r="K278" s="3" t="n">
        <v>4</v>
      </c>
      <c r="L278" s="3" t="n">
        <v>4</v>
      </c>
      <c r="M278" s="3" t="n">
        <v>5</v>
      </c>
      <c r="N278" s="3" t="n">
        <v>4</v>
      </c>
      <c r="O278" s="3" t="n">
        <v>5</v>
      </c>
      <c r="P278" s="3" t="n">
        <v>3</v>
      </c>
      <c r="Q278" s="3" t="n">
        <v>4</v>
      </c>
      <c r="R278" s="3" t="n">
        <v>4</v>
      </c>
      <c r="S278" s="3" t="n">
        <v>5</v>
      </c>
      <c r="T278" s="3" t="n">
        <v>5</v>
      </c>
      <c r="U278" s="3" t="n">
        <v>5</v>
      </c>
      <c r="V278" s="3" t="n">
        <v>3</v>
      </c>
      <c r="W278" s="3" t="n">
        <v>5</v>
      </c>
      <c r="X278" s="3" t="n">
        <v>5</v>
      </c>
      <c r="Y278" s="3" t="n">
        <v>5</v>
      </c>
      <c r="Z278" s="3" t="n">
        <v>5</v>
      </c>
      <c r="AA278" s="3" t="n">
        <v>2</v>
      </c>
      <c r="AB278" s="3" t="n">
        <v>2</v>
      </c>
      <c r="AC278" s="3" t="n">
        <v>2</v>
      </c>
      <c r="AD278" s="3" t="n">
        <v>2</v>
      </c>
      <c r="AE278" s="3" t="n">
        <v>5</v>
      </c>
      <c r="AF278" s="3" t="n">
        <v>4</v>
      </c>
      <c r="AG278" s="3" t="n">
        <v>5</v>
      </c>
      <c r="AH278" s="3" t="n">
        <v>5</v>
      </c>
      <c r="AI278" s="3" t="n">
        <v>5</v>
      </c>
      <c r="AJ278" s="3" t="n">
        <v>4</v>
      </c>
      <c r="AK278" s="3" t="n">
        <v>5</v>
      </c>
      <c r="AL278" s="3" t="n">
        <v>5</v>
      </c>
      <c r="AM278" s="3" t="n">
        <v>2</v>
      </c>
      <c r="AN278" s="3" t="n">
        <v>3</v>
      </c>
      <c r="AO278" s="3" t="n">
        <v>3</v>
      </c>
    </row>
    <row r="279" customFormat="false" ht="15" hidden="false" customHeight="false" outlineLevel="0" collapsed="false">
      <c r="A279" s="3" t="n">
        <v>0</v>
      </c>
      <c r="B279" s="3" t="n">
        <v>4</v>
      </c>
      <c r="C279" s="3" t="n">
        <v>1</v>
      </c>
      <c r="D279" s="3" t="n">
        <v>1</v>
      </c>
      <c r="E279" s="3" t="n">
        <v>2</v>
      </c>
      <c r="F279" s="3" t="n">
        <v>2</v>
      </c>
      <c r="G279" s="3" t="n">
        <v>3</v>
      </c>
      <c r="H279" s="3" t="n">
        <v>2</v>
      </c>
      <c r="I279" s="3" t="n">
        <v>3</v>
      </c>
      <c r="J279" s="3" t="n">
        <v>26</v>
      </c>
      <c r="K279" s="3" t="n">
        <v>3</v>
      </c>
      <c r="L279" s="3" t="n">
        <v>3</v>
      </c>
      <c r="M279" s="3" t="n">
        <v>3</v>
      </c>
      <c r="N279" s="3" t="n">
        <v>4</v>
      </c>
      <c r="O279" s="3" t="n">
        <v>3</v>
      </c>
      <c r="P279" s="3" t="n">
        <v>3</v>
      </c>
      <c r="Q279" s="3" t="n">
        <v>5</v>
      </c>
      <c r="R279" s="3" t="n">
        <v>4</v>
      </c>
      <c r="S279" s="3" t="n">
        <v>3</v>
      </c>
      <c r="T279" s="3" t="n">
        <v>5</v>
      </c>
      <c r="U279" s="3" t="n">
        <v>5</v>
      </c>
      <c r="V279" s="3" t="n">
        <v>4</v>
      </c>
      <c r="W279" s="3" t="n">
        <v>4</v>
      </c>
      <c r="X279" s="3" t="n">
        <v>3</v>
      </c>
      <c r="Y279" s="3" t="n">
        <v>3</v>
      </c>
      <c r="Z279" s="3" t="n">
        <v>4</v>
      </c>
      <c r="AA279" s="3" t="n">
        <v>4</v>
      </c>
      <c r="AB279" s="3" t="n">
        <v>3</v>
      </c>
      <c r="AC279" s="3" t="n">
        <v>1</v>
      </c>
      <c r="AD279" s="3" t="n">
        <v>3</v>
      </c>
      <c r="AE279" s="3" t="n">
        <v>5</v>
      </c>
      <c r="AF279" s="3" t="n">
        <v>4</v>
      </c>
      <c r="AG279" s="3" t="n">
        <v>5</v>
      </c>
      <c r="AH279" s="3" t="n">
        <v>5</v>
      </c>
      <c r="AI279" s="3" t="n">
        <v>4</v>
      </c>
      <c r="AJ279" s="3" t="n">
        <v>4</v>
      </c>
      <c r="AK279" s="3" t="n">
        <v>3</v>
      </c>
      <c r="AL279" s="3" t="n">
        <v>3</v>
      </c>
      <c r="AM279" s="3" t="n">
        <v>3</v>
      </c>
      <c r="AN279" s="3" t="n">
        <v>4</v>
      </c>
      <c r="AO279" s="3" t="n">
        <v>4</v>
      </c>
    </row>
    <row r="280" customFormat="false" ht="15" hidden="false" customHeight="false" outlineLevel="0" collapsed="false">
      <c r="A280" s="3" t="n">
        <v>0</v>
      </c>
      <c r="B280" s="3" t="n">
        <v>6</v>
      </c>
      <c r="C280" s="3" t="n">
        <v>2</v>
      </c>
      <c r="D280" s="3" t="n">
        <v>2</v>
      </c>
      <c r="E280" s="3" t="n">
        <v>2</v>
      </c>
      <c r="F280" s="3" t="n">
        <v>2</v>
      </c>
      <c r="G280" s="3" t="n">
        <v>1</v>
      </c>
      <c r="H280" s="3" t="n">
        <v>2</v>
      </c>
      <c r="I280" s="3" t="n">
        <v>3</v>
      </c>
      <c r="J280" s="3" t="n">
        <v>23</v>
      </c>
      <c r="K280" s="3" t="n">
        <v>3</v>
      </c>
      <c r="L280" s="3" t="n">
        <v>2</v>
      </c>
      <c r="M280" s="3" t="n">
        <v>4</v>
      </c>
      <c r="N280" s="3" t="n">
        <v>4</v>
      </c>
      <c r="O280" s="3" t="n">
        <v>4</v>
      </c>
      <c r="P280" s="3" t="n">
        <v>2</v>
      </c>
      <c r="Q280" s="3" t="n">
        <v>4</v>
      </c>
      <c r="R280" s="3" t="n">
        <v>3</v>
      </c>
      <c r="S280" s="3" t="n">
        <v>5</v>
      </c>
      <c r="T280" s="3" t="n">
        <v>5</v>
      </c>
      <c r="U280" s="3" t="n">
        <v>4</v>
      </c>
      <c r="V280" s="3" t="n">
        <v>2</v>
      </c>
      <c r="W280" s="3" t="n">
        <v>4</v>
      </c>
      <c r="X280" s="3" t="n">
        <v>4</v>
      </c>
      <c r="Y280" s="3" t="n">
        <v>4</v>
      </c>
      <c r="Z280" s="3" t="n">
        <v>4</v>
      </c>
      <c r="AA280" s="3" t="n">
        <v>2</v>
      </c>
      <c r="AB280" s="3" t="n">
        <v>1</v>
      </c>
      <c r="AC280" s="3" t="n">
        <v>2</v>
      </c>
      <c r="AD280" s="3" t="n">
        <v>2</v>
      </c>
      <c r="AE280" s="3" t="n">
        <v>2</v>
      </c>
      <c r="AF280" s="3" t="n">
        <v>3</v>
      </c>
      <c r="AG280" s="3" t="n">
        <v>3</v>
      </c>
      <c r="AH280" s="3" t="n">
        <v>4</v>
      </c>
      <c r="AI280" s="3" t="n">
        <v>3</v>
      </c>
      <c r="AJ280" s="3" t="n">
        <v>4</v>
      </c>
      <c r="AK280" s="3" t="n">
        <v>2</v>
      </c>
      <c r="AL280" s="3" t="n">
        <v>4</v>
      </c>
      <c r="AM280" s="3" t="n">
        <v>3</v>
      </c>
      <c r="AN280" s="3" t="n">
        <v>3</v>
      </c>
      <c r="AO280" s="3" t="n">
        <v>3</v>
      </c>
    </row>
    <row r="281" customFormat="false" ht="15" hidden="false" customHeight="false" outlineLevel="0" collapsed="false">
      <c r="A281" s="3" t="n">
        <v>1</v>
      </c>
      <c r="B281" s="3" t="n">
        <v>4</v>
      </c>
      <c r="C281" s="3" t="n">
        <v>1</v>
      </c>
      <c r="D281" s="3" t="n">
        <v>1</v>
      </c>
      <c r="E281" s="3" t="n">
        <v>2</v>
      </c>
      <c r="F281" s="3" t="n">
        <v>2</v>
      </c>
      <c r="G281" s="3" t="n">
        <v>3</v>
      </c>
      <c r="H281" s="3" t="n">
        <v>2</v>
      </c>
      <c r="I281" s="3" t="n">
        <v>1</v>
      </c>
      <c r="J281" s="3" t="n">
        <v>26</v>
      </c>
      <c r="K281" s="3" t="n">
        <v>4</v>
      </c>
      <c r="L281" s="3" t="n">
        <v>4</v>
      </c>
      <c r="M281" s="3" t="n">
        <v>4</v>
      </c>
      <c r="N281" s="3" t="n">
        <v>4</v>
      </c>
      <c r="O281" s="3" t="n">
        <v>4</v>
      </c>
      <c r="P281" s="3" t="n">
        <v>1</v>
      </c>
      <c r="Q281" s="3" t="n">
        <v>4</v>
      </c>
      <c r="R281" s="3" t="n">
        <v>2</v>
      </c>
      <c r="S281" s="3" t="n">
        <v>4</v>
      </c>
      <c r="T281" s="3" t="n">
        <v>5</v>
      </c>
      <c r="U281" s="3" t="n">
        <v>5</v>
      </c>
      <c r="V281" s="3" t="n">
        <v>3</v>
      </c>
      <c r="W281" s="3" t="n">
        <v>2</v>
      </c>
      <c r="X281" s="3" t="n">
        <v>2</v>
      </c>
      <c r="Y281" s="3" t="n">
        <v>2</v>
      </c>
      <c r="Z281" s="3" t="n">
        <v>3</v>
      </c>
      <c r="AA281" s="3" t="n">
        <v>4</v>
      </c>
      <c r="AB281" s="3" t="n">
        <v>2</v>
      </c>
      <c r="AC281" s="3" t="n">
        <v>1</v>
      </c>
      <c r="AD281" s="3" t="n">
        <v>1</v>
      </c>
      <c r="AE281" s="3" t="n">
        <v>4</v>
      </c>
      <c r="AF281" s="3" t="n">
        <v>5</v>
      </c>
      <c r="AG281" s="3" t="n">
        <v>4</v>
      </c>
      <c r="AH281" s="3" t="n">
        <v>4</v>
      </c>
      <c r="AI281" s="3" t="n">
        <v>3</v>
      </c>
      <c r="AJ281" s="3" t="n">
        <v>5</v>
      </c>
      <c r="AK281" s="3" t="n">
        <v>1</v>
      </c>
      <c r="AL281" s="3" t="n">
        <v>5</v>
      </c>
      <c r="AM281" s="3" t="n">
        <v>4</v>
      </c>
      <c r="AN281" s="3" t="n">
        <v>2</v>
      </c>
      <c r="AO281" s="3" t="n">
        <v>5</v>
      </c>
    </row>
    <row r="282" customFormat="false" ht="15" hidden="false" customHeight="false" outlineLevel="0" collapsed="false">
      <c r="A282" s="3" t="n">
        <v>0</v>
      </c>
      <c r="B282" s="3" t="n">
        <v>3</v>
      </c>
      <c r="C282" s="3" t="n">
        <v>2</v>
      </c>
      <c r="D282" s="3" t="n">
        <v>1</v>
      </c>
      <c r="E282" s="3" t="n">
        <v>2</v>
      </c>
      <c r="F282" s="3" t="n">
        <v>2</v>
      </c>
      <c r="G282" s="3" t="n">
        <v>1</v>
      </c>
      <c r="H282" s="3" t="n">
        <v>3</v>
      </c>
      <c r="I282" s="3" t="n">
        <v>1</v>
      </c>
      <c r="J282" s="3" t="n">
        <v>22</v>
      </c>
      <c r="K282" s="3" t="n">
        <v>3</v>
      </c>
      <c r="L282" s="3" t="n">
        <v>2</v>
      </c>
      <c r="M282" s="3" t="n">
        <v>4</v>
      </c>
      <c r="N282" s="3" t="n">
        <v>4</v>
      </c>
      <c r="O282" s="3" t="n">
        <v>4</v>
      </c>
      <c r="P282" s="3" t="n">
        <v>2</v>
      </c>
      <c r="Q282" s="3" t="n">
        <v>3</v>
      </c>
      <c r="R282" s="3" t="n">
        <v>3</v>
      </c>
      <c r="S282" s="3" t="n">
        <v>4</v>
      </c>
      <c r="T282" s="3" t="n">
        <v>5</v>
      </c>
      <c r="U282" s="3" t="n">
        <v>4</v>
      </c>
      <c r="V282" s="3" t="n">
        <v>4</v>
      </c>
      <c r="W282" s="3" t="n">
        <v>4</v>
      </c>
      <c r="X282" s="3" t="n">
        <v>4</v>
      </c>
      <c r="Y282" s="3" t="n">
        <v>4</v>
      </c>
      <c r="Z282" s="3" t="n">
        <v>4</v>
      </c>
      <c r="AA282" s="3" t="n">
        <v>4</v>
      </c>
      <c r="AB282" s="3" t="n">
        <v>4</v>
      </c>
      <c r="AC282" s="3" t="n">
        <v>4</v>
      </c>
      <c r="AD282" s="3" t="n">
        <v>2</v>
      </c>
      <c r="AE282" s="3" t="n">
        <v>3</v>
      </c>
      <c r="AF282" s="3" t="n">
        <v>3</v>
      </c>
      <c r="AG282" s="3" t="n">
        <v>4</v>
      </c>
      <c r="AH282" s="3" t="n">
        <v>4</v>
      </c>
      <c r="AI282" s="3" t="n">
        <v>3</v>
      </c>
      <c r="AJ282" s="3" t="n">
        <v>4</v>
      </c>
      <c r="AK282" s="3" t="n">
        <v>2</v>
      </c>
      <c r="AL282" s="3" t="n">
        <v>2</v>
      </c>
      <c r="AM282" s="3" t="n">
        <v>3</v>
      </c>
      <c r="AN282" s="3" t="n">
        <v>4</v>
      </c>
      <c r="AO282" s="3" t="n">
        <v>3</v>
      </c>
    </row>
    <row r="283" customFormat="false" ht="15" hidden="false" customHeight="false" outlineLevel="0" collapsed="false">
      <c r="A283" s="3" t="n">
        <v>0</v>
      </c>
      <c r="B283" s="3" t="n">
        <v>4</v>
      </c>
      <c r="C283" s="3" t="n">
        <v>1</v>
      </c>
      <c r="D283" s="3" t="n">
        <v>1</v>
      </c>
      <c r="E283" s="3" t="n">
        <v>2</v>
      </c>
      <c r="F283" s="3" t="n">
        <v>2</v>
      </c>
      <c r="G283" s="3" t="n">
        <v>2</v>
      </c>
      <c r="H283" s="3" t="n">
        <v>2</v>
      </c>
      <c r="I283" s="3" t="n">
        <v>3</v>
      </c>
      <c r="J283" s="3" t="n">
        <v>24</v>
      </c>
      <c r="K283" s="3" t="n">
        <v>4</v>
      </c>
      <c r="L283" s="3" t="n">
        <v>5</v>
      </c>
      <c r="M283" s="3" t="n">
        <v>5</v>
      </c>
      <c r="N283" s="3" t="n">
        <v>5</v>
      </c>
      <c r="O283" s="3" t="n">
        <v>3</v>
      </c>
      <c r="P283" s="3" t="n">
        <v>4</v>
      </c>
      <c r="Q283" s="3" t="n">
        <v>3</v>
      </c>
      <c r="R283" s="3" t="n">
        <v>2</v>
      </c>
      <c r="S283" s="3" t="n">
        <v>4</v>
      </c>
      <c r="T283" s="3" t="n">
        <v>5</v>
      </c>
      <c r="U283" s="3" t="n">
        <v>5</v>
      </c>
      <c r="V283" s="3" t="n">
        <v>4</v>
      </c>
      <c r="W283" s="3" t="n">
        <v>5</v>
      </c>
      <c r="X283" s="3" t="n">
        <v>3</v>
      </c>
      <c r="Y283" s="3" t="n">
        <v>5</v>
      </c>
      <c r="Z283" s="3" t="n">
        <v>5</v>
      </c>
      <c r="AA283" s="3" t="n">
        <v>5</v>
      </c>
      <c r="AB283" s="3" t="n">
        <v>5</v>
      </c>
      <c r="AC283" s="3" t="n">
        <v>1</v>
      </c>
      <c r="AD283" s="3" t="n">
        <v>3</v>
      </c>
      <c r="AE283" s="3" t="n">
        <v>3</v>
      </c>
      <c r="AF283" s="3" t="n">
        <v>3</v>
      </c>
      <c r="AG283" s="3" t="n">
        <v>4</v>
      </c>
      <c r="AH283" s="3" t="n">
        <v>4</v>
      </c>
      <c r="AI283" s="3" t="n">
        <v>4</v>
      </c>
      <c r="AJ283" s="3" t="n">
        <v>4</v>
      </c>
      <c r="AK283" s="3" t="n">
        <v>3</v>
      </c>
      <c r="AL283" s="3" t="n">
        <v>5</v>
      </c>
      <c r="AM283" s="3" t="n">
        <v>4</v>
      </c>
      <c r="AN283" s="3" t="n">
        <v>3</v>
      </c>
      <c r="AO283" s="3" t="n">
        <v>3</v>
      </c>
    </row>
    <row r="284" customFormat="false" ht="15" hidden="false" customHeight="false" outlineLevel="0" collapsed="false">
      <c r="A284" s="3" t="n">
        <v>0</v>
      </c>
      <c r="B284" s="3" t="n">
        <v>4</v>
      </c>
      <c r="C284" s="3" t="n">
        <v>1</v>
      </c>
      <c r="D284" s="3" t="n">
        <v>1</v>
      </c>
      <c r="E284" s="3" t="n">
        <v>2</v>
      </c>
      <c r="F284" s="3" t="n">
        <v>2</v>
      </c>
      <c r="G284" s="3" t="n">
        <v>2</v>
      </c>
      <c r="H284" s="3" t="n">
        <v>1</v>
      </c>
      <c r="I284" s="3" t="n">
        <v>3</v>
      </c>
      <c r="J284" s="3" t="n">
        <v>23</v>
      </c>
      <c r="K284" s="3" t="n">
        <v>3</v>
      </c>
      <c r="L284" s="3" t="n">
        <v>4</v>
      </c>
      <c r="M284" s="3" t="n">
        <v>4</v>
      </c>
      <c r="N284" s="3" t="n">
        <v>5</v>
      </c>
      <c r="O284" s="3" t="n">
        <v>5</v>
      </c>
      <c r="P284" s="3" t="n">
        <v>4</v>
      </c>
      <c r="Q284" s="3" t="n">
        <v>3</v>
      </c>
      <c r="R284" s="3" t="n">
        <v>2</v>
      </c>
      <c r="S284" s="3" t="n">
        <v>4</v>
      </c>
      <c r="T284" s="3" t="n">
        <v>5</v>
      </c>
      <c r="U284" s="3" t="n">
        <v>5</v>
      </c>
      <c r="V284" s="3" t="n">
        <v>5</v>
      </c>
      <c r="W284" s="3" t="n">
        <v>4</v>
      </c>
      <c r="X284" s="3" t="n">
        <v>5</v>
      </c>
      <c r="Y284" s="3" t="n">
        <v>3</v>
      </c>
      <c r="Z284" s="3" t="n">
        <v>5</v>
      </c>
      <c r="AA284" s="3" t="n">
        <v>4</v>
      </c>
      <c r="AB284" s="3" t="n">
        <v>4</v>
      </c>
      <c r="AC284" s="3" t="n">
        <v>2</v>
      </c>
      <c r="AD284" s="3" t="n">
        <v>2</v>
      </c>
      <c r="AE284" s="3" t="n">
        <v>5</v>
      </c>
      <c r="AF284" s="3" t="n">
        <v>3</v>
      </c>
      <c r="AG284" s="3" t="n">
        <v>4</v>
      </c>
      <c r="AH284" s="3" t="n">
        <v>5</v>
      </c>
      <c r="AI284" s="3" t="n">
        <v>4</v>
      </c>
      <c r="AJ284" s="3" t="n">
        <v>5</v>
      </c>
      <c r="AK284" s="3" t="n">
        <v>4</v>
      </c>
      <c r="AL284" s="3" t="n">
        <v>5</v>
      </c>
      <c r="AM284" s="3" t="n">
        <v>3</v>
      </c>
      <c r="AN284" s="3" t="n">
        <v>3</v>
      </c>
      <c r="AO284" s="3" t="n">
        <v>2</v>
      </c>
    </row>
    <row r="285" customFormat="false" ht="15" hidden="false" customHeight="false" outlineLevel="0" collapsed="false">
      <c r="A285" s="3" t="n">
        <v>0</v>
      </c>
      <c r="B285" s="3" t="n">
        <v>4</v>
      </c>
      <c r="C285" s="3" t="n">
        <v>1</v>
      </c>
      <c r="D285" s="3" t="n">
        <v>2</v>
      </c>
      <c r="E285" s="3" t="n">
        <v>2</v>
      </c>
      <c r="F285" s="3" t="n">
        <v>2</v>
      </c>
      <c r="G285" s="3" t="n">
        <v>2</v>
      </c>
      <c r="H285" s="3" t="n">
        <v>2</v>
      </c>
      <c r="I285" s="3" t="n">
        <v>3</v>
      </c>
      <c r="J285" s="3" t="n">
        <v>24</v>
      </c>
      <c r="K285" s="3" t="n">
        <v>3</v>
      </c>
      <c r="L285" s="3" t="n">
        <v>3</v>
      </c>
      <c r="M285" s="3" t="n">
        <v>4</v>
      </c>
      <c r="N285" s="3" t="n">
        <v>3</v>
      </c>
      <c r="O285" s="3" t="n">
        <v>4</v>
      </c>
      <c r="P285" s="3" t="n">
        <v>4</v>
      </c>
      <c r="Q285" s="3" t="n">
        <v>3</v>
      </c>
      <c r="R285" s="3" t="n">
        <v>3</v>
      </c>
      <c r="S285" s="3" t="n">
        <v>5</v>
      </c>
      <c r="T285" s="3" t="n">
        <v>5</v>
      </c>
      <c r="U285" s="3" t="n">
        <v>5</v>
      </c>
      <c r="V285" s="3" t="n">
        <v>2</v>
      </c>
      <c r="W285" s="3" t="n">
        <v>3</v>
      </c>
      <c r="X285" s="3" t="n">
        <v>2</v>
      </c>
      <c r="Y285" s="3" t="n">
        <v>3</v>
      </c>
      <c r="Z285" s="3" t="n">
        <v>3</v>
      </c>
      <c r="AA285" s="3" t="n">
        <v>3</v>
      </c>
      <c r="AB285" s="3" t="n">
        <v>2</v>
      </c>
      <c r="AC285" s="3" t="n">
        <v>2</v>
      </c>
      <c r="AD285" s="3" t="n">
        <v>3</v>
      </c>
      <c r="AE285" s="3" t="n">
        <v>4</v>
      </c>
      <c r="AF285" s="3" t="n">
        <v>4</v>
      </c>
      <c r="AG285" s="3" t="n">
        <v>3</v>
      </c>
      <c r="AH285" s="3" t="n">
        <v>5</v>
      </c>
      <c r="AI285" s="3" t="n">
        <v>4</v>
      </c>
      <c r="AJ285" s="3" t="n">
        <v>3</v>
      </c>
      <c r="AK285" s="3" t="n">
        <v>3</v>
      </c>
      <c r="AL285" s="3" t="n">
        <v>5</v>
      </c>
      <c r="AM285" s="3" t="n">
        <v>4</v>
      </c>
      <c r="AN285" s="3" t="n">
        <v>3</v>
      </c>
      <c r="AO285" s="3" t="n">
        <v>3</v>
      </c>
    </row>
    <row r="286" customFormat="false" ht="15" hidden="false" customHeight="false" outlineLevel="0" collapsed="false">
      <c r="A286" s="3" t="n">
        <v>0</v>
      </c>
      <c r="B286" s="3" t="n">
        <v>1</v>
      </c>
      <c r="C286" s="3" t="n">
        <v>1</v>
      </c>
      <c r="D286" s="3" t="n">
        <v>2</v>
      </c>
      <c r="E286" s="3" t="n">
        <v>2</v>
      </c>
      <c r="F286" s="3" t="n">
        <v>2</v>
      </c>
      <c r="G286" s="3" t="n">
        <v>1</v>
      </c>
      <c r="H286" s="3" t="n">
        <v>1</v>
      </c>
      <c r="I286" s="3" t="n">
        <v>1</v>
      </c>
      <c r="J286" s="3" t="n">
        <v>21</v>
      </c>
      <c r="K286" s="3" t="n">
        <v>4</v>
      </c>
      <c r="L286" s="3" t="n">
        <v>4</v>
      </c>
      <c r="M286" s="3" t="n">
        <v>4</v>
      </c>
      <c r="N286" s="3" t="n">
        <v>3</v>
      </c>
      <c r="O286" s="3" t="n">
        <v>2</v>
      </c>
      <c r="P286" s="3" t="n">
        <v>4</v>
      </c>
      <c r="Q286" s="3" t="n">
        <v>4</v>
      </c>
      <c r="R286" s="3" t="n">
        <v>3</v>
      </c>
      <c r="S286" s="3" t="n">
        <v>4</v>
      </c>
      <c r="T286" s="3" t="n">
        <v>4</v>
      </c>
      <c r="U286" s="3" t="n">
        <v>4</v>
      </c>
      <c r="V286" s="3" t="n">
        <v>3</v>
      </c>
      <c r="W286" s="3" t="n">
        <v>4</v>
      </c>
      <c r="X286" s="3" t="n">
        <v>3</v>
      </c>
      <c r="Y286" s="3" t="n">
        <v>4</v>
      </c>
      <c r="Z286" s="3" t="n">
        <v>3</v>
      </c>
      <c r="AA286" s="3" t="n">
        <v>4</v>
      </c>
      <c r="AB286" s="3" t="n">
        <v>4</v>
      </c>
      <c r="AC286" s="3" t="n">
        <v>3</v>
      </c>
      <c r="AD286" s="3" t="n">
        <v>3</v>
      </c>
      <c r="AE286" s="3" t="n">
        <v>4</v>
      </c>
      <c r="AF286" s="3" t="n">
        <v>3</v>
      </c>
      <c r="AG286" s="3" t="n">
        <v>3</v>
      </c>
      <c r="AH286" s="3" t="n">
        <v>4</v>
      </c>
      <c r="AI286" s="3" t="n">
        <v>4</v>
      </c>
      <c r="AJ286" s="3" t="n">
        <v>2</v>
      </c>
      <c r="AK286" s="3" t="n">
        <v>3</v>
      </c>
      <c r="AL286" s="3" t="n">
        <v>4</v>
      </c>
      <c r="AM286" s="3" t="n">
        <v>3</v>
      </c>
      <c r="AN286" s="3" t="n">
        <v>3</v>
      </c>
      <c r="AO286" s="3" t="n">
        <v>4</v>
      </c>
    </row>
    <row r="287" customFormat="false" ht="15" hidden="false" customHeight="false" outlineLevel="0" collapsed="false">
      <c r="A287" s="3" t="n">
        <v>0</v>
      </c>
      <c r="B287" s="3" t="n">
        <v>3</v>
      </c>
      <c r="C287" s="3" t="n">
        <v>1</v>
      </c>
      <c r="D287" s="3" t="n">
        <v>1</v>
      </c>
      <c r="E287" s="3" t="n">
        <v>2</v>
      </c>
      <c r="F287" s="3" t="n">
        <v>2</v>
      </c>
      <c r="G287" s="3" t="n">
        <v>3</v>
      </c>
      <c r="H287" s="3" t="n">
        <v>2</v>
      </c>
      <c r="I287" s="3" t="n">
        <v>1</v>
      </c>
      <c r="J287" s="3" t="n">
        <v>20</v>
      </c>
      <c r="K287" s="3" t="n">
        <v>4</v>
      </c>
      <c r="L287" s="3" t="n">
        <v>4</v>
      </c>
      <c r="M287" s="3" t="n">
        <v>4</v>
      </c>
      <c r="N287" s="3" t="n">
        <v>3</v>
      </c>
      <c r="O287" s="3" t="n">
        <v>4</v>
      </c>
      <c r="P287" s="3" t="n">
        <v>4</v>
      </c>
      <c r="Q287" s="3" t="n">
        <v>3</v>
      </c>
      <c r="R287" s="3" t="n">
        <v>3</v>
      </c>
      <c r="S287" s="3" t="n">
        <v>4</v>
      </c>
      <c r="T287" s="3" t="n">
        <v>4</v>
      </c>
      <c r="U287" s="3" t="n">
        <v>4</v>
      </c>
      <c r="V287" s="3" t="n">
        <v>4</v>
      </c>
      <c r="W287" s="3" t="n">
        <v>4</v>
      </c>
      <c r="X287" s="3" t="n">
        <v>4</v>
      </c>
      <c r="Y287" s="3" t="n">
        <v>4</v>
      </c>
      <c r="Z287" s="3" t="n">
        <v>4</v>
      </c>
      <c r="AA287" s="3" t="n">
        <v>4</v>
      </c>
      <c r="AB287" s="3" t="n">
        <v>3</v>
      </c>
      <c r="AC287" s="3" t="n">
        <v>3</v>
      </c>
      <c r="AD287" s="3" t="n">
        <v>3</v>
      </c>
      <c r="AE287" s="3" t="n">
        <v>3</v>
      </c>
      <c r="AF287" s="3" t="n">
        <v>3</v>
      </c>
      <c r="AG287" s="3" t="n">
        <v>3</v>
      </c>
      <c r="AH287" s="3" t="n">
        <v>4</v>
      </c>
      <c r="AI287" s="3" t="n">
        <v>4</v>
      </c>
      <c r="AJ287" s="3" t="n">
        <v>3</v>
      </c>
      <c r="AK287" s="3" t="n">
        <v>4</v>
      </c>
      <c r="AL287" s="3" t="n">
        <v>4</v>
      </c>
      <c r="AM287" s="3" t="n">
        <v>3</v>
      </c>
      <c r="AN287" s="3" t="n">
        <v>3</v>
      </c>
      <c r="AO287" s="3" t="n">
        <v>2</v>
      </c>
    </row>
    <row r="288" customFormat="false" ht="15" hidden="false" customHeight="false" outlineLevel="0" collapsed="false">
      <c r="A288" s="3" t="n">
        <v>0</v>
      </c>
      <c r="B288" s="3" t="n">
        <v>4</v>
      </c>
      <c r="C288" s="3" t="n">
        <v>2</v>
      </c>
      <c r="D288" s="3" t="n">
        <v>1</v>
      </c>
      <c r="E288" s="3" t="n">
        <v>2</v>
      </c>
      <c r="F288" s="3" t="n">
        <v>2</v>
      </c>
      <c r="G288" s="3" t="n">
        <v>2</v>
      </c>
      <c r="H288" s="3" t="n">
        <v>2</v>
      </c>
      <c r="I288" s="3" t="n">
        <v>1</v>
      </c>
      <c r="J288" s="3" t="n">
        <v>22</v>
      </c>
      <c r="K288" s="3" t="n">
        <v>4</v>
      </c>
      <c r="L288" s="3" t="n">
        <v>3</v>
      </c>
      <c r="M288" s="3" t="n">
        <v>4</v>
      </c>
      <c r="N288" s="3" t="n">
        <v>4</v>
      </c>
      <c r="O288" s="3" t="n">
        <v>3</v>
      </c>
      <c r="P288" s="3" t="n">
        <v>4</v>
      </c>
      <c r="Q288" s="3" t="n">
        <v>4</v>
      </c>
      <c r="R288" s="3" t="n">
        <v>5</v>
      </c>
      <c r="S288" s="3" t="n">
        <v>5</v>
      </c>
      <c r="T288" s="3" t="n">
        <v>5</v>
      </c>
      <c r="U288" s="3" t="n">
        <v>5</v>
      </c>
      <c r="V288" s="3" t="n">
        <v>5</v>
      </c>
      <c r="W288" s="3" t="n">
        <v>5</v>
      </c>
      <c r="X288" s="3" t="n">
        <v>5</v>
      </c>
      <c r="Y288" s="3" t="n">
        <v>4</v>
      </c>
      <c r="Z288" s="3" t="n">
        <v>5</v>
      </c>
      <c r="AA288" s="3" t="n">
        <v>1</v>
      </c>
      <c r="AB288" s="3" t="n">
        <v>2</v>
      </c>
      <c r="AC288" s="3" t="n">
        <v>2</v>
      </c>
      <c r="AD288" s="3" t="n">
        <v>2</v>
      </c>
      <c r="AE288" s="3" t="n">
        <v>4</v>
      </c>
      <c r="AF288" s="3" t="n">
        <v>2</v>
      </c>
      <c r="AG288" s="3" t="n">
        <v>5</v>
      </c>
      <c r="AH288" s="3" t="n">
        <v>5</v>
      </c>
      <c r="AI288" s="3" t="n">
        <v>5</v>
      </c>
      <c r="AJ288" s="3" t="n">
        <v>4</v>
      </c>
      <c r="AK288" s="3" t="n">
        <v>4</v>
      </c>
      <c r="AL288" s="3" t="n">
        <v>3</v>
      </c>
      <c r="AM288" s="3" t="n">
        <v>3</v>
      </c>
      <c r="AN288" s="3" t="n">
        <v>4</v>
      </c>
      <c r="AO288" s="3" t="n">
        <v>3</v>
      </c>
    </row>
    <row r="289" customFormat="false" ht="15" hidden="false" customHeight="false" outlineLevel="0" collapsed="false">
      <c r="A289" s="3" t="n">
        <v>0</v>
      </c>
      <c r="B289" s="3" t="n">
        <v>4</v>
      </c>
      <c r="C289" s="3" t="n">
        <v>2</v>
      </c>
      <c r="D289" s="3" t="n">
        <v>1</v>
      </c>
      <c r="E289" s="3" t="n">
        <v>2</v>
      </c>
      <c r="F289" s="3" t="n">
        <v>2</v>
      </c>
      <c r="G289" s="3" t="n">
        <v>3</v>
      </c>
      <c r="H289" s="3" t="n">
        <v>2</v>
      </c>
      <c r="I289" s="3" t="n">
        <v>1</v>
      </c>
      <c r="J289" s="3" t="n">
        <v>23</v>
      </c>
      <c r="K289" s="3" t="n">
        <v>2</v>
      </c>
      <c r="L289" s="3" t="n">
        <v>4</v>
      </c>
      <c r="M289" s="3" t="n">
        <v>4</v>
      </c>
      <c r="N289" s="3" t="n">
        <v>4</v>
      </c>
      <c r="O289" s="3" t="n">
        <v>4</v>
      </c>
      <c r="P289" s="3" t="n">
        <v>4</v>
      </c>
      <c r="Q289" s="3" t="n">
        <v>5</v>
      </c>
      <c r="R289" s="3" t="n">
        <v>4</v>
      </c>
      <c r="S289" s="3" t="n">
        <v>5</v>
      </c>
      <c r="T289" s="3" t="n">
        <v>4</v>
      </c>
      <c r="U289" s="3" t="n">
        <v>4</v>
      </c>
      <c r="V289" s="3" t="n">
        <v>4</v>
      </c>
      <c r="W289" s="3" t="n">
        <v>5</v>
      </c>
      <c r="X289" s="3" t="n">
        <v>4</v>
      </c>
      <c r="Y289" s="3" t="n">
        <v>4</v>
      </c>
      <c r="Z289" s="3" t="n">
        <v>5</v>
      </c>
      <c r="AA289" s="3" t="n">
        <v>5</v>
      </c>
      <c r="AB289" s="3" t="n">
        <v>5</v>
      </c>
      <c r="AC289" s="3" t="n">
        <v>4</v>
      </c>
      <c r="AD289" s="3" t="n">
        <v>4</v>
      </c>
      <c r="AE289" s="3" t="n">
        <v>4</v>
      </c>
      <c r="AF289" s="3" t="n">
        <v>4</v>
      </c>
      <c r="AG289" s="3" t="n">
        <v>4</v>
      </c>
      <c r="AH289" s="3" t="n">
        <v>5</v>
      </c>
      <c r="AI289" s="3" t="n">
        <v>4</v>
      </c>
      <c r="AJ289" s="3" t="n">
        <v>5</v>
      </c>
      <c r="AK289" s="3" t="n">
        <v>5</v>
      </c>
      <c r="AL289" s="3" t="n">
        <v>4</v>
      </c>
      <c r="AM289" s="3" t="n">
        <v>5</v>
      </c>
      <c r="AN289" s="3" t="n">
        <v>4</v>
      </c>
      <c r="AO289" s="3" t="n">
        <v>4</v>
      </c>
    </row>
    <row r="290" customFormat="false" ht="15" hidden="false" customHeight="false" outlineLevel="0" collapsed="false">
      <c r="A290" s="3" t="n">
        <v>0</v>
      </c>
      <c r="B290" s="3" t="n">
        <v>2</v>
      </c>
      <c r="C290" s="3" t="n">
        <v>2</v>
      </c>
      <c r="D290" s="3" t="n">
        <v>1</v>
      </c>
      <c r="E290" s="3" t="n">
        <v>2</v>
      </c>
      <c r="F290" s="3" t="n">
        <v>2</v>
      </c>
      <c r="G290" s="3" t="n">
        <v>3</v>
      </c>
      <c r="H290" s="3" t="n">
        <v>3</v>
      </c>
      <c r="I290" s="3" t="n">
        <v>1</v>
      </c>
      <c r="J290" s="3" t="n">
        <v>23</v>
      </c>
      <c r="K290" s="3" t="n">
        <v>3</v>
      </c>
      <c r="L290" s="3" t="n">
        <v>4</v>
      </c>
      <c r="M290" s="3" t="n">
        <v>4</v>
      </c>
      <c r="N290" s="3" t="n">
        <v>2</v>
      </c>
      <c r="O290" s="3" t="n">
        <v>3</v>
      </c>
      <c r="P290" s="3" t="n">
        <v>4</v>
      </c>
      <c r="Q290" s="3" t="n">
        <v>4</v>
      </c>
      <c r="R290" s="3" t="n">
        <v>3</v>
      </c>
      <c r="S290" s="3" t="n">
        <v>5</v>
      </c>
      <c r="T290" s="3" t="n">
        <v>5</v>
      </c>
      <c r="U290" s="3" t="n">
        <v>5</v>
      </c>
      <c r="V290" s="3" t="n">
        <v>4</v>
      </c>
      <c r="W290" s="3" t="n">
        <v>5</v>
      </c>
      <c r="X290" s="3" t="n">
        <v>4</v>
      </c>
      <c r="Y290" s="3" t="n">
        <v>4</v>
      </c>
      <c r="Z290" s="3" t="n">
        <v>4</v>
      </c>
      <c r="AA290" s="3" t="n">
        <v>2</v>
      </c>
      <c r="AB290" s="3" t="n">
        <v>2</v>
      </c>
      <c r="AC290" s="3" t="n">
        <v>2</v>
      </c>
      <c r="AD290" s="3" t="n">
        <v>2</v>
      </c>
      <c r="AE290" s="3" t="n">
        <v>5</v>
      </c>
      <c r="AF290" s="3" t="n">
        <v>4</v>
      </c>
      <c r="AG290" s="3" t="n">
        <v>4</v>
      </c>
      <c r="AH290" s="3" t="n">
        <v>2</v>
      </c>
      <c r="AI290" s="3" t="n">
        <v>5</v>
      </c>
      <c r="AJ290" s="3" t="n">
        <v>5</v>
      </c>
      <c r="AK290" s="3" t="n">
        <v>3</v>
      </c>
      <c r="AL290" s="3" t="n">
        <v>4</v>
      </c>
      <c r="AM290" s="3" t="n">
        <v>3</v>
      </c>
      <c r="AN290" s="3" t="n">
        <v>4</v>
      </c>
      <c r="AO290" s="3" t="n">
        <v>5</v>
      </c>
    </row>
    <row r="291" customFormat="false" ht="15" hidden="false" customHeight="false" outlineLevel="0" collapsed="false">
      <c r="A291" s="3" t="n">
        <v>0</v>
      </c>
      <c r="B291" s="3" t="n">
        <v>1</v>
      </c>
      <c r="C291" s="3" t="n">
        <v>1</v>
      </c>
      <c r="D291" s="3" t="n">
        <v>2</v>
      </c>
      <c r="E291" s="3" t="n">
        <v>2</v>
      </c>
      <c r="F291" s="3" t="n">
        <v>2</v>
      </c>
      <c r="G291" s="3" t="n">
        <v>3</v>
      </c>
      <c r="H291" s="3" t="n">
        <v>1</v>
      </c>
      <c r="I291" s="3" t="n">
        <v>1</v>
      </c>
      <c r="J291" s="3" t="n">
        <v>24</v>
      </c>
      <c r="K291" s="3" t="n">
        <v>3</v>
      </c>
      <c r="L291" s="3" t="n">
        <v>2</v>
      </c>
      <c r="M291" s="3" t="n">
        <v>4</v>
      </c>
      <c r="N291" s="3" t="n">
        <v>3</v>
      </c>
      <c r="O291" s="3" t="n">
        <v>3</v>
      </c>
      <c r="P291" s="3" t="n">
        <v>3</v>
      </c>
      <c r="Q291" s="3" t="n">
        <v>4</v>
      </c>
      <c r="R291" s="3" t="n">
        <v>2</v>
      </c>
      <c r="S291" s="3" t="n">
        <v>4</v>
      </c>
      <c r="T291" s="3" t="n">
        <v>5</v>
      </c>
      <c r="U291" s="3" t="n">
        <v>5</v>
      </c>
      <c r="V291" s="3" t="n">
        <v>4</v>
      </c>
      <c r="W291" s="3" t="n">
        <v>4</v>
      </c>
      <c r="X291" s="3" t="n">
        <v>3</v>
      </c>
      <c r="Y291" s="3" t="n">
        <v>3</v>
      </c>
      <c r="Z291" s="3" t="n">
        <v>4</v>
      </c>
      <c r="AA291" s="3" t="n">
        <v>4</v>
      </c>
      <c r="AB291" s="3" t="n">
        <v>2</v>
      </c>
      <c r="AC291" s="3" t="n">
        <v>1</v>
      </c>
      <c r="AD291" s="3" t="n">
        <v>2</v>
      </c>
      <c r="AE291" s="3" t="n">
        <v>3</v>
      </c>
      <c r="AF291" s="3" t="n">
        <v>3</v>
      </c>
      <c r="AG291" s="3" t="n">
        <v>2</v>
      </c>
      <c r="AH291" s="3" t="n">
        <v>3</v>
      </c>
      <c r="AI291" s="3" t="n">
        <v>3</v>
      </c>
      <c r="AJ291" s="3" t="n">
        <v>4</v>
      </c>
      <c r="AK291" s="3" t="n">
        <v>4</v>
      </c>
      <c r="AL291" s="3" t="n">
        <v>3</v>
      </c>
      <c r="AM291" s="3" t="n">
        <v>3</v>
      </c>
      <c r="AN291" s="3" t="n">
        <v>3</v>
      </c>
      <c r="AO291" s="3" t="n">
        <v>2</v>
      </c>
    </row>
    <row r="292" customFormat="false" ht="15" hidden="false" customHeight="false" outlineLevel="0" collapsed="false">
      <c r="A292" s="3" t="n">
        <v>0</v>
      </c>
      <c r="B292" s="3" t="n">
        <v>4</v>
      </c>
      <c r="C292" s="3" t="n">
        <v>1</v>
      </c>
      <c r="D292" s="3" t="n">
        <v>1</v>
      </c>
      <c r="E292" s="3" t="n">
        <v>2</v>
      </c>
      <c r="F292" s="3" t="n">
        <v>2</v>
      </c>
      <c r="G292" s="3" t="n">
        <v>4</v>
      </c>
      <c r="H292" s="3" t="n">
        <v>1</v>
      </c>
      <c r="I292" s="3" t="n">
        <v>1</v>
      </c>
      <c r="J292" s="3" t="n">
        <v>21</v>
      </c>
      <c r="K292" s="3" t="n">
        <v>1</v>
      </c>
      <c r="L292" s="3" t="n">
        <v>2</v>
      </c>
      <c r="M292" s="3" t="n">
        <v>3</v>
      </c>
      <c r="N292" s="3" t="n">
        <v>4</v>
      </c>
      <c r="O292" s="3" t="n">
        <v>4</v>
      </c>
      <c r="P292" s="3" t="n">
        <v>3</v>
      </c>
      <c r="Q292" s="3" t="n">
        <v>1</v>
      </c>
      <c r="R292" s="3" t="n">
        <v>1</v>
      </c>
      <c r="S292" s="3" t="n">
        <v>3</v>
      </c>
      <c r="T292" s="3" t="n">
        <v>5</v>
      </c>
      <c r="U292" s="3" t="n">
        <v>3</v>
      </c>
      <c r="V292" s="3" t="n">
        <v>4</v>
      </c>
      <c r="W292" s="3" t="n">
        <v>4</v>
      </c>
      <c r="X292" s="3" t="n">
        <v>4</v>
      </c>
      <c r="Y292" s="3" t="n">
        <v>4</v>
      </c>
      <c r="Z292" s="3" t="n">
        <v>3</v>
      </c>
      <c r="AA292" s="3" t="n">
        <v>1</v>
      </c>
      <c r="AB292" s="3" t="n">
        <v>1</v>
      </c>
      <c r="AC292" s="3" t="n">
        <v>1</v>
      </c>
      <c r="AD292" s="3" t="n">
        <v>1</v>
      </c>
      <c r="AE292" s="3" t="n">
        <v>4</v>
      </c>
      <c r="AF292" s="3" t="n">
        <v>1</v>
      </c>
      <c r="AG292" s="3" t="n">
        <v>3</v>
      </c>
      <c r="AH292" s="3" t="n">
        <v>2</v>
      </c>
      <c r="AI292" s="3" t="n">
        <v>4</v>
      </c>
      <c r="AJ292" s="3" t="n">
        <v>5</v>
      </c>
      <c r="AK292" s="3" t="n">
        <v>5</v>
      </c>
      <c r="AL292" s="3" t="n">
        <v>5</v>
      </c>
      <c r="AM292" s="3" t="n">
        <v>3</v>
      </c>
      <c r="AN292" s="3" t="n">
        <v>1</v>
      </c>
      <c r="AO292" s="3" t="n">
        <v>3</v>
      </c>
    </row>
    <row r="293" customFormat="false" ht="15" hidden="false" customHeight="false" outlineLevel="0" collapsed="false">
      <c r="A293" s="3" t="n">
        <v>1</v>
      </c>
      <c r="B293" s="3" t="n">
        <v>3</v>
      </c>
      <c r="C293" s="3" t="n">
        <v>1</v>
      </c>
      <c r="D293" s="3" t="n">
        <v>2</v>
      </c>
      <c r="E293" s="3" t="n">
        <v>2</v>
      </c>
      <c r="F293" s="3" t="n">
        <v>2</v>
      </c>
      <c r="G293" s="3" t="n">
        <v>4</v>
      </c>
      <c r="H293" s="3" t="n">
        <v>1</v>
      </c>
      <c r="I293" s="3" t="n">
        <v>1</v>
      </c>
      <c r="J293" s="3" t="n">
        <v>21</v>
      </c>
      <c r="K293" s="3" t="n">
        <v>5</v>
      </c>
      <c r="L293" s="3" t="n">
        <v>4</v>
      </c>
      <c r="M293" s="3" t="n">
        <v>5</v>
      </c>
      <c r="N293" s="3" t="n">
        <v>5</v>
      </c>
      <c r="O293" s="3" t="n">
        <v>5</v>
      </c>
      <c r="P293" s="3" t="n">
        <v>4</v>
      </c>
      <c r="Q293" s="3" t="n">
        <v>3</v>
      </c>
      <c r="R293" s="3" t="n">
        <v>1</v>
      </c>
      <c r="S293" s="3" t="n">
        <v>4</v>
      </c>
      <c r="T293" s="3" t="n">
        <v>5</v>
      </c>
      <c r="U293" s="3" t="n">
        <v>4</v>
      </c>
      <c r="V293" s="3" t="n">
        <v>3</v>
      </c>
      <c r="W293" s="3" t="n">
        <v>4</v>
      </c>
      <c r="X293" s="3" t="n">
        <v>4</v>
      </c>
      <c r="Y293" s="3" t="n">
        <v>4</v>
      </c>
      <c r="Z293" s="3" t="n">
        <v>4</v>
      </c>
      <c r="AA293" s="3" t="n">
        <v>5</v>
      </c>
      <c r="AB293" s="3" t="n">
        <v>5</v>
      </c>
      <c r="AC293" s="3" t="n">
        <v>1</v>
      </c>
      <c r="AD293" s="3" t="n">
        <v>1</v>
      </c>
      <c r="AE293" s="3" t="n">
        <v>5</v>
      </c>
      <c r="AF293" s="3" t="n">
        <v>3</v>
      </c>
      <c r="AG293" s="3" t="n">
        <v>4</v>
      </c>
      <c r="AH293" s="3" t="n">
        <v>4</v>
      </c>
      <c r="AI293" s="3" t="n">
        <v>4</v>
      </c>
      <c r="AJ293" s="3" t="n">
        <v>4</v>
      </c>
      <c r="AK293" s="3" t="n">
        <v>2</v>
      </c>
      <c r="AL293" s="3" t="n">
        <v>5</v>
      </c>
      <c r="AM293" s="3" t="n">
        <v>5</v>
      </c>
      <c r="AN293" s="3" t="n">
        <v>1</v>
      </c>
      <c r="AO293" s="3" t="n">
        <v>2</v>
      </c>
    </row>
    <row r="294" customFormat="false" ht="15" hidden="false" customHeight="false" outlineLevel="0" collapsed="false">
      <c r="A294" s="3" t="n">
        <v>1</v>
      </c>
      <c r="B294" s="3" t="n">
        <v>3</v>
      </c>
      <c r="C294" s="3" t="n">
        <v>1</v>
      </c>
      <c r="D294" s="3" t="n">
        <v>2</v>
      </c>
      <c r="E294" s="3" t="n">
        <v>2</v>
      </c>
      <c r="F294" s="3" t="n">
        <v>2</v>
      </c>
      <c r="G294" s="3" t="n">
        <v>1</v>
      </c>
      <c r="H294" s="3" t="n">
        <v>2</v>
      </c>
      <c r="I294" s="3" t="n">
        <v>1</v>
      </c>
      <c r="J294" s="3" t="n">
        <v>22</v>
      </c>
      <c r="K294" s="3" t="n">
        <v>4</v>
      </c>
      <c r="L294" s="3" t="n">
        <v>4</v>
      </c>
      <c r="M294" s="3" t="n">
        <v>4</v>
      </c>
      <c r="N294" s="3" t="n">
        <v>4</v>
      </c>
      <c r="O294" s="3" t="n">
        <v>3</v>
      </c>
      <c r="P294" s="3" t="n">
        <v>3</v>
      </c>
      <c r="Q294" s="3" t="n">
        <v>3</v>
      </c>
      <c r="R294" s="3" t="n">
        <v>4</v>
      </c>
      <c r="S294" s="3" t="n">
        <v>5</v>
      </c>
      <c r="T294" s="3" t="n">
        <v>5</v>
      </c>
      <c r="U294" s="3" t="n">
        <v>5</v>
      </c>
      <c r="V294" s="3" t="n">
        <v>4</v>
      </c>
      <c r="W294" s="3" t="n">
        <v>4</v>
      </c>
      <c r="X294" s="3" t="n">
        <v>2</v>
      </c>
      <c r="Y294" s="3" t="n">
        <v>4</v>
      </c>
      <c r="Z294" s="3" t="n">
        <v>4</v>
      </c>
      <c r="AA294" s="3" t="n">
        <v>4</v>
      </c>
      <c r="AB294" s="3" t="n">
        <v>3</v>
      </c>
      <c r="AC294" s="3" t="n">
        <v>1</v>
      </c>
      <c r="AD294" s="3" t="n">
        <v>2</v>
      </c>
      <c r="AE294" s="3" t="n">
        <v>4</v>
      </c>
      <c r="AF294" s="3" t="n">
        <v>4</v>
      </c>
      <c r="AG294" s="3" t="n">
        <v>3</v>
      </c>
      <c r="AH294" s="3" t="n">
        <v>4</v>
      </c>
      <c r="AI294" s="3" t="n">
        <v>4</v>
      </c>
      <c r="AJ294" s="3" t="n">
        <v>5</v>
      </c>
      <c r="AK294" s="3" t="n">
        <v>3</v>
      </c>
      <c r="AL294" s="3" t="n">
        <v>4</v>
      </c>
      <c r="AM294" s="3" t="n">
        <v>5</v>
      </c>
      <c r="AN294" s="3" t="n">
        <v>4</v>
      </c>
      <c r="AO294" s="3" t="n">
        <v>3</v>
      </c>
    </row>
    <row r="295" customFormat="false" ht="15" hidden="false" customHeight="false" outlineLevel="0" collapsed="false">
      <c r="A295" s="3" t="n">
        <v>1</v>
      </c>
      <c r="B295" s="3" t="n">
        <v>3</v>
      </c>
      <c r="C295" s="3" t="n">
        <v>1</v>
      </c>
      <c r="D295" s="3" t="n">
        <v>2</v>
      </c>
      <c r="E295" s="3" t="n">
        <v>2</v>
      </c>
      <c r="F295" s="3" t="n">
        <v>2</v>
      </c>
      <c r="G295" s="3" t="n">
        <v>4</v>
      </c>
      <c r="H295" s="3" t="n">
        <v>2</v>
      </c>
      <c r="I295" s="3" t="n">
        <v>1</v>
      </c>
      <c r="J295" s="3" t="n">
        <v>22</v>
      </c>
      <c r="K295" s="3" t="n">
        <v>3</v>
      </c>
      <c r="L295" s="3" t="n">
        <v>3</v>
      </c>
      <c r="M295" s="3" t="n">
        <v>2</v>
      </c>
      <c r="N295" s="3" t="n">
        <v>3</v>
      </c>
      <c r="O295" s="3" t="n">
        <v>3</v>
      </c>
      <c r="P295" s="3" t="n">
        <v>4</v>
      </c>
      <c r="Q295" s="3" t="n">
        <v>4</v>
      </c>
      <c r="R295" s="3" t="n">
        <v>3</v>
      </c>
      <c r="S295" s="3" t="n">
        <v>4</v>
      </c>
      <c r="T295" s="3" t="n">
        <v>5</v>
      </c>
      <c r="U295" s="3" t="n">
        <v>4</v>
      </c>
      <c r="V295" s="3" t="n">
        <v>2</v>
      </c>
      <c r="W295" s="3" t="n">
        <v>3</v>
      </c>
      <c r="X295" s="3" t="n">
        <v>3</v>
      </c>
      <c r="Y295" s="3" t="n">
        <v>3</v>
      </c>
      <c r="Z295" s="3" t="n">
        <v>4</v>
      </c>
      <c r="AA295" s="3" t="n">
        <v>4</v>
      </c>
      <c r="AB295" s="3" t="n">
        <v>2</v>
      </c>
      <c r="AC295" s="3" t="n">
        <v>2</v>
      </c>
      <c r="AD295" s="3" t="n">
        <v>2</v>
      </c>
      <c r="AE295" s="3" t="n">
        <v>4</v>
      </c>
      <c r="AF295" s="3" t="n">
        <v>4</v>
      </c>
      <c r="AG295" s="3" t="n">
        <v>4</v>
      </c>
      <c r="AH295" s="3" t="n">
        <v>5</v>
      </c>
      <c r="AI295" s="3" t="n">
        <v>5</v>
      </c>
      <c r="AJ295" s="3" t="n">
        <v>4</v>
      </c>
      <c r="AK295" s="3" t="n">
        <v>2</v>
      </c>
      <c r="AL295" s="3" t="n">
        <v>5</v>
      </c>
      <c r="AM295" s="3" t="n">
        <v>4</v>
      </c>
      <c r="AN295" s="3" t="n">
        <v>2</v>
      </c>
      <c r="AO295" s="3" t="n">
        <v>2</v>
      </c>
    </row>
    <row r="296" customFormat="false" ht="15" hidden="false" customHeight="false" outlineLevel="0" collapsed="false">
      <c r="A296" s="3" t="n">
        <v>0</v>
      </c>
      <c r="B296" s="3" t="n">
        <v>4</v>
      </c>
      <c r="C296" s="3" t="n">
        <v>1</v>
      </c>
      <c r="D296" s="3" t="n">
        <v>1</v>
      </c>
      <c r="E296" s="3" t="n">
        <v>2</v>
      </c>
      <c r="F296" s="3" t="n">
        <v>2</v>
      </c>
      <c r="G296" s="3" t="n">
        <v>2</v>
      </c>
      <c r="H296" s="3" t="n">
        <v>2</v>
      </c>
      <c r="I296" s="3" t="n">
        <v>2</v>
      </c>
      <c r="J296" s="3" t="n">
        <v>23</v>
      </c>
      <c r="K296" s="3" t="n">
        <v>4</v>
      </c>
      <c r="L296" s="3" t="n">
        <v>4</v>
      </c>
      <c r="M296" s="3" t="n">
        <v>1</v>
      </c>
      <c r="N296" s="3" t="n">
        <v>5</v>
      </c>
      <c r="O296" s="3" t="n">
        <v>5</v>
      </c>
      <c r="P296" s="3" t="n">
        <v>2</v>
      </c>
      <c r="Q296" s="3" t="n">
        <v>1</v>
      </c>
      <c r="R296" s="3" t="n">
        <v>2</v>
      </c>
      <c r="S296" s="3" t="n">
        <v>4</v>
      </c>
      <c r="T296" s="3" t="n">
        <v>5</v>
      </c>
      <c r="U296" s="3" t="n">
        <v>4</v>
      </c>
      <c r="V296" s="3" t="n">
        <v>1</v>
      </c>
      <c r="W296" s="3" t="n">
        <v>5</v>
      </c>
      <c r="X296" s="3" t="n">
        <v>5</v>
      </c>
      <c r="Y296" s="3" t="n">
        <v>4</v>
      </c>
      <c r="Z296" s="3" t="n">
        <v>4</v>
      </c>
      <c r="AA296" s="3" t="n">
        <v>4</v>
      </c>
      <c r="AB296" s="3" t="n">
        <v>5</v>
      </c>
      <c r="AC296" s="3" t="n">
        <v>1</v>
      </c>
      <c r="AD296" s="3" t="n">
        <v>2</v>
      </c>
      <c r="AE296" s="3" t="n">
        <v>3</v>
      </c>
      <c r="AF296" s="3" t="n">
        <v>4</v>
      </c>
      <c r="AG296" s="3" t="n">
        <v>3</v>
      </c>
      <c r="AH296" s="3" t="n">
        <v>4</v>
      </c>
      <c r="AI296" s="3" t="n">
        <v>4</v>
      </c>
      <c r="AJ296" s="3" t="n">
        <v>3</v>
      </c>
      <c r="AK296" s="3" t="n">
        <v>5</v>
      </c>
      <c r="AL296" s="3" t="n">
        <v>5</v>
      </c>
      <c r="AM296" s="3" t="n">
        <v>4</v>
      </c>
      <c r="AN296" s="3" t="n">
        <v>1</v>
      </c>
      <c r="AO296" s="3" t="n">
        <v>1</v>
      </c>
    </row>
    <row r="297" customFormat="false" ht="15" hidden="false" customHeight="false" outlineLevel="0" collapsed="false">
      <c r="A297" s="3" t="n">
        <v>0</v>
      </c>
      <c r="B297" s="3" t="n">
        <v>6</v>
      </c>
      <c r="C297" s="3" t="n">
        <v>1</v>
      </c>
      <c r="D297" s="3" t="n">
        <v>2</v>
      </c>
      <c r="E297" s="3" t="n">
        <v>2</v>
      </c>
      <c r="F297" s="3" t="n">
        <v>2</v>
      </c>
      <c r="G297" s="3" t="n">
        <v>3</v>
      </c>
      <c r="H297" s="3" t="n">
        <v>2</v>
      </c>
      <c r="I297" s="3" t="n">
        <v>3</v>
      </c>
      <c r="J297" s="3" t="n">
        <v>24</v>
      </c>
      <c r="K297" s="3" t="n">
        <v>2</v>
      </c>
      <c r="L297" s="3" t="n">
        <v>3</v>
      </c>
      <c r="M297" s="3" t="n">
        <v>4</v>
      </c>
      <c r="N297" s="3" t="n">
        <v>2</v>
      </c>
      <c r="O297" s="3" t="n">
        <v>2</v>
      </c>
      <c r="P297" s="3" t="n">
        <v>4</v>
      </c>
      <c r="Q297" s="3" t="n">
        <v>3</v>
      </c>
      <c r="R297" s="3" t="n">
        <v>3</v>
      </c>
      <c r="S297" s="3" t="n">
        <v>4</v>
      </c>
      <c r="T297" s="3" t="n">
        <v>4</v>
      </c>
      <c r="U297" s="3" t="n">
        <v>4</v>
      </c>
      <c r="V297" s="3" t="n">
        <v>2</v>
      </c>
      <c r="W297" s="3" t="n">
        <v>5</v>
      </c>
      <c r="X297" s="3" t="n">
        <v>2</v>
      </c>
      <c r="Y297" s="3" t="n">
        <v>4</v>
      </c>
      <c r="Z297" s="3" t="n">
        <v>4</v>
      </c>
      <c r="AA297" s="3" t="n">
        <v>3</v>
      </c>
      <c r="AB297" s="3" t="n">
        <v>1</v>
      </c>
      <c r="AC297" s="3" t="n">
        <v>1</v>
      </c>
      <c r="AD297" s="3" t="n">
        <v>1</v>
      </c>
      <c r="AE297" s="3" t="n">
        <v>3</v>
      </c>
      <c r="AF297" s="3" t="n">
        <v>2</v>
      </c>
      <c r="AG297" s="3" t="n">
        <v>3</v>
      </c>
      <c r="AH297" s="3" t="n">
        <v>4</v>
      </c>
      <c r="AI297" s="3" t="n">
        <v>4</v>
      </c>
      <c r="AJ297" s="3" t="n">
        <v>2</v>
      </c>
      <c r="AK297" s="3" t="n">
        <v>2</v>
      </c>
      <c r="AL297" s="3" t="n">
        <v>3</v>
      </c>
      <c r="AM297" s="3" t="n">
        <v>3</v>
      </c>
      <c r="AN297" s="3" t="n">
        <v>3</v>
      </c>
      <c r="AO297" s="3" t="n">
        <v>3</v>
      </c>
    </row>
    <row r="298" customFormat="false" ht="15" hidden="false" customHeight="false" outlineLevel="0" collapsed="false">
      <c r="A298" s="3" t="n">
        <v>0</v>
      </c>
      <c r="B298" s="3" t="n">
        <v>4</v>
      </c>
      <c r="C298" s="3" t="n">
        <v>1</v>
      </c>
      <c r="D298" s="3" t="n">
        <v>2</v>
      </c>
      <c r="E298" s="3" t="n">
        <v>2</v>
      </c>
      <c r="F298" s="3" t="n">
        <v>2</v>
      </c>
      <c r="G298" s="3" t="n">
        <v>1</v>
      </c>
      <c r="H298" s="3" t="n">
        <v>2</v>
      </c>
      <c r="I298" s="3" t="n">
        <v>3</v>
      </c>
      <c r="J298" s="3" t="n">
        <v>24</v>
      </c>
      <c r="K298" s="3" t="n">
        <v>5</v>
      </c>
      <c r="L298" s="3" t="n">
        <v>4</v>
      </c>
      <c r="M298" s="3" t="n">
        <v>2</v>
      </c>
      <c r="N298" s="3" t="n">
        <v>4</v>
      </c>
      <c r="O298" s="3" t="n">
        <v>2</v>
      </c>
      <c r="P298" s="3" t="n">
        <v>2</v>
      </c>
      <c r="Q298" s="3" t="n">
        <v>2</v>
      </c>
      <c r="R298" s="3" t="n">
        <v>3</v>
      </c>
      <c r="S298" s="3" t="n">
        <v>5</v>
      </c>
      <c r="T298" s="3" t="n">
        <v>5</v>
      </c>
      <c r="U298" s="3" t="n">
        <v>5</v>
      </c>
      <c r="V298" s="3" t="n">
        <v>4</v>
      </c>
      <c r="W298" s="3" t="n">
        <v>4</v>
      </c>
      <c r="X298" s="3" t="n">
        <v>3</v>
      </c>
      <c r="Y298" s="3" t="n">
        <v>2</v>
      </c>
      <c r="Z298" s="3" t="n">
        <v>5</v>
      </c>
      <c r="AA298" s="3" t="n">
        <v>2</v>
      </c>
      <c r="AB298" s="3" t="n">
        <v>2</v>
      </c>
      <c r="AC298" s="3" t="n">
        <v>2</v>
      </c>
      <c r="AD298" s="3" t="n">
        <v>2</v>
      </c>
      <c r="AE298" s="3" t="n">
        <v>5</v>
      </c>
      <c r="AF298" s="3" t="n">
        <v>2</v>
      </c>
      <c r="AG298" s="3" t="n">
        <v>4</v>
      </c>
      <c r="AH298" s="3" t="n">
        <v>4</v>
      </c>
      <c r="AI298" s="3" t="n">
        <v>5</v>
      </c>
      <c r="AJ298" s="3" t="n">
        <v>4</v>
      </c>
      <c r="AK298" s="3" t="n">
        <v>2</v>
      </c>
      <c r="AL298" s="3" t="n">
        <v>5</v>
      </c>
      <c r="AM298" s="3" t="n">
        <v>5</v>
      </c>
      <c r="AN298" s="3" t="n">
        <v>3</v>
      </c>
      <c r="AO298" s="3" t="n">
        <v>3</v>
      </c>
    </row>
    <row r="299" customFormat="false" ht="15" hidden="false" customHeight="false" outlineLevel="0" collapsed="false">
      <c r="A299" s="3" t="n">
        <v>0</v>
      </c>
      <c r="B299" s="3" t="n">
        <v>4</v>
      </c>
      <c r="C299" s="3" t="n">
        <v>1</v>
      </c>
      <c r="D299" s="3" t="n">
        <v>1</v>
      </c>
      <c r="E299" s="3" t="n">
        <v>2</v>
      </c>
      <c r="F299" s="3" t="n">
        <v>2</v>
      </c>
      <c r="G299" s="3" t="n">
        <v>2</v>
      </c>
      <c r="H299" s="3" t="n">
        <v>2</v>
      </c>
      <c r="I299" s="3" t="n">
        <v>3</v>
      </c>
      <c r="J299" s="3" t="n">
        <v>27</v>
      </c>
      <c r="K299" s="3" t="n">
        <v>3</v>
      </c>
      <c r="L299" s="3" t="n">
        <v>3</v>
      </c>
      <c r="M299" s="3" t="n">
        <v>3</v>
      </c>
      <c r="N299" s="3" t="n">
        <v>3</v>
      </c>
      <c r="O299" s="3" t="n">
        <v>4</v>
      </c>
      <c r="P299" s="3" t="n">
        <v>3</v>
      </c>
      <c r="Q299" s="3" t="n">
        <v>2</v>
      </c>
      <c r="R299" s="3" t="n">
        <v>4</v>
      </c>
      <c r="S299" s="3" t="n">
        <v>4</v>
      </c>
      <c r="T299" s="3" t="n">
        <v>5</v>
      </c>
      <c r="U299" s="3" t="n">
        <v>5</v>
      </c>
      <c r="V299" s="3" t="n">
        <v>4</v>
      </c>
      <c r="W299" s="3" t="n">
        <v>4</v>
      </c>
      <c r="X299" s="3" t="n">
        <v>4</v>
      </c>
      <c r="Y299" s="3" t="n">
        <v>4</v>
      </c>
      <c r="Z299" s="3" t="n">
        <v>4</v>
      </c>
      <c r="AA299" s="3" t="n">
        <v>2</v>
      </c>
      <c r="AB299" s="3" t="n">
        <v>2</v>
      </c>
      <c r="AC299" s="3" t="n">
        <v>3</v>
      </c>
      <c r="AD299" s="3" t="n">
        <v>3</v>
      </c>
      <c r="AE299" s="3" t="n">
        <v>4</v>
      </c>
      <c r="AF299" s="3" t="n">
        <v>3</v>
      </c>
      <c r="AG299" s="3" t="n">
        <v>4</v>
      </c>
      <c r="AH299" s="3" t="n">
        <v>4</v>
      </c>
      <c r="AI299" s="3" t="n">
        <v>4</v>
      </c>
      <c r="AJ299" s="3" t="n">
        <v>4</v>
      </c>
      <c r="AK299" s="3" t="n">
        <v>3</v>
      </c>
      <c r="AL299" s="3" t="n">
        <v>4</v>
      </c>
      <c r="AM299" s="3" t="n">
        <v>3</v>
      </c>
      <c r="AN299" s="3" t="n">
        <v>3</v>
      </c>
      <c r="AO299" s="3" t="n">
        <v>3</v>
      </c>
    </row>
    <row r="300" customFormat="false" ht="15" hidden="false" customHeight="false" outlineLevel="0" collapsed="false">
      <c r="A300" s="3" t="n">
        <v>1</v>
      </c>
      <c r="B300" s="3" t="n">
        <v>3</v>
      </c>
      <c r="C300" s="3" t="n">
        <v>1</v>
      </c>
      <c r="D300" s="3" t="n">
        <v>1</v>
      </c>
      <c r="E300" s="3" t="n">
        <v>2</v>
      </c>
      <c r="F300" s="3" t="n">
        <v>2</v>
      </c>
      <c r="G300" s="3" t="n">
        <v>3</v>
      </c>
      <c r="H300" s="3" t="n">
        <v>3</v>
      </c>
      <c r="I300" s="3" t="n">
        <v>3</v>
      </c>
      <c r="J300" s="3" t="n">
        <v>23</v>
      </c>
      <c r="K300" s="3" t="n">
        <v>4</v>
      </c>
      <c r="L300" s="3" t="n">
        <v>4</v>
      </c>
      <c r="M300" s="3" t="n">
        <v>5</v>
      </c>
      <c r="N300" s="3" t="n">
        <v>4</v>
      </c>
      <c r="O300" s="3" t="n">
        <v>3</v>
      </c>
      <c r="P300" s="3" t="n">
        <v>4</v>
      </c>
      <c r="Q300" s="3" t="n">
        <v>4</v>
      </c>
      <c r="R300" s="3" t="n">
        <v>4</v>
      </c>
      <c r="S300" s="3" t="n">
        <v>4</v>
      </c>
      <c r="T300" s="3" t="n">
        <v>4</v>
      </c>
      <c r="U300" s="3" t="n">
        <v>5</v>
      </c>
      <c r="V300" s="3" t="n">
        <v>4</v>
      </c>
      <c r="W300" s="3" t="n">
        <v>4</v>
      </c>
      <c r="X300" s="3" t="n">
        <v>4</v>
      </c>
      <c r="Y300" s="3" t="n">
        <v>4</v>
      </c>
      <c r="Z300" s="3" t="n">
        <v>5</v>
      </c>
      <c r="AA300" s="3" t="n">
        <v>5</v>
      </c>
      <c r="AB300" s="3" t="n">
        <v>2</v>
      </c>
      <c r="AC300" s="3" t="n">
        <v>2</v>
      </c>
      <c r="AD300" s="3" t="n">
        <v>2</v>
      </c>
      <c r="AE300" s="3" t="n">
        <v>5</v>
      </c>
      <c r="AF300" s="3" t="n">
        <v>4</v>
      </c>
      <c r="AG300" s="3" t="n">
        <v>4</v>
      </c>
      <c r="AH300" s="3" t="n">
        <v>4</v>
      </c>
      <c r="AI300" s="3" t="n">
        <v>2</v>
      </c>
      <c r="AJ300" s="3" t="n">
        <v>4</v>
      </c>
      <c r="AK300" s="3" t="n">
        <v>3</v>
      </c>
      <c r="AL300" s="3" t="n">
        <v>5</v>
      </c>
      <c r="AM300" s="3" t="n">
        <v>4</v>
      </c>
      <c r="AN300" s="3" t="n">
        <v>3</v>
      </c>
      <c r="AO300" s="3" t="n">
        <v>3</v>
      </c>
    </row>
    <row r="301" customFormat="false" ht="15" hidden="false" customHeight="false" outlineLevel="0" collapsed="false">
      <c r="A301" s="3" t="n">
        <v>0</v>
      </c>
      <c r="B301" s="3" t="n">
        <v>3</v>
      </c>
      <c r="C301" s="3" t="n">
        <v>1</v>
      </c>
      <c r="D301" s="3" t="n">
        <v>1</v>
      </c>
      <c r="E301" s="3" t="n">
        <v>2</v>
      </c>
      <c r="F301" s="3" t="n">
        <v>2</v>
      </c>
      <c r="G301" s="3" t="n">
        <v>3</v>
      </c>
      <c r="H301" s="3" t="n">
        <v>1</v>
      </c>
      <c r="I301" s="3" t="n">
        <v>1</v>
      </c>
      <c r="J301" s="3" t="n">
        <v>22</v>
      </c>
      <c r="K301" s="3" t="n">
        <v>3</v>
      </c>
      <c r="L301" s="3" t="n">
        <v>4</v>
      </c>
      <c r="M301" s="3" t="n">
        <v>4</v>
      </c>
      <c r="N301" s="3" t="n">
        <v>3</v>
      </c>
      <c r="O301" s="3" t="n">
        <v>5</v>
      </c>
      <c r="P301" s="3" t="n">
        <v>4</v>
      </c>
      <c r="Q301" s="3" t="n">
        <v>4</v>
      </c>
      <c r="R301" s="3" t="n">
        <v>3</v>
      </c>
      <c r="S301" s="3" t="n">
        <v>4</v>
      </c>
      <c r="T301" s="3" t="n">
        <v>5</v>
      </c>
      <c r="U301" s="3" t="n">
        <v>4</v>
      </c>
      <c r="V301" s="3" t="n">
        <v>4</v>
      </c>
      <c r="W301" s="3" t="n">
        <v>4</v>
      </c>
      <c r="X301" s="3" t="n">
        <v>5</v>
      </c>
      <c r="Y301" s="3" t="n">
        <v>5</v>
      </c>
      <c r="Z301" s="3" t="n">
        <v>4</v>
      </c>
      <c r="AA301" s="3" t="n">
        <v>3</v>
      </c>
      <c r="AB301" s="3" t="n">
        <v>2</v>
      </c>
      <c r="AC301" s="3" t="n">
        <v>3</v>
      </c>
      <c r="AD301" s="3" t="n">
        <v>3</v>
      </c>
      <c r="AE301" s="3" t="n">
        <v>4</v>
      </c>
      <c r="AF301" s="3" t="n">
        <v>4</v>
      </c>
      <c r="AG301" s="3" t="n">
        <v>4</v>
      </c>
      <c r="AH301" s="3" t="n">
        <v>4</v>
      </c>
      <c r="AI301" s="3" t="n">
        <v>4</v>
      </c>
      <c r="AJ301" s="3" t="n">
        <v>3</v>
      </c>
      <c r="AK301" s="3" t="n">
        <v>3</v>
      </c>
      <c r="AL301" s="3" t="n">
        <v>3</v>
      </c>
      <c r="AM301" s="3" t="n">
        <v>3</v>
      </c>
      <c r="AN301" s="3" t="n">
        <v>2</v>
      </c>
      <c r="AO301" s="3" t="n">
        <v>3</v>
      </c>
    </row>
    <row r="302" customFormat="false" ht="15" hidden="false" customHeight="false" outlineLevel="0" collapsed="false">
      <c r="A302" s="3" t="n">
        <v>0</v>
      </c>
      <c r="B302" s="3" t="n">
        <v>3</v>
      </c>
      <c r="C302" s="3" t="n">
        <v>1</v>
      </c>
      <c r="D302" s="3" t="n">
        <v>2</v>
      </c>
      <c r="E302" s="3" t="n">
        <v>2</v>
      </c>
      <c r="F302" s="3" t="n">
        <v>2</v>
      </c>
      <c r="G302" s="3" t="n">
        <v>3</v>
      </c>
      <c r="H302" s="3" t="n">
        <v>1</v>
      </c>
      <c r="I302" s="3" t="n">
        <v>1</v>
      </c>
      <c r="J302" s="3" t="n">
        <v>22</v>
      </c>
      <c r="K302" s="3" t="n">
        <v>2</v>
      </c>
      <c r="L302" s="3" t="n">
        <v>3</v>
      </c>
      <c r="M302" s="3" t="n">
        <v>4</v>
      </c>
      <c r="N302" s="3" t="n">
        <v>4</v>
      </c>
      <c r="O302" s="3" t="n">
        <v>3</v>
      </c>
      <c r="P302" s="3" t="n">
        <v>4</v>
      </c>
      <c r="Q302" s="3" t="n">
        <v>3</v>
      </c>
      <c r="R302" s="3" t="n">
        <v>4</v>
      </c>
      <c r="S302" s="3" t="n">
        <v>4</v>
      </c>
      <c r="T302" s="3" t="n">
        <v>4</v>
      </c>
      <c r="U302" s="3" t="n">
        <v>4</v>
      </c>
      <c r="V302" s="3" t="n">
        <v>4</v>
      </c>
      <c r="W302" s="3" t="n">
        <v>3</v>
      </c>
      <c r="X302" s="3" t="n">
        <v>3</v>
      </c>
      <c r="Y302" s="3" t="n">
        <v>2</v>
      </c>
      <c r="Z302" s="3" t="n">
        <v>4</v>
      </c>
      <c r="AA302" s="3" t="n">
        <v>5</v>
      </c>
      <c r="AB302" s="3" t="n">
        <v>4</v>
      </c>
      <c r="AC302" s="3" t="n">
        <v>1</v>
      </c>
      <c r="AD302" s="3" t="n">
        <v>2</v>
      </c>
      <c r="AE302" s="3" t="n">
        <v>3</v>
      </c>
      <c r="AF302" s="3" t="n">
        <v>3</v>
      </c>
      <c r="AG302" s="3" t="n">
        <v>3</v>
      </c>
      <c r="AH302" s="3" t="n">
        <v>3</v>
      </c>
      <c r="AI302" s="3" t="n">
        <v>3</v>
      </c>
      <c r="AJ302" s="3" t="n">
        <v>5</v>
      </c>
      <c r="AK302" s="3" t="n">
        <v>4</v>
      </c>
      <c r="AL302" s="3" t="n">
        <v>5</v>
      </c>
      <c r="AM302" s="3" t="n">
        <v>3</v>
      </c>
      <c r="AN302" s="3" t="n">
        <v>4</v>
      </c>
      <c r="AO302" s="3" t="n">
        <v>3</v>
      </c>
    </row>
    <row r="303" customFormat="false" ht="15" hidden="false" customHeight="false" outlineLevel="0" collapsed="false">
      <c r="A303" s="3" t="n">
        <v>0</v>
      </c>
      <c r="B303" s="3" t="n">
        <v>4</v>
      </c>
      <c r="C303" s="3" t="n">
        <v>2</v>
      </c>
      <c r="D303" s="3" t="n">
        <v>1</v>
      </c>
      <c r="E303" s="3" t="n">
        <v>2</v>
      </c>
      <c r="F303" s="3" t="n">
        <v>2</v>
      </c>
      <c r="G303" s="3" t="n">
        <v>3</v>
      </c>
      <c r="H303" s="3" t="n">
        <v>2</v>
      </c>
      <c r="I303" s="3" t="n">
        <v>1</v>
      </c>
      <c r="J303" s="3" t="n">
        <v>23</v>
      </c>
      <c r="K303" s="3" t="n">
        <v>4</v>
      </c>
      <c r="L303" s="3" t="n">
        <v>4</v>
      </c>
      <c r="M303" s="3" t="n">
        <v>4</v>
      </c>
      <c r="N303" s="3" t="n">
        <v>4</v>
      </c>
      <c r="O303" s="3" t="n">
        <v>3</v>
      </c>
      <c r="P303" s="3" t="n">
        <v>1</v>
      </c>
      <c r="Q303" s="3" t="n">
        <v>3</v>
      </c>
      <c r="R303" s="3" t="n">
        <v>3</v>
      </c>
      <c r="S303" s="3" t="n">
        <v>4</v>
      </c>
      <c r="T303" s="3" t="n">
        <v>5</v>
      </c>
      <c r="U303" s="3" t="n">
        <v>4</v>
      </c>
      <c r="V303" s="3" t="n">
        <v>3</v>
      </c>
      <c r="W303" s="3" t="n">
        <v>3</v>
      </c>
      <c r="X303" s="3" t="n">
        <v>3</v>
      </c>
      <c r="Y303" s="3" t="n">
        <v>3</v>
      </c>
      <c r="Z303" s="3" t="n">
        <v>3</v>
      </c>
      <c r="AA303" s="3" t="n">
        <v>3</v>
      </c>
      <c r="AB303" s="3" t="n">
        <v>3</v>
      </c>
      <c r="AC303" s="3" t="n">
        <v>2</v>
      </c>
      <c r="AD303" s="3" t="n">
        <v>2</v>
      </c>
      <c r="AE303" s="3" t="n">
        <v>4</v>
      </c>
      <c r="AF303" s="3" t="n">
        <v>2</v>
      </c>
      <c r="AG303" s="3" t="n">
        <v>4</v>
      </c>
      <c r="AH303" s="3" t="n">
        <v>4</v>
      </c>
      <c r="AI303" s="3" t="n">
        <v>5</v>
      </c>
      <c r="AJ303" s="3" t="n">
        <v>3</v>
      </c>
      <c r="AK303" s="3" t="n">
        <v>3</v>
      </c>
      <c r="AL303" s="3" t="n">
        <v>4</v>
      </c>
      <c r="AM303" s="3" t="n">
        <v>2</v>
      </c>
      <c r="AN303" s="3" t="n">
        <v>3</v>
      </c>
      <c r="AO303" s="3" t="n">
        <v>2</v>
      </c>
    </row>
    <row r="304" customFormat="false" ht="15" hidden="false" customHeight="false" outlineLevel="0" collapsed="false">
      <c r="A304" s="3" t="n">
        <v>0</v>
      </c>
      <c r="B304" s="3" t="n">
        <v>3</v>
      </c>
      <c r="C304" s="3" t="n">
        <v>1</v>
      </c>
      <c r="D304" s="3" t="n">
        <v>1</v>
      </c>
      <c r="E304" s="3" t="n">
        <v>2</v>
      </c>
      <c r="F304" s="3" t="n">
        <v>2</v>
      </c>
      <c r="G304" s="3" t="n">
        <v>3</v>
      </c>
      <c r="H304" s="3" t="n">
        <v>2</v>
      </c>
      <c r="I304" s="3" t="n">
        <v>2</v>
      </c>
      <c r="J304" s="3" t="n">
        <v>24</v>
      </c>
      <c r="K304" s="3" t="n">
        <v>4</v>
      </c>
      <c r="L304" s="3" t="n">
        <v>1</v>
      </c>
      <c r="M304" s="3" t="n">
        <v>4</v>
      </c>
      <c r="N304" s="3" t="n">
        <v>2</v>
      </c>
      <c r="O304" s="3" t="n">
        <v>4</v>
      </c>
      <c r="P304" s="3" t="n">
        <v>1</v>
      </c>
      <c r="Q304" s="3" t="n">
        <v>4</v>
      </c>
      <c r="R304" s="3" t="n">
        <v>2</v>
      </c>
      <c r="S304" s="3" t="n">
        <v>3</v>
      </c>
      <c r="T304" s="3" t="n">
        <v>5</v>
      </c>
      <c r="U304" s="3" t="n">
        <v>4</v>
      </c>
      <c r="V304" s="3" t="n">
        <v>2</v>
      </c>
      <c r="W304" s="3" t="n">
        <v>4</v>
      </c>
      <c r="X304" s="3" t="n">
        <v>4</v>
      </c>
      <c r="Y304" s="3" t="n">
        <v>4</v>
      </c>
      <c r="Z304" s="3" t="n">
        <v>4</v>
      </c>
      <c r="AA304" s="3" t="n">
        <v>2</v>
      </c>
      <c r="AB304" s="3" t="n">
        <v>4</v>
      </c>
      <c r="AC304" s="3" t="n">
        <v>1</v>
      </c>
      <c r="AD304" s="3" t="n">
        <v>2</v>
      </c>
      <c r="AE304" s="3" t="n">
        <v>3</v>
      </c>
      <c r="AF304" s="3" t="n">
        <v>3</v>
      </c>
      <c r="AG304" s="3" t="n">
        <v>4</v>
      </c>
      <c r="AH304" s="3" t="n">
        <v>5</v>
      </c>
      <c r="AI304" s="3" t="n">
        <v>4</v>
      </c>
      <c r="AJ304" s="3" t="n">
        <v>1</v>
      </c>
      <c r="AK304" s="3" t="n">
        <v>2</v>
      </c>
      <c r="AL304" s="3" t="n">
        <v>5</v>
      </c>
      <c r="AM304" s="3" t="n">
        <v>2</v>
      </c>
      <c r="AN304" s="3" t="n">
        <v>4</v>
      </c>
      <c r="AO304" s="3" t="n">
        <v>2</v>
      </c>
    </row>
    <row r="305" customFormat="false" ht="15" hidden="false" customHeight="false" outlineLevel="0" collapsed="false">
      <c r="A305" s="3" t="n">
        <v>0</v>
      </c>
      <c r="B305" s="3" t="n">
        <v>4</v>
      </c>
      <c r="C305" s="3" t="n">
        <v>1</v>
      </c>
      <c r="D305" s="3" t="n">
        <v>1</v>
      </c>
      <c r="E305" s="3" t="n">
        <v>2</v>
      </c>
      <c r="F305" s="3" t="n">
        <v>2</v>
      </c>
      <c r="G305" s="3" t="n">
        <v>2</v>
      </c>
      <c r="H305" s="3" t="n">
        <v>2</v>
      </c>
      <c r="I305" s="3" t="n">
        <v>1</v>
      </c>
      <c r="J305" s="3" t="n">
        <v>23</v>
      </c>
      <c r="K305" s="3" t="n">
        <v>3</v>
      </c>
      <c r="L305" s="3" t="n">
        <v>4</v>
      </c>
      <c r="M305" s="3" t="n">
        <v>4</v>
      </c>
      <c r="N305" s="3" t="n">
        <v>3</v>
      </c>
      <c r="O305" s="3" t="n">
        <v>2</v>
      </c>
      <c r="P305" s="3" t="n">
        <v>2</v>
      </c>
      <c r="Q305" s="3" t="n">
        <v>3</v>
      </c>
      <c r="R305" s="3" t="n">
        <v>1</v>
      </c>
      <c r="S305" s="3" t="n">
        <v>1</v>
      </c>
      <c r="T305" s="3" t="n">
        <v>5</v>
      </c>
      <c r="U305" s="3" t="n">
        <v>5</v>
      </c>
      <c r="V305" s="3" t="n">
        <v>4</v>
      </c>
      <c r="W305" s="3" t="n">
        <v>5</v>
      </c>
      <c r="X305" s="3" t="n">
        <v>5</v>
      </c>
      <c r="Y305" s="3" t="n">
        <v>5</v>
      </c>
      <c r="Z305" s="3" t="n">
        <v>5</v>
      </c>
      <c r="AA305" s="3" t="n">
        <v>3</v>
      </c>
      <c r="AB305" s="3" t="n">
        <v>1</v>
      </c>
      <c r="AC305" s="3" t="n">
        <v>1</v>
      </c>
      <c r="AD305" s="3" t="n">
        <v>1</v>
      </c>
      <c r="AE305" s="3" t="n">
        <v>4</v>
      </c>
      <c r="AF305" s="3" t="n">
        <v>5</v>
      </c>
      <c r="AG305" s="3" t="n">
        <v>3</v>
      </c>
      <c r="AH305" s="3" t="n">
        <v>3</v>
      </c>
      <c r="AI305" s="3" t="n">
        <v>5</v>
      </c>
      <c r="AJ305" s="3" t="n">
        <v>5</v>
      </c>
      <c r="AK305" s="3" t="n">
        <v>2</v>
      </c>
      <c r="AL305" s="3" t="n">
        <v>3</v>
      </c>
      <c r="AM305" s="3" t="n">
        <v>3</v>
      </c>
      <c r="AN305" s="3" t="n">
        <v>3</v>
      </c>
      <c r="AO305" s="3" t="n">
        <v>2</v>
      </c>
    </row>
    <row r="306" customFormat="false" ht="15" hidden="false" customHeight="false" outlineLevel="0" collapsed="false">
      <c r="A306" s="3" t="n">
        <v>0</v>
      </c>
      <c r="B306" s="3" t="n">
        <v>6</v>
      </c>
      <c r="C306" s="3" t="n">
        <v>1</v>
      </c>
      <c r="D306" s="3" t="n">
        <v>1</v>
      </c>
      <c r="E306" s="3" t="n">
        <v>2</v>
      </c>
      <c r="F306" s="3" t="n">
        <v>2</v>
      </c>
      <c r="G306" s="3" t="n">
        <v>3</v>
      </c>
      <c r="H306" s="3" t="n">
        <v>2</v>
      </c>
      <c r="I306" s="3" t="n">
        <v>1</v>
      </c>
      <c r="J306" s="3" t="n">
        <v>21</v>
      </c>
      <c r="K306" s="3" t="n">
        <v>4</v>
      </c>
      <c r="L306" s="3" t="n">
        <v>4</v>
      </c>
      <c r="M306" s="3" t="n">
        <v>1</v>
      </c>
      <c r="N306" s="3" t="n">
        <v>5</v>
      </c>
      <c r="O306" s="3" t="n">
        <v>3</v>
      </c>
      <c r="P306" s="3" t="n">
        <v>4</v>
      </c>
      <c r="Q306" s="3" t="n">
        <v>3</v>
      </c>
      <c r="R306" s="3" t="n">
        <v>5</v>
      </c>
      <c r="S306" s="3" t="n">
        <v>4</v>
      </c>
      <c r="T306" s="3" t="n">
        <v>4</v>
      </c>
      <c r="U306" s="3" t="n">
        <v>4</v>
      </c>
      <c r="V306" s="3" t="n">
        <v>4</v>
      </c>
      <c r="W306" s="3" t="n">
        <v>4</v>
      </c>
      <c r="X306" s="3" t="n">
        <v>3</v>
      </c>
      <c r="Y306" s="3" t="n">
        <v>5</v>
      </c>
      <c r="Z306" s="3" t="n">
        <v>4</v>
      </c>
      <c r="AA306" s="3" t="n">
        <v>4</v>
      </c>
      <c r="AB306" s="3" t="n">
        <v>3</v>
      </c>
      <c r="AC306" s="3" t="n">
        <v>1</v>
      </c>
      <c r="AD306" s="3" t="n">
        <v>1</v>
      </c>
      <c r="AE306" s="3" t="n">
        <v>3</v>
      </c>
      <c r="AF306" s="3" t="n">
        <v>3</v>
      </c>
      <c r="AG306" s="3" t="n">
        <v>4</v>
      </c>
      <c r="AH306" s="3" t="n">
        <v>4</v>
      </c>
      <c r="AI306" s="3" t="n">
        <v>4</v>
      </c>
      <c r="AJ306" s="3" t="n">
        <v>5</v>
      </c>
      <c r="AK306" s="3" t="n">
        <v>4</v>
      </c>
      <c r="AL306" s="3" t="n">
        <v>5</v>
      </c>
      <c r="AM306" s="3" t="n">
        <v>4</v>
      </c>
      <c r="AN306" s="3" t="n">
        <v>5</v>
      </c>
      <c r="AO306" s="3" t="n">
        <v>5</v>
      </c>
    </row>
    <row r="307" customFormat="false" ht="15" hidden="false" customHeight="false" outlineLevel="0" collapsed="false">
      <c r="A307" s="3" t="n">
        <v>0</v>
      </c>
      <c r="B307" s="3" t="n">
        <v>4</v>
      </c>
      <c r="C307" s="3" t="n">
        <v>1</v>
      </c>
      <c r="D307" s="3" t="n">
        <v>1</v>
      </c>
      <c r="E307" s="3" t="n">
        <v>2</v>
      </c>
      <c r="F307" s="3" t="n">
        <v>2</v>
      </c>
      <c r="G307" s="3" t="n">
        <v>2</v>
      </c>
      <c r="H307" s="3" t="n">
        <v>3</v>
      </c>
      <c r="I307" s="3" t="n">
        <v>1</v>
      </c>
      <c r="J307" s="3" t="n">
        <v>25</v>
      </c>
      <c r="K307" s="3" t="n">
        <v>1</v>
      </c>
      <c r="L307" s="3" t="n">
        <v>2</v>
      </c>
      <c r="M307" s="3" t="n">
        <v>2</v>
      </c>
      <c r="N307" s="3" t="n">
        <v>2</v>
      </c>
      <c r="O307" s="3" t="n">
        <v>5</v>
      </c>
      <c r="P307" s="3" t="n">
        <v>5</v>
      </c>
      <c r="Q307" s="3" t="n">
        <v>5</v>
      </c>
      <c r="R307" s="3" t="n">
        <v>1</v>
      </c>
      <c r="S307" s="3" t="n">
        <v>3</v>
      </c>
      <c r="T307" s="3" t="n">
        <v>5</v>
      </c>
      <c r="U307" s="3" t="n">
        <v>4</v>
      </c>
      <c r="V307" s="3" t="n">
        <v>3</v>
      </c>
      <c r="W307" s="3" t="n">
        <v>5</v>
      </c>
      <c r="X307" s="3" t="n">
        <v>2</v>
      </c>
      <c r="Y307" s="3" t="n">
        <v>3</v>
      </c>
      <c r="Z307" s="3" t="n">
        <v>5</v>
      </c>
      <c r="AA307" s="3" t="n">
        <v>5</v>
      </c>
      <c r="AB307" s="3" t="n">
        <v>1</v>
      </c>
      <c r="AC307" s="3" t="n">
        <v>1</v>
      </c>
      <c r="AD307" s="3" t="n">
        <v>1</v>
      </c>
      <c r="AE307" s="3" t="n">
        <v>3</v>
      </c>
      <c r="AF307" s="3" t="n">
        <v>1</v>
      </c>
      <c r="AG307" s="3" t="n">
        <v>4</v>
      </c>
      <c r="AH307" s="3" t="n">
        <v>2</v>
      </c>
      <c r="AI307" s="3" t="n">
        <v>1</v>
      </c>
      <c r="AJ307" s="3" t="n">
        <v>2</v>
      </c>
      <c r="AK307" s="3" t="n">
        <v>1</v>
      </c>
      <c r="AL307" s="3" t="n">
        <v>5</v>
      </c>
      <c r="AM307" s="3" t="n">
        <v>4</v>
      </c>
      <c r="AN307" s="3" t="n">
        <v>1</v>
      </c>
      <c r="AO307" s="3" t="n">
        <v>5</v>
      </c>
    </row>
    <row r="308" customFormat="false" ht="15" hidden="false" customHeight="false" outlineLevel="0" collapsed="false">
      <c r="A308" s="3" t="n">
        <v>1</v>
      </c>
      <c r="B308" s="3" t="n">
        <v>1</v>
      </c>
      <c r="C308" s="3" t="n">
        <v>1</v>
      </c>
      <c r="D308" s="3" t="n">
        <v>2</v>
      </c>
      <c r="E308" s="3" t="n">
        <v>2</v>
      </c>
      <c r="F308" s="3" t="n">
        <v>2</v>
      </c>
      <c r="G308" s="3" t="n">
        <v>3</v>
      </c>
      <c r="H308" s="3" t="n">
        <v>1</v>
      </c>
      <c r="I308" s="3" t="n">
        <v>1</v>
      </c>
      <c r="J308" s="3" t="n">
        <v>22</v>
      </c>
      <c r="K308" s="3" t="n">
        <v>2</v>
      </c>
      <c r="L308" s="3" t="n">
        <v>3</v>
      </c>
      <c r="M308" s="3" t="n">
        <v>3</v>
      </c>
      <c r="N308" s="3" t="n">
        <v>3</v>
      </c>
      <c r="O308" s="3" t="n">
        <v>5</v>
      </c>
      <c r="P308" s="3" t="n">
        <v>1</v>
      </c>
      <c r="Q308" s="3" t="n">
        <v>3</v>
      </c>
      <c r="R308" s="3" t="n">
        <v>2</v>
      </c>
      <c r="S308" s="3" t="n">
        <v>4</v>
      </c>
      <c r="T308" s="3" t="n">
        <v>5</v>
      </c>
      <c r="U308" s="3" t="n">
        <v>4</v>
      </c>
      <c r="V308" s="3" t="n">
        <v>4</v>
      </c>
      <c r="W308" s="3" t="n">
        <v>5</v>
      </c>
      <c r="X308" s="3" t="n">
        <v>4</v>
      </c>
      <c r="Y308" s="3" t="n">
        <v>4</v>
      </c>
      <c r="Z308" s="3" t="n">
        <v>5</v>
      </c>
      <c r="AA308" s="3" t="n">
        <v>4</v>
      </c>
      <c r="AB308" s="3" t="n">
        <v>5</v>
      </c>
      <c r="AC308" s="3" t="n">
        <v>1</v>
      </c>
      <c r="AD308" s="3" t="n">
        <v>1</v>
      </c>
      <c r="AE308" s="3" t="n">
        <v>4</v>
      </c>
      <c r="AF308" s="3" t="n">
        <v>2</v>
      </c>
      <c r="AG308" s="3" t="n">
        <v>5</v>
      </c>
      <c r="AH308" s="3" t="n">
        <v>5</v>
      </c>
      <c r="AI308" s="3" t="n">
        <v>5</v>
      </c>
      <c r="AJ308" s="3" t="n">
        <v>2</v>
      </c>
      <c r="AK308" s="3" t="n">
        <v>2</v>
      </c>
      <c r="AL308" s="3" t="n">
        <v>5</v>
      </c>
      <c r="AM308" s="3" t="n">
        <v>3</v>
      </c>
      <c r="AN308" s="3" t="n">
        <v>4</v>
      </c>
      <c r="AO308" s="3" t="n">
        <v>2</v>
      </c>
    </row>
    <row r="309" customFormat="false" ht="15" hidden="false" customHeight="false" outlineLevel="0" collapsed="false">
      <c r="A309" s="3" t="n">
        <v>0</v>
      </c>
      <c r="B309" s="3" t="n">
        <v>3</v>
      </c>
      <c r="C309" s="3" t="n">
        <v>2</v>
      </c>
      <c r="D309" s="3" t="n">
        <v>1</v>
      </c>
      <c r="E309" s="3" t="n">
        <v>2</v>
      </c>
      <c r="F309" s="3" t="n">
        <v>2</v>
      </c>
      <c r="G309" s="3" t="n">
        <v>3</v>
      </c>
      <c r="H309" s="3" t="n">
        <v>2</v>
      </c>
      <c r="I309" s="3" t="n">
        <v>1</v>
      </c>
      <c r="J309" s="3" t="n">
        <v>20</v>
      </c>
      <c r="K309" s="3" t="n">
        <v>3</v>
      </c>
      <c r="L309" s="3" t="n">
        <v>4</v>
      </c>
      <c r="M309" s="3" t="n">
        <v>4</v>
      </c>
      <c r="N309" s="3" t="n">
        <v>4</v>
      </c>
      <c r="O309" s="3" t="n">
        <v>3</v>
      </c>
      <c r="P309" s="3" t="n">
        <v>2</v>
      </c>
      <c r="Q309" s="3" t="n">
        <v>3</v>
      </c>
      <c r="R309" s="3" t="n">
        <v>4</v>
      </c>
      <c r="S309" s="3" t="n">
        <v>5</v>
      </c>
      <c r="T309" s="3" t="n">
        <v>4</v>
      </c>
      <c r="U309" s="3" t="n">
        <v>4</v>
      </c>
      <c r="V309" s="3" t="n">
        <v>3</v>
      </c>
      <c r="W309" s="3" t="n">
        <v>4</v>
      </c>
      <c r="X309" s="3" t="n">
        <v>3</v>
      </c>
      <c r="Y309" s="3" t="n">
        <v>4</v>
      </c>
      <c r="Z309" s="3" t="n">
        <v>4</v>
      </c>
      <c r="AA309" s="3" t="n">
        <v>4</v>
      </c>
      <c r="AB309" s="3" t="n">
        <v>2</v>
      </c>
      <c r="AC309" s="3" t="n">
        <v>2</v>
      </c>
      <c r="AD309" s="3" t="n">
        <v>4</v>
      </c>
      <c r="AE309" s="3" t="n">
        <v>3</v>
      </c>
      <c r="AF309" s="3" t="n">
        <v>4</v>
      </c>
      <c r="AG309" s="3" t="n">
        <v>4</v>
      </c>
      <c r="AH309" s="3" t="n">
        <v>3</v>
      </c>
      <c r="AI309" s="3" t="n">
        <v>4</v>
      </c>
      <c r="AJ309" s="3" t="n">
        <v>4</v>
      </c>
      <c r="AK309" s="3" t="n">
        <v>3</v>
      </c>
      <c r="AL309" s="3" t="n">
        <v>3</v>
      </c>
      <c r="AM309" s="3" t="n">
        <v>4</v>
      </c>
      <c r="AN309" s="3" t="n">
        <v>4</v>
      </c>
      <c r="AO309" s="3" t="n">
        <v>3</v>
      </c>
    </row>
    <row r="310" customFormat="false" ht="15" hidden="false" customHeight="false" outlineLevel="0" collapsed="false">
      <c r="A310" s="3" t="n">
        <v>1</v>
      </c>
      <c r="B310" s="3" t="n">
        <v>3</v>
      </c>
      <c r="C310" s="3" t="n">
        <v>1</v>
      </c>
      <c r="D310" s="3" t="n">
        <v>1</v>
      </c>
      <c r="E310" s="3" t="n">
        <v>2</v>
      </c>
      <c r="F310" s="3" t="n">
        <v>2</v>
      </c>
      <c r="G310" s="3" t="n">
        <v>3</v>
      </c>
      <c r="H310" s="3" t="n">
        <v>2</v>
      </c>
      <c r="I310" s="3" t="n">
        <v>1</v>
      </c>
      <c r="J310" s="3" t="n">
        <v>24</v>
      </c>
      <c r="K310" s="3" t="n">
        <v>3</v>
      </c>
      <c r="L310" s="3" t="n">
        <v>2</v>
      </c>
      <c r="M310" s="3" t="n">
        <v>2</v>
      </c>
      <c r="N310" s="3" t="n">
        <v>5</v>
      </c>
      <c r="O310" s="3" t="n">
        <v>2</v>
      </c>
      <c r="P310" s="3" t="n">
        <v>2</v>
      </c>
      <c r="Q310" s="3" t="n">
        <v>4</v>
      </c>
      <c r="R310" s="3" t="n">
        <v>2</v>
      </c>
      <c r="S310" s="3" t="n">
        <v>5</v>
      </c>
      <c r="T310" s="3" t="n">
        <v>2</v>
      </c>
      <c r="U310" s="3" t="n">
        <v>5</v>
      </c>
      <c r="V310" s="3" t="n">
        <v>5</v>
      </c>
      <c r="W310" s="3" t="n">
        <v>5</v>
      </c>
      <c r="X310" s="3" t="n">
        <v>2</v>
      </c>
      <c r="Y310" s="3" t="n">
        <v>4</v>
      </c>
      <c r="Z310" s="3" t="n">
        <v>5</v>
      </c>
      <c r="AA310" s="3" t="n">
        <v>4</v>
      </c>
      <c r="AB310" s="3" t="n">
        <v>1</v>
      </c>
      <c r="AC310" s="3" t="n">
        <v>2</v>
      </c>
      <c r="AD310" s="3" t="n">
        <v>2</v>
      </c>
      <c r="AE310" s="3" t="n">
        <v>2</v>
      </c>
      <c r="AF310" s="3" t="n">
        <v>1</v>
      </c>
      <c r="AG310" s="3" t="n">
        <v>3</v>
      </c>
      <c r="AH310" s="3" t="n">
        <v>5</v>
      </c>
      <c r="AI310" s="3" t="n">
        <v>4</v>
      </c>
      <c r="AJ310" s="3" t="n">
        <v>3</v>
      </c>
      <c r="AK310" s="3" t="n">
        <v>3</v>
      </c>
      <c r="AL310" s="3" t="n">
        <v>5</v>
      </c>
      <c r="AM310" s="3" t="n">
        <v>3</v>
      </c>
      <c r="AN310" s="3" t="n">
        <v>2</v>
      </c>
      <c r="AO310" s="3" t="n">
        <v>5</v>
      </c>
    </row>
    <row r="311" customFormat="false" ht="15" hidden="false" customHeight="false" outlineLevel="0" collapsed="false">
      <c r="A311" s="3" t="n">
        <v>0</v>
      </c>
      <c r="B311" s="3" t="n">
        <v>4</v>
      </c>
      <c r="C311" s="3" t="n">
        <v>1</v>
      </c>
      <c r="D311" s="3" t="n">
        <v>1</v>
      </c>
      <c r="E311" s="3" t="n">
        <v>2</v>
      </c>
      <c r="F311" s="3" t="n">
        <v>2</v>
      </c>
      <c r="G311" s="3" t="n">
        <v>1</v>
      </c>
      <c r="H311" s="3" t="n">
        <v>2</v>
      </c>
      <c r="I311" s="3" t="n">
        <v>3</v>
      </c>
      <c r="J311" s="3" t="n">
        <v>29</v>
      </c>
      <c r="K311" s="3" t="n">
        <v>4</v>
      </c>
      <c r="L311" s="3" t="n">
        <v>4</v>
      </c>
      <c r="M311" s="3" t="n">
        <v>3</v>
      </c>
      <c r="N311" s="3" t="n">
        <v>3</v>
      </c>
      <c r="O311" s="3" t="n">
        <v>4</v>
      </c>
      <c r="P311" s="3" t="n">
        <v>3</v>
      </c>
      <c r="Q311" s="3" t="n">
        <v>3</v>
      </c>
      <c r="R311" s="3" t="n">
        <v>2</v>
      </c>
      <c r="S311" s="3" t="n">
        <v>5</v>
      </c>
      <c r="T311" s="3" t="n">
        <v>5</v>
      </c>
      <c r="U311" s="3" t="n">
        <v>5</v>
      </c>
      <c r="V311" s="3" t="n">
        <v>3</v>
      </c>
      <c r="W311" s="3" t="n">
        <v>4</v>
      </c>
      <c r="X311" s="3" t="n">
        <v>3</v>
      </c>
      <c r="Y311" s="3" t="n">
        <v>4</v>
      </c>
      <c r="Z311" s="3" t="n">
        <v>4</v>
      </c>
      <c r="AA311" s="3" t="n">
        <v>4</v>
      </c>
      <c r="AB311" s="3" t="n">
        <v>3</v>
      </c>
      <c r="AC311" s="3" t="n">
        <v>2</v>
      </c>
      <c r="AD311" s="3" t="n">
        <v>2</v>
      </c>
      <c r="AE311" s="3" t="n">
        <v>4</v>
      </c>
      <c r="AF311" s="3" t="n">
        <v>3</v>
      </c>
      <c r="AG311" s="3" t="n">
        <v>4</v>
      </c>
      <c r="AH311" s="3" t="n">
        <v>4</v>
      </c>
      <c r="AI311" s="3" t="n">
        <v>4</v>
      </c>
      <c r="AJ311" s="3" t="n">
        <v>4</v>
      </c>
      <c r="AK311" s="3" t="n">
        <v>4</v>
      </c>
      <c r="AL311" s="3" t="n">
        <v>5</v>
      </c>
      <c r="AM311" s="3" t="n">
        <v>4</v>
      </c>
      <c r="AN311" s="3" t="n">
        <v>3</v>
      </c>
      <c r="AO311" s="3" t="n">
        <v>2</v>
      </c>
    </row>
    <row r="312" customFormat="false" ht="15" hidden="false" customHeight="false" outlineLevel="0" collapsed="false">
      <c r="A312" s="3" t="n">
        <v>0</v>
      </c>
      <c r="B312" s="3" t="n">
        <v>3</v>
      </c>
      <c r="C312" s="3" t="n">
        <v>1</v>
      </c>
      <c r="D312" s="3" t="n">
        <v>1</v>
      </c>
      <c r="E312" s="3" t="n">
        <v>2</v>
      </c>
      <c r="F312" s="3" t="n">
        <v>2</v>
      </c>
      <c r="G312" s="3" t="n">
        <v>3</v>
      </c>
      <c r="H312" s="3" t="n">
        <v>1</v>
      </c>
      <c r="I312" s="3" t="n">
        <v>1</v>
      </c>
      <c r="J312" s="3" t="n">
        <v>21</v>
      </c>
      <c r="K312" s="3" t="n">
        <v>3</v>
      </c>
      <c r="L312" s="3" t="n">
        <v>3</v>
      </c>
      <c r="M312" s="3" t="n">
        <v>5</v>
      </c>
      <c r="N312" s="3" t="n">
        <v>3</v>
      </c>
      <c r="O312" s="3" t="n">
        <v>1</v>
      </c>
      <c r="P312" s="3" t="n">
        <v>1</v>
      </c>
      <c r="Q312" s="3" t="n">
        <v>5</v>
      </c>
      <c r="R312" s="3" t="n">
        <v>2</v>
      </c>
      <c r="S312" s="3" t="n">
        <v>4</v>
      </c>
      <c r="T312" s="3" t="n">
        <v>4</v>
      </c>
      <c r="U312" s="3" t="n">
        <v>4</v>
      </c>
      <c r="V312" s="3" t="n">
        <v>4</v>
      </c>
      <c r="W312" s="3" t="n">
        <v>5</v>
      </c>
      <c r="X312" s="3" t="n">
        <v>5</v>
      </c>
      <c r="Y312" s="3" t="n">
        <v>5</v>
      </c>
      <c r="Z312" s="3" t="n">
        <v>4</v>
      </c>
      <c r="AA312" s="3" t="n">
        <v>4</v>
      </c>
      <c r="AB312" s="3" t="n">
        <v>4</v>
      </c>
      <c r="AC312" s="3" t="n">
        <v>2</v>
      </c>
      <c r="AD312" s="3" t="n">
        <v>2</v>
      </c>
      <c r="AE312" s="3" t="n">
        <v>3</v>
      </c>
      <c r="AF312" s="3" t="n">
        <v>1</v>
      </c>
      <c r="AG312" s="3" t="n">
        <v>4</v>
      </c>
      <c r="AH312" s="3" t="n">
        <v>3</v>
      </c>
      <c r="AI312" s="3" t="n">
        <v>3</v>
      </c>
      <c r="AJ312" s="3" t="n">
        <v>2</v>
      </c>
      <c r="AK312" s="3" t="n">
        <v>2</v>
      </c>
      <c r="AL312" s="3" t="n">
        <v>5</v>
      </c>
      <c r="AM312" s="3" t="n">
        <v>4</v>
      </c>
      <c r="AN312" s="3" t="n">
        <v>3</v>
      </c>
      <c r="AO312" s="3" t="n">
        <v>2</v>
      </c>
    </row>
    <row r="313" customFormat="false" ht="15" hidden="false" customHeight="false" outlineLevel="0" collapsed="false">
      <c r="A313" s="3" t="n">
        <v>0</v>
      </c>
      <c r="B313" s="3" t="n">
        <v>4</v>
      </c>
      <c r="C313" s="3" t="n">
        <v>1</v>
      </c>
      <c r="D313" s="3" t="n">
        <v>1</v>
      </c>
      <c r="E313" s="3" t="n">
        <v>2</v>
      </c>
      <c r="F313" s="3" t="n">
        <v>2</v>
      </c>
      <c r="G313" s="3" t="n">
        <v>3</v>
      </c>
      <c r="H313" s="3" t="n">
        <v>3</v>
      </c>
      <c r="I313" s="3" t="n">
        <v>1</v>
      </c>
      <c r="J313" s="3" t="n">
        <v>24</v>
      </c>
      <c r="K313" s="3" t="n">
        <v>2</v>
      </c>
      <c r="L313" s="3" t="n">
        <v>5</v>
      </c>
      <c r="M313" s="3" t="n">
        <v>5</v>
      </c>
      <c r="N313" s="3" t="n">
        <v>5</v>
      </c>
      <c r="O313" s="3" t="n">
        <v>5</v>
      </c>
      <c r="P313" s="3" t="n">
        <v>5</v>
      </c>
      <c r="Q313" s="3" t="n">
        <v>4</v>
      </c>
      <c r="R313" s="3" t="n">
        <v>4</v>
      </c>
      <c r="S313" s="3" t="n">
        <v>5</v>
      </c>
      <c r="T313" s="3" t="n">
        <v>5</v>
      </c>
      <c r="U313" s="3" t="n">
        <v>5</v>
      </c>
      <c r="V313" s="3" t="n">
        <v>4</v>
      </c>
      <c r="W313" s="3" t="n">
        <v>5</v>
      </c>
      <c r="X313" s="3" t="n">
        <v>4</v>
      </c>
      <c r="Y313" s="3" t="n">
        <v>4</v>
      </c>
      <c r="Z313" s="3" t="n">
        <v>4</v>
      </c>
      <c r="AA313" s="3" t="n">
        <v>5</v>
      </c>
      <c r="AB313" s="3" t="n">
        <v>5</v>
      </c>
      <c r="AC313" s="3" t="n">
        <v>3</v>
      </c>
      <c r="AD313" s="3" t="n">
        <v>3</v>
      </c>
      <c r="AE313" s="3" t="n">
        <v>4</v>
      </c>
      <c r="AF313" s="3" t="n">
        <v>3</v>
      </c>
      <c r="AG313" s="3" t="n">
        <v>5</v>
      </c>
      <c r="AH313" s="3" t="n">
        <v>3</v>
      </c>
      <c r="AI313" s="3" t="n">
        <v>5</v>
      </c>
      <c r="AJ313" s="3" t="n">
        <v>5</v>
      </c>
      <c r="AK313" s="3" t="n">
        <v>3</v>
      </c>
      <c r="AL313" s="3" t="n">
        <v>5</v>
      </c>
      <c r="AM313" s="3" t="n">
        <v>5</v>
      </c>
      <c r="AN313" s="3" t="n">
        <v>4</v>
      </c>
      <c r="AO313" s="3" t="n">
        <v>3</v>
      </c>
    </row>
    <row r="314" customFormat="false" ht="15" hidden="false" customHeight="false" outlineLevel="0" collapsed="false">
      <c r="A314" s="3" t="n">
        <v>0</v>
      </c>
      <c r="B314" s="3" t="n">
        <v>4</v>
      </c>
      <c r="C314" s="3" t="n">
        <v>1</v>
      </c>
      <c r="D314" s="3" t="n">
        <v>1</v>
      </c>
      <c r="E314" s="3" t="n">
        <v>2</v>
      </c>
      <c r="F314" s="3" t="n">
        <v>2</v>
      </c>
      <c r="G314" s="3" t="n">
        <v>4</v>
      </c>
      <c r="H314" s="3" t="n">
        <v>3</v>
      </c>
      <c r="I314" s="3" t="n">
        <v>1</v>
      </c>
      <c r="J314" s="3" t="n">
        <v>22</v>
      </c>
      <c r="K314" s="3" t="n">
        <v>4</v>
      </c>
      <c r="L314" s="3" t="n">
        <v>4</v>
      </c>
      <c r="M314" s="3" t="n">
        <v>3</v>
      </c>
      <c r="N314" s="3" t="n">
        <v>4</v>
      </c>
      <c r="O314" s="3" t="n">
        <v>4</v>
      </c>
      <c r="P314" s="3" t="n">
        <v>3</v>
      </c>
      <c r="Q314" s="3" t="n">
        <v>3</v>
      </c>
      <c r="R314" s="3" t="n">
        <v>2</v>
      </c>
      <c r="S314" s="3" t="n">
        <v>4</v>
      </c>
      <c r="T314" s="3" t="n">
        <v>5</v>
      </c>
      <c r="U314" s="3" t="n">
        <v>4</v>
      </c>
      <c r="V314" s="3" t="n">
        <v>4</v>
      </c>
      <c r="W314" s="3" t="n">
        <v>3</v>
      </c>
      <c r="X314" s="3" t="n">
        <v>3</v>
      </c>
      <c r="Y314" s="3" t="n">
        <v>3</v>
      </c>
      <c r="Z314" s="3" t="n">
        <v>2</v>
      </c>
      <c r="AA314" s="3" t="n">
        <v>3</v>
      </c>
      <c r="AB314" s="3" t="n">
        <v>3</v>
      </c>
      <c r="AC314" s="3" t="n">
        <v>2</v>
      </c>
      <c r="AD314" s="3" t="n">
        <v>3</v>
      </c>
      <c r="AE314" s="3" t="n">
        <v>2</v>
      </c>
      <c r="AF314" s="3" t="n">
        <v>3</v>
      </c>
      <c r="AG314" s="3" t="n">
        <v>4</v>
      </c>
      <c r="AH314" s="3" t="n">
        <v>4</v>
      </c>
      <c r="AI314" s="3" t="n">
        <v>5</v>
      </c>
      <c r="AJ314" s="3" t="n">
        <v>5</v>
      </c>
      <c r="AK314" s="3" t="n">
        <v>4</v>
      </c>
      <c r="AL314" s="3" t="n">
        <v>4</v>
      </c>
      <c r="AM314" s="3" t="n">
        <v>3</v>
      </c>
      <c r="AN314" s="3" t="n">
        <v>3</v>
      </c>
      <c r="AO314" s="3" t="n">
        <v>4</v>
      </c>
    </row>
    <row r="315" customFormat="false" ht="15" hidden="false" customHeight="false" outlineLevel="0" collapsed="false">
      <c r="A315" s="3" t="n">
        <v>0</v>
      </c>
      <c r="B315" s="3" t="n">
        <v>4</v>
      </c>
      <c r="C315" s="3" t="n">
        <v>1</v>
      </c>
      <c r="D315" s="3" t="n">
        <v>1</v>
      </c>
      <c r="E315" s="3" t="n">
        <v>2</v>
      </c>
      <c r="F315" s="3" t="n">
        <v>2</v>
      </c>
      <c r="G315" s="3" t="n">
        <v>2</v>
      </c>
      <c r="H315" s="3" t="n">
        <v>3</v>
      </c>
      <c r="I315" s="3" t="n">
        <v>1</v>
      </c>
      <c r="J315" s="3" t="n">
        <v>23</v>
      </c>
      <c r="K315" s="3" t="n">
        <v>3</v>
      </c>
      <c r="L315" s="3" t="n">
        <v>4</v>
      </c>
      <c r="M315" s="3" t="n">
        <v>4</v>
      </c>
      <c r="N315" s="3" t="n">
        <v>3</v>
      </c>
      <c r="O315" s="3" t="n">
        <v>5</v>
      </c>
      <c r="P315" s="3" t="n">
        <v>3</v>
      </c>
      <c r="Q315" s="3" t="n">
        <v>5</v>
      </c>
      <c r="R315" s="3" t="n">
        <v>4</v>
      </c>
      <c r="S315" s="3" t="n">
        <v>5</v>
      </c>
      <c r="T315" s="3" t="n">
        <v>5</v>
      </c>
      <c r="U315" s="3" t="n">
        <v>5</v>
      </c>
      <c r="V315" s="3" t="n">
        <v>3</v>
      </c>
      <c r="W315" s="3" t="n">
        <v>4</v>
      </c>
      <c r="X315" s="3" t="n">
        <v>4</v>
      </c>
      <c r="Y315" s="3" t="n">
        <v>1</v>
      </c>
      <c r="Z315" s="3" t="n">
        <v>2</v>
      </c>
      <c r="AA315" s="3" t="n">
        <v>5</v>
      </c>
      <c r="AB315" s="3" t="n">
        <v>4</v>
      </c>
      <c r="AC315" s="3" t="n">
        <v>5</v>
      </c>
      <c r="AD315" s="3" t="n">
        <v>4</v>
      </c>
      <c r="AE315" s="3" t="n">
        <v>4</v>
      </c>
      <c r="AF315" s="3" t="n">
        <v>4</v>
      </c>
      <c r="AG315" s="3" t="n">
        <v>4</v>
      </c>
      <c r="AH315" s="3" t="n">
        <v>4</v>
      </c>
      <c r="AI315" s="3" t="n">
        <v>4</v>
      </c>
      <c r="AJ315" s="3" t="n">
        <v>5</v>
      </c>
      <c r="AK315" s="3" t="n">
        <v>4</v>
      </c>
      <c r="AL315" s="3" t="n">
        <v>4</v>
      </c>
      <c r="AM315" s="3" t="n">
        <v>4</v>
      </c>
      <c r="AN315" s="3" t="n">
        <v>4</v>
      </c>
      <c r="AO315" s="3" t="n">
        <v>5</v>
      </c>
    </row>
    <row r="316" customFormat="false" ht="15" hidden="false" customHeight="false" outlineLevel="0" collapsed="false">
      <c r="A316" s="3" t="n">
        <v>0</v>
      </c>
      <c r="B316" s="3" t="n">
        <v>3</v>
      </c>
      <c r="C316" s="3" t="n">
        <v>1</v>
      </c>
      <c r="D316" s="3" t="n">
        <v>1</v>
      </c>
      <c r="E316" s="3" t="n">
        <v>2</v>
      </c>
      <c r="F316" s="3" t="n">
        <v>2</v>
      </c>
      <c r="G316" s="3" t="n">
        <v>3</v>
      </c>
      <c r="H316" s="3" t="n">
        <v>2</v>
      </c>
      <c r="I316" s="3" t="n">
        <v>1</v>
      </c>
      <c r="J316" s="3" t="n">
        <v>20</v>
      </c>
      <c r="K316" s="3" t="n">
        <v>3</v>
      </c>
      <c r="L316" s="3" t="n">
        <v>3</v>
      </c>
      <c r="M316" s="3" t="n">
        <v>4</v>
      </c>
      <c r="N316" s="3" t="n">
        <v>3</v>
      </c>
      <c r="O316" s="3" t="n">
        <v>2</v>
      </c>
      <c r="P316" s="3" t="n">
        <v>3</v>
      </c>
      <c r="Q316" s="3" t="n">
        <v>3</v>
      </c>
      <c r="R316" s="3" t="n">
        <v>2</v>
      </c>
      <c r="S316" s="3" t="n">
        <v>3</v>
      </c>
      <c r="T316" s="3" t="n">
        <v>4</v>
      </c>
      <c r="U316" s="3" t="n">
        <v>3</v>
      </c>
      <c r="V316" s="3" t="n">
        <v>4</v>
      </c>
      <c r="W316" s="3" t="n">
        <v>4</v>
      </c>
      <c r="X316" s="3" t="n">
        <v>3</v>
      </c>
      <c r="Y316" s="3" t="n">
        <v>4</v>
      </c>
      <c r="Z316" s="3" t="n">
        <v>3</v>
      </c>
      <c r="AA316" s="3" t="n">
        <v>3</v>
      </c>
      <c r="AB316" s="3" t="n">
        <v>3</v>
      </c>
      <c r="AC316" s="3" t="n">
        <v>2</v>
      </c>
      <c r="AD316" s="3" t="n">
        <v>2</v>
      </c>
      <c r="AE316" s="3" t="n">
        <v>3</v>
      </c>
      <c r="AF316" s="3" t="n">
        <v>3</v>
      </c>
      <c r="AG316" s="3" t="n">
        <v>3</v>
      </c>
      <c r="AH316" s="3" t="n">
        <v>4</v>
      </c>
      <c r="AI316" s="3" t="n">
        <v>3</v>
      </c>
      <c r="AJ316" s="3" t="n">
        <v>3</v>
      </c>
      <c r="AK316" s="3" t="n">
        <v>2</v>
      </c>
      <c r="AL316" s="3" t="n">
        <v>4</v>
      </c>
      <c r="AM316" s="3" t="n">
        <v>3</v>
      </c>
      <c r="AN316" s="3" t="n">
        <v>2</v>
      </c>
      <c r="AO316" s="3" t="n">
        <v>2</v>
      </c>
    </row>
    <row r="317" customFormat="false" ht="15" hidden="false" customHeight="false" outlineLevel="0" collapsed="false">
      <c r="A317" s="3" t="n">
        <v>0</v>
      </c>
      <c r="B317" s="3" t="n">
        <v>3</v>
      </c>
      <c r="C317" s="3" t="n">
        <v>1</v>
      </c>
      <c r="D317" s="3" t="n">
        <v>1</v>
      </c>
      <c r="E317" s="3" t="n">
        <v>2</v>
      </c>
      <c r="F317" s="3" t="n">
        <v>2</v>
      </c>
      <c r="G317" s="3" t="n">
        <v>2</v>
      </c>
      <c r="H317" s="3" t="n">
        <v>3</v>
      </c>
      <c r="I317" s="3" t="n">
        <v>1</v>
      </c>
      <c r="J317" s="3" t="n">
        <v>22</v>
      </c>
      <c r="K317" s="3" t="n">
        <v>4</v>
      </c>
      <c r="L317" s="3" t="n">
        <v>3</v>
      </c>
      <c r="M317" s="3" t="n">
        <v>5</v>
      </c>
      <c r="N317" s="3" t="n">
        <v>5</v>
      </c>
      <c r="O317" s="3" t="n">
        <v>5</v>
      </c>
      <c r="P317" s="3" t="n">
        <v>3</v>
      </c>
      <c r="Q317" s="3" t="n">
        <v>4</v>
      </c>
      <c r="R317" s="3" t="n">
        <v>4</v>
      </c>
      <c r="S317" s="3" t="n">
        <v>5</v>
      </c>
      <c r="T317" s="3" t="n">
        <v>5</v>
      </c>
      <c r="U317" s="3" t="n">
        <v>5</v>
      </c>
      <c r="V317" s="3" t="n">
        <v>5</v>
      </c>
      <c r="W317" s="3" t="n">
        <v>5</v>
      </c>
      <c r="X317" s="3" t="n">
        <v>5</v>
      </c>
      <c r="Y317" s="3" t="n">
        <v>4</v>
      </c>
      <c r="Z317" s="3" t="n">
        <v>5</v>
      </c>
      <c r="AA317" s="3" t="n">
        <v>5</v>
      </c>
      <c r="AB317" s="3" t="n">
        <v>4</v>
      </c>
      <c r="AC317" s="3" t="n">
        <v>1</v>
      </c>
      <c r="AD317" s="3" t="n">
        <v>2</v>
      </c>
      <c r="AE317" s="3" t="n">
        <v>4</v>
      </c>
      <c r="AF317" s="3" t="n">
        <v>4</v>
      </c>
      <c r="AG317" s="3" t="n">
        <v>4</v>
      </c>
      <c r="AH317" s="3" t="n">
        <v>4</v>
      </c>
      <c r="AI317" s="3" t="n">
        <v>5</v>
      </c>
      <c r="AJ317" s="3" t="n">
        <v>4</v>
      </c>
      <c r="AK317" s="3" t="n">
        <v>3</v>
      </c>
      <c r="AL317" s="3" t="n">
        <v>4</v>
      </c>
      <c r="AM317" s="3" t="n">
        <v>3</v>
      </c>
      <c r="AN317" s="3" t="n">
        <v>4</v>
      </c>
      <c r="AO317" s="3" t="n">
        <v>3</v>
      </c>
    </row>
    <row r="318" customFormat="false" ht="15" hidden="false" customHeight="false" outlineLevel="0" collapsed="false">
      <c r="A318" s="3" t="n">
        <v>0</v>
      </c>
      <c r="B318" s="3" t="n">
        <v>3</v>
      </c>
      <c r="C318" s="3" t="n">
        <v>1</v>
      </c>
      <c r="D318" s="3" t="n">
        <v>1</v>
      </c>
      <c r="E318" s="3" t="n">
        <v>2</v>
      </c>
      <c r="F318" s="3" t="n">
        <v>2</v>
      </c>
      <c r="G318" s="3" t="n">
        <v>2</v>
      </c>
      <c r="H318" s="3" t="n">
        <v>1</v>
      </c>
      <c r="I318" s="3" t="n">
        <v>1</v>
      </c>
      <c r="J318" s="3" t="n">
        <v>21</v>
      </c>
      <c r="K318" s="3" t="n">
        <v>4</v>
      </c>
      <c r="L318" s="3" t="n">
        <v>2</v>
      </c>
      <c r="M318" s="3" t="n">
        <v>4</v>
      </c>
      <c r="N318" s="3" t="n">
        <v>4</v>
      </c>
      <c r="O318" s="3" t="n">
        <v>4</v>
      </c>
      <c r="P318" s="3" t="n">
        <v>4</v>
      </c>
      <c r="Q318" s="3" t="n">
        <v>4</v>
      </c>
      <c r="R318" s="3" t="n">
        <v>2</v>
      </c>
      <c r="S318" s="3" t="n">
        <v>3</v>
      </c>
      <c r="T318" s="3" t="n">
        <v>4</v>
      </c>
      <c r="U318" s="3" t="n">
        <v>5</v>
      </c>
      <c r="V318" s="3" t="n">
        <v>3</v>
      </c>
      <c r="W318" s="3" t="n">
        <v>4</v>
      </c>
      <c r="X318" s="3" t="n">
        <v>4</v>
      </c>
      <c r="Y318" s="3" t="n">
        <v>4</v>
      </c>
      <c r="Z318" s="3" t="n">
        <v>4</v>
      </c>
      <c r="AA318" s="3" t="n">
        <v>4</v>
      </c>
      <c r="AB318" s="3" t="n">
        <v>3</v>
      </c>
      <c r="AC318" s="3" t="n">
        <v>1</v>
      </c>
      <c r="AD318" s="3" t="n">
        <v>2</v>
      </c>
      <c r="AE318" s="3" t="n">
        <v>3</v>
      </c>
      <c r="AF318" s="3" t="n">
        <v>2</v>
      </c>
      <c r="AG318" s="3" t="n">
        <v>4</v>
      </c>
      <c r="AH318" s="3" t="n">
        <v>4</v>
      </c>
      <c r="AI318" s="3" t="n">
        <v>4</v>
      </c>
      <c r="AJ318" s="3" t="n">
        <v>4</v>
      </c>
      <c r="AK318" s="3" t="n">
        <v>4</v>
      </c>
      <c r="AL318" s="3" t="n">
        <v>4</v>
      </c>
      <c r="AM318" s="3" t="n">
        <v>2</v>
      </c>
      <c r="AN318" s="3" t="n">
        <v>3</v>
      </c>
      <c r="AO318" s="3" t="n">
        <v>1</v>
      </c>
    </row>
    <row r="319" customFormat="false" ht="15" hidden="false" customHeight="false" outlineLevel="0" collapsed="false">
      <c r="A319" s="3" t="n">
        <v>1</v>
      </c>
      <c r="B319" s="3" t="n">
        <v>4</v>
      </c>
      <c r="C319" s="3" t="n">
        <v>1</v>
      </c>
      <c r="D319" s="3" t="n">
        <v>1</v>
      </c>
      <c r="E319" s="3" t="n">
        <v>2</v>
      </c>
      <c r="F319" s="3" t="n">
        <v>2</v>
      </c>
      <c r="G319" s="3" t="n">
        <v>4</v>
      </c>
      <c r="H319" s="3" t="n">
        <v>2</v>
      </c>
      <c r="I319" s="3" t="n">
        <v>3</v>
      </c>
      <c r="J319" s="3" t="n">
        <v>24</v>
      </c>
      <c r="K319" s="3" t="n">
        <v>4</v>
      </c>
      <c r="L319" s="3" t="n">
        <v>2</v>
      </c>
      <c r="M319" s="3" t="n">
        <v>3</v>
      </c>
      <c r="N319" s="3" t="n">
        <v>3</v>
      </c>
      <c r="O319" s="3" t="n">
        <v>4</v>
      </c>
      <c r="P319" s="3" t="n">
        <v>5</v>
      </c>
      <c r="Q319" s="3" t="n">
        <v>3</v>
      </c>
      <c r="R319" s="3" t="n">
        <v>2</v>
      </c>
      <c r="S319" s="3" t="n">
        <v>5</v>
      </c>
      <c r="T319" s="3" t="n">
        <v>4</v>
      </c>
      <c r="U319" s="3" t="n">
        <v>5</v>
      </c>
      <c r="V319" s="3" t="n">
        <v>5</v>
      </c>
      <c r="W319" s="3" t="n">
        <v>4</v>
      </c>
      <c r="X319" s="3" t="n">
        <v>4</v>
      </c>
      <c r="Y319" s="3" t="n">
        <v>5</v>
      </c>
      <c r="Z319" s="3" t="n">
        <v>5</v>
      </c>
      <c r="AA319" s="3" t="n">
        <v>4</v>
      </c>
      <c r="AB319" s="3" t="n">
        <v>4</v>
      </c>
      <c r="AC319" s="3" t="n">
        <v>2</v>
      </c>
      <c r="AD319" s="3" t="n">
        <v>3</v>
      </c>
      <c r="AE319" s="3" t="n">
        <v>4</v>
      </c>
      <c r="AF319" s="3" t="n">
        <v>3</v>
      </c>
      <c r="AG319" s="3" t="n">
        <v>4</v>
      </c>
      <c r="AH319" s="3" t="n">
        <v>4</v>
      </c>
      <c r="AI319" s="3" t="n">
        <v>4</v>
      </c>
      <c r="AJ319" s="3" t="n">
        <v>4</v>
      </c>
      <c r="AK319" s="3" t="n">
        <v>4</v>
      </c>
      <c r="AL319" s="3" t="n">
        <v>2</v>
      </c>
      <c r="AM319" s="3" t="n">
        <v>3</v>
      </c>
      <c r="AN319" s="3" t="n">
        <v>3</v>
      </c>
      <c r="AO319" s="3" t="n">
        <v>3</v>
      </c>
    </row>
    <row r="320" customFormat="false" ht="15" hidden="false" customHeight="false" outlineLevel="0" collapsed="false">
      <c r="A320" s="3" t="n">
        <v>0</v>
      </c>
      <c r="B320" s="3" t="n">
        <v>4</v>
      </c>
      <c r="C320" s="3" t="n">
        <v>2</v>
      </c>
      <c r="D320" s="3" t="n">
        <v>1</v>
      </c>
      <c r="E320" s="3" t="n">
        <v>2</v>
      </c>
      <c r="F320" s="3" t="n">
        <v>2</v>
      </c>
      <c r="G320" s="3" t="n">
        <v>3</v>
      </c>
      <c r="H320" s="3" t="n">
        <v>2</v>
      </c>
      <c r="I320" s="3" t="n">
        <v>1</v>
      </c>
      <c r="J320" s="3" t="n">
        <v>23</v>
      </c>
      <c r="K320" s="3" t="n">
        <v>4</v>
      </c>
      <c r="L320" s="3" t="n">
        <v>4</v>
      </c>
      <c r="M320" s="3" t="n">
        <v>4</v>
      </c>
      <c r="N320" s="3" t="n">
        <v>4</v>
      </c>
      <c r="O320" s="3" t="n">
        <v>4</v>
      </c>
      <c r="P320" s="3" t="n">
        <v>4</v>
      </c>
      <c r="Q320" s="3" t="n">
        <v>4</v>
      </c>
      <c r="R320" s="3" t="n">
        <v>3</v>
      </c>
      <c r="S320" s="3" t="n">
        <v>5</v>
      </c>
      <c r="T320" s="3" t="n">
        <v>4</v>
      </c>
      <c r="U320" s="3" t="n">
        <v>4</v>
      </c>
      <c r="V320" s="3" t="n">
        <v>4</v>
      </c>
      <c r="W320" s="3" t="n">
        <v>4</v>
      </c>
      <c r="X320" s="3" t="n">
        <v>4</v>
      </c>
      <c r="Y320" s="3" t="n">
        <v>4</v>
      </c>
      <c r="Z320" s="3" t="n">
        <v>5</v>
      </c>
      <c r="AA320" s="3" t="n">
        <v>3</v>
      </c>
      <c r="AB320" s="3" t="n">
        <v>3</v>
      </c>
      <c r="AC320" s="3" t="n">
        <v>2</v>
      </c>
      <c r="AD320" s="3" t="n">
        <v>2</v>
      </c>
      <c r="AE320" s="3" t="n">
        <v>3</v>
      </c>
      <c r="AF320" s="3" t="n">
        <v>3</v>
      </c>
      <c r="AG320" s="3" t="n">
        <v>4</v>
      </c>
      <c r="AH320" s="3" t="n">
        <v>4</v>
      </c>
      <c r="AI320" s="3" t="n">
        <v>5</v>
      </c>
      <c r="AJ320" s="3" t="n">
        <v>4</v>
      </c>
      <c r="AK320" s="3" t="n">
        <v>4</v>
      </c>
      <c r="AL320" s="3" t="n">
        <v>3</v>
      </c>
      <c r="AM320" s="3" t="n">
        <v>4</v>
      </c>
      <c r="AN320" s="3" t="n">
        <v>3</v>
      </c>
      <c r="AO320" s="3" t="n">
        <v>4</v>
      </c>
    </row>
    <row r="321" customFormat="false" ht="15" hidden="false" customHeight="false" outlineLevel="0" collapsed="false">
      <c r="A321" s="3" t="n">
        <v>0</v>
      </c>
      <c r="B321" s="3" t="n">
        <v>4</v>
      </c>
      <c r="C321" s="3" t="n">
        <v>1</v>
      </c>
      <c r="D321" s="3" t="n">
        <v>2</v>
      </c>
      <c r="E321" s="3" t="n">
        <v>2</v>
      </c>
      <c r="F321" s="3" t="n">
        <v>2</v>
      </c>
      <c r="G321" s="3" t="n">
        <v>4</v>
      </c>
      <c r="H321" s="3" t="n">
        <v>3</v>
      </c>
      <c r="I321" s="3" t="n">
        <v>3</v>
      </c>
      <c r="J321" s="3" t="n">
        <v>24</v>
      </c>
      <c r="K321" s="3" t="n">
        <v>3</v>
      </c>
      <c r="L321" s="3" t="n">
        <v>3</v>
      </c>
      <c r="M321" s="3" t="n">
        <v>1</v>
      </c>
      <c r="N321" s="3" t="n">
        <v>3</v>
      </c>
      <c r="O321" s="3" t="n">
        <v>3</v>
      </c>
      <c r="P321" s="3" t="n">
        <v>2</v>
      </c>
      <c r="Q321" s="3" t="n">
        <v>2</v>
      </c>
      <c r="R321" s="3" t="n">
        <v>4</v>
      </c>
      <c r="S321" s="3" t="n">
        <v>4</v>
      </c>
      <c r="T321" s="3" t="n">
        <v>4</v>
      </c>
      <c r="U321" s="3" t="n">
        <v>4</v>
      </c>
      <c r="V321" s="3" t="n">
        <v>2</v>
      </c>
      <c r="W321" s="3" t="n">
        <v>3</v>
      </c>
      <c r="X321" s="3" t="n">
        <v>4</v>
      </c>
      <c r="Y321" s="3" t="n">
        <v>2</v>
      </c>
      <c r="Z321" s="3" t="n">
        <v>4</v>
      </c>
      <c r="AA321" s="3" t="n">
        <v>4</v>
      </c>
      <c r="AB321" s="3" t="n">
        <v>1</v>
      </c>
      <c r="AC321" s="3" t="n">
        <v>2</v>
      </c>
      <c r="AD321" s="3" t="n">
        <v>2</v>
      </c>
      <c r="AE321" s="3" t="n">
        <v>3</v>
      </c>
      <c r="AF321" s="3" t="n">
        <v>2</v>
      </c>
      <c r="AG321" s="3" t="n">
        <v>2</v>
      </c>
      <c r="AH321" s="3" t="n">
        <v>2</v>
      </c>
      <c r="AI321" s="3" t="n">
        <v>2</v>
      </c>
      <c r="AJ321" s="3" t="n">
        <v>3</v>
      </c>
      <c r="AK321" s="3" t="n">
        <v>3</v>
      </c>
      <c r="AL321" s="3" t="n">
        <v>4</v>
      </c>
      <c r="AM321" s="3" t="n">
        <v>3</v>
      </c>
      <c r="AN321" s="3" t="n">
        <v>3</v>
      </c>
      <c r="AO321" s="3" t="n">
        <v>3</v>
      </c>
    </row>
    <row r="322" customFormat="false" ht="15" hidden="false" customHeight="false" outlineLevel="0" collapsed="false">
      <c r="A322" s="3" t="n">
        <v>0</v>
      </c>
      <c r="B322" s="3" t="n">
        <v>4</v>
      </c>
      <c r="C322" s="3" t="n">
        <v>1</v>
      </c>
      <c r="D322" s="3" t="n">
        <v>2</v>
      </c>
      <c r="E322" s="3" t="n">
        <v>2</v>
      </c>
      <c r="F322" s="3" t="n">
        <v>2</v>
      </c>
      <c r="G322" s="3" t="n">
        <v>1</v>
      </c>
      <c r="H322" s="3" t="n">
        <v>1</v>
      </c>
      <c r="I322" s="3" t="n">
        <v>1</v>
      </c>
      <c r="J322" s="3" t="n">
        <v>25</v>
      </c>
      <c r="K322" s="3" t="n">
        <v>3</v>
      </c>
      <c r="L322" s="3" t="n">
        <v>4</v>
      </c>
      <c r="M322" s="3" t="n">
        <v>3</v>
      </c>
      <c r="N322" s="3" t="n">
        <v>4</v>
      </c>
      <c r="O322" s="3" t="n">
        <v>3</v>
      </c>
      <c r="P322" s="3" t="n">
        <v>5</v>
      </c>
      <c r="Q322" s="3" t="n">
        <v>2</v>
      </c>
      <c r="R322" s="3" t="n">
        <v>2</v>
      </c>
      <c r="S322" s="3" t="n">
        <v>5</v>
      </c>
      <c r="T322" s="3" t="n">
        <v>5</v>
      </c>
      <c r="U322" s="3" t="n">
        <v>5</v>
      </c>
      <c r="V322" s="3" t="n">
        <v>4</v>
      </c>
      <c r="W322" s="3" t="n">
        <v>4</v>
      </c>
      <c r="X322" s="3" t="n">
        <v>2</v>
      </c>
      <c r="Y322" s="3" t="n">
        <v>2</v>
      </c>
      <c r="Z322" s="3" t="n">
        <v>5</v>
      </c>
      <c r="AA322" s="3" t="n">
        <v>4</v>
      </c>
      <c r="AB322" s="3" t="n">
        <v>2</v>
      </c>
      <c r="AC322" s="3" t="n">
        <v>2</v>
      </c>
      <c r="AD322" s="3" t="n">
        <v>2</v>
      </c>
      <c r="AE322" s="3" t="n">
        <v>5</v>
      </c>
      <c r="AF322" s="3" t="n">
        <v>4</v>
      </c>
      <c r="AG322" s="3" t="n">
        <v>4</v>
      </c>
      <c r="AH322" s="3" t="n">
        <v>4</v>
      </c>
      <c r="AI322" s="3" t="n">
        <v>4</v>
      </c>
      <c r="AJ322" s="3" t="n">
        <v>3</v>
      </c>
      <c r="AK322" s="3" t="n">
        <v>4</v>
      </c>
      <c r="AL322" s="3" t="n">
        <v>5</v>
      </c>
      <c r="AM322" s="3" t="n">
        <v>3</v>
      </c>
      <c r="AN322" s="3" t="n">
        <v>2</v>
      </c>
      <c r="AO322" s="3" t="n">
        <v>4</v>
      </c>
    </row>
    <row r="323" customFormat="false" ht="15" hidden="false" customHeight="false" outlineLevel="0" collapsed="false">
      <c r="A323" s="3" t="n">
        <v>0</v>
      </c>
      <c r="B323" s="3" t="n">
        <v>6</v>
      </c>
      <c r="C323" s="3" t="n">
        <v>1</v>
      </c>
      <c r="D323" s="3" t="n">
        <v>1</v>
      </c>
      <c r="E323" s="3" t="n">
        <v>2</v>
      </c>
      <c r="F323" s="3" t="n">
        <v>2</v>
      </c>
      <c r="G323" s="3" t="n">
        <v>1</v>
      </c>
      <c r="H323" s="3" t="n">
        <v>2</v>
      </c>
      <c r="I323" s="3" t="n">
        <v>1</v>
      </c>
      <c r="J323" s="3" t="n">
        <v>22</v>
      </c>
      <c r="K323" s="3" t="n">
        <v>3</v>
      </c>
      <c r="L323" s="3" t="n">
        <v>3</v>
      </c>
      <c r="M323" s="3" t="n">
        <v>4</v>
      </c>
      <c r="N323" s="3" t="n">
        <v>3</v>
      </c>
      <c r="O323" s="3" t="n">
        <v>3</v>
      </c>
      <c r="P323" s="3" t="n">
        <v>4</v>
      </c>
      <c r="Q323" s="3" t="n">
        <v>3</v>
      </c>
      <c r="R323" s="3" t="n">
        <v>2</v>
      </c>
      <c r="S323" s="3" t="n">
        <v>4</v>
      </c>
      <c r="T323" s="3" t="n">
        <v>4</v>
      </c>
      <c r="U323" s="3" t="n">
        <v>5</v>
      </c>
      <c r="V323" s="3" t="n">
        <v>4</v>
      </c>
      <c r="W323" s="3" t="n">
        <v>4</v>
      </c>
      <c r="X323" s="3" t="n">
        <v>3</v>
      </c>
      <c r="Y323" s="3" t="n">
        <v>4</v>
      </c>
      <c r="Z323" s="3" t="n">
        <v>4</v>
      </c>
      <c r="AA323" s="3" t="n">
        <v>4</v>
      </c>
      <c r="AB323" s="3" t="n">
        <v>3</v>
      </c>
      <c r="AC323" s="3" t="n">
        <v>2</v>
      </c>
      <c r="AD323" s="3" t="n">
        <v>3</v>
      </c>
      <c r="AE323" s="3" t="n">
        <v>4</v>
      </c>
      <c r="AF323" s="3" t="n">
        <v>3</v>
      </c>
      <c r="AG323" s="3" t="n">
        <v>3</v>
      </c>
      <c r="AH323" s="3" t="n">
        <v>3</v>
      </c>
      <c r="AI323" s="3" t="n">
        <v>3</v>
      </c>
      <c r="AJ323" s="3" t="n">
        <v>4</v>
      </c>
      <c r="AK323" s="3" t="n">
        <v>3</v>
      </c>
      <c r="AL323" s="3" t="n">
        <v>3</v>
      </c>
      <c r="AM323" s="3" t="n">
        <v>3</v>
      </c>
      <c r="AN323" s="3" t="n">
        <v>2</v>
      </c>
      <c r="AO323" s="3" t="n">
        <v>3</v>
      </c>
    </row>
    <row r="324" customFormat="false" ht="15" hidden="false" customHeight="false" outlineLevel="0" collapsed="false">
      <c r="A324" s="3" t="n">
        <v>0</v>
      </c>
      <c r="B324" s="3" t="n">
        <v>1</v>
      </c>
      <c r="C324" s="3" t="n">
        <v>2</v>
      </c>
      <c r="D324" s="3" t="n">
        <v>2</v>
      </c>
      <c r="E324" s="3" t="n">
        <v>2</v>
      </c>
      <c r="F324" s="3" t="n">
        <v>2</v>
      </c>
      <c r="G324" s="3" t="n">
        <v>1</v>
      </c>
      <c r="H324" s="3" t="n">
        <v>1</v>
      </c>
      <c r="I324" s="3" t="n">
        <v>1</v>
      </c>
      <c r="J324" s="3" t="n">
        <v>21</v>
      </c>
      <c r="K324" s="3" t="n">
        <v>4</v>
      </c>
      <c r="L324" s="3" t="n">
        <v>3</v>
      </c>
      <c r="M324" s="3" t="n">
        <v>5</v>
      </c>
      <c r="N324" s="3" t="n">
        <v>4</v>
      </c>
      <c r="O324" s="3" t="n">
        <v>3</v>
      </c>
      <c r="P324" s="3" t="n">
        <v>2</v>
      </c>
      <c r="Q324" s="3" t="n">
        <v>3</v>
      </c>
      <c r="R324" s="3" t="n">
        <v>3</v>
      </c>
      <c r="S324" s="3" t="n">
        <v>5</v>
      </c>
      <c r="T324" s="3" t="n">
        <v>4</v>
      </c>
      <c r="U324" s="3" t="n">
        <v>5</v>
      </c>
      <c r="V324" s="3" t="n">
        <v>3</v>
      </c>
      <c r="W324" s="3" t="n">
        <v>5</v>
      </c>
      <c r="X324" s="3" t="n">
        <v>5</v>
      </c>
      <c r="Y324" s="3" t="n">
        <v>4</v>
      </c>
      <c r="Z324" s="3" t="n">
        <v>5</v>
      </c>
      <c r="AA324" s="3" t="n">
        <v>2</v>
      </c>
      <c r="AB324" s="3" t="n">
        <v>2</v>
      </c>
      <c r="AC324" s="3" t="n">
        <v>1</v>
      </c>
      <c r="AD324" s="3" t="n">
        <v>2</v>
      </c>
      <c r="AE324" s="3" t="n">
        <v>4</v>
      </c>
      <c r="AF324" s="3" t="n">
        <v>3</v>
      </c>
      <c r="AG324" s="3" t="n">
        <v>5</v>
      </c>
      <c r="AH324" s="3" t="n">
        <v>4</v>
      </c>
      <c r="AI324" s="3" t="n">
        <v>4</v>
      </c>
      <c r="AJ324" s="3" t="n">
        <v>5</v>
      </c>
      <c r="AK324" s="3" t="n">
        <v>2</v>
      </c>
      <c r="AL324" s="3" t="n">
        <v>5</v>
      </c>
      <c r="AM324" s="3" t="n">
        <v>4</v>
      </c>
      <c r="AN324" s="3" t="n">
        <v>3</v>
      </c>
      <c r="AO324" s="3" t="n">
        <v>3</v>
      </c>
    </row>
    <row r="325" customFormat="false" ht="15" hidden="false" customHeight="false" outlineLevel="0" collapsed="false">
      <c r="A325" s="3" t="n">
        <v>1</v>
      </c>
      <c r="B325" s="3" t="n">
        <v>3</v>
      </c>
      <c r="C325" s="3" t="n">
        <v>1</v>
      </c>
      <c r="D325" s="3" t="n">
        <v>2</v>
      </c>
      <c r="E325" s="3" t="n">
        <v>2</v>
      </c>
      <c r="F325" s="3" t="n">
        <v>2</v>
      </c>
      <c r="G325" s="3" t="n">
        <v>3</v>
      </c>
      <c r="H325" s="3" t="n">
        <v>3</v>
      </c>
      <c r="I325" s="3" t="n">
        <v>1</v>
      </c>
      <c r="J325" s="3" t="n">
        <v>22</v>
      </c>
      <c r="K325" s="3" t="n">
        <v>3</v>
      </c>
      <c r="L325" s="3" t="n">
        <v>3</v>
      </c>
      <c r="M325" s="3" t="n">
        <v>4</v>
      </c>
      <c r="N325" s="3" t="n">
        <v>3</v>
      </c>
      <c r="O325" s="3" t="n">
        <v>4</v>
      </c>
      <c r="P325" s="3" t="n">
        <v>3</v>
      </c>
      <c r="Q325" s="3" t="n">
        <v>4</v>
      </c>
      <c r="R325" s="3" t="n">
        <v>4</v>
      </c>
      <c r="S325" s="3" t="n">
        <v>4</v>
      </c>
      <c r="T325" s="3" t="n">
        <v>5</v>
      </c>
      <c r="U325" s="3" t="n">
        <v>4</v>
      </c>
      <c r="V325" s="3" t="n">
        <v>2</v>
      </c>
      <c r="W325" s="3" t="n">
        <v>2</v>
      </c>
      <c r="X325" s="3" t="n">
        <v>2</v>
      </c>
      <c r="Y325" s="3" t="n">
        <v>2</v>
      </c>
      <c r="Z325" s="3" t="n">
        <v>2</v>
      </c>
      <c r="AA325" s="3" t="n">
        <v>2</v>
      </c>
      <c r="AB325" s="3" t="n">
        <v>1</v>
      </c>
      <c r="AC325" s="3" t="n">
        <v>2</v>
      </c>
      <c r="AD325" s="3" t="n">
        <v>2</v>
      </c>
      <c r="AE325" s="3" t="n">
        <v>3</v>
      </c>
      <c r="AF325" s="3" t="n">
        <v>3</v>
      </c>
      <c r="AG325" s="3" t="n">
        <v>3</v>
      </c>
      <c r="AH325" s="3" t="n">
        <v>3</v>
      </c>
      <c r="AI325" s="3" t="n">
        <v>3</v>
      </c>
      <c r="AJ325" s="3" t="n">
        <v>4</v>
      </c>
      <c r="AK325" s="3" t="n">
        <v>3</v>
      </c>
      <c r="AL325" s="3" t="n">
        <v>4</v>
      </c>
      <c r="AM325" s="3" t="n">
        <v>4</v>
      </c>
      <c r="AN325" s="3" t="n">
        <v>3</v>
      </c>
      <c r="AO325" s="3" t="n">
        <v>4</v>
      </c>
    </row>
    <row r="326" customFormat="false" ht="15" hidden="false" customHeight="false" outlineLevel="0" collapsed="false">
      <c r="A326" s="3" t="n">
        <v>0</v>
      </c>
      <c r="B326" s="3" t="n">
        <v>4</v>
      </c>
      <c r="C326" s="3" t="n">
        <v>2</v>
      </c>
      <c r="D326" s="3" t="n">
        <v>1</v>
      </c>
      <c r="E326" s="3" t="n">
        <v>2</v>
      </c>
      <c r="F326" s="3" t="n">
        <v>2</v>
      </c>
      <c r="G326" s="3" t="n">
        <v>3</v>
      </c>
      <c r="H326" s="3" t="n">
        <v>3</v>
      </c>
      <c r="I326" s="3" t="n">
        <v>3</v>
      </c>
      <c r="J326" s="3" t="n">
        <v>24</v>
      </c>
      <c r="K326" s="3" t="n">
        <v>1</v>
      </c>
      <c r="L326" s="3" t="n">
        <v>2</v>
      </c>
      <c r="M326" s="3" t="n">
        <v>4</v>
      </c>
      <c r="N326" s="3" t="n">
        <v>5</v>
      </c>
      <c r="O326" s="3" t="n">
        <v>4</v>
      </c>
      <c r="P326" s="3" t="n">
        <v>2</v>
      </c>
      <c r="Q326" s="3" t="n">
        <v>5</v>
      </c>
      <c r="R326" s="3" t="n">
        <v>4</v>
      </c>
      <c r="S326" s="3" t="n">
        <v>4</v>
      </c>
      <c r="T326" s="3" t="n">
        <v>5</v>
      </c>
      <c r="U326" s="3" t="n">
        <v>5</v>
      </c>
      <c r="V326" s="3" t="n">
        <v>5</v>
      </c>
      <c r="W326" s="3" t="n">
        <v>4</v>
      </c>
      <c r="X326" s="3" t="n">
        <v>4</v>
      </c>
      <c r="Y326" s="3" t="n">
        <v>4</v>
      </c>
      <c r="Z326" s="3" t="n">
        <v>4</v>
      </c>
      <c r="AA326" s="3" t="n">
        <v>2</v>
      </c>
      <c r="AB326" s="3" t="n">
        <v>2</v>
      </c>
      <c r="AC326" s="3" t="n">
        <v>2</v>
      </c>
      <c r="AD326" s="3" t="n">
        <v>1</v>
      </c>
      <c r="AE326" s="3" t="n">
        <v>4</v>
      </c>
      <c r="AF326" s="3" t="n">
        <v>2</v>
      </c>
      <c r="AG326" s="3" t="n">
        <v>4</v>
      </c>
      <c r="AH326" s="3" t="n">
        <v>4</v>
      </c>
      <c r="AI326" s="3" t="n">
        <v>2</v>
      </c>
      <c r="AJ326" s="3" t="n">
        <v>5</v>
      </c>
      <c r="AK326" s="3" t="n">
        <v>1</v>
      </c>
      <c r="AL326" s="3" t="n">
        <v>4</v>
      </c>
      <c r="AM326" s="3" t="n">
        <v>3</v>
      </c>
      <c r="AN326" s="3" t="n">
        <v>2</v>
      </c>
      <c r="AO326" s="3" t="n">
        <v>3</v>
      </c>
    </row>
    <row r="327" customFormat="false" ht="15" hidden="false" customHeight="false" outlineLevel="0" collapsed="false">
      <c r="A327" s="3" t="n">
        <v>0</v>
      </c>
      <c r="B327" s="3" t="n">
        <v>3</v>
      </c>
      <c r="C327" s="3" t="n">
        <v>1</v>
      </c>
      <c r="D327" s="3" t="n">
        <v>2</v>
      </c>
      <c r="E327" s="3" t="n">
        <v>2</v>
      </c>
      <c r="F327" s="3" t="n">
        <v>2</v>
      </c>
      <c r="G327" s="3" t="n">
        <v>1</v>
      </c>
      <c r="H327" s="3" t="n">
        <v>1</v>
      </c>
      <c r="I327" s="3" t="n">
        <v>3</v>
      </c>
      <c r="J327" s="3" t="n">
        <v>22</v>
      </c>
      <c r="K327" s="3" t="n">
        <v>2</v>
      </c>
      <c r="L327" s="3" t="n">
        <v>2</v>
      </c>
      <c r="M327" s="3" t="n">
        <v>4</v>
      </c>
      <c r="N327" s="3" t="n">
        <v>4</v>
      </c>
      <c r="O327" s="3" t="n">
        <v>4</v>
      </c>
      <c r="P327" s="3" t="n">
        <v>4</v>
      </c>
      <c r="Q327" s="3" t="n">
        <v>2</v>
      </c>
      <c r="R327" s="3" t="n">
        <v>2</v>
      </c>
      <c r="S327" s="3" t="n">
        <v>4</v>
      </c>
      <c r="T327" s="3" t="n">
        <v>4</v>
      </c>
      <c r="U327" s="3" t="n">
        <v>4</v>
      </c>
      <c r="V327" s="3" t="n">
        <v>2</v>
      </c>
      <c r="W327" s="3" t="n">
        <v>4</v>
      </c>
      <c r="X327" s="3" t="n">
        <v>4</v>
      </c>
      <c r="Y327" s="3" t="n">
        <v>2</v>
      </c>
      <c r="Z327" s="3" t="n">
        <v>4</v>
      </c>
      <c r="AA327" s="3" t="n">
        <v>4</v>
      </c>
      <c r="AB327" s="3" t="n">
        <v>4</v>
      </c>
      <c r="AC327" s="3" t="n">
        <v>2</v>
      </c>
      <c r="AD327" s="3" t="n">
        <v>2</v>
      </c>
      <c r="AE327" s="3" t="n">
        <v>2</v>
      </c>
      <c r="AF327" s="3" t="n">
        <v>1</v>
      </c>
      <c r="AG327" s="3" t="n">
        <v>1</v>
      </c>
      <c r="AH327" s="3" t="n">
        <v>2</v>
      </c>
      <c r="AI327" s="3" t="n">
        <v>2</v>
      </c>
      <c r="AJ327" s="3" t="n">
        <v>2</v>
      </c>
      <c r="AK327" s="3" t="n">
        <v>4</v>
      </c>
      <c r="AL327" s="3" t="n">
        <v>4</v>
      </c>
      <c r="AM327" s="3" t="n">
        <v>4</v>
      </c>
      <c r="AN327" s="3" t="n">
        <v>4</v>
      </c>
      <c r="AO327" s="3" t="n">
        <v>4</v>
      </c>
    </row>
    <row r="328" customFormat="false" ht="15" hidden="false" customHeight="false" outlineLevel="0" collapsed="false">
      <c r="A328" s="3" t="n">
        <v>0</v>
      </c>
      <c r="B328" s="3" t="n">
        <v>3</v>
      </c>
      <c r="C328" s="3" t="n">
        <v>2</v>
      </c>
      <c r="D328" s="3" t="n">
        <v>1</v>
      </c>
      <c r="E328" s="3" t="n">
        <v>1</v>
      </c>
      <c r="F328" s="3" t="n">
        <v>2</v>
      </c>
      <c r="G328" s="3" t="n">
        <v>1</v>
      </c>
      <c r="H328" s="3" t="n">
        <v>2</v>
      </c>
      <c r="I328" s="3" t="n">
        <v>1</v>
      </c>
      <c r="J328" s="3" t="n">
        <v>22</v>
      </c>
      <c r="K328" s="3" t="n">
        <v>4</v>
      </c>
      <c r="L328" s="3" t="n">
        <v>4</v>
      </c>
      <c r="M328" s="3" t="n">
        <v>4</v>
      </c>
      <c r="N328" s="3" t="n">
        <v>4</v>
      </c>
      <c r="O328" s="3" t="n">
        <v>4</v>
      </c>
      <c r="P328" s="3" t="n">
        <v>2</v>
      </c>
      <c r="Q328" s="3" t="n">
        <v>2</v>
      </c>
      <c r="R328" s="3" t="n">
        <v>2</v>
      </c>
      <c r="S328" s="3" t="n">
        <v>5</v>
      </c>
      <c r="T328" s="3" t="n">
        <v>4</v>
      </c>
      <c r="U328" s="3" t="n">
        <v>4</v>
      </c>
      <c r="V328" s="3" t="n">
        <v>4</v>
      </c>
      <c r="W328" s="3" t="n">
        <v>4</v>
      </c>
      <c r="X328" s="3" t="n">
        <v>3</v>
      </c>
      <c r="Y328" s="3" t="n">
        <v>2</v>
      </c>
      <c r="Z328" s="3" t="n">
        <v>4</v>
      </c>
      <c r="AA328" s="3" t="n">
        <v>2</v>
      </c>
      <c r="AB328" s="3" t="n">
        <v>3</v>
      </c>
      <c r="AC328" s="3" t="n">
        <v>2</v>
      </c>
      <c r="AD328" s="3" t="n">
        <v>2</v>
      </c>
      <c r="AE328" s="3" t="n">
        <v>4</v>
      </c>
      <c r="AF328" s="3" t="n">
        <v>3</v>
      </c>
      <c r="AG328" s="3" t="n">
        <v>4</v>
      </c>
      <c r="AH328" s="3" t="n">
        <v>4</v>
      </c>
      <c r="AI328" s="3" t="n">
        <v>4</v>
      </c>
      <c r="AJ328" s="3" t="n">
        <v>4</v>
      </c>
      <c r="AK328" s="3" t="n">
        <v>2</v>
      </c>
      <c r="AL328" s="3" t="n">
        <v>3</v>
      </c>
      <c r="AM328" s="3" t="n">
        <v>3</v>
      </c>
      <c r="AN328" s="3" t="n">
        <v>2</v>
      </c>
      <c r="AO328" s="3" t="n">
        <v>4</v>
      </c>
    </row>
    <row r="329" customFormat="false" ht="15" hidden="false" customHeight="false" outlineLevel="0" collapsed="false">
      <c r="A329" s="3" t="n">
        <v>0</v>
      </c>
      <c r="B329" s="3" t="n">
        <v>4</v>
      </c>
      <c r="C329" s="3" t="n">
        <v>2</v>
      </c>
      <c r="D329" s="3" t="n">
        <v>1</v>
      </c>
      <c r="E329" s="3" t="n">
        <v>2</v>
      </c>
      <c r="F329" s="3" t="n">
        <v>2</v>
      </c>
      <c r="G329" s="3" t="n">
        <v>3</v>
      </c>
      <c r="H329" s="3" t="n">
        <v>3</v>
      </c>
      <c r="I329" s="3" t="n">
        <v>3</v>
      </c>
      <c r="J329" s="3" t="n">
        <v>25</v>
      </c>
      <c r="K329" s="3" t="n">
        <v>3</v>
      </c>
      <c r="L329" s="3" t="n">
        <v>3</v>
      </c>
      <c r="M329" s="3" t="n">
        <v>4</v>
      </c>
      <c r="N329" s="3" t="n">
        <v>3</v>
      </c>
      <c r="O329" s="3" t="n">
        <v>4</v>
      </c>
      <c r="P329" s="3" t="n">
        <v>3</v>
      </c>
      <c r="Q329" s="3" t="n">
        <v>2</v>
      </c>
      <c r="R329" s="3" t="n">
        <v>2</v>
      </c>
      <c r="S329" s="3" t="n">
        <v>4</v>
      </c>
      <c r="T329" s="3" t="n">
        <v>5</v>
      </c>
      <c r="U329" s="3" t="n">
        <v>5</v>
      </c>
      <c r="V329" s="3" t="n">
        <v>3</v>
      </c>
      <c r="W329" s="3" t="n">
        <v>4</v>
      </c>
      <c r="X329" s="3" t="n">
        <v>2</v>
      </c>
      <c r="Y329" s="3" t="n">
        <v>3</v>
      </c>
      <c r="Z329" s="3" t="n">
        <v>3</v>
      </c>
      <c r="AA329" s="3" t="n">
        <v>2</v>
      </c>
      <c r="AB329" s="3" t="n">
        <v>2</v>
      </c>
      <c r="AC329" s="3" t="n">
        <v>2</v>
      </c>
      <c r="AD329" s="3" t="n">
        <v>2</v>
      </c>
      <c r="AE329" s="3" t="n">
        <v>3</v>
      </c>
      <c r="AF329" s="3" t="n">
        <v>2</v>
      </c>
      <c r="AG329" s="3" t="n">
        <v>3</v>
      </c>
      <c r="AH329" s="3" t="n">
        <v>3</v>
      </c>
      <c r="AI329" s="3" t="n">
        <v>3</v>
      </c>
      <c r="AJ329" s="3" t="n">
        <v>3</v>
      </c>
      <c r="AK329" s="3" t="n">
        <v>4</v>
      </c>
      <c r="AL329" s="3" t="n">
        <v>4</v>
      </c>
      <c r="AM329" s="3" t="n">
        <v>3</v>
      </c>
      <c r="AN329" s="3" t="n">
        <v>3</v>
      </c>
      <c r="AO329" s="3" t="n">
        <v>2</v>
      </c>
    </row>
    <row r="330" customFormat="false" ht="15" hidden="false" customHeight="false" outlineLevel="0" collapsed="false">
      <c r="A330" s="3" t="n">
        <v>0</v>
      </c>
      <c r="B330" s="3" t="n">
        <v>6</v>
      </c>
      <c r="C330" s="3" t="n">
        <v>1</v>
      </c>
      <c r="D330" s="3" t="n">
        <v>1</v>
      </c>
      <c r="E330" s="3" t="n">
        <v>2</v>
      </c>
      <c r="F330" s="3" t="n">
        <v>2</v>
      </c>
      <c r="G330" s="3" t="n">
        <v>3</v>
      </c>
      <c r="H330" s="3" t="n">
        <v>2</v>
      </c>
      <c r="I330" s="3" t="n">
        <v>3</v>
      </c>
      <c r="J330" s="3" t="n">
        <v>27</v>
      </c>
      <c r="K330" s="3" t="n">
        <v>3</v>
      </c>
      <c r="L330" s="3" t="n">
        <v>3</v>
      </c>
      <c r="M330" s="3" t="n">
        <v>3</v>
      </c>
      <c r="N330" s="3" t="n">
        <v>3</v>
      </c>
      <c r="O330" s="3" t="n">
        <v>3</v>
      </c>
      <c r="P330" s="3" t="n">
        <v>4</v>
      </c>
      <c r="Q330" s="3" t="n">
        <v>4</v>
      </c>
      <c r="R330" s="3" t="n">
        <v>3</v>
      </c>
      <c r="S330" s="3" t="n">
        <v>4</v>
      </c>
      <c r="T330" s="3" t="n">
        <v>5</v>
      </c>
      <c r="U330" s="3" t="n">
        <v>4</v>
      </c>
      <c r="V330" s="3" t="n">
        <v>4</v>
      </c>
      <c r="W330" s="3" t="n">
        <v>4</v>
      </c>
      <c r="X330" s="3" t="n">
        <v>4</v>
      </c>
      <c r="Y330" s="3" t="n">
        <v>2</v>
      </c>
      <c r="Z330" s="3" t="n">
        <v>4</v>
      </c>
      <c r="AA330" s="3" t="n">
        <v>5</v>
      </c>
      <c r="AB330" s="3" t="n">
        <v>5</v>
      </c>
      <c r="AC330" s="3" t="n">
        <v>3</v>
      </c>
      <c r="AD330" s="3" t="n">
        <v>3</v>
      </c>
      <c r="AE330" s="3" t="n">
        <v>4</v>
      </c>
      <c r="AF330" s="3" t="n">
        <v>3</v>
      </c>
      <c r="AG330" s="3" t="n">
        <v>4</v>
      </c>
      <c r="AH330" s="3" t="n">
        <v>4</v>
      </c>
      <c r="AI330" s="3" t="n">
        <v>3</v>
      </c>
      <c r="AJ330" s="3" t="n">
        <v>3</v>
      </c>
      <c r="AK330" s="3" t="n">
        <v>3</v>
      </c>
      <c r="AL330" s="3" t="n">
        <v>3</v>
      </c>
      <c r="AM330" s="3" t="n">
        <v>3</v>
      </c>
      <c r="AN330" s="3" t="n">
        <v>3</v>
      </c>
      <c r="AO330" s="3" t="n">
        <v>3</v>
      </c>
    </row>
    <row r="331" customFormat="false" ht="15" hidden="false" customHeight="false" outlineLevel="0" collapsed="false">
      <c r="A331" s="3" t="n">
        <v>0</v>
      </c>
      <c r="B331" s="3" t="n">
        <v>3</v>
      </c>
      <c r="C331" s="3" t="n">
        <v>2</v>
      </c>
      <c r="D331" s="3" t="n">
        <v>1</v>
      </c>
      <c r="E331" s="3" t="n">
        <v>2</v>
      </c>
      <c r="F331" s="3" t="n">
        <v>2</v>
      </c>
      <c r="G331" s="3" t="n">
        <v>3</v>
      </c>
      <c r="H331" s="3" t="n">
        <v>2</v>
      </c>
      <c r="I331" s="3" t="n">
        <v>1</v>
      </c>
      <c r="J331" s="3" t="n">
        <v>22</v>
      </c>
      <c r="K331" s="3" t="n">
        <v>2</v>
      </c>
      <c r="L331" s="3" t="n">
        <v>3</v>
      </c>
      <c r="M331" s="3" t="n">
        <v>3</v>
      </c>
      <c r="N331" s="3" t="n">
        <v>3</v>
      </c>
      <c r="O331" s="3" t="n">
        <v>3</v>
      </c>
      <c r="P331" s="3" t="n">
        <v>3</v>
      </c>
      <c r="Q331" s="3" t="n">
        <v>2</v>
      </c>
      <c r="R331" s="3" t="n">
        <v>3</v>
      </c>
      <c r="S331" s="3" t="n">
        <v>3</v>
      </c>
      <c r="T331" s="3" t="n">
        <v>2</v>
      </c>
      <c r="U331" s="3" t="n">
        <v>4</v>
      </c>
      <c r="V331" s="3" t="n">
        <v>3</v>
      </c>
      <c r="W331" s="3" t="n">
        <v>4</v>
      </c>
      <c r="X331" s="3" t="n">
        <v>3</v>
      </c>
      <c r="Y331" s="3" t="n">
        <v>2</v>
      </c>
      <c r="Z331" s="3" t="n">
        <v>3</v>
      </c>
      <c r="AA331" s="3" t="n">
        <v>2</v>
      </c>
      <c r="AB331" s="3" t="n">
        <v>1</v>
      </c>
      <c r="AC331" s="3" t="n">
        <v>2</v>
      </c>
      <c r="AD331" s="3" t="n">
        <v>2</v>
      </c>
      <c r="AE331" s="3" t="n">
        <v>3</v>
      </c>
      <c r="AF331" s="3" t="n">
        <v>3</v>
      </c>
      <c r="AG331" s="3" t="n">
        <v>2</v>
      </c>
      <c r="AH331" s="3" t="n">
        <v>3</v>
      </c>
      <c r="AI331" s="3" t="n">
        <v>3</v>
      </c>
      <c r="AJ331" s="3" t="n">
        <v>4</v>
      </c>
      <c r="AK331" s="3" t="n">
        <v>4</v>
      </c>
      <c r="AL331" s="3" t="n">
        <v>3</v>
      </c>
      <c r="AM331" s="3" t="n">
        <v>2</v>
      </c>
      <c r="AN331" s="3" t="n">
        <v>2</v>
      </c>
      <c r="AO331" s="3" t="n">
        <v>3</v>
      </c>
    </row>
    <row r="332" customFormat="false" ht="15" hidden="false" customHeight="false" outlineLevel="0" collapsed="false">
      <c r="A332" s="3" t="n">
        <v>0</v>
      </c>
      <c r="B332" s="3" t="n">
        <v>3</v>
      </c>
      <c r="C332" s="3" t="n">
        <v>2</v>
      </c>
      <c r="D332" s="3" t="n">
        <v>1</v>
      </c>
      <c r="E332" s="3" t="n">
        <v>2</v>
      </c>
      <c r="F332" s="3" t="n">
        <v>2</v>
      </c>
      <c r="G332" s="3" t="n">
        <v>3</v>
      </c>
      <c r="H332" s="3" t="n">
        <v>2</v>
      </c>
      <c r="I332" s="3" t="n">
        <v>1</v>
      </c>
      <c r="J332" s="3" t="n">
        <v>22</v>
      </c>
      <c r="K332" s="3" t="n">
        <v>2</v>
      </c>
      <c r="L332" s="3" t="n">
        <v>3</v>
      </c>
      <c r="M332" s="3" t="n">
        <v>3</v>
      </c>
      <c r="N332" s="3" t="n">
        <v>3</v>
      </c>
      <c r="O332" s="3" t="n">
        <v>3</v>
      </c>
      <c r="P332" s="3" t="n">
        <v>3</v>
      </c>
      <c r="Q332" s="3" t="n">
        <v>4</v>
      </c>
      <c r="R332" s="3" t="n">
        <v>2</v>
      </c>
      <c r="S332" s="3" t="n">
        <v>3</v>
      </c>
      <c r="T332" s="3" t="n">
        <v>4</v>
      </c>
      <c r="U332" s="3" t="n">
        <v>4</v>
      </c>
      <c r="V332" s="3" t="n">
        <v>4</v>
      </c>
      <c r="W332" s="3" t="n">
        <v>4</v>
      </c>
      <c r="X332" s="3" t="n">
        <v>4</v>
      </c>
      <c r="Y332" s="3" t="n">
        <v>3</v>
      </c>
      <c r="Z332" s="3" t="n">
        <v>4</v>
      </c>
      <c r="AA332" s="3" t="n">
        <v>3</v>
      </c>
      <c r="AB332" s="3" t="n">
        <v>1</v>
      </c>
      <c r="AC332" s="3" t="n">
        <v>2</v>
      </c>
      <c r="AD332" s="3" t="n">
        <v>2</v>
      </c>
      <c r="AE332" s="3" t="n">
        <v>3</v>
      </c>
      <c r="AF332" s="3" t="n">
        <v>2</v>
      </c>
      <c r="AG332" s="3" t="n">
        <v>3</v>
      </c>
      <c r="AH332" s="3" t="n">
        <v>4</v>
      </c>
      <c r="AI332" s="3" t="n">
        <v>4</v>
      </c>
      <c r="AJ332" s="3" t="n">
        <v>4</v>
      </c>
      <c r="AK332" s="3" t="n">
        <v>2</v>
      </c>
      <c r="AL332" s="3" t="n">
        <v>4</v>
      </c>
      <c r="AM332" s="3" t="n">
        <v>2</v>
      </c>
      <c r="AN332" s="3" t="n">
        <v>2</v>
      </c>
      <c r="AO332" s="3" t="n">
        <v>3</v>
      </c>
    </row>
    <row r="333" customFormat="false" ht="15" hidden="false" customHeight="false" outlineLevel="0" collapsed="false">
      <c r="A333" s="3" t="n">
        <v>1</v>
      </c>
      <c r="B333" s="3" t="n">
        <v>6</v>
      </c>
      <c r="C333" s="3" t="n">
        <v>1</v>
      </c>
      <c r="D333" s="3" t="n">
        <v>1</v>
      </c>
      <c r="E333" s="3" t="n">
        <v>2</v>
      </c>
      <c r="F333" s="3" t="n">
        <v>2</v>
      </c>
      <c r="G333" s="3" t="n">
        <v>3</v>
      </c>
      <c r="H333" s="3" t="n">
        <v>3</v>
      </c>
      <c r="I333" s="3" t="n">
        <v>2</v>
      </c>
      <c r="J333" s="3" t="n">
        <v>23</v>
      </c>
      <c r="K333" s="3" t="n">
        <v>3</v>
      </c>
      <c r="L333" s="3" t="n">
        <v>3</v>
      </c>
      <c r="M333" s="3" t="n">
        <v>4</v>
      </c>
      <c r="N333" s="3" t="n">
        <v>3</v>
      </c>
      <c r="O333" s="3" t="n">
        <v>4</v>
      </c>
      <c r="P333" s="3" t="n">
        <v>4</v>
      </c>
      <c r="Q333" s="3" t="n">
        <v>3</v>
      </c>
      <c r="R333" s="3" t="n">
        <v>3</v>
      </c>
      <c r="S333" s="3" t="n">
        <v>4</v>
      </c>
      <c r="T333" s="3" t="n">
        <v>5</v>
      </c>
      <c r="U333" s="3" t="n">
        <v>5</v>
      </c>
      <c r="V333" s="3" t="n">
        <v>4</v>
      </c>
      <c r="W333" s="3" t="n">
        <v>5</v>
      </c>
      <c r="X333" s="3" t="n">
        <v>4</v>
      </c>
      <c r="Y333" s="3" t="n">
        <v>4</v>
      </c>
      <c r="Z333" s="3" t="n">
        <v>5</v>
      </c>
      <c r="AA333" s="3" t="n">
        <v>4</v>
      </c>
      <c r="AB333" s="3" t="n">
        <v>4</v>
      </c>
      <c r="AC333" s="3" t="n">
        <v>2</v>
      </c>
      <c r="AD333" s="3" t="n">
        <v>2</v>
      </c>
      <c r="AE333" s="3" t="n">
        <v>3</v>
      </c>
      <c r="AF333" s="3" t="n">
        <v>3</v>
      </c>
      <c r="AG333" s="3" t="n">
        <v>5</v>
      </c>
      <c r="AH333" s="3" t="n">
        <v>2</v>
      </c>
      <c r="AI333" s="3" t="n">
        <v>2</v>
      </c>
      <c r="AJ333" s="3" t="n">
        <v>4</v>
      </c>
      <c r="AK333" s="3" t="n">
        <v>3</v>
      </c>
      <c r="AL333" s="3" t="n">
        <v>4</v>
      </c>
      <c r="AM333" s="3" t="n">
        <v>3</v>
      </c>
      <c r="AN333" s="3" t="n">
        <v>2</v>
      </c>
      <c r="AO333" s="3" t="n">
        <v>2</v>
      </c>
    </row>
    <row r="334" customFormat="false" ht="15" hidden="false" customHeight="false" outlineLevel="0" collapsed="false">
      <c r="A334" s="3" t="n">
        <v>0</v>
      </c>
      <c r="B334" s="3" t="n">
        <v>3</v>
      </c>
      <c r="C334" s="3" t="n">
        <v>1</v>
      </c>
      <c r="D334" s="3" t="n">
        <v>1</v>
      </c>
      <c r="E334" s="3" t="n">
        <v>2</v>
      </c>
      <c r="F334" s="3" t="n">
        <v>2</v>
      </c>
      <c r="G334" s="3" t="n">
        <v>2</v>
      </c>
      <c r="H334" s="3" t="n">
        <v>1</v>
      </c>
      <c r="I334" s="3" t="n">
        <v>3</v>
      </c>
      <c r="J334" s="3" t="n">
        <v>22</v>
      </c>
      <c r="K334" s="3" t="n">
        <v>5</v>
      </c>
      <c r="L334" s="3" t="n">
        <v>4</v>
      </c>
      <c r="M334" s="3" t="n">
        <v>4</v>
      </c>
      <c r="N334" s="3" t="n">
        <v>4</v>
      </c>
      <c r="O334" s="3" t="n">
        <v>5</v>
      </c>
      <c r="P334" s="3" t="n">
        <v>4</v>
      </c>
      <c r="Q334" s="3" t="n">
        <v>5</v>
      </c>
      <c r="R334" s="3" t="n">
        <v>4</v>
      </c>
      <c r="S334" s="3" t="n">
        <v>4</v>
      </c>
      <c r="T334" s="3" t="n">
        <v>5</v>
      </c>
      <c r="U334" s="3" t="n">
        <v>3</v>
      </c>
      <c r="V334" s="3" t="n">
        <v>5</v>
      </c>
      <c r="W334" s="3" t="n">
        <v>5</v>
      </c>
      <c r="X334" s="3" t="n">
        <v>4</v>
      </c>
      <c r="Y334" s="3" t="n">
        <v>2</v>
      </c>
      <c r="Z334" s="3" t="n">
        <v>2</v>
      </c>
      <c r="AA334" s="3" t="n">
        <v>5</v>
      </c>
      <c r="AB334" s="3" t="n">
        <v>4</v>
      </c>
      <c r="AC334" s="3" t="n">
        <v>4</v>
      </c>
      <c r="AD334" s="3" t="n">
        <v>2</v>
      </c>
      <c r="AE334" s="3" t="n">
        <v>4</v>
      </c>
      <c r="AF334" s="3" t="n">
        <v>3</v>
      </c>
      <c r="AG334" s="3" t="n">
        <v>3</v>
      </c>
      <c r="AH334" s="3" t="n">
        <v>4</v>
      </c>
      <c r="AI334" s="3" t="n">
        <v>4</v>
      </c>
      <c r="AJ334" s="3" t="n">
        <v>4</v>
      </c>
      <c r="AK334" s="3" t="n">
        <v>2</v>
      </c>
      <c r="AL334" s="3" t="n">
        <v>5</v>
      </c>
      <c r="AM334" s="3" t="n">
        <v>5</v>
      </c>
      <c r="AN334" s="3" t="n">
        <v>4</v>
      </c>
      <c r="AO334" s="3" t="n">
        <v>2</v>
      </c>
    </row>
    <row r="335" customFormat="false" ht="15" hidden="false" customHeight="false" outlineLevel="0" collapsed="false">
      <c r="A335" s="3" t="n">
        <v>1</v>
      </c>
      <c r="B335" s="3" t="n">
        <v>3</v>
      </c>
      <c r="C335" s="3" t="n">
        <v>1</v>
      </c>
      <c r="D335" s="3" t="n">
        <v>1</v>
      </c>
      <c r="E335" s="3" t="n">
        <v>2</v>
      </c>
      <c r="F335" s="3" t="n">
        <v>2</v>
      </c>
      <c r="G335" s="3" t="n">
        <v>2</v>
      </c>
      <c r="H335" s="3" t="n">
        <v>2</v>
      </c>
      <c r="I335" s="3" t="n">
        <v>3</v>
      </c>
      <c r="J335" s="3" t="n">
        <v>22</v>
      </c>
      <c r="K335" s="3" t="n">
        <v>4</v>
      </c>
      <c r="L335" s="3" t="n">
        <v>4</v>
      </c>
      <c r="M335" s="3" t="n">
        <v>4</v>
      </c>
      <c r="N335" s="3" t="n">
        <v>4</v>
      </c>
      <c r="O335" s="3" t="n">
        <v>4</v>
      </c>
      <c r="P335" s="3" t="n">
        <v>3</v>
      </c>
      <c r="Q335" s="3" t="n">
        <v>3</v>
      </c>
      <c r="R335" s="3" t="n">
        <v>4</v>
      </c>
      <c r="S335" s="3" t="n">
        <v>2</v>
      </c>
      <c r="T335" s="3" t="n">
        <v>4</v>
      </c>
      <c r="U335" s="3" t="n">
        <v>4</v>
      </c>
      <c r="V335" s="3" t="n">
        <v>4</v>
      </c>
      <c r="W335" s="3" t="n">
        <v>4</v>
      </c>
      <c r="X335" s="3" t="n">
        <v>4</v>
      </c>
      <c r="Y335" s="3" t="n">
        <v>3</v>
      </c>
      <c r="Z335" s="3" t="n">
        <v>4</v>
      </c>
      <c r="AA335" s="3" t="n">
        <v>4</v>
      </c>
      <c r="AB335" s="3" t="n">
        <v>3</v>
      </c>
      <c r="AC335" s="3" t="n">
        <v>3</v>
      </c>
      <c r="AD335" s="3" t="n">
        <v>3</v>
      </c>
      <c r="AE335" s="3" t="n">
        <v>3</v>
      </c>
      <c r="AF335" s="3" t="n">
        <v>3</v>
      </c>
      <c r="AG335" s="3" t="n">
        <v>4</v>
      </c>
      <c r="AH335" s="3" t="n">
        <v>4</v>
      </c>
      <c r="AI335" s="3" t="n">
        <v>3</v>
      </c>
      <c r="AJ335" s="3" t="n">
        <v>4</v>
      </c>
      <c r="AK335" s="3" t="n">
        <v>3</v>
      </c>
      <c r="AL335" s="3" t="n">
        <v>4</v>
      </c>
      <c r="AM335" s="3" t="n">
        <v>4</v>
      </c>
      <c r="AN335" s="3" t="n">
        <v>4</v>
      </c>
      <c r="AO335" s="3" t="n">
        <v>4</v>
      </c>
    </row>
    <row r="336" customFormat="false" ht="15" hidden="false" customHeight="false" outlineLevel="0" collapsed="false">
      <c r="A336" s="3" t="n">
        <v>0</v>
      </c>
      <c r="B336" s="3" t="n">
        <v>4</v>
      </c>
      <c r="C336" s="3" t="n">
        <v>1</v>
      </c>
      <c r="D336" s="3" t="n">
        <v>1</v>
      </c>
      <c r="E336" s="3" t="n">
        <v>2</v>
      </c>
      <c r="F336" s="3" t="n">
        <v>2</v>
      </c>
      <c r="G336" s="3" t="n">
        <v>3</v>
      </c>
      <c r="H336" s="3" t="n">
        <v>2</v>
      </c>
      <c r="I336" s="3" t="n">
        <v>2</v>
      </c>
      <c r="J336" s="3" t="n">
        <v>23</v>
      </c>
      <c r="K336" s="3" t="n">
        <v>4</v>
      </c>
      <c r="L336" s="3" t="n">
        <v>2</v>
      </c>
      <c r="M336" s="3" t="n">
        <v>4</v>
      </c>
      <c r="N336" s="3" t="n">
        <v>2</v>
      </c>
      <c r="O336" s="3" t="n">
        <v>4</v>
      </c>
      <c r="P336" s="3" t="n">
        <v>3</v>
      </c>
      <c r="Q336" s="3" t="n">
        <v>4</v>
      </c>
      <c r="R336" s="3" t="n">
        <v>2</v>
      </c>
      <c r="S336" s="3" t="n">
        <v>3</v>
      </c>
      <c r="T336" s="3" t="n">
        <v>4</v>
      </c>
      <c r="U336" s="3" t="n">
        <v>4</v>
      </c>
      <c r="V336" s="3" t="n">
        <v>3</v>
      </c>
      <c r="W336" s="3" t="n">
        <v>5</v>
      </c>
      <c r="X336" s="3" t="n">
        <v>4</v>
      </c>
      <c r="Y336" s="3" t="n">
        <v>4</v>
      </c>
      <c r="Z336" s="3" t="n">
        <v>5</v>
      </c>
      <c r="AA336" s="3" t="n">
        <v>2</v>
      </c>
      <c r="AB336" s="3" t="n">
        <v>2</v>
      </c>
      <c r="AC336" s="3" t="n">
        <v>1</v>
      </c>
      <c r="AD336" s="3" t="n">
        <v>2</v>
      </c>
      <c r="AE336" s="3" t="n">
        <v>3</v>
      </c>
      <c r="AF336" s="3" t="n">
        <v>2</v>
      </c>
      <c r="AG336" s="3" t="n">
        <v>3</v>
      </c>
      <c r="AH336" s="3" t="n">
        <v>4</v>
      </c>
      <c r="AI336" s="3" t="n">
        <v>4</v>
      </c>
      <c r="AJ336" s="3" t="n">
        <v>2</v>
      </c>
      <c r="AK336" s="3" t="n">
        <v>2</v>
      </c>
      <c r="AL336" s="3" t="n">
        <v>4</v>
      </c>
      <c r="AM336" s="3" t="n">
        <v>3</v>
      </c>
      <c r="AN336" s="3" t="n">
        <v>2</v>
      </c>
      <c r="AO336" s="3" t="n">
        <v>2</v>
      </c>
    </row>
    <row r="337" customFormat="false" ht="15" hidden="false" customHeight="false" outlineLevel="0" collapsed="false">
      <c r="A337" s="3" t="n">
        <v>0</v>
      </c>
      <c r="B337" s="3" t="n">
        <v>4</v>
      </c>
      <c r="C337" s="3" t="n">
        <v>2</v>
      </c>
      <c r="D337" s="3" t="n">
        <v>1</v>
      </c>
      <c r="E337" s="3" t="n">
        <v>2</v>
      </c>
      <c r="F337" s="3" t="n">
        <v>2</v>
      </c>
      <c r="G337" s="3" t="n">
        <v>3</v>
      </c>
      <c r="H337" s="3" t="n">
        <v>1</v>
      </c>
      <c r="I337" s="3" t="n">
        <v>1</v>
      </c>
      <c r="J337" s="3" t="n">
        <v>22</v>
      </c>
      <c r="K337" s="3" t="n">
        <v>3</v>
      </c>
      <c r="L337" s="3" t="n">
        <v>4</v>
      </c>
      <c r="M337" s="3" t="n">
        <v>4</v>
      </c>
      <c r="N337" s="3" t="n">
        <v>3</v>
      </c>
      <c r="O337" s="3" t="n">
        <v>4</v>
      </c>
      <c r="P337" s="3" t="n">
        <v>4</v>
      </c>
      <c r="Q337" s="3" t="n">
        <v>4</v>
      </c>
      <c r="R337" s="3" t="n">
        <v>4</v>
      </c>
      <c r="S337" s="3" t="n">
        <v>5</v>
      </c>
      <c r="T337" s="3" t="n">
        <v>4</v>
      </c>
      <c r="U337" s="3" t="n">
        <v>5</v>
      </c>
      <c r="V337" s="3" t="n">
        <v>3</v>
      </c>
      <c r="W337" s="3" t="n">
        <v>4</v>
      </c>
      <c r="X337" s="3" t="n">
        <v>3</v>
      </c>
      <c r="Y337" s="3" t="n">
        <v>3</v>
      </c>
      <c r="Z337" s="3" t="n">
        <v>4</v>
      </c>
      <c r="AA337" s="3" t="n">
        <v>3</v>
      </c>
      <c r="AB337" s="3" t="n">
        <v>4</v>
      </c>
      <c r="AC337" s="3" t="n">
        <v>2</v>
      </c>
      <c r="AD337" s="3" t="n">
        <v>2</v>
      </c>
      <c r="AE337" s="3" t="n">
        <v>4</v>
      </c>
      <c r="AF337" s="3" t="n">
        <v>3</v>
      </c>
      <c r="AG337" s="3" t="n">
        <v>2</v>
      </c>
      <c r="AH337" s="3" t="n">
        <v>4</v>
      </c>
      <c r="AI337" s="3" t="n">
        <v>4</v>
      </c>
      <c r="AJ337" s="3" t="n">
        <v>4</v>
      </c>
      <c r="AK337" s="3" t="n">
        <v>2</v>
      </c>
      <c r="AL337" s="3" t="n">
        <v>4</v>
      </c>
      <c r="AM337" s="3" t="n">
        <v>3</v>
      </c>
      <c r="AN337" s="3" t="n">
        <v>3</v>
      </c>
      <c r="AO337" s="3" t="n">
        <v>3</v>
      </c>
    </row>
    <row r="338" customFormat="false" ht="15" hidden="false" customHeight="false" outlineLevel="0" collapsed="false">
      <c r="A338" s="3" t="n">
        <v>1</v>
      </c>
      <c r="B338" s="3" t="n">
        <v>4</v>
      </c>
      <c r="C338" s="3" t="n">
        <v>1</v>
      </c>
      <c r="D338" s="3" t="n">
        <v>2</v>
      </c>
      <c r="E338" s="3" t="n">
        <v>2</v>
      </c>
      <c r="F338" s="3" t="n">
        <v>2</v>
      </c>
      <c r="G338" s="3" t="n">
        <v>3</v>
      </c>
      <c r="H338" s="3" t="n">
        <v>3</v>
      </c>
      <c r="I338" s="3" t="n">
        <v>2</v>
      </c>
      <c r="J338" s="3" t="n">
        <v>27</v>
      </c>
      <c r="K338" s="3" t="n">
        <v>4</v>
      </c>
      <c r="L338" s="3" t="n">
        <v>3</v>
      </c>
      <c r="M338" s="3" t="n">
        <v>4</v>
      </c>
      <c r="N338" s="3" t="n">
        <v>3</v>
      </c>
      <c r="O338" s="3" t="n">
        <v>5</v>
      </c>
      <c r="P338" s="3" t="n">
        <v>4</v>
      </c>
      <c r="Q338" s="3" t="n">
        <v>5</v>
      </c>
      <c r="R338" s="3" t="n">
        <v>2</v>
      </c>
      <c r="S338" s="3" t="n">
        <v>5</v>
      </c>
      <c r="T338" s="3" t="n">
        <v>5</v>
      </c>
      <c r="U338" s="3" t="n">
        <v>5</v>
      </c>
      <c r="V338" s="3" t="n">
        <v>2</v>
      </c>
      <c r="W338" s="3" t="n">
        <v>4</v>
      </c>
      <c r="X338" s="3" t="n">
        <v>5</v>
      </c>
      <c r="Y338" s="3" t="n">
        <v>4</v>
      </c>
      <c r="Z338" s="3" t="n">
        <v>5</v>
      </c>
      <c r="AA338" s="3" t="n">
        <v>4</v>
      </c>
      <c r="AB338" s="3" t="n">
        <v>4</v>
      </c>
      <c r="AC338" s="3" t="n">
        <v>1</v>
      </c>
      <c r="AD338" s="3" t="n">
        <v>2</v>
      </c>
      <c r="AE338" s="3" t="n">
        <v>5</v>
      </c>
      <c r="AF338" s="3" t="n">
        <v>5</v>
      </c>
      <c r="AG338" s="3" t="n">
        <v>5</v>
      </c>
      <c r="AH338" s="3" t="n">
        <v>5</v>
      </c>
      <c r="AI338" s="3" t="n">
        <v>5</v>
      </c>
      <c r="AJ338" s="3" t="n">
        <v>4</v>
      </c>
      <c r="AK338" s="3" t="n">
        <v>5</v>
      </c>
      <c r="AL338" s="3" t="n">
        <v>5</v>
      </c>
      <c r="AM338" s="3" t="n">
        <v>3</v>
      </c>
      <c r="AN338" s="3" t="n">
        <v>2</v>
      </c>
      <c r="AO338" s="3" t="n">
        <v>5</v>
      </c>
    </row>
    <row r="339" customFormat="false" ht="15" hidden="false" customHeight="false" outlineLevel="0" collapsed="false">
      <c r="A339" s="3" t="n">
        <v>0</v>
      </c>
      <c r="B339" s="3" t="n">
        <v>4</v>
      </c>
      <c r="C339" s="3" t="n">
        <v>1</v>
      </c>
      <c r="D339" s="3" t="n">
        <v>1</v>
      </c>
      <c r="E339" s="3" t="n">
        <v>2</v>
      </c>
      <c r="F339" s="3" t="n">
        <v>2</v>
      </c>
      <c r="G339" s="3" t="n">
        <v>2</v>
      </c>
      <c r="H339" s="3" t="n">
        <v>2</v>
      </c>
      <c r="I339" s="3" t="n">
        <v>3</v>
      </c>
      <c r="J339" s="3" t="n">
        <v>24</v>
      </c>
      <c r="K339" s="3" t="n">
        <v>3</v>
      </c>
      <c r="L339" s="3" t="n">
        <v>3</v>
      </c>
      <c r="M339" s="3" t="n">
        <v>4</v>
      </c>
      <c r="N339" s="3" t="n">
        <v>3</v>
      </c>
      <c r="O339" s="3" t="n">
        <v>4</v>
      </c>
      <c r="P339" s="3" t="n">
        <v>3</v>
      </c>
      <c r="Q339" s="3" t="n">
        <v>2</v>
      </c>
      <c r="R339" s="3" t="n">
        <v>4</v>
      </c>
      <c r="S339" s="3" t="n">
        <v>4</v>
      </c>
      <c r="T339" s="3" t="n">
        <v>5</v>
      </c>
      <c r="U339" s="3" t="n">
        <v>4</v>
      </c>
      <c r="V339" s="3" t="n">
        <v>4</v>
      </c>
      <c r="W339" s="3" t="n">
        <v>4</v>
      </c>
      <c r="X339" s="3" t="n">
        <v>4</v>
      </c>
      <c r="Y339" s="3" t="n">
        <v>4</v>
      </c>
      <c r="Z339" s="3" t="n">
        <v>4</v>
      </c>
      <c r="AA339" s="3" t="n">
        <v>2</v>
      </c>
      <c r="AB339" s="3" t="n">
        <v>2</v>
      </c>
      <c r="AC339" s="3" t="n">
        <v>2</v>
      </c>
      <c r="AD339" s="3" t="n">
        <v>3</v>
      </c>
      <c r="AE339" s="3" t="n">
        <v>4</v>
      </c>
      <c r="AF339" s="3" t="n">
        <v>3</v>
      </c>
      <c r="AG339" s="3" t="n">
        <v>4</v>
      </c>
      <c r="AH339" s="3" t="n">
        <v>4</v>
      </c>
      <c r="AI339" s="3" t="n">
        <v>4</v>
      </c>
      <c r="AJ339" s="3" t="n">
        <v>4</v>
      </c>
      <c r="AK339" s="3" t="n">
        <v>3</v>
      </c>
      <c r="AL339" s="3" t="n">
        <v>4</v>
      </c>
      <c r="AM339" s="3" t="n">
        <v>3</v>
      </c>
      <c r="AN339" s="3" t="n">
        <v>3</v>
      </c>
      <c r="AO339" s="3" t="n">
        <v>3</v>
      </c>
    </row>
    <row r="340" customFormat="false" ht="15" hidden="false" customHeight="false" outlineLevel="0" collapsed="false">
      <c r="A340" s="3" t="n">
        <v>0</v>
      </c>
      <c r="B340" s="3" t="n">
        <v>4</v>
      </c>
      <c r="C340" s="3" t="n">
        <v>2</v>
      </c>
      <c r="D340" s="3" t="n">
        <v>1</v>
      </c>
      <c r="E340" s="3" t="n">
        <v>2</v>
      </c>
      <c r="F340" s="3" t="n">
        <v>2</v>
      </c>
      <c r="G340" s="3" t="n">
        <v>3</v>
      </c>
      <c r="H340" s="3" t="n">
        <v>3</v>
      </c>
      <c r="I340" s="3" t="n">
        <v>3</v>
      </c>
      <c r="J340" s="3" t="n">
        <v>24</v>
      </c>
      <c r="K340" s="3" t="n">
        <v>2</v>
      </c>
      <c r="L340" s="3" t="n">
        <v>3</v>
      </c>
      <c r="M340" s="3" t="n">
        <v>3</v>
      </c>
      <c r="N340" s="3" t="n">
        <v>3</v>
      </c>
      <c r="O340" s="3" t="n">
        <v>3</v>
      </c>
      <c r="P340" s="3" t="n">
        <v>2</v>
      </c>
      <c r="Q340" s="3" t="n">
        <v>3</v>
      </c>
      <c r="R340" s="3" t="n">
        <v>3</v>
      </c>
      <c r="S340" s="3" t="n">
        <v>4</v>
      </c>
      <c r="T340" s="3" t="n">
        <v>5</v>
      </c>
      <c r="U340" s="3" t="n">
        <v>4</v>
      </c>
      <c r="V340" s="3" t="n">
        <v>4</v>
      </c>
      <c r="W340" s="3" t="n">
        <v>4</v>
      </c>
      <c r="X340" s="3" t="n">
        <v>3</v>
      </c>
      <c r="Y340" s="3" t="n">
        <v>4</v>
      </c>
      <c r="Z340" s="3" t="n">
        <v>4</v>
      </c>
      <c r="AA340" s="3" t="n">
        <v>3</v>
      </c>
      <c r="AB340" s="3" t="n">
        <v>4</v>
      </c>
      <c r="AC340" s="3" t="n">
        <v>1</v>
      </c>
      <c r="AD340" s="3" t="n">
        <v>2</v>
      </c>
      <c r="AE340" s="3" t="n">
        <v>3</v>
      </c>
      <c r="AF340" s="3" t="n">
        <v>3</v>
      </c>
      <c r="AG340" s="3" t="n">
        <v>4</v>
      </c>
      <c r="AH340" s="3" t="n">
        <v>1</v>
      </c>
      <c r="AI340" s="3" t="n">
        <v>4</v>
      </c>
      <c r="AJ340" s="3" t="n">
        <v>2</v>
      </c>
      <c r="AK340" s="3" t="n">
        <v>3</v>
      </c>
      <c r="AL340" s="3" t="n">
        <v>3</v>
      </c>
      <c r="AM340" s="3" t="n">
        <v>3</v>
      </c>
      <c r="AN340" s="3" t="n">
        <v>2</v>
      </c>
      <c r="AO340" s="3" t="n">
        <v>3</v>
      </c>
    </row>
    <row r="341" customFormat="false" ht="15" hidden="false" customHeight="false" outlineLevel="0" collapsed="false">
      <c r="A341" s="3" t="n">
        <v>0</v>
      </c>
      <c r="B341" s="3" t="n">
        <v>3</v>
      </c>
      <c r="C341" s="3" t="n">
        <v>2</v>
      </c>
      <c r="D341" s="3" t="n">
        <v>1</v>
      </c>
      <c r="E341" s="3" t="n">
        <v>2</v>
      </c>
      <c r="F341" s="3" t="n">
        <v>2</v>
      </c>
      <c r="G341" s="3" t="n">
        <v>1</v>
      </c>
      <c r="H341" s="3" t="n">
        <v>2</v>
      </c>
      <c r="I341" s="3" t="n">
        <v>1</v>
      </c>
      <c r="J341" s="3" t="n">
        <v>23</v>
      </c>
      <c r="K341" s="3" t="n">
        <v>4</v>
      </c>
      <c r="L341" s="3" t="n">
        <v>2</v>
      </c>
      <c r="M341" s="3" t="n">
        <v>3</v>
      </c>
      <c r="N341" s="3" t="n">
        <v>5</v>
      </c>
      <c r="O341" s="3" t="n">
        <v>4</v>
      </c>
      <c r="P341" s="3" t="n">
        <v>1</v>
      </c>
      <c r="Q341" s="3" t="n">
        <v>3</v>
      </c>
      <c r="R341" s="3" t="n">
        <v>3</v>
      </c>
      <c r="S341" s="3" t="n">
        <v>3</v>
      </c>
      <c r="T341" s="3" t="n">
        <v>5</v>
      </c>
      <c r="U341" s="3" t="n">
        <v>5</v>
      </c>
      <c r="V341" s="3" t="n">
        <v>5</v>
      </c>
      <c r="W341" s="3" t="n">
        <v>4</v>
      </c>
      <c r="X341" s="3" t="n">
        <v>4</v>
      </c>
      <c r="Y341" s="3" t="n">
        <v>4</v>
      </c>
      <c r="Z341" s="3" t="n">
        <v>5</v>
      </c>
      <c r="AA341" s="3" t="n">
        <v>5</v>
      </c>
      <c r="AB341" s="3" t="n">
        <v>5</v>
      </c>
      <c r="AC341" s="3" t="n">
        <v>2</v>
      </c>
      <c r="AD341" s="3" t="n">
        <v>3</v>
      </c>
      <c r="AE341" s="3" t="n">
        <v>4</v>
      </c>
      <c r="AF341" s="3" t="n">
        <v>3</v>
      </c>
      <c r="AG341" s="3" t="n">
        <v>4</v>
      </c>
      <c r="AH341" s="3" t="n">
        <v>4</v>
      </c>
      <c r="AI341" s="3" t="n">
        <v>2</v>
      </c>
      <c r="AJ341" s="3" t="n">
        <v>2</v>
      </c>
      <c r="AK341" s="3" t="n">
        <v>3</v>
      </c>
      <c r="AL341" s="3" t="n">
        <v>1</v>
      </c>
      <c r="AM341" s="3" t="n">
        <v>3</v>
      </c>
      <c r="AN341" s="3" t="n">
        <v>5</v>
      </c>
      <c r="AO341" s="3" t="n">
        <v>2</v>
      </c>
    </row>
    <row r="342" customFormat="false" ht="15" hidden="false" customHeight="false" outlineLevel="0" collapsed="false">
      <c r="A342" s="3" t="n">
        <v>1</v>
      </c>
      <c r="B342" s="3" t="n">
        <v>1</v>
      </c>
      <c r="C342" s="3" t="n">
        <v>1</v>
      </c>
      <c r="D342" s="3" t="n">
        <v>1</v>
      </c>
      <c r="E342" s="3" t="n">
        <v>2</v>
      </c>
      <c r="F342" s="3" t="n">
        <v>2</v>
      </c>
      <c r="G342" s="3" t="n">
        <v>2</v>
      </c>
      <c r="H342" s="3" t="n">
        <v>2</v>
      </c>
      <c r="I342" s="3" t="n">
        <v>1</v>
      </c>
      <c r="J342" s="3" t="n">
        <v>22</v>
      </c>
      <c r="K342" s="3" t="n">
        <v>4</v>
      </c>
      <c r="L342" s="3" t="n">
        <v>4</v>
      </c>
      <c r="M342" s="3" t="n">
        <v>4</v>
      </c>
      <c r="N342" s="3" t="n">
        <v>4</v>
      </c>
      <c r="O342" s="3" t="n">
        <v>4</v>
      </c>
      <c r="P342" s="3" t="n">
        <v>3</v>
      </c>
      <c r="Q342" s="3" t="n">
        <v>2</v>
      </c>
      <c r="R342" s="3" t="n">
        <v>4</v>
      </c>
      <c r="S342" s="3" t="n">
        <v>4</v>
      </c>
      <c r="T342" s="3" t="n">
        <v>5</v>
      </c>
      <c r="U342" s="3" t="n">
        <v>5</v>
      </c>
      <c r="V342" s="3" t="n">
        <v>3</v>
      </c>
      <c r="W342" s="3" t="n">
        <v>4</v>
      </c>
      <c r="X342" s="3" t="n">
        <v>4</v>
      </c>
      <c r="Y342" s="3" t="n">
        <v>4</v>
      </c>
      <c r="Z342" s="3" t="n">
        <v>4</v>
      </c>
      <c r="AA342" s="3" t="n">
        <v>4</v>
      </c>
      <c r="AB342" s="3" t="n">
        <v>2</v>
      </c>
      <c r="AC342" s="3" t="n">
        <v>2</v>
      </c>
      <c r="AD342" s="3" t="n">
        <v>2</v>
      </c>
      <c r="AE342" s="3" t="n">
        <v>4</v>
      </c>
      <c r="AF342" s="3" t="n">
        <v>2</v>
      </c>
      <c r="AG342" s="3" t="n">
        <v>4</v>
      </c>
      <c r="AH342" s="3" t="n">
        <v>4</v>
      </c>
      <c r="AI342" s="3" t="n">
        <v>4</v>
      </c>
      <c r="AJ342" s="3" t="n">
        <v>4</v>
      </c>
      <c r="AK342" s="3" t="n">
        <v>3</v>
      </c>
      <c r="AL342" s="3" t="n">
        <v>4</v>
      </c>
      <c r="AM342" s="3" t="n">
        <v>3</v>
      </c>
      <c r="AN342" s="3" t="n">
        <v>3</v>
      </c>
      <c r="AO342" s="3" t="n">
        <v>2</v>
      </c>
    </row>
    <row r="343" customFormat="false" ht="15" hidden="false" customHeight="false" outlineLevel="0" collapsed="false">
      <c r="A343" s="3" t="n">
        <v>0</v>
      </c>
      <c r="B343" s="3" t="n">
        <v>1</v>
      </c>
      <c r="C343" s="3" t="n">
        <v>2</v>
      </c>
      <c r="D343" s="3" t="n">
        <v>1</v>
      </c>
      <c r="E343" s="3" t="n">
        <v>2</v>
      </c>
      <c r="F343" s="3" t="n">
        <v>2</v>
      </c>
      <c r="G343" s="3" t="n">
        <v>3</v>
      </c>
      <c r="H343" s="3" t="n">
        <v>2</v>
      </c>
      <c r="I343" s="3" t="n">
        <v>1</v>
      </c>
      <c r="J343" s="3" t="n">
        <v>21</v>
      </c>
      <c r="K343" s="3" t="n">
        <v>3</v>
      </c>
      <c r="L343" s="3" t="n">
        <v>3</v>
      </c>
      <c r="M343" s="3" t="n">
        <v>4</v>
      </c>
      <c r="N343" s="3" t="n">
        <v>3</v>
      </c>
      <c r="O343" s="3" t="n">
        <v>4</v>
      </c>
      <c r="P343" s="3" t="n">
        <v>3</v>
      </c>
      <c r="Q343" s="3" t="n">
        <v>4</v>
      </c>
      <c r="R343" s="3" t="n">
        <v>3</v>
      </c>
      <c r="S343" s="3" t="n">
        <v>3</v>
      </c>
      <c r="T343" s="3" t="n">
        <v>5</v>
      </c>
      <c r="U343" s="3" t="n">
        <v>4</v>
      </c>
      <c r="V343" s="3" t="n">
        <v>4</v>
      </c>
      <c r="W343" s="3" t="n">
        <v>4</v>
      </c>
      <c r="X343" s="3" t="n">
        <v>4</v>
      </c>
      <c r="Y343" s="3" t="n">
        <v>4</v>
      </c>
      <c r="Z343" s="3" t="n">
        <v>4</v>
      </c>
      <c r="AA343" s="3" t="n">
        <v>4</v>
      </c>
      <c r="AB343" s="3" t="n">
        <v>2</v>
      </c>
      <c r="AC343" s="3" t="n">
        <v>3</v>
      </c>
      <c r="AD343" s="3" t="n">
        <v>3</v>
      </c>
      <c r="AE343" s="3" t="n">
        <v>3</v>
      </c>
      <c r="AF343" s="3" t="n">
        <v>3</v>
      </c>
      <c r="AG343" s="3" t="n">
        <v>4</v>
      </c>
      <c r="AH343" s="3" t="n">
        <v>3</v>
      </c>
      <c r="AI343" s="3" t="n">
        <v>4</v>
      </c>
      <c r="AJ343" s="3" t="n">
        <v>4</v>
      </c>
      <c r="AK343" s="3" t="n">
        <v>3</v>
      </c>
      <c r="AL343" s="3" t="n">
        <v>4</v>
      </c>
      <c r="AM343" s="3" t="n">
        <v>3</v>
      </c>
      <c r="AN343" s="3" t="n">
        <v>4</v>
      </c>
      <c r="AO343" s="3" t="n">
        <v>2</v>
      </c>
    </row>
    <row r="344" customFormat="false" ht="15" hidden="false" customHeight="false" outlineLevel="0" collapsed="false">
      <c r="A344" s="3" t="n">
        <v>0</v>
      </c>
      <c r="B344" s="3" t="n">
        <v>3</v>
      </c>
      <c r="C344" s="3" t="n">
        <v>1</v>
      </c>
      <c r="D344" s="3" t="n">
        <v>2</v>
      </c>
      <c r="E344" s="3" t="n">
        <v>2</v>
      </c>
      <c r="F344" s="3" t="n">
        <v>2</v>
      </c>
      <c r="G344" s="3" t="n">
        <v>3</v>
      </c>
      <c r="H344" s="3" t="n">
        <v>2</v>
      </c>
      <c r="I344" s="3" t="n">
        <v>1</v>
      </c>
      <c r="J344" s="3" t="n">
        <v>22</v>
      </c>
      <c r="K344" s="3" t="n">
        <v>3</v>
      </c>
      <c r="L344" s="3" t="n">
        <v>3</v>
      </c>
      <c r="M344" s="3" t="n">
        <v>3</v>
      </c>
      <c r="N344" s="3" t="n">
        <v>3</v>
      </c>
      <c r="O344" s="3" t="n">
        <v>3</v>
      </c>
      <c r="P344" s="3" t="n">
        <v>3</v>
      </c>
      <c r="Q344" s="3" t="n">
        <v>3</v>
      </c>
      <c r="R344" s="3" t="n">
        <v>3</v>
      </c>
      <c r="S344" s="3" t="n">
        <v>3</v>
      </c>
      <c r="T344" s="3" t="n">
        <v>5</v>
      </c>
      <c r="U344" s="3" t="n">
        <v>4</v>
      </c>
      <c r="V344" s="3" t="n">
        <v>3</v>
      </c>
      <c r="W344" s="3" t="n">
        <v>4</v>
      </c>
      <c r="X344" s="3" t="n">
        <v>3</v>
      </c>
      <c r="Y344" s="3" t="n">
        <v>3</v>
      </c>
      <c r="Z344" s="3" t="n">
        <v>4</v>
      </c>
      <c r="AA344" s="3" t="n">
        <v>3</v>
      </c>
      <c r="AB344" s="3" t="n">
        <v>3</v>
      </c>
      <c r="AC344" s="3" t="n">
        <v>3</v>
      </c>
      <c r="AD344" s="3" t="n">
        <v>3</v>
      </c>
      <c r="AE344" s="3" t="n">
        <v>3</v>
      </c>
      <c r="AF344" s="3" t="n">
        <v>3</v>
      </c>
      <c r="AG344" s="3" t="n">
        <v>4</v>
      </c>
      <c r="AH344" s="3" t="n">
        <v>4</v>
      </c>
      <c r="AI344" s="3" t="n">
        <v>4</v>
      </c>
      <c r="AJ344" s="3" t="n">
        <v>3</v>
      </c>
      <c r="AK344" s="3" t="n">
        <v>3</v>
      </c>
      <c r="AL344" s="3" t="n">
        <v>3</v>
      </c>
      <c r="AM344" s="3" t="n">
        <v>3</v>
      </c>
      <c r="AN344" s="3" t="n">
        <v>3</v>
      </c>
      <c r="AO344" s="3" t="n">
        <v>3</v>
      </c>
    </row>
    <row r="345" customFormat="false" ht="15" hidden="false" customHeight="false" outlineLevel="0" collapsed="false">
      <c r="A345" s="3" t="n">
        <v>1</v>
      </c>
      <c r="B345" s="3" t="n">
        <v>4</v>
      </c>
      <c r="C345" s="3" t="n">
        <v>1</v>
      </c>
      <c r="D345" s="3" t="n">
        <v>1</v>
      </c>
      <c r="E345" s="3" t="n">
        <v>2</v>
      </c>
      <c r="F345" s="3" t="n">
        <v>2</v>
      </c>
      <c r="G345" s="3" t="n">
        <v>4</v>
      </c>
      <c r="H345" s="3" t="n">
        <v>2</v>
      </c>
      <c r="I345" s="3" t="n">
        <v>3</v>
      </c>
      <c r="J345" s="3" t="n">
        <v>25</v>
      </c>
      <c r="K345" s="3" t="n">
        <v>3</v>
      </c>
      <c r="L345" s="3" t="n">
        <v>3</v>
      </c>
      <c r="M345" s="3" t="n">
        <v>2</v>
      </c>
      <c r="N345" s="3" t="n">
        <v>2</v>
      </c>
      <c r="O345" s="3" t="n">
        <v>4</v>
      </c>
      <c r="P345" s="3" t="n">
        <v>1</v>
      </c>
      <c r="Q345" s="3" t="n">
        <v>3</v>
      </c>
      <c r="R345" s="3" t="n">
        <v>1</v>
      </c>
      <c r="S345" s="3" t="n">
        <v>3</v>
      </c>
      <c r="T345" s="3" t="n">
        <v>4</v>
      </c>
      <c r="U345" s="3" t="n">
        <v>5</v>
      </c>
      <c r="V345" s="3" t="n">
        <v>4</v>
      </c>
      <c r="W345" s="3" t="n">
        <v>4</v>
      </c>
      <c r="X345" s="3" t="n">
        <v>3</v>
      </c>
      <c r="Y345" s="3" t="n">
        <v>4</v>
      </c>
      <c r="Z345" s="3" t="n">
        <v>4</v>
      </c>
      <c r="AA345" s="3" t="n">
        <v>5</v>
      </c>
      <c r="AB345" s="3" t="n">
        <v>1</v>
      </c>
      <c r="AC345" s="3" t="n">
        <v>1</v>
      </c>
      <c r="AD345" s="3" t="n">
        <v>1</v>
      </c>
      <c r="AE345" s="3" t="n">
        <v>3</v>
      </c>
      <c r="AF345" s="3" t="n">
        <v>2</v>
      </c>
      <c r="AG345" s="3" t="n">
        <v>3</v>
      </c>
      <c r="AH345" s="3" t="n">
        <v>3</v>
      </c>
      <c r="AI345" s="3" t="n">
        <v>3</v>
      </c>
      <c r="AJ345" s="3" t="n">
        <v>4</v>
      </c>
      <c r="AK345" s="3" t="n">
        <v>1</v>
      </c>
      <c r="AL345" s="3" t="n">
        <v>5</v>
      </c>
      <c r="AM345" s="3" t="n">
        <v>4</v>
      </c>
      <c r="AN345" s="3" t="n">
        <v>2</v>
      </c>
      <c r="AO345" s="3" t="n">
        <v>3</v>
      </c>
    </row>
    <row r="346" customFormat="false" ht="15" hidden="false" customHeight="false" outlineLevel="0" collapsed="false">
      <c r="A346" s="3" t="n">
        <v>0</v>
      </c>
      <c r="B346" s="3" t="n">
        <v>3</v>
      </c>
      <c r="C346" s="3" t="n">
        <v>2</v>
      </c>
      <c r="D346" s="3" t="n">
        <v>1</v>
      </c>
      <c r="E346" s="3" t="n">
        <v>2</v>
      </c>
      <c r="F346" s="3" t="n">
        <v>2</v>
      </c>
      <c r="G346" s="3" t="n">
        <v>1</v>
      </c>
      <c r="H346" s="3" t="n">
        <v>3</v>
      </c>
      <c r="I346" s="3" t="n">
        <v>1</v>
      </c>
      <c r="J346" s="3" t="n">
        <v>22</v>
      </c>
      <c r="K346" s="3" t="n">
        <v>3</v>
      </c>
      <c r="L346" s="3" t="n">
        <v>4</v>
      </c>
      <c r="M346" s="3" t="n">
        <v>4</v>
      </c>
      <c r="N346" s="3" t="n">
        <v>4</v>
      </c>
      <c r="O346" s="3" t="n">
        <v>3</v>
      </c>
      <c r="P346" s="3" t="n">
        <v>4</v>
      </c>
      <c r="Q346" s="3" t="n">
        <v>3</v>
      </c>
      <c r="R346" s="3" t="n">
        <v>3</v>
      </c>
      <c r="S346" s="3" t="n">
        <v>4</v>
      </c>
      <c r="T346" s="3" t="n">
        <v>4</v>
      </c>
      <c r="U346" s="3" t="n">
        <v>4</v>
      </c>
      <c r="V346" s="3" t="n">
        <v>4</v>
      </c>
      <c r="W346" s="3" t="n">
        <v>3</v>
      </c>
      <c r="X346" s="3" t="n">
        <v>3</v>
      </c>
      <c r="Y346" s="3" t="n">
        <v>3</v>
      </c>
      <c r="Z346" s="3" t="n">
        <v>4</v>
      </c>
      <c r="AA346" s="3" t="n">
        <v>3</v>
      </c>
      <c r="AB346" s="3" t="n">
        <v>2</v>
      </c>
      <c r="AC346" s="3" t="n">
        <v>2</v>
      </c>
      <c r="AD346" s="3" t="n">
        <v>2</v>
      </c>
      <c r="AE346" s="3" t="n">
        <v>3</v>
      </c>
      <c r="AF346" s="3" t="n">
        <v>3</v>
      </c>
      <c r="AG346" s="3" t="n">
        <v>4</v>
      </c>
      <c r="AH346" s="3" t="n">
        <v>4</v>
      </c>
      <c r="AI346" s="3" t="n">
        <v>4</v>
      </c>
      <c r="AJ346" s="3" t="n">
        <v>3</v>
      </c>
      <c r="AK346" s="3" t="n">
        <v>3</v>
      </c>
      <c r="AL346" s="3" t="n">
        <v>3</v>
      </c>
      <c r="AM346" s="3" t="n">
        <v>3</v>
      </c>
      <c r="AN346" s="3" t="n">
        <v>3</v>
      </c>
      <c r="AO346" s="3" t="n">
        <v>3</v>
      </c>
    </row>
    <row r="347" customFormat="false" ht="15" hidden="false" customHeight="false" outlineLevel="0" collapsed="false">
      <c r="A347" s="3" t="n">
        <v>0</v>
      </c>
      <c r="B347" s="3" t="n">
        <v>3</v>
      </c>
      <c r="C347" s="3" t="n">
        <v>1</v>
      </c>
      <c r="D347" s="3" t="n">
        <v>1</v>
      </c>
      <c r="E347" s="3" t="n">
        <v>2</v>
      </c>
      <c r="F347" s="3" t="n">
        <v>2</v>
      </c>
      <c r="G347" s="3" t="n">
        <v>1</v>
      </c>
      <c r="H347" s="3" t="n">
        <v>2</v>
      </c>
      <c r="I347" s="3" t="n">
        <v>1</v>
      </c>
      <c r="J347" s="3" t="n">
        <v>26</v>
      </c>
      <c r="K347" s="3" t="n">
        <v>3</v>
      </c>
      <c r="L347" s="3" t="n">
        <v>2</v>
      </c>
      <c r="M347" s="3" t="n">
        <v>3</v>
      </c>
      <c r="N347" s="3" t="n">
        <v>4</v>
      </c>
      <c r="O347" s="3" t="n">
        <v>4</v>
      </c>
      <c r="P347" s="3" t="n">
        <v>3</v>
      </c>
      <c r="Q347" s="3" t="n">
        <v>3</v>
      </c>
      <c r="R347" s="3" t="n">
        <v>3</v>
      </c>
      <c r="S347" s="3" t="n">
        <v>4</v>
      </c>
      <c r="T347" s="3" t="n">
        <v>4</v>
      </c>
      <c r="U347" s="3" t="n">
        <v>4</v>
      </c>
      <c r="V347" s="3" t="n">
        <v>4</v>
      </c>
      <c r="W347" s="3" t="n">
        <v>3</v>
      </c>
      <c r="X347" s="3" t="n">
        <v>4</v>
      </c>
      <c r="Y347" s="3" t="n">
        <v>4</v>
      </c>
      <c r="Z347" s="3" t="n">
        <v>5</v>
      </c>
      <c r="AA347" s="3" t="n">
        <v>3</v>
      </c>
      <c r="AB347" s="3" t="n">
        <v>2</v>
      </c>
      <c r="AC347" s="3" t="n">
        <v>2</v>
      </c>
      <c r="AD347" s="3" t="n">
        <v>3</v>
      </c>
      <c r="AE347" s="3" t="n">
        <v>3</v>
      </c>
      <c r="AF347" s="3" t="n">
        <v>2</v>
      </c>
      <c r="AG347" s="3" t="n">
        <v>4</v>
      </c>
      <c r="AH347" s="3" t="n">
        <v>3</v>
      </c>
      <c r="AI347" s="3" t="n">
        <v>4</v>
      </c>
      <c r="AJ347" s="3" t="n">
        <v>3</v>
      </c>
      <c r="AK347" s="3" t="n">
        <v>3</v>
      </c>
      <c r="AL347" s="3" t="n">
        <v>4</v>
      </c>
      <c r="AM347" s="3" t="n">
        <v>2</v>
      </c>
      <c r="AN347" s="3" t="n">
        <v>4</v>
      </c>
      <c r="AO347" s="3" t="n">
        <v>3</v>
      </c>
    </row>
    <row r="348" customFormat="false" ht="15" hidden="false" customHeight="false" outlineLevel="0" collapsed="false">
      <c r="A348" s="3" t="n">
        <v>1</v>
      </c>
      <c r="B348" s="3" t="n">
        <v>4</v>
      </c>
      <c r="C348" s="3" t="n">
        <v>1</v>
      </c>
      <c r="D348" s="3" t="n">
        <v>1</v>
      </c>
      <c r="E348" s="3" t="n">
        <v>2</v>
      </c>
      <c r="F348" s="3" t="n">
        <v>2</v>
      </c>
      <c r="G348" s="3" t="n">
        <v>1</v>
      </c>
      <c r="H348" s="3" t="n">
        <v>2</v>
      </c>
      <c r="I348" s="3" t="n">
        <v>1</v>
      </c>
      <c r="J348" s="3" t="n">
        <v>2</v>
      </c>
      <c r="K348" s="3" t="n">
        <v>4</v>
      </c>
      <c r="L348" s="3" t="n">
        <v>5</v>
      </c>
      <c r="M348" s="3" t="n">
        <v>4</v>
      </c>
      <c r="N348" s="3" t="n">
        <v>3</v>
      </c>
      <c r="O348" s="3" t="n">
        <v>4</v>
      </c>
      <c r="P348" s="3" t="n">
        <v>2</v>
      </c>
      <c r="Q348" s="3" t="n">
        <v>4</v>
      </c>
      <c r="R348" s="3" t="n">
        <v>2</v>
      </c>
      <c r="S348" s="3" t="n">
        <v>5</v>
      </c>
      <c r="T348" s="3" t="n">
        <v>5</v>
      </c>
      <c r="U348" s="3" t="n">
        <v>4</v>
      </c>
      <c r="V348" s="3" t="n">
        <v>3</v>
      </c>
      <c r="W348" s="3" t="n">
        <v>4</v>
      </c>
      <c r="X348" s="3" t="n">
        <v>3</v>
      </c>
      <c r="Y348" s="3" t="n">
        <v>3</v>
      </c>
      <c r="Z348" s="3" t="n">
        <v>5</v>
      </c>
      <c r="AA348" s="3" t="n">
        <v>3</v>
      </c>
      <c r="AB348" s="3" t="n">
        <v>3</v>
      </c>
      <c r="AC348" s="3" t="n">
        <v>3</v>
      </c>
      <c r="AD348" s="3" t="n">
        <v>2</v>
      </c>
      <c r="AE348" s="3" t="n">
        <v>4</v>
      </c>
      <c r="AF348" s="3" t="n">
        <v>4</v>
      </c>
      <c r="AG348" s="3" t="n">
        <v>4</v>
      </c>
      <c r="AH348" s="3" t="n">
        <v>4</v>
      </c>
      <c r="AI348" s="3" t="n">
        <v>4</v>
      </c>
      <c r="AJ348" s="3" t="n">
        <v>4</v>
      </c>
      <c r="AK348" s="3" t="n">
        <v>4</v>
      </c>
      <c r="AL348" s="3" t="n">
        <v>4</v>
      </c>
      <c r="AM348" s="3" t="n">
        <v>3</v>
      </c>
      <c r="AN348" s="3" t="n">
        <v>5</v>
      </c>
      <c r="AO348" s="3" t="n">
        <v>2</v>
      </c>
    </row>
    <row r="349" customFormat="false" ht="15" hidden="false" customHeight="false" outlineLevel="0" collapsed="false">
      <c r="A349" s="3" t="n">
        <v>1</v>
      </c>
      <c r="B349" s="3" t="n">
        <v>3</v>
      </c>
      <c r="C349" s="3" t="n">
        <v>1</v>
      </c>
      <c r="D349" s="3" t="n">
        <v>1</v>
      </c>
      <c r="E349" s="3" t="n">
        <v>2</v>
      </c>
      <c r="F349" s="3" t="n">
        <v>2</v>
      </c>
      <c r="G349" s="3" t="n">
        <v>3</v>
      </c>
      <c r="H349" s="3" t="n">
        <v>3</v>
      </c>
      <c r="I349" s="3" t="n">
        <v>2</v>
      </c>
      <c r="J349" s="3" t="n">
        <v>23</v>
      </c>
      <c r="K349" s="3" t="n">
        <v>2</v>
      </c>
      <c r="L349" s="3" t="n">
        <v>3</v>
      </c>
      <c r="M349" s="3" t="n">
        <v>4</v>
      </c>
      <c r="N349" s="3" t="n">
        <v>4</v>
      </c>
      <c r="O349" s="3" t="n">
        <v>3</v>
      </c>
      <c r="P349" s="3" t="n">
        <v>2</v>
      </c>
      <c r="Q349" s="3" t="n">
        <v>4</v>
      </c>
      <c r="R349" s="3" t="n">
        <v>1</v>
      </c>
      <c r="S349" s="3" t="n">
        <v>4</v>
      </c>
      <c r="T349" s="3" t="n">
        <v>5</v>
      </c>
      <c r="U349" s="3" t="n">
        <v>4</v>
      </c>
      <c r="V349" s="3" t="n">
        <v>5</v>
      </c>
      <c r="W349" s="3" t="n">
        <v>4</v>
      </c>
      <c r="X349" s="3" t="n">
        <v>4</v>
      </c>
      <c r="Y349" s="3" t="n">
        <v>5</v>
      </c>
      <c r="Z349" s="3" t="n">
        <v>5</v>
      </c>
      <c r="AA349" s="3" t="n">
        <v>1</v>
      </c>
      <c r="AB349" s="3" t="n">
        <v>1</v>
      </c>
      <c r="AC349" s="3" t="n">
        <v>1</v>
      </c>
      <c r="AD349" s="3" t="n">
        <v>1</v>
      </c>
      <c r="AE349" s="3" t="n">
        <v>4</v>
      </c>
      <c r="AF349" s="3" t="n">
        <v>2</v>
      </c>
      <c r="AG349" s="3" t="n">
        <v>4</v>
      </c>
      <c r="AH349" s="3" t="n">
        <v>4</v>
      </c>
      <c r="AI349" s="3" t="n">
        <v>4</v>
      </c>
      <c r="AJ349" s="3" t="n">
        <v>4</v>
      </c>
      <c r="AK349" s="3" t="n">
        <v>4</v>
      </c>
      <c r="AL349" s="3" t="n">
        <v>4</v>
      </c>
      <c r="AM349" s="3" t="n">
        <v>3</v>
      </c>
      <c r="AN349" s="3" t="n">
        <v>2</v>
      </c>
      <c r="AO349" s="3" t="n">
        <v>4</v>
      </c>
    </row>
    <row r="350" customFormat="false" ht="15" hidden="false" customHeight="false" outlineLevel="0" collapsed="false">
      <c r="A350" s="3" t="n">
        <v>0</v>
      </c>
      <c r="B350" s="3" t="n">
        <v>4</v>
      </c>
      <c r="C350" s="3" t="n">
        <v>2</v>
      </c>
      <c r="D350" s="3" t="n">
        <v>1</v>
      </c>
      <c r="E350" s="3" t="n">
        <v>2</v>
      </c>
      <c r="F350" s="3" t="n">
        <v>2</v>
      </c>
      <c r="G350" s="3" t="n">
        <v>3</v>
      </c>
      <c r="H350" s="3" t="n">
        <v>3</v>
      </c>
      <c r="I350" s="3" t="n">
        <v>1</v>
      </c>
      <c r="J350" s="3" t="n">
        <v>23</v>
      </c>
      <c r="K350" s="3" t="n">
        <v>3</v>
      </c>
      <c r="L350" s="3" t="n">
        <v>3</v>
      </c>
      <c r="M350" s="3" t="n">
        <v>4</v>
      </c>
      <c r="N350" s="3" t="n">
        <v>4</v>
      </c>
      <c r="O350" s="3" t="n">
        <v>5</v>
      </c>
      <c r="P350" s="3" t="n">
        <v>5</v>
      </c>
      <c r="Q350" s="3" t="n">
        <v>5</v>
      </c>
      <c r="R350" s="3" t="n">
        <v>2</v>
      </c>
      <c r="S350" s="3" t="n">
        <v>3</v>
      </c>
      <c r="T350" s="3" t="n">
        <v>5</v>
      </c>
      <c r="U350" s="3" t="n">
        <v>4</v>
      </c>
      <c r="V350" s="3" t="n">
        <v>2</v>
      </c>
      <c r="W350" s="3" t="n">
        <v>5</v>
      </c>
      <c r="X350" s="3" t="n">
        <v>5</v>
      </c>
      <c r="Y350" s="3" t="n">
        <v>2</v>
      </c>
      <c r="Z350" s="3" t="n">
        <v>4</v>
      </c>
      <c r="AA350" s="3" t="n">
        <v>5</v>
      </c>
      <c r="AB350" s="3" t="n">
        <v>4</v>
      </c>
      <c r="AC350" s="3" t="n">
        <v>1</v>
      </c>
      <c r="AD350" s="3" t="n">
        <v>1</v>
      </c>
      <c r="AE350" s="3" t="n">
        <v>4</v>
      </c>
      <c r="AF350" s="3" t="n">
        <v>4</v>
      </c>
      <c r="AG350" s="3" t="n">
        <v>4</v>
      </c>
      <c r="AH350" s="3" t="n">
        <v>3</v>
      </c>
      <c r="AI350" s="3" t="n">
        <v>2</v>
      </c>
      <c r="AJ350" s="3" t="n">
        <v>4</v>
      </c>
      <c r="AK350" s="3" t="n">
        <v>5</v>
      </c>
      <c r="AL350" s="3" t="n">
        <v>5</v>
      </c>
      <c r="AM350" s="3" t="n">
        <v>3</v>
      </c>
      <c r="AN350" s="3" t="n">
        <v>2</v>
      </c>
      <c r="AO350" s="3" t="n">
        <v>4</v>
      </c>
    </row>
    <row r="351" customFormat="false" ht="15" hidden="false" customHeight="false" outlineLevel="0" collapsed="false">
      <c r="A351" s="3" t="n">
        <v>0</v>
      </c>
      <c r="B351" s="3" t="n">
        <v>4</v>
      </c>
      <c r="C351" s="3" t="n">
        <v>2</v>
      </c>
      <c r="D351" s="3" t="n">
        <v>1</v>
      </c>
      <c r="E351" s="3" t="n">
        <v>1</v>
      </c>
      <c r="F351" s="3" t="n">
        <v>2</v>
      </c>
      <c r="G351" s="3" t="n">
        <v>3</v>
      </c>
      <c r="H351" s="3" t="n">
        <v>3</v>
      </c>
      <c r="I351" s="3" t="n">
        <v>1</v>
      </c>
      <c r="J351" s="3" t="n">
        <v>22</v>
      </c>
      <c r="K351" s="3" t="n">
        <v>5</v>
      </c>
      <c r="L351" s="3" t="n">
        <v>3</v>
      </c>
      <c r="M351" s="3" t="n">
        <v>5</v>
      </c>
      <c r="N351" s="3" t="n">
        <v>5</v>
      </c>
      <c r="O351" s="3" t="n">
        <v>3</v>
      </c>
      <c r="P351" s="3" t="n">
        <v>3</v>
      </c>
      <c r="Q351" s="3" t="n">
        <v>3</v>
      </c>
      <c r="R351" s="3" t="n">
        <v>3</v>
      </c>
      <c r="S351" s="3" t="n">
        <v>5</v>
      </c>
      <c r="T351" s="3" t="n">
        <v>5</v>
      </c>
      <c r="U351" s="3" t="n">
        <v>5</v>
      </c>
      <c r="V351" s="3" t="n">
        <v>4</v>
      </c>
      <c r="W351" s="3" t="n">
        <v>5</v>
      </c>
      <c r="X351" s="3" t="n">
        <v>5</v>
      </c>
      <c r="Y351" s="3" t="n">
        <v>3</v>
      </c>
      <c r="Z351" s="3" t="n">
        <v>5</v>
      </c>
      <c r="AA351" s="3" t="n">
        <v>5</v>
      </c>
      <c r="AB351" s="3" t="n">
        <v>4</v>
      </c>
      <c r="AC351" s="3" t="n">
        <v>3</v>
      </c>
      <c r="AD351" s="3" t="n">
        <v>4</v>
      </c>
      <c r="AE351" s="3" t="n">
        <v>5</v>
      </c>
      <c r="AF351" s="3" t="n">
        <v>4</v>
      </c>
      <c r="AG351" s="3" t="n">
        <v>5</v>
      </c>
      <c r="AH351" s="3" t="n">
        <v>5</v>
      </c>
      <c r="AI351" s="3" t="n">
        <v>5</v>
      </c>
      <c r="AJ351" s="3" t="n">
        <v>5</v>
      </c>
      <c r="AK351" s="3" t="n">
        <v>2</v>
      </c>
      <c r="AL351" s="3" t="n">
        <v>5</v>
      </c>
      <c r="AM351" s="3" t="n">
        <v>4</v>
      </c>
      <c r="AN351" s="3" t="n">
        <v>3</v>
      </c>
      <c r="AO351" s="3" t="n">
        <v>4</v>
      </c>
    </row>
    <row r="352" customFormat="false" ht="15" hidden="false" customHeight="false" outlineLevel="0" collapsed="false">
      <c r="A352" s="3" t="n">
        <v>0</v>
      </c>
      <c r="B352" s="3" t="n">
        <v>3</v>
      </c>
      <c r="C352" s="3" t="n">
        <v>2</v>
      </c>
      <c r="D352" s="3" t="n">
        <v>1</v>
      </c>
      <c r="E352" s="3" t="n">
        <v>2</v>
      </c>
      <c r="F352" s="3" t="n">
        <v>2</v>
      </c>
      <c r="G352" s="3" t="n">
        <v>1</v>
      </c>
      <c r="H352" s="3" t="n">
        <v>2</v>
      </c>
      <c r="I352" s="3" t="n">
        <v>1</v>
      </c>
      <c r="J352" s="3" t="n">
        <v>22</v>
      </c>
      <c r="K352" s="3" t="n">
        <v>3</v>
      </c>
      <c r="L352" s="3" t="n">
        <v>3</v>
      </c>
      <c r="M352" s="3" t="n">
        <v>2</v>
      </c>
      <c r="N352" s="3" t="n">
        <v>3</v>
      </c>
      <c r="O352" s="3" t="n">
        <v>3</v>
      </c>
      <c r="P352" s="3" t="n">
        <v>3</v>
      </c>
      <c r="Q352" s="3" t="n">
        <v>3</v>
      </c>
      <c r="R352" s="3" t="n">
        <v>3</v>
      </c>
      <c r="S352" s="3" t="n">
        <v>4</v>
      </c>
      <c r="T352" s="3" t="n">
        <v>4</v>
      </c>
      <c r="U352" s="3" t="n">
        <v>4</v>
      </c>
      <c r="V352" s="3" t="n">
        <v>4</v>
      </c>
      <c r="W352" s="3" t="n">
        <v>4</v>
      </c>
      <c r="X352" s="3" t="n">
        <v>4</v>
      </c>
      <c r="Y352" s="3" t="n">
        <v>2</v>
      </c>
      <c r="Z352" s="3" t="n">
        <v>3</v>
      </c>
      <c r="AA352" s="3" t="n">
        <v>3</v>
      </c>
      <c r="AB352" s="3" t="n">
        <v>3</v>
      </c>
      <c r="AC352" s="3" t="n">
        <v>2</v>
      </c>
      <c r="AD352" s="3" t="n">
        <v>2</v>
      </c>
      <c r="AE352" s="3" t="n">
        <v>4</v>
      </c>
      <c r="AF352" s="3" t="n">
        <v>4</v>
      </c>
      <c r="AG352" s="3" t="n">
        <v>4</v>
      </c>
      <c r="AH352" s="3" t="n">
        <v>3</v>
      </c>
      <c r="AI352" s="3" t="n">
        <v>4</v>
      </c>
      <c r="AJ352" s="3" t="n">
        <v>4</v>
      </c>
      <c r="AK352" s="3" t="n">
        <v>4</v>
      </c>
      <c r="AL352" s="3" t="n">
        <v>4</v>
      </c>
      <c r="AM352" s="3" t="n">
        <v>3</v>
      </c>
      <c r="AN352" s="3" t="n">
        <v>4</v>
      </c>
      <c r="AO352" s="3" t="n">
        <v>3</v>
      </c>
    </row>
    <row r="353" customFormat="false" ht="15" hidden="false" customHeight="false" outlineLevel="0" collapsed="false">
      <c r="A353" s="3" t="n">
        <v>0</v>
      </c>
      <c r="B353" s="3" t="n">
        <v>3</v>
      </c>
      <c r="C353" s="3" t="n">
        <v>2</v>
      </c>
      <c r="D353" s="3" t="n">
        <v>1</v>
      </c>
      <c r="E353" s="3" t="n">
        <v>2</v>
      </c>
      <c r="F353" s="3" t="n">
        <v>2</v>
      </c>
      <c r="G353" s="3" t="n">
        <v>1</v>
      </c>
      <c r="H353" s="3" t="n">
        <v>1</v>
      </c>
      <c r="I353" s="3" t="n">
        <v>1</v>
      </c>
      <c r="J353" s="3" t="n">
        <v>21</v>
      </c>
      <c r="K353" s="3" t="n">
        <v>3</v>
      </c>
      <c r="L353" s="3" t="n">
        <v>5</v>
      </c>
      <c r="M353" s="3" t="n">
        <v>3</v>
      </c>
      <c r="N353" s="3" t="n">
        <v>3</v>
      </c>
      <c r="O353" s="3" t="n">
        <v>4</v>
      </c>
      <c r="P353" s="3" t="n">
        <v>4</v>
      </c>
      <c r="Q353" s="3" t="n">
        <v>4</v>
      </c>
      <c r="R353" s="3" t="n">
        <v>3</v>
      </c>
      <c r="S353" s="3" t="n">
        <v>5</v>
      </c>
      <c r="T353" s="3" t="n">
        <v>4</v>
      </c>
      <c r="U353" s="3" t="n">
        <v>5</v>
      </c>
      <c r="V353" s="3" t="n">
        <v>3</v>
      </c>
      <c r="W353" s="3" t="n">
        <v>4</v>
      </c>
      <c r="X353" s="3" t="n">
        <v>4</v>
      </c>
      <c r="Y353" s="3" t="n">
        <v>3</v>
      </c>
      <c r="Z353" s="3" t="n">
        <v>4</v>
      </c>
      <c r="AA353" s="3" t="n">
        <v>3</v>
      </c>
      <c r="AB353" s="3" t="n">
        <v>4</v>
      </c>
      <c r="AC353" s="3" t="n">
        <v>2</v>
      </c>
      <c r="AD353" s="3" t="n">
        <v>3</v>
      </c>
      <c r="AE353" s="3" t="n">
        <v>3</v>
      </c>
      <c r="AF353" s="3" t="n">
        <v>3</v>
      </c>
      <c r="AG353" s="3" t="n">
        <v>3</v>
      </c>
      <c r="AH353" s="3" t="n">
        <v>5</v>
      </c>
      <c r="AI353" s="3" t="n">
        <v>3</v>
      </c>
      <c r="AJ353" s="3" t="n">
        <v>4</v>
      </c>
      <c r="AK353" s="3" t="n">
        <v>3</v>
      </c>
      <c r="AL353" s="3" t="n">
        <v>4</v>
      </c>
      <c r="AM353" s="3" t="n">
        <v>4</v>
      </c>
      <c r="AN353" s="3" t="n">
        <v>4</v>
      </c>
      <c r="AO353" s="3" t="n">
        <v>4</v>
      </c>
    </row>
    <row r="354" customFormat="false" ht="15" hidden="false" customHeight="false" outlineLevel="0" collapsed="false">
      <c r="A354" s="3" t="n">
        <v>0</v>
      </c>
      <c r="B354" s="3" t="n">
        <v>3</v>
      </c>
      <c r="C354" s="3" t="n">
        <v>1</v>
      </c>
      <c r="D354" s="3" t="n">
        <v>1</v>
      </c>
      <c r="E354" s="3" t="n">
        <v>2</v>
      </c>
      <c r="F354" s="3" t="n">
        <v>2</v>
      </c>
      <c r="G354" s="3" t="n">
        <v>3</v>
      </c>
      <c r="H354" s="3" t="n">
        <v>1</v>
      </c>
      <c r="I354" s="3" t="n">
        <v>2</v>
      </c>
      <c r="J354" s="3" t="n">
        <v>22</v>
      </c>
      <c r="K354" s="3" t="n">
        <v>3</v>
      </c>
      <c r="L354" s="3" t="n">
        <v>3</v>
      </c>
      <c r="M354" s="3" t="n">
        <v>2</v>
      </c>
      <c r="N354" s="3" t="n">
        <v>4</v>
      </c>
      <c r="O354" s="3" t="n">
        <v>1</v>
      </c>
      <c r="P354" s="3" t="n">
        <v>5</v>
      </c>
      <c r="Q354" s="3" t="n">
        <v>3</v>
      </c>
      <c r="R354" s="3" t="n">
        <v>2</v>
      </c>
      <c r="S354" s="3" t="n">
        <v>3</v>
      </c>
      <c r="T354" s="3" t="n">
        <v>4</v>
      </c>
      <c r="U354" s="3" t="n">
        <v>4</v>
      </c>
      <c r="V354" s="3" t="n">
        <v>5</v>
      </c>
      <c r="W354" s="3" t="n">
        <v>3</v>
      </c>
      <c r="X354" s="3" t="n">
        <v>5</v>
      </c>
      <c r="Y354" s="3" t="n">
        <v>4</v>
      </c>
      <c r="Z354" s="3" t="n">
        <v>5</v>
      </c>
      <c r="AA354" s="3" t="n">
        <v>4</v>
      </c>
      <c r="AB354" s="3" t="n">
        <v>4</v>
      </c>
      <c r="AC354" s="3" t="n">
        <v>1</v>
      </c>
      <c r="AD354" s="3" t="n">
        <v>2</v>
      </c>
      <c r="AE354" s="3" t="n">
        <v>4</v>
      </c>
      <c r="AF354" s="3" t="n">
        <v>2</v>
      </c>
      <c r="AG354" s="3" t="n">
        <v>4</v>
      </c>
      <c r="AH354" s="3" t="n">
        <v>2</v>
      </c>
      <c r="AI354" s="3" t="n">
        <v>3</v>
      </c>
      <c r="AJ354" s="3" t="n">
        <v>2</v>
      </c>
      <c r="AK354" s="3" t="n">
        <v>4</v>
      </c>
      <c r="AL354" s="3" t="n">
        <v>5</v>
      </c>
      <c r="AM354" s="3" t="n">
        <v>3</v>
      </c>
      <c r="AN354" s="3" t="n">
        <v>4</v>
      </c>
      <c r="AO354" s="3" t="n">
        <v>4</v>
      </c>
    </row>
    <row r="355" customFormat="false" ht="15" hidden="false" customHeight="false" outlineLevel="0" collapsed="false">
      <c r="A355" s="3" t="n">
        <v>1</v>
      </c>
      <c r="B355" s="3" t="n">
        <v>4</v>
      </c>
      <c r="C355" s="3" t="n">
        <v>2</v>
      </c>
      <c r="D355" s="3" t="n">
        <v>1</v>
      </c>
      <c r="E355" s="3" t="n">
        <v>2</v>
      </c>
      <c r="F355" s="3" t="n">
        <v>2</v>
      </c>
      <c r="G355" s="3" t="n">
        <v>3</v>
      </c>
      <c r="H355" s="3" t="n">
        <v>3</v>
      </c>
      <c r="I355" s="3" t="n">
        <v>3</v>
      </c>
      <c r="J355" s="3" t="n">
        <v>26</v>
      </c>
      <c r="K355" s="3" t="n">
        <v>5</v>
      </c>
      <c r="L355" s="3" t="n">
        <v>2</v>
      </c>
      <c r="M355" s="3" t="n">
        <v>4</v>
      </c>
      <c r="N355" s="3" t="n">
        <v>4</v>
      </c>
      <c r="O355" s="3" t="n">
        <v>5</v>
      </c>
      <c r="P355" s="3" t="n">
        <v>5</v>
      </c>
      <c r="Q355" s="3" t="n">
        <v>2</v>
      </c>
      <c r="R355" s="3" t="n">
        <v>5</v>
      </c>
      <c r="S355" s="3" t="n">
        <v>4</v>
      </c>
      <c r="T355" s="3" t="n">
        <v>5</v>
      </c>
      <c r="U355" s="3" t="n">
        <v>4</v>
      </c>
      <c r="V355" s="3" t="n">
        <v>4</v>
      </c>
      <c r="W355" s="3" t="n">
        <v>5</v>
      </c>
      <c r="X355" s="3" t="n">
        <v>5</v>
      </c>
      <c r="Y355" s="3" t="n">
        <v>4</v>
      </c>
      <c r="Z355" s="3" t="n">
        <v>4</v>
      </c>
      <c r="AA355" s="3" t="n">
        <v>1</v>
      </c>
      <c r="AB355" s="3" t="n">
        <v>1</v>
      </c>
      <c r="AC355" s="3" t="n">
        <v>1</v>
      </c>
      <c r="AD355" s="3" t="n">
        <v>1</v>
      </c>
      <c r="AE355" s="3" t="n">
        <v>4</v>
      </c>
      <c r="AF355" s="3" t="n">
        <v>4</v>
      </c>
      <c r="AG355" s="3" t="n">
        <v>4</v>
      </c>
      <c r="AH355" s="3" t="n">
        <v>5</v>
      </c>
      <c r="AI355" s="3" t="n">
        <v>4</v>
      </c>
      <c r="AJ355" s="3" t="n">
        <v>4</v>
      </c>
      <c r="AK355" s="3" t="n">
        <v>4</v>
      </c>
      <c r="AL355" s="3" t="n">
        <v>5</v>
      </c>
      <c r="AM355" s="3" t="n">
        <v>3</v>
      </c>
      <c r="AN355" s="3" t="n">
        <v>1</v>
      </c>
      <c r="AO355" s="3" t="n">
        <v>4</v>
      </c>
    </row>
    <row r="356" customFormat="false" ht="15" hidden="false" customHeight="false" outlineLevel="0" collapsed="false">
      <c r="A356" s="3" t="n">
        <v>0</v>
      </c>
      <c r="B356" s="3" t="n">
        <v>3</v>
      </c>
      <c r="C356" s="3" t="n">
        <v>1</v>
      </c>
      <c r="D356" s="3" t="n">
        <v>1</v>
      </c>
      <c r="E356" s="3" t="n">
        <v>2</v>
      </c>
      <c r="F356" s="3" t="n">
        <v>2</v>
      </c>
      <c r="G356" s="3" t="n">
        <v>3</v>
      </c>
      <c r="H356" s="3" t="n">
        <v>2</v>
      </c>
      <c r="I356" s="3" t="n">
        <v>3</v>
      </c>
      <c r="J356" s="3" t="n">
        <v>23</v>
      </c>
      <c r="K356" s="3" t="n">
        <v>3</v>
      </c>
      <c r="L356" s="3" t="n">
        <v>4</v>
      </c>
      <c r="M356" s="3" t="n">
        <v>4</v>
      </c>
      <c r="N356" s="3" t="n">
        <v>4</v>
      </c>
      <c r="O356" s="3" t="n">
        <v>3</v>
      </c>
      <c r="P356" s="3" t="n">
        <v>3</v>
      </c>
      <c r="Q356" s="3" t="n">
        <v>3</v>
      </c>
      <c r="R356" s="3" t="n">
        <v>2</v>
      </c>
      <c r="S356" s="3" t="n">
        <v>4</v>
      </c>
      <c r="T356" s="3" t="n">
        <v>5</v>
      </c>
      <c r="U356" s="3" t="n">
        <v>4</v>
      </c>
      <c r="V356" s="3" t="n">
        <v>4</v>
      </c>
      <c r="W356" s="3" t="n">
        <v>3</v>
      </c>
      <c r="X356" s="3" t="n">
        <v>4</v>
      </c>
      <c r="Y356" s="3" t="n">
        <v>4</v>
      </c>
      <c r="Z356" s="3" t="n">
        <v>5</v>
      </c>
      <c r="AA356" s="3" t="n">
        <v>3</v>
      </c>
      <c r="AB356" s="3" t="n">
        <v>2</v>
      </c>
      <c r="AC356" s="3" t="n">
        <v>3</v>
      </c>
      <c r="AD356" s="3" t="n">
        <v>2</v>
      </c>
      <c r="AE356" s="3" t="n">
        <v>4</v>
      </c>
      <c r="AF356" s="3" t="n">
        <v>3</v>
      </c>
      <c r="AG356" s="3" t="n">
        <v>4</v>
      </c>
      <c r="AH356" s="3" t="n">
        <v>4</v>
      </c>
      <c r="AI356" s="3" t="n">
        <v>4</v>
      </c>
      <c r="AJ356" s="3" t="n">
        <v>4</v>
      </c>
      <c r="AK356" s="3" t="n">
        <v>3</v>
      </c>
      <c r="AL356" s="3" t="n">
        <v>4</v>
      </c>
      <c r="AM356" s="3" t="n">
        <v>3</v>
      </c>
      <c r="AN356" s="3" t="n">
        <v>2</v>
      </c>
      <c r="AO356" s="3" t="n">
        <v>3</v>
      </c>
    </row>
    <row r="357" customFormat="false" ht="15" hidden="false" customHeight="false" outlineLevel="0" collapsed="false">
      <c r="A357" s="3" t="n">
        <v>0</v>
      </c>
      <c r="B357" s="3" t="n">
        <v>3</v>
      </c>
      <c r="C357" s="3" t="n">
        <v>2</v>
      </c>
      <c r="D357" s="3" t="n">
        <v>1</v>
      </c>
      <c r="E357" s="3" t="n">
        <v>2</v>
      </c>
      <c r="F357" s="3" t="n">
        <v>2</v>
      </c>
      <c r="G357" s="3" t="n">
        <v>3</v>
      </c>
      <c r="H357" s="3" t="n">
        <v>3</v>
      </c>
      <c r="I357" s="3" t="n">
        <v>1</v>
      </c>
      <c r="J357" s="3" t="n">
        <v>22</v>
      </c>
      <c r="K357" s="3" t="n">
        <v>3</v>
      </c>
      <c r="L357" s="3" t="n">
        <v>3</v>
      </c>
      <c r="M357" s="3" t="n">
        <v>4</v>
      </c>
      <c r="N357" s="3" t="n">
        <v>3</v>
      </c>
      <c r="O357" s="3" t="n">
        <v>3</v>
      </c>
      <c r="P357" s="3" t="n">
        <v>3</v>
      </c>
      <c r="Q357" s="3" t="n">
        <v>3</v>
      </c>
      <c r="R357" s="3" t="n">
        <v>3</v>
      </c>
      <c r="S357" s="3" t="n">
        <v>4</v>
      </c>
      <c r="T357" s="3" t="n">
        <v>5</v>
      </c>
      <c r="U357" s="3" t="n">
        <v>4</v>
      </c>
      <c r="V357" s="3" t="n">
        <v>4</v>
      </c>
      <c r="W357" s="3" t="n">
        <v>4</v>
      </c>
      <c r="X357" s="3" t="n">
        <v>4</v>
      </c>
      <c r="Y357" s="3" t="n">
        <v>4</v>
      </c>
      <c r="Z357" s="3" t="n">
        <v>3</v>
      </c>
      <c r="AA357" s="3" t="n">
        <v>2</v>
      </c>
      <c r="AB357" s="3" t="n">
        <v>2</v>
      </c>
      <c r="AC357" s="3" t="n">
        <v>2</v>
      </c>
      <c r="AD357" s="3" t="n">
        <v>2</v>
      </c>
      <c r="AE357" s="3" t="n">
        <v>4</v>
      </c>
      <c r="AF357" s="3" t="n">
        <v>3</v>
      </c>
      <c r="AG357" s="3" t="n">
        <v>3</v>
      </c>
      <c r="AH357" s="3" t="n">
        <v>3</v>
      </c>
      <c r="AI357" s="3" t="n">
        <v>4</v>
      </c>
      <c r="AJ357" s="3" t="n">
        <v>3</v>
      </c>
      <c r="AK357" s="3" t="n">
        <v>2</v>
      </c>
      <c r="AL357" s="3" t="n">
        <v>3</v>
      </c>
      <c r="AM357" s="3" t="n">
        <v>3</v>
      </c>
      <c r="AN357" s="3" t="n">
        <v>3</v>
      </c>
      <c r="AO357" s="3" t="n">
        <v>3</v>
      </c>
    </row>
    <row r="358" customFormat="false" ht="15" hidden="false" customHeight="false" outlineLevel="0" collapsed="false">
      <c r="A358" s="3" t="n">
        <v>0</v>
      </c>
      <c r="B358" s="3" t="n">
        <v>3</v>
      </c>
      <c r="C358" s="3" t="n">
        <v>1</v>
      </c>
      <c r="D358" s="3" t="n">
        <v>1</v>
      </c>
      <c r="E358" s="3" t="n">
        <v>2</v>
      </c>
      <c r="F358" s="3" t="n">
        <v>2</v>
      </c>
      <c r="G358" s="3" t="n">
        <v>4</v>
      </c>
      <c r="H358" s="3" t="n">
        <v>2</v>
      </c>
      <c r="I358" s="3" t="n">
        <v>1</v>
      </c>
      <c r="J358" s="3" t="n">
        <v>21</v>
      </c>
      <c r="K358" s="3" t="n">
        <v>3</v>
      </c>
      <c r="L358" s="3" t="n">
        <v>3</v>
      </c>
      <c r="M358" s="3" t="n">
        <v>2</v>
      </c>
      <c r="N358" s="3" t="n">
        <v>2</v>
      </c>
      <c r="O358" s="3" t="n">
        <v>3</v>
      </c>
      <c r="P358" s="3" t="n">
        <v>4</v>
      </c>
      <c r="Q358" s="3" t="n">
        <v>2</v>
      </c>
      <c r="R358" s="3" t="n">
        <v>4</v>
      </c>
      <c r="S358" s="3" t="n">
        <v>5</v>
      </c>
      <c r="T358" s="3" t="n">
        <v>5</v>
      </c>
      <c r="U358" s="3" t="n">
        <v>4</v>
      </c>
      <c r="V358" s="3" t="n">
        <v>4</v>
      </c>
      <c r="W358" s="3" t="n">
        <v>3</v>
      </c>
      <c r="X358" s="3" t="n">
        <v>3</v>
      </c>
      <c r="Y358" s="3" t="n">
        <v>3</v>
      </c>
      <c r="Z358" s="3" t="n">
        <v>4</v>
      </c>
      <c r="AA358" s="3" t="n">
        <v>3</v>
      </c>
      <c r="AB358" s="3" t="n">
        <v>4</v>
      </c>
      <c r="AC358" s="3" t="n">
        <v>2</v>
      </c>
      <c r="AD358" s="3" t="n">
        <v>1</v>
      </c>
      <c r="AE358" s="3" t="n">
        <v>3</v>
      </c>
      <c r="AF358" s="3" t="n">
        <v>3</v>
      </c>
      <c r="AG358" s="3" t="n">
        <v>4</v>
      </c>
      <c r="AH358" s="3" t="n">
        <v>5</v>
      </c>
      <c r="AI358" s="3" t="n">
        <v>4</v>
      </c>
      <c r="AJ358" s="3" t="n">
        <v>4</v>
      </c>
      <c r="AK358" s="3" t="n">
        <v>2</v>
      </c>
      <c r="AL358" s="3" t="n">
        <v>4</v>
      </c>
      <c r="AM358" s="3" t="n">
        <v>3</v>
      </c>
      <c r="AN358" s="3" t="n">
        <v>2</v>
      </c>
      <c r="AO358" s="3" t="n">
        <v>3</v>
      </c>
    </row>
    <row r="359" customFormat="false" ht="15" hidden="false" customHeight="false" outlineLevel="0" collapsed="false">
      <c r="A359" s="3" t="n">
        <v>1</v>
      </c>
      <c r="B359" s="3" t="n">
        <v>3</v>
      </c>
      <c r="C359" s="3" t="n">
        <v>1</v>
      </c>
      <c r="D359" s="3" t="n">
        <v>1</v>
      </c>
      <c r="E359" s="3" t="n">
        <v>2</v>
      </c>
      <c r="F359" s="3" t="n">
        <v>2</v>
      </c>
      <c r="G359" s="3" t="n">
        <v>3</v>
      </c>
      <c r="H359" s="3" t="n">
        <v>2</v>
      </c>
      <c r="I359" s="3" t="n">
        <v>1</v>
      </c>
      <c r="J359" s="3" t="n">
        <v>21</v>
      </c>
      <c r="K359" s="3" t="n">
        <v>4</v>
      </c>
      <c r="L359" s="3" t="n">
        <v>4</v>
      </c>
      <c r="M359" s="3" t="n">
        <v>4</v>
      </c>
      <c r="N359" s="3" t="n">
        <v>4</v>
      </c>
      <c r="O359" s="3" t="n">
        <v>5</v>
      </c>
      <c r="P359" s="3" t="n">
        <v>4</v>
      </c>
      <c r="Q359" s="3" t="n">
        <v>2</v>
      </c>
      <c r="R359" s="3" t="n">
        <v>5</v>
      </c>
      <c r="S359" s="3" t="n">
        <v>4</v>
      </c>
      <c r="T359" s="3" t="n">
        <v>4</v>
      </c>
      <c r="U359" s="3" t="n">
        <v>5</v>
      </c>
      <c r="V359" s="3" t="n">
        <v>4</v>
      </c>
      <c r="W359" s="3" t="n">
        <v>4</v>
      </c>
      <c r="X359" s="3" t="n">
        <v>4</v>
      </c>
      <c r="Y359" s="3" t="n">
        <v>4</v>
      </c>
      <c r="Z359" s="3" t="n">
        <v>5</v>
      </c>
      <c r="AA359" s="3" t="n">
        <v>2</v>
      </c>
      <c r="AB359" s="3" t="n">
        <v>2</v>
      </c>
      <c r="AC359" s="3" t="n">
        <v>1</v>
      </c>
      <c r="AD359" s="3" t="n">
        <v>1</v>
      </c>
      <c r="AE359" s="3" t="n">
        <v>4</v>
      </c>
      <c r="AF359" s="3" t="n">
        <v>4</v>
      </c>
      <c r="AG359" s="3" t="n">
        <v>4</v>
      </c>
      <c r="AH359" s="3" t="n">
        <v>4</v>
      </c>
      <c r="AI359" s="3" t="n">
        <v>4</v>
      </c>
      <c r="AJ359" s="3" t="n">
        <v>4</v>
      </c>
      <c r="AK359" s="3" t="n">
        <v>4</v>
      </c>
      <c r="AL359" s="3" t="n">
        <v>4</v>
      </c>
      <c r="AM359" s="3" t="n">
        <v>3</v>
      </c>
      <c r="AN359" s="3" t="n">
        <v>1</v>
      </c>
      <c r="AO359" s="3" t="n">
        <v>4</v>
      </c>
    </row>
    <row r="360" customFormat="false" ht="15" hidden="false" customHeight="false" outlineLevel="0" collapsed="false">
      <c r="A360" s="3" t="n">
        <v>1</v>
      </c>
      <c r="B360" s="3" t="n">
        <v>3</v>
      </c>
      <c r="C360" s="3" t="n">
        <v>1</v>
      </c>
      <c r="D360" s="3" t="n">
        <v>1</v>
      </c>
      <c r="E360" s="3" t="n">
        <v>2</v>
      </c>
      <c r="F360" s="3" t="n">
        <v>2</v>
      </c>
      <c r="G360" s="3" t="n">
        <v>3</v>
      </c>
      <c r="H360" s="3" t="n">
        <v>2</v>
      </c>
      <c r="I360" s="3" t="n">
        <v>1</v>
      </c>
      <c r="J360" s="3" t="n">
        <v>22</v>
      </c>
      <c r="K360" s="3" t="n">
        <v>3</v>
      </c>
      <c r="L360" s="3" t="n">
        <v>2</v>
      </c>
      <c r="M360" s="3" t="n">
        <v>4</v>
      </c>
      <c r="N360" s="3" t="n">
        <v>4</v>
      </c>
      <c r="O360" s="3" t="n">
        <v>2</v>
      </c>
      <c r="P360" s="3" t="n">
        <v>3</v>
      </c>
      <c r="Q360" s="3" t="n">
        <v>3</v>
      </c>
      <c r="R360" s="3" t="n">
        <v>2</v>
      </c>
      <c r="S360" s="3" t="n">
        <v>5</v>
      </c>
      <c r="T360" s="3" t="n">
        <v>4</v>
      </c>
      <c r="U360" s="3" t="n">
        <v>4</v>
      </c>
      <c r="V360" s="3" t="n">
        <v>4</v>
      </c>
      <c r="W360" s="3" t="n">
        <v>4</v>
      </c>
      <c r="X360" s="3" t="n">
        <v>4</v>
      </c>
      <c r="Y360" s="3" t="n">
        <v>5</v>
      </c>
      <c r="Z360" s="3" t="n">
        <v>4</v>
      </c>
      <c r="AA360" s="3" t="n">
        <v>5</v>
      </c>
      <c r="AB360" s="3" t="n">
        <v>4</v>
      </c>
      <c r="AC360" s="3" t="n">
        <v>2</v>
      </c>
      <c r="AD360" s="3" t="n">
        <v>1</v>
      </c>
      <c r="AE360" s="3" t="n">
        <v>4</v>
      </c>
      <c r="AF360" s="3" t="n">
        <v>4</v>
      </c>
      <c r="AG360" s="3" t="n">
        <v>4</v>
      </c>
      <c r="AH360" s="3" t="n">
        <v>3</v>
      </c>
      <c r="AI360" s="3" t="n">
        <v>3</v>
      </c>
      <c r="AJ360" s="3" t="n">
        <v>5</v>
      </c>
      <c r="AK360" s="3" t="n">
        <v>2</v>
      </c>
      <c r="AL360" s="3" t="n">
        <v>4</v>
      </c>
      <c r="AM360" s="3" t="n">
        <v>4</v>
      </c>
      <c r="AN360" s="3" t="n">
        <v>2</v>
      </c>
      <c r="AO360" s="3" t="n">
        <v>3</v>
      </c>
    </row>
    <row r="361" customFormat="false" ht="15" hidden="false" customHeight="false" outlineLevel="0" collapsed="false">
      <c r="A361" s="3" t="n">
        <v>0</v>
      </c>
      <c r="B361" s="3" t="n">
        <v>4</v>
      </c>
      <c r="C361" s="3" t="n">
        <v>1</v>
      </c>
      <c r="D361" s="3" t="n">
        <v>1</v>
      </c>
      <c r="E361" s="3" t="n">
        <v>2</v>
      </c>
      <c r="F361" s="3" t="n">
        <v>2</v>
      </c>
      <c r="G361" s="3" t="n">
        <v>3</v>
      </c>
      <c r="H361" s="3" t="n">
        <v>3</v>
      </c>
      <c r="I361" s="3" t="n">
        <v>1</v>
      </c>
      <c r="J361" s="3" t="n">
        <v>23</v>
      </c>
      <c r="K361" s="3" t="n">
        <v>3</v>
      </c>
      <c r="L361" s="3" t="n">
        <v>2</v>
      </c>
      <c r="M361" s="3" t="n">
        <v>3</v>
      </c>
      <c r="N361" s="3" t="n">
        <v>5</v>
      </c>
      <c r="O361" s="3" t="n">
        <v>4</v>
      </c>
      <c r="P361" s="3" t="n">
        <v>4</v>
      </c>
      <c r="Q361" s="3" t="n">
        <v>3</v>
      </c>
      <c r="R361" s="3" t="n">
        <v>5</v>
      </c>
      <c r="S361" s="3" t="n">
        <v>4</v>
      </c>
      <c r="T361" s="3" t="n">
        <v>5</v>
      </c>
      <c r="U361" s="3" t="n">
        <v>3</v>
      </c>
      <c r="V361" s="3" t="n">
        <v>3</v>
      </c>
      <c r="W361" s="3" t="n">
        <v>5</v>
      </c>
      <c r="X361" s="3" t="n">
        <v>5</v>
      </c>
      <c r="Y361" s="3" t="n">
        <v>5</v>
      </c>
      <c r="Z361" s="3" t="n">
        <v>4</v>
      </c>
      <c r="AA361" s="3" t="n">
        <v>2</v>
      </c>
      <c r="AB361" s="3" t="n">
        <v>4</v>
      </c>
      <c r="AC361" s="3" t="n">
        <v>3</v>
      </c>
      <c r="AD361" s="3" t="n">
        <v>4</v>
      </c>
      <c r="AE361" s="3" t="n">
        <v>4</v>
      </c>
      <c r="AF361" s="3" t="n">
        <v>4</v>
      </c>
      <c r="AG361" s="3" t="n">
        <v>4</v>
      </c>
      <c r="AH361" s="3" t="n">
        <v>5</v>
      </c>
      <c r="AI361" s="3" t="n">
        <v>3</v>
      </c>
      <c r="AJ361" s="3" t="n">
        <v>4</v>
      </c>
      <c r="AK361" s="3" t="n">
        <v>4</v>
      </c>
      <c r="AL361" s="3" t="n">
        <v>4</v>
      </c>
      <c r="AM361" s="3" t="n">
        <v>5</v>
      </c>
      <c r="AN361" s="3" t="n">
        <v>1</v>
      </c>
      <c r="AO361" s="3" t="n">
        <v>4</v>
      </c>
    </row>
    <row r="362" customFormat="false" ht="15" hidden="false" customHeight="false" outlineLevel="0" collapsed="false">
      <c r="A362" s="3" t="n">
        <v>0</v>
      </c>
      <c r="B362" s="3" t="n">
        <v>4</v>
      </c>
      <c r="C362" s="3" t="n">
        <v>1</v>
      </c>
      <c r="D362" s="3" t="n">
        <v>1</v>
      </c>
      <c r="E362" s="3" t="n">
        <v>2</v>
      </c>
      <c r="F362" s="3" t="n">
        <v>2</v>
      </c>
      <c r="G362" s="3" t="n">
        <v>1</v>
      </c>
      <c r="H362" s="3" t="n">
        <v>3</v>
      </c>
      <c r="I362" s="3" t="n">
        <v>3</v>
      </c>
      <c r="J362" s="3" t="n">
        <v>28</v>
      </c>
      <c r="K362" s="3" t="n">
        <v>2</v>
      </c>
      <c r="L362" s="3" t="n">
        <v>4</v>
      </c>
      <c r="M362" s="3" t="n">
        <v>4</v>
      </c>
      <c r="N362" s="3" t="n">
        <v>3</v>
      </c>
      <c r="O362" s="3" t="n">
        <v>4</v>
      </c>
      <c r="P362" s="3" t="n">
        <v>2</v>
      </c>
      <c r="Q362" s="3" t="n">
        <v>2</v>
      </c>
      <c r="R362" s="3" t="n">
        <v>2</v>
      </c>
      <c r="S362" s="3" t="n">
        <v>4</v>
      </c>
      <c r="T362" s="3" t="n">
        <v>5</v>
      </c>
      <c r="U362" s="3" t="n">
        <v>4</v>
      </c>
      <c r="V362" s="3" t="n">
        <v>4</v>
      </c>
      <c r="W362" s="3" t="n">
        <v>3</v>
      </c>
      <c r="X362" s="3" t="n">
        <v>2</v>
      </c>
      <c r="Y362" s="3" t="n">
        <v>4</v>
      </c>
      <c r="Z362" s="3" t="n">
        <v>3</v>
      </c>
      <c r="AA362" s="3" t="n">
        <v>4</v>
      </c>
      <c r="AB362" s="3" t="n">
        <v>1</v>
      </c>
      <c r="AC362" s="3" t="n">
        <v>1</v>
      </c>
      <c r="AD362" s="3" t="n">
        <v>1</v>
      </c>
      <c r="AE362" s="3" t="n">
        <v>4</v>
      </c>
      <c r="AF362" s="3" t="n">
        <v>1</v>
      </c>
      <c r="AG362" s="3" t="n">
        <v>1</v>
      </c>
      <c r="AH362" s="3" t="n">
        <v>4</v>
      </c>
      <c r="AI362" s="3" t="n">
        <v>4</v>
      </c>
      <c r="AJ362" s="3" t="n">
        <v>3</v>
      </c>
      <c r="AK362" s="3" t="n">
        <v>4</v>
      </c>
      <c r="AL362" s="3" t="n">
        <v>5</v>
      </c>
      <c r="AM362" s="3" t="n">
        <v>3</v>
      </c>
      <c r="AN362" s="3" t="n">
        <v>2</v>
      </c>
      <c r="AO362" s="3" t="n">
        <v>2</v>
      </c>
    </row>
    <row r="363" customFormat="false" ht="15" hidden="false" customHeight="false" outlineLevel="0" collapsed="false">
      <c r="A363" s="3" t="n">
        <v>1</v>
      </c>
      <c r="B363" s="3" t="n">
        <v>2</v>
      </c>
      <c r="C363" s="3" t="n">
        <v>2</v>
      </c>
      <c r="D363" s="3" t="n">
        <v>1</v>
      </c>
      <c r="E363" s="3" t="n">
        <v>2</v>
      </c>
      <c r="F363" s="3" t="n">
        <v>2</v>
      </c>
      <c r="G363" s="3" t="n">
        <v>3</v>
      </c>
      <c r="H363" s="3" t="n">
        <v>3</v>
      </c>
      <c r="I363" s="3" t="n">
        <v>3</v>
      </c>
      <c r="J363" s="3" t="n">
        <v>24</v>
      </c>
      <c r="K363" s="3" t="n">
        <v>3</v>
      </c>
      <c r="L363" s="3" t="n">
        <v>3</v>
      </c>
      <c r="M363" s="3" t="n">
        <v>3</v>
      </c>
      <c r="N363" s="3" t="n">
        <v>3</v>
      </c>
      <c r="O363" s="3" t="n">
        <v>4</v>
      </c>
      <c r="P363" s="3" t="n">
        <v>2</v>
      </c>
      <c r="Q363" s="3" t="n">
        <v>3</v>
      </c>
      <c r="R363" s="3" t="n">
        <v>3</v>
      </c>
      <c r="S363" s="3" t="n">
        <v>4</v>
      </c>
      <c r="T363" s="3" t="n">
        <v>4</v>
      </c>
      <c r="U363" s="3" t="n">
        <v>4</v>
      </c>
      <c r="V363" s="3" t="n">
        <v>4</v>
      </c>
      <c r="W363" s="3" t="n">
        <v>3</v>
      </c>
      <c r="X363" s="3" t="n">
        <v>4</v>
      </c>
      <c r="Y363" s="3" t="n">
        <v>4</v>
      </c>
      <c r="Z363" s="3" t="n">
        <v>3</v>
      </c>
      <c r="AA363" s="3" t="n">
        <v>2</v>
      </c>
      <c r="AB363" s="3" t="n">
        <v>3</v>
      </c>
      <c r="AC363" s="3" t="n">
        <v>2</v>
      </c>
      <c r="AD363" s="3" t="n">
        <v>2</v>
      </c>
      <c r="AE363" s="3" t="n">
        <v>4</v>
      </c>
      <c r="AF363" s="3" t="n">
        <v>4</v>
      </c>
      <c r="AG363" s="3" t="n">
        <v>4</v>
      </c>
      <c r="AH363" s="3" t="n">
        <v>4</v>
      </c>
      <c r="AI363" s="3" t="n">
        <v>4</v>
      </c>
      <c r="AJ363" s="3" t="n">
        <v>4</v>
      </c>
      <c r="AK363" s="3" t="n">
        <v>2</v>
      </c>
      <c r="AL363" s="3" t="n">
        <v>3</v>
      </c>
      <c r="AM363" s="3" t="n">
        <v>3</v>
      </c>
      <c r="AN363" s="3" t="n">
        <v>3</v>
      </c>
      <c r="AO363" s="3" t="n">
        <v>3</v>
      </c>
    </row>
    <row r="364" customFormat="false" ht="15" hidden="false" customHeight="false" outlineLevel="0" collapsed="false">
      <c r="A364" s="3" t="n">
        <v>0</v>
      </c>
      <c r="B364" s="3" t="n">
        <v>4</v>
      </c>
      <c r="C364" s="3" t="n">
        <v>1</v>
      </c>
      <c r="D364" s="3" t="n">
        <v>2</v>
      </c>
      <c r="E364" s="3" t="n">
        <v>2</v>
      </c>
      <c r="F364" s="3" t="n">
        <v>2</v>
      </c>
      <c r="G364" s="3" t="n">
        <v>3</v>
      </c>
      <c r="H364" s="3" t="n">
        <v>3</v>
      </c>
      <c r="I364" s="3" t="n">
        <v>3</v>
      </c>
      <c r="J364" s="3" t="n">
        <v>22</v>
      </c>
      <c r="K364" s="3" t="n">
        <v>4</v>
      </c>
      <c r="L364" s="3" t="n">
        <v>4</v>
      </c>
      <c r="M364" s="3" t="n">
        <v>4</v>
      </c>
      <c r="N364" s="3" t="n">
        <v>4</v>
      </c>
      <c r="O364" s="3" t="n">
        <v>3</v>
      </c>
      <c r="P364" s="3" t="n">
        <v>4</v>
      </c>
      <c r="Q364" s="3" t="n">
        <v>3</v>
      </c>
      <c r="R364" s="3" t="n">
        <v>2</v>
      </c>
      <c r="S364" s="3" t="n">
        <v>4</v>
      </c>
      <c r="T364" s="3" t="n">
        <v>4</v>
      </c>
      <c r="U364" s="3" t="n">
        <v>4</v>
      </c>
      <c r="V364" s="3" t="n">
        <v>3</v>
      </c>
      <c r="W364" s="3" t="n">
        <v>4</v>
      </c>
      <c r="X364" s="3" t="n">
        <v>3</v>
      </c>
      <c r="Y364" s="3" t="n">
        <v>3</v>
      </c>
      <c r="Z364" s="3" t="n">
        <v>3</v>
      </c>
      <c r="AA364" s="3" t="n">
        <v>4</v>
      </c>
      <c r="AB364" s="3" t="n">
        <v>2</v>
      </c>
      <c r="AC364" s="3" t="n">
        <v>2</v>
      </c>
      <c r="AD364" s="3" t="n">
        <v>2</v>
      </c>
      <c r="AE364" s="3" t="n">
        <v>4</v>
      </c>
      <c r="AF364" s="3" t="n">
        <v>2</v>
      </c>
      <c r="AG364" s="3" t="n">
        <v>4</v>
      </c>
      <c r="AH364" s="3" t="n">
        <v>4</v>
      </c>
      <c r="AI364" s="3" t="n">
        <v>4</v>
      </c>
      <c r="AJ364" s="3" t="n">
        <v>3</v>
      </c>
      <c r="AK364" s="3" t="n">
        <v>4</v>
      </c>
      <c r="AL364" s="3" t="n">
        <v>4</v>
      </c>
      <c r="AM364" s="3" t="n">
        <v>4</v>
      </c>
      <c r="AN364" s="3" t="n">
        <v>2</v>
      </c>
      <c r="AO364" s="3" t="n">
        <v>4</v>
      </c>
    </row>
    <row r="365" customFormat="false" ht="15" hidden="false" customHeight="false" outlineLevel="0" collapsed="false">
      <c r="A365" s="3" t="n">
        <v>0</v>
      </c>
      <c r="B365" s="3" t="n">
        <v>3</v>
      </c>
      <c r="C365" s="3" t="n">
        <v>1</v>
      </c>
      <c r="D365" s="3" t="n">
        <v>2</v>
      </c>
      <c r="E365" s="3" t="n">
        <v>2</v>
      </c>
      <c r="F365" s="3" t="n">
        <v>2</v>
      </c>
      <c r="G365" s="3" t="n">
        <v>4</v>
      </c>
      <c r="H365" s="3" t="n">
        <v>1</v>
      </c>
      <c r="I365" s="3" t="n">
        <v>1</v>
      </c>
      <c r="J365" s="3" t="n">
        <v>21</v>
      </c>
      <c r="K365" s="3" t="n">
        <v>3</v>
      </c>
      <c r="L365" s="3" t="n">
        <v>3</v>
      </c>
      <c r="M365" s="3" t="n">
        <v>2</v>
      </c>
      <c r="N365" s="3" t="n">
        <v>4</v>
      </c>
      <c r="O365" s="3" t="n">
        <v>4</v>
      </c>
      <c r="P365" s="3" t="n">
        <v>5</v>
      </c>
      <c r="Q365" s="3" t="n">
        <v>2</v>
      </c>
      <c r="R365" s="3" t="n">
        <v>2</v>
      </c>
      <c r="S365" s="3" t="n">
        <v>4</v>
      </c>
      <c r="T365" s="3" t="n">
        <v>5</v>
      </c>
      <c r="U365" s="3" t="n">
        <v>4</v>
      </c>
      <c r="V365" s="3" t="n">
        <v>3</v>
      </c>
      <c r="W365" s="3" t="n">
        <v>3</v>
      </c>
      <c r="X365" s="3" t="n">
        <v>3</v>
      </c>
      <c r="Y365" s="3" t="n">
        <v>3</v>
      </c>
      <c r="Z365" s="3" t="n">
        <v>3</v>
      </c>
      <c r="AA365" s="3" t="n">
        <v>4</v>
      </c>
      <c r="AB365" s="3" t="n">
        <v>2</v>
      </c>
      <c r="AC365" s="3" t="n">
        <v>1</v>
      </c>
      <c r="AD365" s="3" t="n">
        <v>2</v>
      </c>
      <c r="AE365" s="3" t="n">
        <v>4</v>
      </c>
      <c r="AF365" s="3" t="n">
        <v>4</v>
      </c>
      <c r="AG365" s="3" t="n">
        <v>4</v>
      </c>
      <c r="AH365" s="3" t="n">
        <v>3</v>
      </c>
      <c r="AI365" s="3" t="n">
        <v>4</v>
      </c>
      <c r="AJ365" s="3" t="n">
        <v>4</v>
      </c>
      <c r="AK365" s="3" t="n">
        <v>3</v>
      </c>
      <c r="AL365" s="3" t="n">
        <v>5</v>
      </c>
      <c r="AM365" s="3" t="n">
        <v>3</v>
      </c>
      <c r="AN365" s="3" t="n">
        <v>3</v>
      </c>
      <c r="AO365" s="3" t="n">
        <v>2</v>
      </c>
    </row>
    <row r="366" customFormat="false" ht="15" hidden="false" customHeight="false" outlineLevel="0" collapsed="false">
      <c r="A366" s="3" t="n">
        <v>0</v>
      </c>
      <c r="B366" s="3" t="n">
        <v>3</v>
      </c>
      <c r="C366" s="3" t="n">
        <v>2</v>
      </c>
      <c r="D366" s="3" t="n">
        <v>1</v>
      </c>
      <c r="E366" s="3" t="n">
        <v>2</v>
      </c>
      <c r="F366" s="3" t="n">
        <v>2</v>
      </c>
      <c r="G366" s="3" t="n">
        <v>3</v>
      </c>
      <c r="H366" s="3" t="n">
        <v>1</v>
      </c>
      <c r="I366" s="3" t="n">
        <v>1</v>
      </c>
      <c r="J366" s="3" t="n">
        <v>22</v>
      </c>
      <c r="K366" s="3" t="n">
        <v>3</v>
      </c>
      <c r="L366" s="3" t="n">
        <v>2</v>
      </c>
      <c r="M366" s="3" t="n">
        <v>4</v>
      </c>
      <c r="N366" s="3" t="n">
        <v>3</v>
      </c>
      <c r="O366" s="3" t="n">
        <v>5</v>
      </c>
      <c r="P366" s="3" t="n">
        <v>1</v>
      </c>
      <c r="Q366" s="3" t="n">
        <v>2</v>
      </c>
      <c r="R366" s="3" t="n">
        <v>2</v>
      </c>
      <c r="S366" s="3" t="n">
        <v>4</v>
      </c>
      <c r="T366" s="3" t="n">
        <v>5</v>
      </c>
      <c r="U366" s="3" t="n">
        <v>5</v>
      </c>
      <c r="V366" s="3" t="n">
        <v>4</v>
      </c>
      <c r="W366" s="3" t="n">
        <v>4</v>
      </c>
      <c r="X366" s="3" t="n">
        <v>3</v>
      </c>
      <c r="Y366" s="3" t="n">
        <v>3</v>
      </c>
      <c r="Z366" s="3" t="n">
        <v>4</v>
      </c>
      <c r="AA366" s="3" t="n">
        <v>2</v>
      </c>
      <c r="AB366" s="3" t="n">
        <v>3</v>
      </c>
      <c r="AC366" s="3" t="n">
        <v>3</v>
      </c>
      <c r="AD366" s="3" t="n">
        <v>2</v>
      </c>
      <c r="AE366" s="3" t="n">
        <v>3</v>
      </c>
      <c r="AF366" s="3" t="n">
        <v>2</v>
      </c>
      <c r="AG366" s="3" t="n">
        <v>4</v>
      </c>
      <c r="AH366" s="3" t="n">
        <v>3</v>
      </c>
      <c r="AI366" s="3" t="n">
        <v>4</v>
      </c>
      <c r="AJ366" s="3" t="n">
        <v>4</v>
      </c>
      <c r="AK366" s="3" t="n">
        <v>4</v>
      </c>
      <c r="AL366" s="3" t="n">
        <v>3</v>
      </c>
      <c r="AM366" s="3" t="n">
        <v>3</v>
      </c>
      <c r="AN366" s="3" t="n">
        <v>3</v>
      </c>
      <c r="AO366" s="3" t="n">
        <v>3</v>
      </c>
    </row>
    <row r="367" customFormat="false" ht="15" hidden="false" customHeight="false" outlineLevel="0" collapsed="false">
      <c r="A367" s="3" t="n">
        <v>0</v>
      </c>
      <c r="B367" s="3" t="n">
        <v>3</v>
      </c>
      <c r="C367" s="3" t="n">
        <v>2</v>
      </c>
      <c r="D367" s="3" t="n">
        <v>1</v>
      </c>
      <c r="E367" s="3" t="n">
        <v>2</v>
      </c>
      <c r="F367" s="3" t="n">
        <v>2</v>
      </c>
      <c r="G367" s="3" t="n">
        <v>3</v>
      </c>
      <c r="H367" s="3" t="n">
        <v>2</v>
      </c>
      <c r="I367" s="3" t="n">
        <v>1</v>
      </c>
      <c r="J367" s="3" t="n">
        <v>21</v>
      </c>
      <c r="K367" s="3" t="n">
        <v>3</v>
      </c>
      <c r="L367" s="3" t="n">
        <v>3</v>
      </c>
      <c r="M367" s="3" t="n">
        <v>3</v>
      </c>
      <c r="N367" s="3" t="n">
        <v>3</v>
      </c>
      <c r="O367" s="3" t="n">
        <v>3</v>
      </c>
      <c r="P367" s="3" t="n">
        <v>4</v>
      </c>
      <c r="Q367" s="3" t="n">
        <v>4</v>
      </c>
      <c r="R367" s="3" t="n">
        <v>4</v>
      </c>
      <c r="S367" s="3" t="n">
        <v>4</v>
      </c>
      <c r="T367" s="3" t="n">
        <v>5</v>
      </c>
      <c r="U367" s="3" t="n">
        <v>5</v>
      </c>
      <c r="V367" s="3" t="n">
        <v>5</v>
      </c>
      <c r="W367" s="3" t="n">
        <v>5</v>
      </c>
      <c r="X367" s="3" t="n">
        <v>5</v>
      </c>
      <c r="Y367" s="3" t="n">
        <v>5</v>
      </c>
      <c r="Z367" s="3" t="n">
        <v>5</v>
      </c>
      <c r="AA367" s="3" t="n">
        <v>3</v>
      </c>
      <c r="AB367" s="3" t="n">
        <v>3</v>
      </c>
      <c r="AC367" s="3" t="n">
        <v>2</v>
      </c>
      <c r="AD367" s="3" t="n">
        <v>4</v>
      </c>
      <c r="AE367" s="3" t="n">
        <v>5</v>
      </c>
      <c r="AF367" s="3" t="n">
        <v>5</v>
      </c>
      <c r="AG367" s="3" t="n">
        <v>4</v>
      </c>
      <c r="AH367" s="3" t="n">
        <v>5</v>
      </c>
      <c r="AI367" s="3" t="n">
        <v>5</v>
      </c>
      <c r="AJ367" s="3" t="n">
        <v>4</v>
      </c>
      <c r="AK367" s="3" t="n">
        <v>4</v>
      </c>
      <c r="AL367" s="3" t="n">
        <v>4</v>
      </c>
      <c r="AM367" s="3" t="n">
        <v>3</v>
      </c>
      <c r="AN367" s="3" t="n">
        <v>3</v>
      </c>
      <c r="AO367" s="3" t="n">
        <v>4</v>
      </c>
    </row>
    <row r="368" customFormat="false" ht="15" hidden="false" customHeight="false" outlineLevel="0" collapsed="false">
      <c r="A368" s="3" t="n">
        <v>0</v>
      </c>
      <c r="B368" s="3" t="n">
        <v>3</v>
      </c>
      <c r="C368" s="3" t="n">
        <v>1</v>
      </c>
      <c r="D368" s="3" t="n">
        <v>1</v>
      </c>
      <c r="E368" s="3" t="n">
        <v>2</v>
      </c>
      <c r="F368" s="3" t="n">
        <v>2</v>
      </c>
      <c r="G368" s="3" t="n">
        <v>2</v>
      </c>
      <c r="H368" s="3" t="n">
        <v>2</v>
      </c>
      <c r="I368" s="3" t="n">
        <v>1</v>
      </c>
      <c r="J368" s="3" t="n">
        <v>24</v>
      </c>
      <c r="K368" s="3" t="n">
        <v>4</v>
      </c>
      <c r="L368" s="3" t="n">
        <v>3</v>
      </c>
      <c r="M368" s="3" t="n">
        <v>4</v>
      </c>
      <c r="N368" s="3" t="n">
        <v>2</v>
      </c>
      <c r="O368" s="3" t="n">
        <v>4</v>
      </c>
      <c r="P368" s="3" t="n">
        <v>2</v>
      </c>
      <c r="Q368" s="3" t="n">
        <v>2</v>
      </c>
      <c r="R368" s="3" t="n">
        <v>1</v>
      </c>
      <c r="S368" s="3" t="n">
        <v>3</v>
      </c>
      <c r="T368" s="3" t="n">
        <v>4</v>
      </c>
      <c r="U368" s="3" t="n">
        <v>4</v>
      </c>
      <c r="V368" s="3" t="n">
        <v>4</v>
      </c>
      <c r="W368" s="3" t="n">
        <v>4</v>
      </c>
      <c r="X368" s="3" t="n">
        <v>4</v>
      </c>
      <c r="Y368" s="3" t="n">
        <v>2</v>
      </c>
      <c r="Z368" s="3" t="n">
        <v>4</v>
      </c>
      <c r="AA368" s="3" t="n">
        <v>4</v>
      </c>
      <c r="AB368" s="3" t="n">
        <v>4</v>
      </c>
      <c r="AC368" s="3" t="n">
        <v>1</v>
      </c>
      <c r="AD368" s="3" t="n">
        <v>1</v>
      </c>
      <c r="AE368" s="3" t="n">
        <v>3</v>
      </c>
      <c r="AF368" s="3" t="n">
        <v>2</v>
      </c>
      <c r="AG368" s="3" t="n">
        <v>3</v>
      </c>
      <c r="AH368" s="3" t="n">
        <v>4</v>
      </c>
      <c r="AI368" s="3" t="n">
        <v>5</v>
      </c>
      <c r="AJ368" s="3" t="n">
        <v>4</v>
      </c>
      <c r="AK368" s="3" t="n">
        <v>2</v>
      </c>
      <c r="AL368" s="3" t="n">
        <v>4</v>
      </c>
      <c r="AM368" s="3" t="n">
        <v>3</v>
      </c>
      <c r="AN368" s="3" t="n">
        <v>3</v>
      </c>
      <c r="AO368" s="3" t="n">
        <v>2</v>
      </c>
    </row>
    <row r="369" customFormat="false" ht="15" hidden="false" customHeight="false" outlineLevel="0" collapsed="false">
      <c r="A369" s="3" t="n">
        <v>1</v>
      </c>
      <c r="B369" s="3" t="n">
        <v>4</v>
      </c>
      <c r="C369" s="3" t="n">
        <v>1</v>
      </c>
      <c r="D369" s="3" t="n">
        <v>1</v>
      </c>
      <c r="E369" s="3" t="n">
        <v>2</v>
      </c>
      <c r="F369" s="3" t="n">
        <v>2</v>
      </c>
      <c r="G369" s="3" t="n">
        <v>4</v>
      </c>
      <c r="H369" s="3" t="n">
        <v>2</v>
      </c>
      <c r="I369" s="3" t="n">
        <v>2</v>
      </c>
      <c r="J369" s="3" t="n">
        <v>23</v>
      </c>
      <c r="K369" s="3" t="n">
        <v>2</v>
      </c>
      <c r="L369" s="3" t="n">
        <v>4</v>
      </c>
      <c r="M369" s="3" t="n">
        <v>4</v>
      </c>
      <c r="N369" s="3" t="n">
        <v>4</v>
      </c>
      <c r="O369" s="3" t="n">
        <v>4</v>
      </c>
      <c r="P369" s="3" t="n">
        <v>2</v>
      </c>
      <c r="Q369" s="3" t="n">
        <v>4</v>
      </c>
      <c r="R369" s="3" t="n">
        <v>3</v>
      </c>
      <c r="S369" s="3" t="n">
        <v>5</v>
      </c>
      <c r="T369" s="3" t="n">
        <v>5</v>
      </c>
      <c r="U369" s="3" t="n">
        <v>5</v>
      </c>
      <c r="V369" s="3" t="n">
        <v>4</v>
      </c>
      <c r="W369" s="3" t="n">
        <v>4</v>
      </c>
      <c r="X369" s="3" t="n">
        <v>4</v>
      </c>
      <c r="Y369" s="3" t="n">
        <v>2</v>
      </c>
      <c r="Z369" s="3" t="n">
        <v>4</v>
      </c>
      <c r="AA369" s="3" t="n">
        <v>4</v>
      </c>
      <c r="AB369" s="3" t="n">
        <v>4</v>
      </c>
      <c r="AC369" s="3" t="n">
        <v>2</v>
      </c>
      <c r="AD369" s="3" t="n">
        <v>2</v>
      </c>
      <c r="AE369" s="3" t="n">
        <v>3</v>
      </c>
      <c r="AF369" s="3" t="n">
        <v>2</v>
      </c>
      <c r="AG369" s="3" t="n">
        <v>3</v>
      </c>
      <c r="AH369" s="3" t="n">
        <v>3</v>
      </c>
      <c r="AI369" s="3" t="n">
        <v>3</v>
      </c>
      <c r="AJ369" s="3" t="n">
        <v>5</v>
      </c>
      <c r="AK369" s="3" t="n">
        <v>1</v>
      </c>
      <c r="AL369" s="3" t="n">
        <v>5</v>
      </c>
      <c r="AM369" s="3" t="n">
        <v>4</v>
      </c>
      <c r="AN369" s="3" t="n">
        <v>3</v>
      </c>
      <c r="AO369" s="3" t="n">
        <v>2</v>
      </c>
    </row>
    <row r="370" customFormat="false" ht="15" hidden="false" customHeight="false" outlineLevel="0" collapsed="false">
      <c r="A370" s="3" t="n">
        <v>0</v>
      </c>
      <c r="B370" s="3" t="n">
        <v>4</v>
      </c>
      <c r="C370" s="3" t="n">
        <v>1</v>
      </c>
      <c r="D370" s="3" t="n">
        <v>1</v>
      </c>
      <c r="E370" s="3" t="n">
        <v>2</v>
      </c>
      <c r="F370" s="3" t="n">
        <v>2</v>
      </c>
      <c r="G370" s="3" t="n">
        <v>3</v>
      </c>
      <c r="H370" s="3" t="n">
        <v>1</v>
      </c>
      <c r="I370" s="3" t="n">
        <v>2</v>
      </c>
      <c r="J370" s="3" t="n">
        <v>24</v>
      </c>
      <c r="K370" s="3" t="n">
        <v>4</v>
      </c>
      <c r="L370" s="3" t="n">
        <v>4</v>
      </c>
      <c r="M370" s="3" t="n">
        <v>4</v>
      </c>
      <c r="N370" s="3" t="n">
        <v>4</v>
      </c>
      <c r="O370" s="3" t="n">
        <v>4</v>
      </c>
      <c r="P370" s="3" t="n">
        <v>3</v>
      </c>
      <c r="Q370" s="3" t="n">
        <v>4</v>
      </c>
      <c r="R370" s="3" t="n">
        <v>4</v>
      </c>
      <c r="S370" s="3" t="n">
        <v>5</v>
      </c>
      <c r="T370" s="3" t="n">
        <v>5</v>
      </c>
      <c r="U370" s="3" t="n">
        <v>5</v>
      </c>
      <c r="V370" s="3" t="n">
        <v>4</v>
      </c>
      <c r="W370" s="3" t="n">
        <v>5</v>
      </c>
      <c r="X370" s="3" t="n">
        <v>5</v>
      </c>
      <c r="Y370" s="3" t="n">
        <v>2</v>
      </c>
      <c r="Z370" s="3" t="n">
        <v>5</v>
      </c>
      <c r="AA370" s="3" t="n">
        <v>1</v>
      </c>
      <c r="AB370" s="3" t="n">
        <v>1</v>
      </c>
      <c r="AC370" s="3" t="n">
        <v>2</v>
      </c>
      <c r="AD370" s="3" t="n">
        <v>2</v>
      </c>
      <c r="AE370" s="3" t="n">
        <v>5</v>
      </c>
      <c r="AF370" s="3" t="n">
        <v>5</v>
      </c>
      <c r="AG370" s="3" t="n">
        <v>4</v>
      </c>
      <c r="AH370" s="3" t="n">
        <v>5</v>
      </c>
      <c r="AI370" s="3" t="n">
        <v>5</v>
      </c>
      <c r="AJ370" s="3" t="n">
        <v>4</v>
      </c>
      <c r="AK370" s="3" t="n">
        <v>3</v>
      </c>
      <c r="AL370" s="3" t="n">
        <v>5</v>
      </c>
      <c r="AM370" s="3" t="n">
        <v>4</v>
      </c>
      <c r="AN370" s="3" t="n">
        <v>3</v>
      </c>
      <c r="AO370" s="3" t="n">
        <v>4</v>
      </c>
    </row>
    <row r="371" customFormat="false" ht="15" hidden="false" customHeight="false" outlineLevel="0" collapsed="false">
      <c r="A371" s="3" t="n">
        <v>0</v>
      </c>
      <c r="B371" s="3" t="n">
        <v>4</v>
      </c>
      <c r="C371" s="3" t="n">
        <v>1</v>
      </c>
      <c r="D371" s="3" t="n">
        <v>1</v>
      </c>
      <c r="E371" s="3" t="n">
        <v>2</v>
      </c>
      <c r="F371" s="3" t="n">
        <v>2</v>
      </c>
      <c r="G371" s="3" t="n">
        <v>2</v>
      </c>
      <c r="H371" s="3" t="n">
        <v>2</v>
      </c>
      <c r="I371" s="3" t="n">
        <v>1</v>
      </c>
      <c r="J371" s="3" t="n">
        <v>23</v>
      </c>
      <c r="K371" s="3" t="n">
        <v>2</v>
      </c>
      <c r="L371" s="3" t="n">
        <v>3</v>
      </c>
      <c r="M371" s="3" t="n">
        <v>2</v>
      </c>
      <c r="N371" s="3" t="n">
        <v>3</v>
      </c>
      <c r="O371" s="3" t="n">
        <v>4</v>
      </c>
      <c r="P371" s="3" t="n">
        <v>2</v>
      </c>
      <c r="Q371" s="3" t="n">
        <v>2</v>
      </c>
      <c r="R371" s="3" t="n">
        <v>3</v>
      </c>
      <c r="S371" s="3" t="n">
        <v>3</v>
      </c>
      <c r="T371" s="3" t="n">
        <v>4</v>
      </c>
      <c r="U371" s="3" t="n">
        <v>4</v>
      </c>
      <c r="V371" s="3" t="n">
        <v>3</v>
      </c>
      <c r="W371" s="3" t="n">
        <v>3</v>
      </c>
      <c r="X371" s="3" t="n">
        <v>4</v>
      </c>
      <c r="Y371" s="3" t="n">
        <v>4</v>
      </c>
      <c r="Z371" s="3" t="n">
        <v>4</v>
      </c>
      <c r="AA371" s="3" t="n">
        <v>3</v>
      </c>
      <c r="AB371" s="3" t="n">
        <v>3</v>
      </c>
      <c r="AC371" s="3" t="n">
        <v>2</v>
      </c>
      <c r="AD371" s="3" t="n">
        <v>2</v>
      </c>
      <c r="AE371" s="3" t="n">
        <v>2</v>
      </c>
      <c r="AF371" s="3" t="n">
        <v>2</v>
      </c>
      <c r="AG371" s="3" t="n">
        <v>3</v>
      </c>
      <c r="AH371" s="3" t="n">
        <v>3</v>
      </c>
      <c r="AI371" s="3" t="n">
        <v>2</v>
      </c>
      <c r="AJ371" s="3" t="n">
        <v>2</v>
      </c>
      <c r="AK371" s="3" t="n">
        <v>4</v>
      </c>
      <c r="AL371" s="3" t="n">
        <v>4</v>
      </c>
      <c r="AM371" s="3" t="n">
        <v>3</v>
      </c>
      <c r="AN371" s="3" t="n">
        <v>2</v>
      </c>
      <c r="AO371" s="3" t="n">
        <v>3</v>
      </c>
    </row>
    <row r="372" customFormat="false" ht="15" hidden="false" customHeight="false" outlineLevel="0" collapsed="false">
      <c r="A372" s="3" t="n">
        <v>0</v>
      </c>
      <c r="B372" s="3" t="n">
        <v>1</v>
      </c>
      <c r="C372" s="3" t="n">
        <v>2</v>
      </c>
      <c r="D372" s="3" t="n">
        <v>1</v>
      </c>
      <c r="E372" s="3" t="n">
        <v>2</v>
      </c>
      <c r="F372" s="3" t="n">
        <v>2</v>
      </c>
      <c r="G372" s="3" t="n">
        <v>2</v>
      </c>
      <c r="H372" s="3" t="n">
        <v>3</v>
      </c>
      <c r="I372" s="3" t="n">
        <v>2</v>
      </c>
      <c r="J372" s="3" t="n">
        <v>24</v>
      </c>
      <c r="K372" s="3" t="n">
        <v>2</v>
      </c>
      <c r="L372" s="3" t="n">
        <v>4</v>
      </c>
      <c r="M372" s="3" t="n">
        <v>3</v>
      </c>
      <c r="N372" s="3" t="n">
        <v>4</v>
      </c>
      <c r="O372" s="3" t="n">
        <v>4</v>
      </c>
      <c r="P372" s="3" t="n">
        <v>3</v>
      </c>
      <c r="Q372" s="3" t="n">
        <v>3</v>
      </c>
      <c r="R372" s="3" t="n">
        <v>3</v>
      </c>
      <c r="S372" s="3" t="n">
        <v>3</v>
      </c>
      <c r="T372" s="3" t="n">
        <v>2</v>
      </c>
      <c r="U372" s="3" t="n">
        <v>3</v>
      </c>
      <c r="V372" s="3" t="n">
        <v>3</v>
      </c>
      <c r="W372" s="3" t="n">
        <v>3</v>
      </c>
      <c r="X372" s="3" t="n">
        <v>3</v>
      </c>
      <c r="Y372" s="3" t="n">
        <v>3</v>
      </c>
      <c r="Z372" s="3" t="n">
        <v>4</v>
      </c>
      <c r="AA372" s="3" t="n">
        <v>4</v>
      </c>
      <c r="AB372" s="3" t="n">
        <v>2</v>
      </c>
      <c r="AC372" s="3" t="n">
        <v>2</v>
      </c>
      <c r="AD372" s="3" t="n">
        <v>2</v>
      </c>
      <c r="AE372" s="3" t="n">
        <v>3</v>
      </c>
      <c r="AF372" s="3" t="n">
        <v>2</v>
      </c>
      <c r="AG372" s="3" t="n">
        <v>2</v>
      </c>
      <c r="AH372" s="3" t="n">
        <v>4</v>
      </c>
      <c r="AI372" s="3" t="n">
        <v>4</v>
      </c>
      <c r="AJ372" s="3" t="n">
        <v>4</v>
      </c>
      <c r="AK372" s="3" t="n">
        <v>3</v>
      </c>
      <c r="AL372" s="3" t="n">
        <v>2</v>
      </c>
      <c r="AM372" s="3" t="n">
        <v>3</v>
      </c>
      <c r="AN372" s="3" t="n">
        <v>3</v>
      </c>
      <c r="AO372" s="3" t="n">
        <v>3</v>
      </c>
    </row>
    <row r="373" customFormat="false" ht="15" hidden="false" customHeight="false" outlineLevel="0" collapsed="false">
      <c r="A373" s="3" t="n">
        <v>0</v>
      </c>
      <c r="B373" s="3" t="n">
        <v>4</v>
      </c>
      <c r="C373" s="3" t="n">
        <v>1</v>
      </c>
      <c r="D373" s="3" t="n">
        <v>1</v>
      </c>
      <c r="E373" s="3" t="n">
        <v>2</v>
      </c>
      <c r="F373" s="3" t="n">
        <v>2</v>
      </c>
      <c r="G373" s="3" t="n">
        <v>3</v>
      </c>
      <c r="H373" s="3" t="n">
        <v>2</v>
      </c>
      <c r="I373" s="3" t="n">
        <v>2</v>
      </c>
      <c r="J373" s="3" t="n">
        <v>24</v>
      </c>
      <c r="K373" s="3" t="n">
        <v>3</v>
      </c>
      <c r="L373" s="3" t="n">
        <v>3</v>
      </c>
      <c r="M373" s="3" t="n">
        <v>4</v>
      </c>
      <c r="N373" s="3" t="n">
        <v>3</v>
      </c>
      <c r="O373" s="3" t="n">
        <v>4</v>
      </c>
      <c r="P373" s="3" t="n">
        <v>3</v>
      </c>
      <c r="Q373" s="3" t="n">
        <v>3</v>
      </c>
      <c r="R373" s="3" t="n">
        <v>1</v>
      </c>
      <c r="S373" s="3" t="n">
        <v>4</v>
      </c>
      <c r="T373" s="3" t="n">
        <v>5</v>
      </c>
      <c r="U373" s="3" t="n">
        <v>4</v>
      </c>
      <c r="V373" s="3" t="n">
        <v>3</v>
      </c>
      <c r="W373" s="3" t="n">
        <v>3</v>
      </c>
      <c r="X373" s="3" t="n">
        <v>2</v>
      </c>
      <c r="Y373" s="3" t="n">
        <v>4</v>
      </c>
      <c r="Z373" s="3" t="n">
        <v>4</v>
      </c>
      <c r="AA373" s="3" t="n">
        <v>4</v>
      </c>
      <c r="AB373" s="3" t="n">
        <v>4</v>
      </c>
      <c r="AC373" s="3" t="n">
        <v>1</v>
      </c>
      <c r="AD373" s="3" t="n">
        <v>2</v>
      </c>
      <c r="AE373" s="3" t="n">
        <v>3</v>
      </c>
      <c r="AF373" s="3" t="n">
        <v>3</v>
      </c>
      <c r="AG373" s="3" t="n">
        <v>3</v>
      </c>
      <c r="AH373" s="3" t="n">
        <v>4</v>
      </c>
      <c r="AI373" s="3" t="n">
        <v>3</v>
      </c>
      <c r="AJ373" s="3" t="n">
        <v>3</v>
      </c>
      <c r="AK373" s="3" t="n">
        <v>4</v>
      </c>
      <c r="AL373" s="3" t="n">
        <v>4</v>
      </c>
      <c r="AM373" s="3" t="n">
        <v>3</v>
      </c>
      <c r="AN373" s="3" t="n">
        <v>2</v>
      </c>
      <c r="AO373" s="3" t="n">
        <v>3</v>
      </c>
    </row>
    <row r="374" customFormat="false" ht="15" hidden="false" customHeight="false" outlineLevel="0" collapsed="false">
      <c r="A374" s="3" t="n">
        <v>0</v>
      </c>
      <c r="B374" s="3" t="n">
        <v>4</v>
      </c>
      <c r="C374" s="3" t="n">
        <v>1</v>
      </c>
      <c r="D374" s="3" t="n">
        <v>1</v>
      </c>
      <c r="E374" s="3" t="n">
        <v>2</v>
      </c>
      <c r="F374" s="3" t="n">
        <v>2</v>
      </c>
      <c r="G374" s="3" t="n">
        <v>2</v>
      </c>
      <c r="H374" s="3" t="n">
        <v>3</v>
      </c>
      <c r="I374" s="3" t="n">
        <v>3</v>
      </c>
      <c r="J374" s="3" t="n">
        <v>24</v>
      </c>
      <c r="K374" s="3" t="n">
        <v>3</v>
      </c>
      <c r="L374" s="3" t="n">
        <v>5</v>
      </c>
      <c r="M374" s="3" t="n">
        <v>5</v>
      </c>
      <c r="N374" s="3" t="n">
        <v>5</v>
      </c>
      <c r="O374" s="3" t="n">
        <v>5</v>
      </c>
      <c r="P374" s="3" t="n">
        <v>3</v>
      </c>
      <c r="Q374" s="3" t="n">
        <v>3</v>
      </c>
      <c r="R374" s="3" t="n">
        <v>5</v>
      </c>
      <c r="S374" s="3" t="n">
        <v>5</v>
      </c>
      <c r="T374" s="3" t="n">
        <v>5</v>
      </c>
      <c r="U374" s="3" t="n">
        <v>5</v>
      </c>
      <c r="V374" s="3" t="n">
        <v>4</v>
      </c>
      <c r="W374" s="3" t="n">
        <v>4</v>
      </c>
      <c r="X374" s="3" t="n">
        <v>5</v>
      </c>
      <c r="Y374" s="3" t="n">
        <v>3</v>
      </c>
      <c r="Z374" s="3" t="n">
        <v>3</v>
      </c>
      <c r="AA374" s="3" t="n">
        <v>5</v>
      </c>
      <c r="AB374" s="3" t="n">
        <v>1</v>
      </c>
      <c r="AC374" s="3" t="n">
        <v>1</v>
      </c>
      <c r="AD374" s="3" t="n">
        <v>2</v>
      </c>
      <c r="AE374" s="3" t="n">
        <v>5</v>
      </c>
      <c r="AF374" s="3" t="n">
        <v>4</v>
      </c>
      <c r="AG374" s="3" t="n">
        <v>4</v>
      </c>
      <c r="AH374" s="3" t="n">
        <v>4</v>
      </c>
      <c r="AI374" s="3" t="n">
        <v>5</v>
      </c>
      <c r="AJ374" s="3" t="n">
        <v>5</v>
      </c>
      <c r="AK374" s="3" t="n">
        <v>5</v>
      </c>
      <c r="AL374" s="3" t="n">
        <v>5</v>
      </c>
      <c r="AM374" s="3" t="n">
        <v>5</v>
      </c>
      <c r="AN374" s="3" t="n">
        <v>1</v>
      </c>
      <c r="AO374" s="3" t="n">
        <v>5</v>
      </c>
    </row>
    <row r="375" customFormat="false" ht="15" hidden="false" customHeight="false" outlineLevel="0" collapsed="false">
      <c r="A375" s="3" t="n">
        <v>0</v>
      </c>
      <c r="B375" s="3" t="n">
        <v>4</v>
      </c>
      <c r="C375" s="3" t="n">
        <v>2</v>
      </c>
      <c r="D375" s="3" t="n">
        <v>1</v>
      </c>
      <c r="E375" s="3" t="n">
        <v>2</v>
      </c>
      <c r="F375" s="3" t="n">
        <v>2</v>
      </c>
      <c r="G375" s="3" t="n">
        <v>2</v>
      </c>
      <c r="H375" s="3" t="n">
        <v>1</v>
      </c>
      <c r="I375" s="3" t="n">
        <v>3</v>
      </c>
      <c r="J375" s="3" t="n">
        <v>24</v>
      </c>
      <c r="K375" s="3" t="n">
        <v>5</v>
      </c>
      <c r="L375" s="3" t="n">
        <v>4</v>
      </c>
      <c r="M375" s="3" t="n">
        <v>5</v>
      </c>
      <c r="N375" s="3" t="n">
        <v>5</v>
      </c>
      <c r="O375" s="3" t="n">
        <v>5</v>
      </c>
      <c r="P375" s="3" t="n">
        <v>5</v>
      </c>
      <c r="Q375" s="3" t="n">
        <v>5</v>
      </c>
      <c r="R375" s="3" t="n">
        <v>5</v>
      </c>
      <c r="S375" s="3" t="n">
        <v>4</v>
      </c>
      <c r="T375" s="3" t="n">
        <v>5</v>
      </c>
      <c r="U375" s="3" t="n">
        <v>4</v>
      </c>
      <c r="V375" s="3" t="n">
        <v>2</v>
      </c>
      <c r="W375" s="3" t="n">
        <v>4</v>
      </c>
      <c r="X375" s="3" t="n">
        <v>3</v>
      </c>
      <c r="Y375" s="3" t="n">
        <v>2</v>
      </c>
      <c r="Z375" s="3" t="n">
        <v>3</v>
      </c>
      <c r="AA375" s="3" t="n">
        <v>4</v>
      </c>
      <c r="AB375" s="3" t="n">
        <v>5</v>
      </c>
      <c r="AC375" s="3" t="n">
        <v>5</v>
      </c>
      <c r="AD375" s="3" t="n">
        <v>5</v>
      </c>
      <c r="AE375" s="3" t="n">
        <v>5</v>
      </c>
      <c r="AF375" s="3" t="n">
        <v>1</v>
      </c>
      <c r="AG375" s="3" t="n">
        <v>5</v>
      </c>
      <c r="AH375" s="3" t="n">
        <v>5</v>
      </c>
      <c r="AI375" s="3" t="n">
        <v>5</v>
      </c>
      <c r="AJ375" s="3" t="n">
        <v>4</v>
      </c>
      <c r="AK375" s="3" t="n">
        <v>2</v>
      </c>
      <c r="AL375" s="3" t="n">
        <v>5</v>
      </c>
      <c r="AM375" s="3" t="n">
        <v>4</v>
      </c>
      <c r="AN375" s="3" t="n">
        <v>5</v>
      </c>
      <c r="AO375" s="3" t="n">
        <v>5</v>
      </c>
    </row>
    <row r="376" customFormat="false" ht="15" hidden="false" customHeight="false" outlineLevel="0" collapsed="false">
      <c r="A376" s="3" t="n">
        <v>0</v>
      </c>
      <c r="B376" s="3" t="n">
        <v>3</v>
      </c>
      <c r="C376" s="3" t="n">
        <v>1</v>
      </c>
      <c r="D376" s="3" t="n">
        <v>1</v>
      </c>
      <c r="E376" s="3" t="n">
        <v>2</v>
      </c>
      <c r="F376" s="3" t="n">
        <v>2</v>
      </c>
      <c r="G376" s="3" t="n">
        <v>3</v>
      </c>
      <c r="H376" s="3" t="n">
        <v>2</v>
      </c>
      <c r="I376" s="3" t="n">
        <v>1</v>
      </c>
      <c r="J376" s="3" t="n">
        <v>22</v>
      </c>
      <c r="K376" s="3" t="n">
        <v>3</v>
      </c>
      <c r="L376" s="3" t="n">
        <v>3</v>
      </c>
      <c r="M376" s="3" t="n">
        <v>4</v>
      </c>
      <c r="N376" s="3" t="n">
        <v>3</v>
      </c>
      <c r="O376" s="3" t="n">
        <v>3</v>
      </c>
      <c r="P376" s="3" t="n">
        <v>3</v>
      </c>
      <c r="Q376" s="3" t="n">
        <v>1</v>
      </c>
      <c r="R376" s="3" t="n">
        <v>1</v>
      </c>
      <c r="S376" s="3" t="n">
        <v>4</v>
      </c>
      <c r="T376" s="3" t="n">
        <v>4</v>
      </c>
      <c r="U376" s="3" t="n">
        <v>4</v>
      </c>
      <c r="V376" s="3" t="n">
        <v>3</v>
      </c>
      <c r="W376" s="3" t="n">
        <v>3</v>
      </c>
      <c r="X376" s="3" t="n">
        <v>3</v>
      </c>
      <c r="Y376" s="3" t="n">
        <v>4</v>
      </c>
      <c r="Z376" s="3" t="n">
        <v>4</v>
      </c>
      <c r="AA376" s="3" t="n">
        <v>2</v>
      </c>
      <c r="AB376" s="3" t="n">
        <v>2</v>
      </c>
      <c r="AC376" s="3" t="n">
        <v>2</v>
      </c>
      <c r="AD376" s="3" t="n">
        <v>2</v>
      </c>
      <c r="AE376" s="3" t="n">
        <v>4</v>
      </c>
      <c r="AF376" s="3" t="n">
        <v>2</v>
      </c>
      <c r="AG376" s="3" t="n">
        <v>4</v>
      </c>
      <c r="AH376" s="3" t="n">
        <v>4</v>
      </c>
      <c r="AI376" s="3" t="n">
        <v>4</v>
      </c>
      <c r="AJ376" s="3" t="n">
        <v>4</v>
      </c>
      <c r="AK376" s="3" t="n">
        <v>3</v>
      </c>
      <c r="AL376" s="3" t="n">
        <v>4</v>
      </c>
      <c r="AM376" s="3" t="n">
        <v>3</v>
      </c>
      <c r="AN376" s="3" t="n">
        <v>1</v>
      </c>
      <c r="AO376" s="3" t="n">
        <v>3</v>
      </c>
    </row>
    <row r="377" customFormat="false" ht="15" hidden="false" customHeight="false" outlineLevel="0" collapsed="false">
      <c r="A377" s="3" t="n">
        <v>0</v>
      </c>
      <c r="B377" s="3" t="n">
        <v>3</v>
      </c>
      <c r="C377" s="3" t="n">
        <v>1</v>
      </c>
      <c r="D377" s="3" t="n">
        <v>1</v>
      </c>
      <c r="E377" s="3" t="n">
        <v>2</v>
      </c>
      <c r="F377" s="3" t="n">
        <v>2</v>
      </c>
      <c r="G377" s="3" t="n">
        <v>3</v>
      </c>
      <c r="H377" s="3" t="n">
        <v>2</v>
      </c>
      <c r="I377" s="3" t="n">
        <v>1</v>
      </c>
      <c r="J377" s="3" t="n">
        <v>21</v>
      </c>
      <c r="K377" s="3" t="n">
        <v>3</v>
      </c>
      <c r="L377" s="3" t="n">
        <v>3</v>
      </c>
      <c r="M377" s="3" t="n">
        <v>3</v>
      </c>
      <c r="N377" s="3" t="n">
        <v>3</v>
      </c>
      <c r="O377" s="3" t="n">
        <v>3</v>
      </c>
      <c r="P377" s="3" t="n">
        <v>2</v>
      </c>
      <c r="Q377" s="3" t="n">
        <v>3</v>
      </c>
      <c r="R377" s="3" t="n">
        <v>3</v>
      </c>
      <c r="S377" s="3" t="n">
        <v>4</v>
      </c>
      <c r="T377" s="3" t="n">
        <v>5</v>
      </c>
      <c r="U377" s="3" t="n">
        <v>4</v>
      </c>
      <c r="V377" s="3" t="n">
        <v>2</v>
      </c>
      <c r="W377" s="3" t="n">
        <v>3</v>
      </c>
      <c r="X377" s="3" t="n">
        <v>1</v>
      </c>
      <c r="Y377" s="3" t="n">
        <v>2</v>
      </c>
      <c r="Z377" s="3" t="n">
        <v>2</v>
      </c>
      <c r="AA377" s="3" t="n">
        <v>3</v>
      </c>
      <c r="AB377" s="3" t="n">
        <v>2</v>
      </c>
      <c r="AC377" s="3" t="n">
        <v>1</v>
      </c>
      <c r="AD377" s="3" t="n">
        <v>2</v>
      </c>
      <c r="AE377" s="3" t="n">
        <v>4</v>
      </c>
      <c r="AF377" s="3" t="n">
        <v>4</v>
      </c>
      <c r="AG377" s="3" t="n">
        <v>4</v>
      </c>
      <c r="AH377" s="3" t="n">
        <v>5</v>
      </c>
      <c r="AI377" s="3" t="n">
        <v>5</v>
      </c>
      <c r="AJ377" s="3" t="n">
        <v>4</v>
      </c>
      <c r="AK377" s="3" t="n">
        <v>3</v>
      </c>
      <c r="AL377" s="3" t="n">
        <v>4</v>
      </c>
      <c r="AM377" s="3" t="n">
        <v>3</v>
      </c>
      <c r="AN377" s="3" t="n">
        <v>3</v>
      </c>
      <c r="AO377" s="3" t="n">
        <v>3</v>
      </c>
    </row>
    <row r="378" customFormat="false" ht="15" hidden="false" customHeight="false" outlineLevel="0" collapsed="false">
      <c r="A378" s="3" t="n">
        <v>0</v>
      </c>
      <c r="B378" s="3" t="n">
        <v>4</v>
      </c>
      <c r="C378" s="3" t="n">
        <v>1</v>
      </c>
      <c r="D378" s="3" t="n">
        <v>1</v>
      </c>
      <c r="E378" s="3" t="n">
        <v>2</v>
      </c>
      <c r="F378" s="3" t="n">
        <v>2</v>
      </c>
      <c r="G378" s="3" t="n">
        <v>3</v>
      </c>
      <c r="H378" s="3" t="n">
        <v>3</v>
      </c>
      <c r="I378" s="3" t="n">
        <v>1</v>
      </c>
      <c r="J378" s="3" t="n">
        <v>22</v>
      </c>
      <c r="K378" s="3" t="n">
        <v>3</v>
      </c>
      <c r="L378" s="3" t="n">
        <v>3</v>
      </c>
      <c r="M378" s="3" t="n">
        <v>3</v>
      </c>
      <c r="N378" s="3" t="n">
        <v>2</v>
      </c>
      <c r="O378" s="3" t="n">
        <v>4</v>
      </c>
      <c r="P378" s="3" t="n">
        <v>4</v>
      </c>
      <c r="Q378" s="3" t="n">
        <v>2</v>
      </c>
      <c r="R378" s="3" t="n">
        <v>2</v>
      </c>
      <c r="S378" s="3" t="n">
        <v>4</v>
      </c>
      <c r="T378" s="3" t="n">
        <v>4</v>
      </c>
      <c r="U378" s="3" t="n">
        <v>4</v>
      </c>
      <c r="V378" s="3" t="n">
        <v>4</v>
      </c>
      <c r="W378" s="3" t="n">
        <v>3</v>
      </c>
      <c r="X378" s="3" t="n">
        <v>3</v>
      </c>
      <c r="Y378" s="3" t="n">
        <v>2</v>
      </c>
      <c r="Z378" s="3" t="n">
        <v>4</v>
      </c>
      <c r="AA378" s="3" t="n">
        <v>4</v>
      </c>
      <c r="AB378" s="3" t="n">
        <v>2</v>
      </c>
      <c r="AC378" s="3" t="n">
        <v>2</v>
      </c>
      <c r="AD378" s="3" t="n">
        <v>2</v>
      </c>
      <c r="AE378" s="3" t="n">
        <v>2</v>
      </c>
      <c r="AF378" s="3" t="n">
        <v>2</v>
      </c>
      <c r="AG378" s="3" t="n">
        <v>4</v>
      </c>
      <c r="AH378" s="3" t="n">
        <v>4</v>
      </c>
      <c r="AI378" s="3" t="n">
        <v>4</v>
      </c>
      <c r="AJ378" s="3" t="n">
        <v>4</v>
      </c>
      <c r="AK378" s="3" t="n">
        <v>3</v>
      </c>
      <c r="AL378" s="3" t="n">
        <v>5</v>
      </c>
      <c r="AM378" s="3" t="n">
        <v>2</v>
      </c>
      <c r="AN378" s="3" t="n">
        <v>2</v>
      </c>
      <c r="AO378" s="3" t="n">
        <v>2</v>
      </c>
    </row>
    <row r="379" customFormat="false" ht="15" hidden="false" customHeight="false" outlineLevel="0" collapsed="false">
      <c r="A379" s="3" t="n">
        <v>1</v>
      </c>
      <c r="B379" s="3" t="n">
        <v>3</v>
      </c>
      <c r="C379" s="3" t="n">
        <v>1</v>
      </c>
      <c r="D379" s="3" t="n">
        <v>2</v>
      </c>
      <c r="E379" s="3" t="n">
        <v>2</v>
      </c>
      <c r="F379" s="3" t="n">
        <v>2</v>
      </c>
      <c r="G379" s="3" t="n">
        <v>4</v>
      </c>
      <c r="H379" s="3" t="n">
        <v>1</v>
      </c>
      <c r="I379" s="3" t="n">
        <v>1</v>
      </c>
      <c r="J379" s="3" t="n">
        <v>21</v>
      </c>
      <c r="K379" s="3" t="n">
        <v>3</v>
      </c>
      <c r="L379" s="3" t="n">
        <v>3</v>
      </c>
      <c r="M379" s="3" t="n">
        <v>3</v>
      </c>
      <c r="N379" s="3" t="n">
        <v>3</v>
      </c>
      <c r="O379" s="3" t="n">
        <v>3</v>
      </c>
      <c r="P379" s="3" t="n">
        <v>4</v>
      </c>
      <c r="Q379" s="3" t="n">
        <v>4</v>
      </c>
      <c r="R379" s="3" t="n">
        <v>2</v>
      </c>
      <c r="S379" s="3" t="n">
        <v>4</v>
      </c>
      <c r="T379" s="3" t="n">
        <v>5</v>
      </c>
      <c r="U379" s="3" t="n">
        <v>5</v>
      </c>
      <c r="V379" s="3" t="n">
        <v>4</v>
      </c>
      <c r="W379" s="3" t="n">
        <v>5</v>
      </c>
      <c r="X379" s="3" t="n">
        <v>4</v>
      </c>
      <c r="Y379" s="3" t="n">
        <v>4</v>
      </c>
      <c r="Z379" s="3" t="n">
        <v>5</v>
      </c>
      <c r="AA379" s="3" t="n">
        <v>2</v>
      </c>
      <c r="AB379" s="3" t="n">
        <v>3</v>
      </c>
      <c r="AC379" s="3" t="n">
        <v>2</v>
      </c>
      <c r="AD379" s="3" t="n">
        <v>2</v>
      </c>
      <c r="AE379" s="3" t="n">
        <v>5</v>
      </c>
      <c r="AF379" s="3" t="n">
        <v>4</v>
      </c>
      <c r="AG379" s="3" t="n">
        <v>5</v>
      </c>
      <c r="AH379" s="3" t="n">
        <v>5</v>
      </c>
      <c r="AI379" s="3" t="n">
        <v>4</v>
      </c>
      <c r="AJ379" s="3" t="n">
        <v>4</v>
      </c>
      <c r="AK379" s="3" t="n">
        <v>2</v>
      </c>
      <c r="AL379" s="3" t="n">
        <v>5</v>
      </c>
      <c r="AM379" s="3" t="n">
        <v>3</v>
      </c>
      <c r="AN379" s="3" t="n">
        <v>2</v>
      </c>
      <c r="AO379" s="3" t="n">
        <v>4</v>
      </c>
    </row>
    <row r="380" customFormat="false" ht="15" hidden="false" customHeight="false" outlineLevel="0" collapsed="false">
      <c r="A380" s="3" t="n">
        <v>0</v>
      </c>
      <c r="B380" s="3" t="n">
        <v>3</v>
      </c>
      <c r="C380" s="3" t="n">
        <v>2</v>
      </c>
      <c r="D380" s="3" t="n">
        <v>2</v>
      </c>
      <c r="E380" s="3" t="n">
        <v>2</v>
      </c>
      <c r="F380" s="3" t="n">
        <v>2</v>
      </c>
      <c r="G380" s="3" t="n">
        <v>3</v>
      </c>
      <c r="H380" s="3" t="n">
        <v>2</v>
      </c>
      <c r="I380" s="3" t="n">
        <v>1</v>
      </c>
      <c r="J380" s="3" t="n">
        <v>21</v>
      </c>
      <c r="K380" s="3" t="n">
        <v>3</v>
      </c>
      <c r="L380" s="3" t="n">
        <v>3</v>
      </c>
      <c r="M380" s="3" t="n">
        <v>2</v>
      </c>
      <c r="N380" s="3" t="n">
        <v>3</v>
      </c>
      <c r="O380" s="3" t="n">
        <v>3</v>
      </c>
      <c r="P380" s="3" t="n">
        <v>3</v>
      </c>
      <c r="Q380" s="3" t="n">
        <v>3</v>
      </c>
      <c r="R380" s="3" t="n">
        <v>3</v>
      </c>
      <c r="S380" s="3" t="n">
        <v>4</v>
      </c>
      <c r="T380" s="3" t="n">
        <v>4</v>
      </c>
      <c r="U380" s="3" t="n">
        <v>4</v>
      </c>
      <c r="V380" s="3" t="n">
        <v>3</v>
      </c>
      <c r="W380" s="3" t="n">
        <v>4</v>
      </c>
      <c r="X380" s="3" t="n">
        <v>3</v>
      </c>
      <c r="Y380" s="3" t="n">
        <v>3</v>
      </c>
      <c r="Z380" s="3" t="n">
        <v>3</v>
      </c>
      <c r="AA380" s="3" t="n">
        <v>4</v>
      </c>
      <c r="AB380" s="3" t="n">
        <v>2</v>
      </c>
      <c r="AC380" s="3" t="n">
        <v>3</v>
      </c>
      <c r="AD380" s="3" t="n">
        <v>2</v>
      </c>
      <c r="AE380" s="3" t="n">
        <v>3</v>
      </c>
      <c r="AF380" s="3" t="n">
        <v>2</v>
      </c>
      <c r="AG380" s="3" t="n">
        <v>3</v>
      </c>
      <c r="AH380" s="3" t="n">
        <v>4</v>
      </c>
      <c r="AI380" s="3" t="n">
        <v>4</v>
      </c>
      <c r="AJ380" s="3" t="n">
        <v>4</v>
      </c>
      <c r="AK380" s="3" t="n">
        <v>3</v>
      </c>
      <c r="AL380" s="3" t="n">
        <v>4</v>
      </c>
      <c r="AM380" s="3" t="n">
        <v>4</v>
      </c>
      <c r="AN380" s="3" t="n">
        <v>3</v>
      </c>
      <c r="AO380" s="3" t="n">
        <v>3</v>
      </c>
    </row>
    <row r="381" customFormat="false" ht="15" hidden="false" customHeight="false" outlineLevel="0" collapsed="false">
      <c r="A381" s="3" t="n">
        <v>0</v>
      </c>
      <c r="B381" s="3" t="n">
        <v>3</v>
      </c>
      <c r="C381" s="3" t="n">
        <v>2</v>
      </c>
      <c r="D381" s="3" t="n">
        <v>2</v>
      </c>
      <c r="E381" s="3" t="n">
        <v>2</v>
      </c>
      <c r="F381" s="3" t="n">
        <v>2</v>
      </c>
      <c r="G381" s="3" t="n">
        <v>2</v>
      </c>
      <c r="H381" s="3" t="n">
        <v>3</v>
      </c>
      <c r="I381" s="3" t="n">
        <v>1</v>
      </c>
      <c r="J381" s="3" t="n">
        <v>21</v>
      </c>
      <c r="K381" s="3" t="n">
        <v>3</v>
      </c>
      <c r="L381" s="3" t="n">
        <v>4</v>
      </c>
      <c r="M381" s="3" t="n">
        <v>4</v>
      </c>
      <c r="N381" s="3" t="n">
        <v>4</v>
      </c>
      <c r="O381" s="3" t="n">
        <v>3</v>
      </c>
      <c r="P381" s="3" t="n">
        <v>2</v>
      </c>
      <c r="Q381" s="3" t="n">
        <v>2</v>
      </c>
      <c r="R381" s="3" t="n">
        <v>3</v>
      </c>
      <c r="S381" s="3" t="n">
        <v>5</v>
      </c>
      <c r="T381" s="3" t="n">
        <v>4</v>
      </c>
      <c r="U381" s="3" t="n">
        <v>4</v>
      </c>
      <c r="V381" s="3" t="n">
        <v>4</v>
      </c>
      <c r="W381" s="3" t="n">
        <v>4</v>
      </c>
      <c r="X381" s="3" t="n">
        <v>4</v>
      </c>
      <c r="Y381" s="3" t="n">
        <v>4</v>
      </c>
      <c r="Z381" s="3" t="n">
        <v>3</v>
      </c>
      <c r="AA381" s="3" t="n">
        <v>4</v>
      </c>
      <c r="AB381" s="3" t="n">
        <v>2</v>
      </c>
      <c r="AC381" s="3" t="n">
        <v>2</v>
      </c>
      <c r="AD381" s="3" t="n">
        <v>4</v>
      </c>
      <c r="AE381" s="3" t="n">
        <v>3</v>
      </c>
      <c r="AF381" s="3" t="n">
        <v>2</v>
      </c>
      <c r="AG381" s="3" t="n">
        <v>3</v>
      </c>
      <c r="AH381" s="3" t="n">
        <v>4</v>
      </c>
      <c r="AI381" s="3" t="n">
        <v>4</v>
      </c>
      <c r="AJ381" s="3" t="n">
        <v>4</v>
      </c>
      <c r="AK381" s="3" t="n">
        <v>3</v>
      </c>
      <c r="AL381" s="3" t="n">
        <v>4</v>
      </c>
      <c r="AM381" s="3" t="n">
        <v>3</v>
      </c>
      <c r="AN381" s="3" t="n">
        <v>4</v>
      </c>
      <c r="AO381" s="3" t="n">
        <v>4</v>
      </c>
    </row>
    <row r="382" customFormat="false" ht="15" hidden="false" customHeight="false" outlineLevel="0" collapsed="false">
      <c r="A382" s="3" t="n">
        <v>0</v>
      </c>
      <c r="B382" s="3" t="n">
        <v>3</v>
      </c>
      <c r="C382" s="3" t="n">
        <v>1</v>
      </c>
      <c r="D382" s="3" t="n">
        <v>1</v>
      </c>
      <c r="E382" s="3" t="n">
        <v>2</v>
      </c>
      <c r="F382" s="3" t="n">
        <v>2</v>
      </c>
      <c r="G382" s="3" t="n">
        <v>1</v>
      </c>
      <c r="H382" s="3" t="n">
        <v>2</v>
      </c>
      <c r="I382" s="3" t="n">
        <v>3</v>
      </c>
      <c r="J382" s="3" t="n">
        <v>24</v>
      </c>
      <c r="K382" s="3" t="n">
        <v>3</v>
      </c>
      <c r="L382" s="3" t="n">
        <v>4</v>
      </c>
      <c r="M382" s="3" t="n">
        <v>4</v>
      </c>
      <c r="N382" s="3" t="n">
        <v>5</v>
      </c>
      <c r="O382" s="3" t="n">
        <v>4</v>
      </c>
      <c r="P382" s="3" t="n">
        <v>5</v>
      </c>
      <c r="Q382" s="3" t="n">
        <v>5</v>
      </c>
      <c r="R382" s="3" t="n">
        <v>4</v>
      </c>
      <c r="S382" s="3" t="n">
        <v>5</v>
      </c>
      <c r="T382" s="3" t="n">
        <v>4</v>
      </c>
      <c r="U382" s="3" t="n">
        <v>4</v>
      </c>
      <c r="V382" s="3" t="n">
        <v>4</v>
      </c>
      <c r="W382" s="3" t="n">
        <v>4</v>
      </c>
      <c r="X382" s="3" t="n">
        <v>5</v>
      </c>
      <c r="Y382" s="3" t="n">
        <v>4</v>
      </c>
      <c r="Z382" s="3" t="n">
        <v>4</v>
      </c>
      <c r="AA382" s="3" t="n">
        <v>4</v>
      </c>
      <c r="AB382" s="3" t="n">
        <v>3</v>
      </c>
      <c r="AC382" s="3" t="n">
        <v>3</v>
      </c>
      <c r="AD382" s="3" t="n">
        <v>4</v>
      </c>
      <c r="AE382" s="3" t="n">
        <v>4</v>
      </c>
      <c r="AF382" s="3" t="n">
        <v>5</v>
      </c>
      <c r="AG382" s="3" t="n">
        <v>4</v>
      </c>
      <c r="AH382" s="3" t="n">
        <v>4</v>
      </c>
      <c r="AI382" s="3" t="n">
        <v>4</v>
      </c>
      <c r="AJ382" s="3" t="n">
        <v>5</v>
      </c>
      <c r="AK382" s="3" t="n">
        <v>4</v>
      </c>
      <c r="AL382" s="3" t="n">
        <v>5</v>
      </c>
      <c r="AM382" s="3" t="n">
        <v>4</v>
      </c>
      <c r="AN382" s="3" t="n">
        <v>3</v>
      </c>
      <c r="AO382" s="3" t="n">
        <v>4</v>
      </c>
    </row>
    <row r="383" customFormat="false" ht="15" hidden="false" customHeight="false" outlineLevel="0" collapsed="false">
      <c r="A383" s="3" t="n">
        <v>0</v>
      </c>
      <c r="B383" s="3" t="n">
        <v>3</v>
      </c>
      <c r="C383" s="3" t="n">
        <v>2</v>
      </c>
      <c r="D383" s="3" t="n">
        <v>1</v>
      </c>
      <c r="E383" s="3" t="n">
        <v>2</v>
      </c>
      <c r="F383" s="3" t="n">
        <v>2</v>
      </c>
      <c r="G383" s="3" t="n">
        <v>3</v>
      </c>
      <c r="H383" s="3" t="n">
        <v>2</v>
      </c>
      <c r="I383" s="3" t="n">
        <v>1</v>
      </c>
      <c r="J383" s="3" t="n">
        <v>22</v>
      </c>
      <c r="K383" s="3" t="n">
        <v>3</v>
      </c>
      <c r="L383" s="3" t="n">
        <v>3</v>
      </c>
      <c r="M383" s="3" t="n">
        <v>3</v>
      </c>
      <c r="N383" s="3" t="n">
        <v>3</v>
      </c>
      <c r="O383" s="3" t="n">
        <v>3</v>
      </c>
      <c r="P383" s="3" t="n">
        <v>2</v>
      </c>
      <c r="Q383" s="3" t="n">
        <v>3</v>
      </c>
      <c r="R383" s="3" t="n">
        <v>4</v>
      </c>
      <c r="S383" s="3" t="n">
        <v>4</v>
      </c>
      <c r="T383" s="3" t="n">
        <v>5</v>
      </c>
      <c r="U383" s="3" t="n">
        <v>4</v>
      </c>
      <c r="V383" s="3" t="n">
        <v>5</v>
      </c>
      <c r="W383" s="3" t="n">
        <v>4</v>
      </c>
      <c r="X383" s="3" t="n">
        <v>4</v>
      </c>
      <c r="Y383" s="3" t="n">
        <v>4</v>
      </c>
      <c r="Z383" s="3" t="n">
        <v>4</v>
      </c>
      <c r="AA383" s="3" t="n">
        <v>5</v>
      </c>
      <c r="AB383" s="3" t="n">
        <v>4</v>
      </c>
      <c r="AC383" s="3" t="n">
        <v>2</v>
      </c>
      <c r="AD383" s="3" t="n">
        <v>3</v>
      </c>
      <c r="AE383" s="3" t="n">
        <v>4</v>
      </c>
      <c r="AF383" s="3" t="n">
        <v>3</v>
      </c>
      <c r="AG383" s="3" t="n">
        <v>4</v>
      </c>
      <c r="AH383" s="3" t="n">
        <v>5</v>
      </c>
      <c r="AI383" s="3" t="n">
        <v>5</v>
      </c>
      <c r="AJ383" s="3" t="n">
        <v>4</v>
      </c>
      <c r="AK383" s="3" t="n">
        <v>3</v>
      </c>
      <c r="AL383" s="3" t="n">
        <v>4</v>
      </c>
      <c r="AM383" s="3" t="n">
        <v>4</v>
      </c>
      <c r="AN383" s="3" t="n">
        <v>3</v>
      </c>
      <c r="AO383" s="3" t="n">
        <v>3</v>
      </c>
    </row>
    <row r="384" customFormat="false" ht="15" hidden="false" customHeight="false" outlineLevel="0" collapsed="false">
      <c r="A384" s="3" t="n">
        <v>0</v>
      </c>
      <c r="B384" s="3" t="n">
        <v>3</v>
      </c>
      <c r="C384" s="3" t="n">
        <v>2</v>
      </c>
      <c r="D384" s="3" t="n">
        <v>2</v>
      </c>
      <c r="E384" s="3" t="n">
        <v>2</v>
      </c>
      <c r="F384" s="3" t="n">
        <v>2</v>
      </c>
      <c r="G384" s="3" t="n">
        <v>3</v>
      </c>
      <c r="H384" s="3" t="n">
        <v>3</v>
      </c>
      <c r="I384" s="3" t="n">
        <v>1</v>
      </c>
      <c r="J384" s="3" t="n">
        <v>22</v>
      </c>
      <c r="K384" s="3" t="n">
        <v>3</v>
      </c>
      <c r="L384" s="3" t="n">
        <v>4</v>
      </c>
      <c r="M384" s="3" t="n">
        <v>4</v>
      </c>
      <c r="N384" s="3" t="n">
        <v>4</v>
      </c>
      <c r="O384" s="3" t="n">
        <v>4</v>
      </c>
      <c r="P384" s="3" t="n">
        <v>3</v>
      </c>
      <c r="Q384" s="3" t="n">
        <v>3</v>
      </c>
      <c r="R384" s="3" t="n">
        <v>4</v>
      </c>
      <c r="S384" s="3" t="n">
        <v>5</v>
      </c>
      <c r="T384" s="3" t="n">
        <v>5</v>
      </c>
      <c r="U384" s="3" t="n">
        <v>5</v>
      </c>
      <c r="V384" s="3" t="n">
        <v>4</v>
      </c>
      <c r="W384" s="3" t="n">
        <v>4</v>
      </c>
      <c r="X384" s="3" t="n">
        <v>4</v>
      </c>
      <c r="Y384" s="3" t="n">
        <v>5</v>
      </c>
      <c r="Z384" s="3" t="n">
        <v>4</v>
      </c>
      <c r="AA384" s="3" t="n">
        <v>4</v>
      </c>
      <c r="AB384" s="3" t="n">
        <v>4</v>
      </c>
      <c r="AC384" s="3" t="n">
        <v>5</v>
      </c>
      <c r="AD384" s="3" t="n">
        <v>5</v>
      </c>
      <c r="AE384" s="3" t="n">
        <v>5</v>
      </c>
      <c r="AF384" s="3" t="n">
        <v>4</v>
      </c>
      <c r="AG384" s="3" t="n">
        <v>4</v>
      </c>
      <c r="AH384" s="3" t="n">
        <v>4</v>
      </c>
      <c r="AI384" s="3" t="n">
        <v>4</v>
      </c>
      <c r="AJ384" s="3" t="n">
        <v>4</v>
      </c>
      <c r="AK384" s="3" t="n">
        <v>2</v>
      </c>
      <c r="AL384" s="3" t="n">
        <v>3</v>
      </c>
      <c r="AM384" s="3" t="n">
        <v>4</v>
      </c>
      <c r="AN384" s="3" t="n">
        <v>4</v>
      </c>
      <c r="AO384" s="3" t="n">
        <v>4</v>
      </c>
    </row>
    <row r="385" customFormat="false" ht="15" hidden="false" customHeight="false" outlineLevel="0" collapsed="false">
      <c r="A385" s="3" t="n">
        <v>0</v>
      </c>
      <c r="B385" s="3" t="n">
        <v>3</v>
      </c>
      <c r="C385" s="3" t="n">
        <v>1</v>
      </c>
      <c r="D385" s="3" t="n">
        <v>1</v>
      </c>
      <c r="E385" s="3" t="n">
        <v>2</v>
      </c>
      <c r="F385" s="3" t="n">
        <v>2</v>
      </c>
      <c r="G385" s="3" t="n">
        <v>3</v>
      </c>
      <c r="H385" s="3" t="n">
        <v>1</v>
      </c>
      <c r="I385" s="3" t="n">
        <v>1</v>
      </c>
      <c r="J385" s="3" t="n">
        <v>20</v>
      </c>
      <c r="K385" s="3" t="n">
        <v>3</v>
      </c>
      <c r="L385" s="3" t="n">
        <v>3</v>
      </c>
      <c r="M385" s="3" t="n">
        <v>4</v>
      </c>
      <c r="N385" s="3" t="n">
        <v>3</v>
      </c>
      <c r="O385" s="3" t="n">
        <v>4</v>
      </c>
      <c r="P385" s="3" t="n">
        <v>3</v>
      </c>
      <c r="Q385" s="3" t="n">
        <v>3</v>
      </c>
      <c r="R385" s="3" t="n">
        <v>3</v>
      </c>
      <c r="S385" s="3" t="n">
        <v>3</v>
      </c>
      <c r="T385" s="3" t="n">
        <v>3</v>
      </c>
      <c r="U385" s="3" t="n">
        <v>3</v>
      </c>
      <c r="V385" s="3" t="n">
        <v>2</v>
      </c>
      <c r="W385" s="3" t="n">
        <v>4</v>
      </c>
      <c r="X385" s="3" t="n">
        <v>3</v>
      </c>
      <c r="Y385" s="3" t="n">
        <v>3</v>
      </c>
      <c r="Z385" s="3" t="n">
        <v>4</v>
      </c>
      <c r="AA385" s="3" t="n">
        <v>5</v>
      </c>
      <c r="AB385" s="3" t="n">
        <v>4</v>
      </c>
      <c r="AC385" s="3" t="n">
        <v>3</v>
      </c>
      <c r="AD385" s="3" t="n">
        <v>4</v>
      </c>
      <c r="AE385" s="3" t="n">
        <v>3</v>
      </c>
      <c r="AF385" s="3" t="n">
        <v>4</v>
      </c>
      <c r="AG385" s="3" t="n">
        <v>2</v>
      </c>
      <c r="AH385" s="3" t="n">
        <v>3</v>
      </c>
      <c r="AI385" s="3" t="n">
        <v>2</v>
      </c>
      <c r="AJ385" s="3" t="n">
        <v>4</v>
      </c>
      <c r="AK385" s="3" t="n">
        <v>2</v>
      </c>
      <c r="AL385" s="3" t="n">
        <v>4</v>
      </c>
      <c r="AM385" s="3" t="n">
        <v>3</v>
      </c>
      <c r="AN385" s="3" t="n">
        <v>3</v>
      </c>
      <c r="AO385" s="3" t="n">
        <v>3</v>
      </c>
    </row>
    <row r="386" customFormat="false" ht="15" hidden="false" customHeight="false" outlineLevel="0" collapsed="false">
      <c r="A386" s="3" t="n">
        <v>0</v>
      </c>
      <c r="B386" s="3" t="n">
        <v>3</v>
      </c>
      <c r="C386" s="3" t="n">
        <v>2</v>
      </c>
      <c r="D386" s="3" t="n">
        <v>1</v>
      </c>
      <c r="E386" s="3" t="n">
        <v>2</v>
      </c>
      <c r="F386" s="3" t="n">
        <v>2</v>
      </c>
      <c r="G386" s="3" t="n">
        <v>2</v>
      </c>
      <c r="H386" s="3" t="n">
        <v>1</v>
      </c>
      <c r="I386" s="3" t="n">
        <v>1</v>
      </c>
      <c r="J386" s="3" t="n">
        <v>20</v>
      </c>
      <c r="K386" s="3" t="n">
        <v>3</v>
      </c>
      <c r="L386" s="3" t="n">
        <v>3</v>
      </c>
      <c r="M386" s="3" t="n">
        <v>4</v>
      </c>
      <c r="N386" s="3" t="n">
        <v>2</v>
      </c>
      <c r="O386" s="3" t="n">
        <v>4</v>
      </c>
      <c r="P386" s="3" t="n">
        <v>2</v>
      </c>
      <c r="Q386" s="3" t="n">
        <v>3</v>
      </c>
      <c r="R386" s="3" t="n">
        <v>4</v>
      </c>
      <c r="S386" s="3" t="n">
        <v>3</v>
      </c>
      <c r="T386" s="3" t="n">
        <v>3</v>
      </c>
      <c r="U386" s="3" t="n">
        <v>4</v>
      </c>
      <c r="V386" s="3" t="n">
        <v>4</v>
      </c>
      <c r="W386" s="3" t="n">
        <v>4</v>
      </c>
      <c r="X386" s="3" t="n">
        <v>4</v>
      </c>
      <c r="Y386" s="3" t="n">
        <v>4</v>
      </c>
      <c r="Z386" s="3" t="n">
        <v>4</v>
      </c>
      <c r="AA386" s="3" t="n">
        <v>4</v>
      </c>
      <c r="AB386" s="3" t="n">
        <v>3</v>
      </c>
      <c r="AC386" s="3" t="n">
        <v>2</v>
      </c>
      <c r="AD386" s="3" t="n">
        <v>2</v>
      </c>
      <c r="AE386" s="3" t="n">
        <v>2</v>
      </c>
      <c r="AF386" s="3" t="n">
        <v>2</v>
      </c>
      <c r="AG386" s="3" t="n">
        <v>3</v>
      </c>
      <c r="AH386" s="3" t="n">
        <v>2</v>
      </c>
      <c r="AI386" s="3" t="n">
        <v>2</v>
      </c>
      <c r="AJ386" s="3" t="n">
        <v>4</v>
      </c>
      <c r="AK386" s="3" t="n">
        <v>3</v>
      </c>
      <c r="AL386" s="3" t="n">
        <v>3</v>
      </c>
      <c r="AM386" s="3" t="n">
        <v>3</v>
      </c>
      <c r="AN386" s="3" t="n">
        <v>4</v>
      </c>
      <c r="AO386" s="3" t="n">
        <v>3</v>
      </c>
    </row>
    <row r="387" customFormat="false" ht="15" hidden="false" customHeight="false" outlineLevel="0" collapsed="false">
      <c r="A387" s="3" t="n">
        <v>0</v>
      </c>
      <c r="B387" s="3" t="n">
        <v>3</v>
      </c>
      <c r="C387" s="3" t="n">
        <v>1</v>
      </c>
      <c r="D387" s="3" t="n">
        <v>1</v>
      </c>
      <c r="E387" s="3" t="n">
        <v>2</v>
      </c>
      <c r="F387" s="3" t="n">
        <v>2</v>
      </c>
      <c r="G387" s="3" t="n">
        <v>2</v>
      </c>
      <c r="H387" s="3" t="n">
        <v>2</v>
      </c>
      <c r="I387" s="3" t="n">
        <v>1</v>
      </c>
      <c r="J387" s="3" t="n">
        <v>22</v>
      </c>
      <c r="K387" s="3" t="n">
        <v>3</v>
      </c>
      <c r="L387" s="3" t="n">
        <v>3</v>
      </c>
      <c r="M387" s="3" t="n">
        <v>3</v>
      </c>
      <c r="N387" s="3" t="n">
        <v>3</v>
      </c>
      <c r="O387" s="3" t="n">
        <v>4</v>
      </c>
      <c r="P387" s="3" t="n">
        <v>3</v>
      </c>
      <c r="Q387" s="3" t="n">
        <v>3</v>
      </c>
      <c r="R387" s="3" t="n">
        <v>4</v>
      </c>
      <c r="S387" s="3" t="n">
        <v>4</v>
      </c>
      <c r="T387" s="3" t="n">
        <v>5</v>
      </c>
      <c r="U387" s="3" t="n">
        <v>4</v>
      </c>
      <c r="V387" s="3" t="n">
        <v>4</v>
      </c>
      <c r="W387" s="3" t="n">
        <v>4</v>
      </c>
      <c r="X387" s="3" t="n">
        <v>4</v>
      </c>
      <c r="Y387" s="3" t="n">
        <v>5</v>
      </c>
      <c r="Z387" s="3" t="n">
        <v>5</v>
      </c>
      <c r="AA387" s="3" t="n">
        <v>1</v>
      </c>
      <c r="AB387" s="3" t="n">
        <v>1</v>
      </c>
      <c r="AC387" s="3" t="n">
        <v>2</v>
      </c>
      <c r="AD387" s="3" t="n">
        <v>2</v>
      </c>
      <c r="AE387" s="3" t="n">
        <v>4</v>
      </c>
      <c r="AF387" s="3" t="n">
        <v>3</v>
      </c>
      <c r="AG387" s="3" t="n">
        <v>4</v>
      </c>
      <c r="AH387" s="3" t="n">
        <v>4</v>
      </c>
      <c r="AI387" s="3" t="n">
        <v>5</v>
      </c>
      <c r="AJ387" s="3" t="n">
        <v>4</v>
      </c>
      <c r="AK387" s="3" t="n">
        <v>3</v>
      </c>
      <c r="AL387" s="3" t="n">
        <v>3</v>
      </c>
      <c r="AM387" s="3" t="n">
        <v>3</v>
      </c>
      <c r="AN387" s="3" t="n">
        <v>2</v>
      </c>
      <c r="AO387" s="3" t="n">
        <v>3</v>
      </c>
    </row>
    <row r="388" customFormat="false" ht="15" hidden="false" customHeight="false" outlineLevel="0" collapsed="false">
      <c r="A388" s="3" t="n">
        <v>0</v>
      </c>
      <c r="B388" s="3" t="n">
        <v>3</v>
      </c>
      <c r="C388" s="3" t="n">
        <v>2</v>
      </c>
      <c r="D388" s="3" t="n">
        <v>1</v>
      </c>
      <c r="E388" s="3" t="n">
        <v>2</v>
      </c>
      <c r="F388" s="3" t="n">
        <v>2</v>
      </c>
      <c r="G388" s="3" t="n">
        <v>1</v>
      </c>
      <c r="H388" s="3" t="n">
        <v>2</v>
      </c>
      <c r="I388" s="3" t="n">
        <v>1</v>
      </c>
      <c r="J388" s="3" t="n">
        <v>23</v>
      </c>
      <c r="K388" s="3" t="n">
        <v>4</v>
      </c>
      <c r="L388" s="3" t="n">
        <v>3</v>
      </c>
      <c r="M388" s="3" t="n">
        <v>4</v>
      </c>
      <c r="N388" s="3" t="n">
        <v>4</v>
      </c>
      <c r="O388" s="3" t="n">
        <v>4</v>
      </c>
      <c r="P388" s="3" t="n">
        <v>4</v>
      </c>
      <c r="Q388" s="3" t="n">
        <v>2</v>
      </c>
      <c r="R388" s="3" t="n">
        <v>4</v>
      </c>
      <c r="S388" s="3" t="n">
        <v>4</v>
      </c>
      <c r="T388" s="3" t="n">
        <v>5</v>
      </c>
      <c r="U388" s="3" t="n">
        <v>5</v>
      </c>
      <c r="V388" s="3" t="n">
        <v>3</v>
      </c>
      <c r="W388" s="3" t="n">
        <v>2</v>
      </c>
      <c r="X388" s="3" t="n">
        <v>3</v>
      </c>
      <c r="Y388" s="3" t="n">
        <v>4</v>
      </c>
      <c r="Z388" s="3" t="n">
        <v>3</v>
      </c>
      <c r="AA388" s="3" t="n">
        <v>2</v>
      </c>
      <c r="AB388" s="3" t="n">
        <v>2</v>
      </c>
      <c r="AC388" s="3" t="n">
        <v>2</v>
      </c>
      <c r="AD388" s="3" t="n">
        <v>2</v>
      </c>
      <c r="AE388" s="3" t="n">
        <v>4</v>
      </c>
      <c r="AF388" s="3" t="n">
        <v>4</v>
      </c>
      <c r="AG388" s="3" t="n">
        <v>4</v>
      </c>
      <c r="AH388" s="3" t="n">
        <v>5</v>
      </c>
      <c r="AI388" s="3" t="n">
        <v>4</v>
      </c>
      <c r="AJ388" s="3" t="n">
        <v>4</v>
      </c>
      <c r="AK388" s="3" t="n">
        <v>2</v>
      </c>
      <c r="AL388" s="3" t="n">
        <v>4</v>
      </c>
      <c r="AM388" s="3" t="n">
        <v>3</v>
      </c>
      <c r="AN388" s="3" t="n">
        <v>3</v>
      </c>
      <c r="AO388" s="3" t="n">
        <v>3</v>
      </c>
    </row>
    <row r="389" customFormat="false" ht="15" hidden="false" customHeight="false" outlineLevel="0" collapsed="false">
      <c r="A389" s="3" t="n">
        <v>0</v>
      </c>
      <c r="B389" s="3" t="n">
        <v>4</v>
      </c>
      <c r="C389" s="3" t="n">
        <v>1</v>
      </c>
      <c r="D389" s="3" t="n">
        <v>1</v>
      </c>
      <c r="E389" s="3" t="n">
        <v>2</v>
      </c>
      <c r="F389" s="3" t="n">
        <v>2</v>
      </c>
      <c r="G389" s="3" t="n">
        <v>4</v>
      </c>
      <c r="H389" s="3" t="n">
        <v>3</v>
      </c>
      <c r="I389" s="3" t="n">
        <v>1</v>
      </c>
      <c r="J389" s="3" t="n">
        <v>23</v>
      </c>
      <c r="K389" s="3" t="n">
        <v>3</v>
      </c>
      <c r="L389" s="3" t="n">
        <v>3</v>
      </c>
      <c r="M389" s="3" t="n">
        <v>4</v>
      </c>
      <c r="N389" s="3" t="n">
        <v>3</v>
      </c>
      <c r="O389" s="3" t="n">
        <v>3</v>
      </c>
      <c r="P389" s="3" t="n">
        <v>3</v>
      </c>
      <c r="Q389" s="3" t="n">
        <v>3</v>
      </c>
      <c r="R389" s="3" t="n">
        <v>3</v>
      </c>
      <c r="S389" s="3" t="n">
        <v>3</v>
      </c>
      <c r="T389" s="3" t="n">
        <v>4</v>
      </c>
      <c r="U389" s="3" t="n">
        <v>4</v>
      </c>
      <c r="V389" s="3" t="n">
        <v>4</v>
      </c>
      <c r="W389" s="3" t="n">
        <v>4</v>
      </c>
      <c r="X389" s="3" t="n">
        <v>4</v>
      </c>
      <c r="Y389" s="3" t="n">
        <v>4</v>
      </c>
      <c r="Z389" s="3" t="n">
        <v>4</v>
      </c>
      <c r="AA389" s="3" t="n">
        <v>4</v>
      </c>
      <c r="AB389" s="3" t="n">
        <v>3</v>
      </c>
      <c r="AC389" s="3" t="n">
        <v>2</v>
      </c>
      <c r="AD389" s="3" t="n">
        <v>2</v>
      </c>
      <c r="AE389" s="3" t="n">
        <v>3</v>
      </c>
      <c r="AF389" s="3" t="n">
        <v>3</v>
      </c>
      <c r="AG389" s="3" t="n">
        <v>4</v>
      </c>
      <c r="AH389" s="3" t="n">
        <v>4</v>
      </c>
      <c r="AI389" s="3" t="n">
        <v>4</v>
      </c>
      <c r="AJ389" s="3" t="n">
        <v>3</v>
      </c>
      <c r="AK389" s="3" t="n">
        <v>3</v>
      </c>
      <c r="AL389" s="3" t="n">
        <v>4</v>
      </c>
      <c r="AM389" s="3" t="n">
        <v>3</v>
      </c>
      <c r="AN389" s="3" t="n">
        <v>3</v>
      </c>
      <c r="AO389" s="3" t="n">
        <v>3</v>
      </c>
    </row>
    <row r="390" customFormat="false" ht="15" hidden="false" customHeight="false" outlineLevel="0" collapsed="false">
      <c r="A390" s="3" t="n">
        <v>0</v>
      </c>
      <c r="B390" s="3" t="n">
        <v>4</v>
      </c>
      <c r="C390" s="3" t="n">
        <v>2</v>
      </c>
      <c r="D390" s="3" t="n">
        <v>1</v>
      </c>
      <c r="E390" s="3" t="n">
        <v>2</v>
      </c>
      <c r="F390" s="3" t="n">
        <v>2</v>
      </c>
      <c r="G390" s="3" t="n">
        <v>2</v>
      </c>
      <c r="H390" s="3" t="n">
        <v>3</v>
      </c>
      <c r="I390" s="3" t="n">
        <v>1</v>
      </c>
      <c r="J390" s="3" t="n">
        <v>23</v>
      </c>
      <c r="K390" s="3" t="n">
        <v>4</v>
      </c>
      <c r="L390" s="3" t="n">
        <v>5</v>
      </c>
      <c r="M390" s="3" t="n">
        <v>4</v>
      </c>
      <c r="N390" s="3" t="n">
        <v>3</v>
      </c>
      <c r="O390" s="3" t="n">
        <v>4</v>
      </c>
      <c r="P390" s="3" t="n">
        <v>3</v>
      </c>
      <c r="Q390" s="3" t="n">
        <v>3</v>
      </c>
      <c r="R390" s="3" t="n">
        <v>3</v>
      </c>
      <c r="S390" s="3" t="n">
        <v>4</v>
      </c>
      <c r="T390" s="3" t="n">
        <v>5</v>
      </c>
      <c r="U390" s="3" t="n">
        <v>4</v>
      </c>
      <c r="V390" s="3" t="n">
        <v>4</v>
      </c>
      <c r="W390" s="3" t="n">
        <v>4</v>
      </c>
      <c r="X390" s="3" t="n">
        <v>4</v>
      </c>
      <c r="Y390" s="3" t="n">
        <v>3</v>
      </c>
      <c r="Z390" s="3" t="n">
        <v>4</v>
      </c>
      <c r="AA390" s="3" t="n">
        <v>4</v>
      </c>
      <c r="AB390" s="3" t="n">
        <v>4</v>
      </c>
      <c r="AC390" s="3" t="n">
        <v>4</v>
      </c>
      <c r="AD390" s="3" t="n">
        <v>4</v>
      </c>
      <c r="AE390" s="3" t="n">
        <v>5</v>
      </c>
      <c r="AF390" s="3" t="n">
        <v>4</v>
      </c>
      <c r="AG390" s="3" t="n">
        <v>5</v>
      </c>
      <c r="AH390" s="3" t="n">
        <v>5</v>
      </c>
      <c r="AI390" s="3" t="n">
        <v>4</v>
      </c>
      <c r="AJ390" s="3" t="n">
        <v>4</v>
      </c>
      <c r="AK390" s="3" t="n">
        <v>3</v>
      </c>
      <c r="AL390" s="3" t="n">
        <v>4</v>
      </c>
      <c r="AM390" s="3" t="n">
        <v>4</v>
      </c>
      <c r="AN390" s="3" t="n">
        <v>3</v>
      </c>
      <c r="AO390" s="3" t="n">
        <v>4</v>
      </c>
    </row>
    <row r="391" customFormat="false" ht="15" hidden="false" customHeight="false" outlineLevel="0" collapsed="false">
      <c r="A391" s="3" t="n">
        <v>0</v>
      </c>
      <c r="B391" s="3" t="n">
        <v>4</v>
      </c>
      <c r="C391" s="3" t="n">
        <v>1</v>
      </c>
      <c r="D391" s="3" t="n">
        <v>1</v>
      </c>
      <c r="E391" s="3" t="n">
        <v>2</v>
      </c>
      <c r="F391" s="3" t="n">
        <v>2</v>
      </c>
      <c r="G391" s="3" t="n">
        <v>3</v>
      </c>
      <c r="H391" s="3" t="n">
        <v>2</v>
      </c>
      <c r="I391" s="3" t="n">
        <v>1</v>
      </c>
      <c r="J391" s="3" t="n">
        <v>23</v>
      </c>
      <c r="K391" s="3" t="n">
        <v>3</v>
      </c>
      <c r="L391" s="3" t="n">
        <v>3</v>
      </c>
      <c r="M391" s="3" t="n">
        <v>4</v>
      </c>
      <c r="N391" s="3" t="n">
        <v>3</v>
      </c>
      <c r="O391" s="3" t="n">
        <v>4</v>
      </c>
      <c r="P391" s="3" t="n">
        <v>5</v>
      </c>
      <c r="Q391" s="3" t="n">
        <v>3</v>
      </c>
      <c r="R391" s="3" t="n">
        <v>4</v>
      </c>
      <c r="S391" s="3" t="n">
        <v>4</v>
      </c>
      <c r="T391" s="3" t="n">
        <v>4</v>
      </c>
      <c r="U391" s="3" t="n">
        <v>5</v>
      </c>
      <c r="V391" s="3" t="n">
        <v>5</v>
      </c>
      <c r="W391" s="3" t="n">
        <v>4</v>
      </c>
      <c r="X391" s="3" t="n">
        <v>5</v>
      </c>
      <c r="Y391" s="3" t="n">
        <v>4</v>
      </c>
      <c r="Z391" s="3" t="n">
        <v>4</v>
      </c>
      <c r="AA391" s="3" t="n">
        <v>4</v>
      </c>
      <c r="AB391" s="3" t="n">
        <v>5</v>
      </c>
      <c r="AC391" s="3" t="n">
        <v>4</v>
      </c>
      <c r="AD391" s="3" t="n">
        <v>4</v>
      </c>
      <c r="AE391" s="3" t="n">
        <v>2</v>
      </c>
      <c r="AF391" s="3" t="n">
        <v>2</v>
      </c>
      <c r="AG391" s="3" t="n">
        <v>3</v>
      </c>
      <c r="AH391" s="3" t="n">
        <v>5</v>
      </c>
      <c r="AI391" s="3" t="n">
        <v>4</v>
      </c>
      <c r="AJ391" s="3" t="n">
        <v>5</v>
      </c>
      <c r="AK391" s="3" t="n">
        <v>2</v>
      </c>
      <c r="AL391" s="3" t="n">
        <v>4</v>
      </c>
      <c r="AM391" s="3" t="n">
        <v>3</v>
      </c>
      <c r="AN391" s="3" t="n">
        <v>4</v>
      </c>
      <c r="AO391" s="3" t="n">
        <v>3</v>
      </c>
    </row>
    <row r="392" customFormat="false" ht="15" hidden="false" customHeight="false" outlineLevel="0" collapsed="false">
      <c r="A392" s="3" t="n">
        <v>0</v>
      </c>
      <c r="B392" s="3" t="n">
        <v>3</v>
      </c>
      <c r="C392" s="3" t="n">
        <v>1</v>
      </c>
      <c r="D392" s="3" t="n">
        <v>1</v>
      </c>
      <c r="E392" s="3" t="n">
        <v>1</v>
      </c>
      <c r="F392" s="3" t="n">
        <v>2</v>
      </c>
      <c r="G392" s="3" t="n">
        <v>3</v>
      </c>
      <c r="H392" s="3" t="n">
        <v>2</v>
      </c>
      <c r="I392" s="3" t="n">
        <v>3</v>
      </c>
      <c r="J392" s="3" t="n">
        <v>23</v>
      </c>
      <c r="K392" s="3" t="n">
        <v>3</v>
      </c>
      <c r="L392" s="3" t="n">
        <v>1</v>
      </c>
      <c r="M392" s="3" t="n">
        <v>4</v>
      </c>
      <c r="N392" s="3" t="n">
        <v>4</v>
      </c>
      <c r="O392" s="3" t="n">
        <v>3</v>
      </c>
      <c r="P392" s="3" t="n">
        <v>2</v>
      </c>
      <c r="Q392" s="3" t="n">
        <v>4</v>
      </c>
      <c r="R392" s="3" t="n">
        <v>2</v>
      </c>
      <c r="S392" s="3" t="n">
        <v>3</v>
      </c>
      <c r="T392" s="3" t="n">
        <v>5</v>
      </c>
      <c r="U392" s="3" t="n">
        <v>5</v>
      </c>
      <c r="V392" s="3" t="n">
        <v>5</v>
      </c>
      <c r="W392" s="3" t="n">
        <v>4</v>
      </c>
      <c r="X392" s="3" t="n">
        <v>3</v>
      </c>
      <c r="Y392" s="3" t="n">
        <v>4</v>
      </c>
      <c r="Z392" s="3" t="n">
        <v>4</v>
      </c>
      <c r="AA392" s="3" t="n">
        <v>5</v>
      </c>
      <c r="AB392" s="3" t="n">
        <v>3</v>
      </c>
      <c r="AC392" s="3" t="n">
        <v>1</v>
      </c>
      <c r="AD392" s="3" t="n">
        <v>1</v>
      </c>
      <c r="AE392" s="3" t="n">
        <v>2</v>
      </c>
      <c r="AF392" s="3" t="n">
        <v>2</v>
      </c>
      <c r="AG392" s="3" t="n">
        <v>2</v>
      </c>
      <c r="AH392" s="3" t="n">
        <v>4</v>
      </c>
      <c r="AI392" s="3" t="n">
        <v>2</v>
      </c>
      <c r="AJ392" s="3" t="n">
        <v>4</v>
      </c>
      <c r="AK392" s="3" t="n">
        <v>2</v>
      </c>
      <c r="AL392" s="3" t="n">
        <v>5</v>
      </c>
      <c r="AM392" s="3" t="n">
        <v>5</v>
      </c>
      <c r="AN392" s="3" t="n">
        <v>3</v>
      </c>
      <c r="AO392" s="3" t="n">
        <v>2</v>
      </c>
    </row>
    <row r="393" customFormat="false" ht="15" hidden="false" customHeight="false" outlineLevel="0" collapsed="false">
      <c r="A393" s="3" t="n">
        <v>1</v>
      </c>
      <c r="B393" s="3" t="n">
        <v>3</v>
      </c>
      <c r="C393" s="3" t="n">
        <v>1</v>
      </c>
      <c r="D393" s="3" t="n">
        <v>1</v>
      </c>
      <c r="E393" s="3" t="n">
        <v>2</v>
      </c>
      <c r="F393" s="3" t="n">
        <v>2</v>
      </c>
      <c r="G393" s="3" t="n">
        <v>3</v>
      </c>
      <c r="H393" s="3" t="n">
        <v>2</v>
      </c>
      <c r="I393" s="3" t="n">
        <v>1</v>
      </c>
      <c r="J393" s="3" t="n">
        <v>23</v>
      </c>
      <c r="K393" s="3" t="n">
        <v>4</v>
      </c>
      <c r="L393" s="3" t="n">
        <v>4</v>
      </c>
      <c r="M393" s="3" t="n">
        <v>2</v>
      </c>
      <c r="N393" s="3" t="n">
        <v>5</v>
      </c>
      <c r="O393" s="3" t="n">
        <v>3</v>
      </c>
      <c r="P393" s="3" t="n">
        <v>2</v>
      </c>
      <c r="Q393" s="3" t="n">
        <v>4</v>
      </c>
      <c r="R393" s="3" t="n">
        <v>2</v>
      </c>
      <c r="S393" s="3" t="n">
        <v>5</v>
      </c>
      <c r="T393" s="3" t="n">
        <v>5</v>
      </c>
      <c r="U393" s="3" t="n">
        <v>4</v>
      </c>
      <c r="V393" s="3" t="n">
        <v>4</v>
      </c>
      <c r="W393" s="3" t="n">
        <v>4</v>
      </c>
      <c r="X393" s="3" t="n">
        <v>3</v>
      </c>
      <c r="Y393" s="3" t="n">
        <v>4</v>
      </c>
      <c r="Z393" s="3" t="n">
        <v>4</v>
      </c>
      <c r="AA393" s="3" t="n">
        <v>4</v>
      </c>
      <c r="AB393" s="3" t="n">
        <v>4</v>
      </c>
      <c r="AC393" s="3" t="n">
        <v>4</v>
      </c>
      <c r="AD393" s="3" t="n">
        <v>2</v>
      </c>
      <c r="AE393" s="3" t="n">
        <v>4</v>
      </c>
      <c r="AF393" s="3" t="n">
        <v>5</v>
      </c>
      <c r="AG393" s="3" t="n">
        <v>4</v>
      </c>
      <c r="AH393" s="3" t="n">
        <v>4</v>
      </c>
      <c r="AI393" s="3" t="n">
        <v>4</v>
      </c>
      <c r="AJ393" s="3" t="n">
        <v>4</v>
      </c>
      <c r="AK393" s="3" t="n">
        <v>4</v>
      </c>
      <c r="AL393" s="3" t="n">
        <v>5</v>
      </c>
      <c r="AM393" s="3" t="n">
        <v>5</v>
      </c>
      <c r="AN393" s="3" t="n">
        <v>4</v>
      </c>
      <c r="AO393" s="3" t="n">
        <v>2</v>
      </c>
    </row>
    <row r="394" customFormat="false" ht="15" hidden="false" customHeight="false" outlineLevel="0" collapsed="false">
      <c r="A394" s="3" t="n">
        <v>0</v>
      </c>
      <c r="B394" s="3" t="n">
        <v>3</v>
      </c>
      <c r="C394" s="3" t="n">
        <v>1</v>
      </c>
      <c r="D394" s="3" t="n">
        <v>2</v>
      </c>
      <c r="E394" s="3" t="n">
        <v>2</v>
      </c>
      <c r="F394" s="3" t="n">
        <v>2</v>
      </c>
      <c r="G394" s="3" t="n">
        <v>3</v>
      </c>
      <c r="H394" s="3" t="n">
        <v>2</v>
      </c>
      <c r="I394" s="3" t="n">
        <v>1</v>
      </c>
      <c r="J394" s="3" t="n">
        <v>23</v>
      </c>
      <c r="K394" s="3" t="n">
        <v>4</v>
      </c>
      <c r="L394" s="3" t="n">
        <v>3</v>
      </c>
      <c r="M394" s="3" t="n">
        <v>4</v>
      </c>
      <c r="N394" s="3" t="n">
        <v>3</v>
      </c>
      <c r="O394" s="3" t="n">
        <v>4</v>
      </c>
      <c r="P394" s="3" t="n">
        <v>3</v>
      </c>
      <c r="Q394" s="3" t="n">
        <v>2</v>
      </c>
      <c r="R394" s="3" t="n">
        <v>2</v>
      </c>
      <c r="S394" s="3" t="n">
        <v>4</v>
      </c>
      <c r="T394" s="3" t="n">
        <v>4</v>
      </c>
      <c r="U394" s="3" t="n">
        <v>4</v>
      </c>
      <c r="V394" s="3" t="n">
        <v>3</v>
      </c>
      <c r="W394" s="3" t="n">
        <v>4</v>
      </c>
      <c r="X394" s="3" t="n">
        <v>4</v>
      </c>
      <c r="Y394" s="3" t="n">
        <v>4</v>
      </c>
      <c r="Z394" s="3" t="n">
        <v>4</v>
      </c>
      <c r="AA394" s="3" t="n">
        <v>3</v>
      </c>
      <c r="AB394" s="3" t="n">
        <v>3</v>
      </c>
      <c r="AC394" s="3" t="n">
        <v>1</v>
      </c>
      <c r="AD394" s="3" t="n">
        <v>1</v>
      </c>
      <c r="AE394" s="3" t="n">
        <v>3</v>
      </c>
      <c r="AF394" s="3" t="n">
        <v>2</v>
      </c>
      <c r="AG394" s="3" t="n">
        <v>3</v>
      </c>
      <c r="AH394" s="3" t="n">
        <v>4</v>
      </c>
      <c r="AI394" s="3" t="n">
        <v>2</v>
      </c>
      <c r="AJ394" s="3" t="n">
        <v>3</v>
      </c>
      <c r="AK394" s="3" t="n">
        <v>3</v>
      </c>
      <c r="AL394" s="3" t="n">
        <v>5</v>
      </c>
      <c r="AM394" s="3" t="n">
        <v>4</v>
      </c>
      <c r="AN394" s="3" t="n">
        <v>3</v>
      </c>
      <c r="AO394" s="3" t="n">
        <v>2</v>
      </c>
    </row>
    <row r="395" customFormat="false" ht="15" hidden="false" customHeight="false" outlineLevel="0" collapsed="false">
      <c r="A395" s="3" t="n">
        <v>0</v>
      </c>
      <c r="B395" s="3" t="n">
        <v>1</v>
      </c>
      <c r="C395" s="3" t="n">
        <v>2</v>
      </c>
      <c r="D395" s="3" t="n">
        <v>1</v>
      </c>
      <c r="E395" s="3" t="n">
        <v>2</v>
      </c>
      <c r="F395" s="3" t="n">
        <v>2</v>
      </c>
      <c r="G395" s="3" t="n">
        <v>3</v>
      </c>
      <c r="H395" s="3" t="n">
        <v>3</v>
      </c>
      <c r="I395" s="3" t="n">
        <v>1</v>
      </c>
      <c r="J395" s="3" t="n">
        <v>22</v>
      </c>
      <c r="K395" s="3" t="n">
        <v>3</v>
      </c>
      <c r="L395" s="3" t="n">
        <v>3</v>
      </c>
      <c r="M395" s="3" t="n">
        <v>4</v>
      </c>
      <c r="N395" s="3" t="n">
        <v>3</v>
      </c>
      <c r="O395" s="3" t="n">
        <v>3</v>
      </c>
      <c r="P395" s="3" t="n">
        <v>2</v>
      </c>
      <c r="Q395" s="3" t="n">
        <v>4</v>
      </c>
      <c r="R395" s="3" t="n">
        <v>3</v>
      </c>
      <c r="S395" s="3" t="n">
        <v>5</v>
      </c>
      <c r="T395" s="3" t="n">
        <v>5</v>
      </c>
      <c r="U395" s="3" t="n">
        <v>4</v>
      </c>
      <c r="V395" s="3" t="n">
        <v>3</v>
      </c>
      <c r="W395" s="3" t="n">
        <v>4</v>
      </c>
      <c r="X395" s="3" t="n">
        <v>4</v>
      </c>
      <c r="Y395" s="3" t="n">
        <v>3</v>
      </c>
      <c r="Z395" s="3" t="n">
        <v>3</v>
      </c>
      <c r="AA395" s="3" t="n">
        <v>2</v>
      </c>
      <c r="AB395" s="3" t="n">
        <v>2</v>
      </c>
      <c r="AC395" s="3" t="n">
        <v>3</v>
      </c>
      <c r="AD395" s="3" t="n">
        <v>3</v>
      </c>
      <c r="AE395" s="3" t="n">
        <v>4</v>
      </c>
      <c r="AF395" s="3" t="n">
        <v>2</v>
      </c>
      <c r="AG395" s="3" t="n">
        <v>4</v>
      </c>
      <c r="AH395" s="3" t="n">
        <v>4</v>
      </c>
      <c r="AI395" s="3" t="n">
        <v>3</v>
      </c>
      <c r="AJ395" s="3" t="n">
        <v>4</v>
      </c>
      <c r="AK395" s="3" t="n">
        <v>4</v>
      </c>
      <c r="AL395" s="3" t="n">
        <v>4</v>
      </c>
      <c r="AM395" s="3" t="n">
        <v>4</v>
      </c>
      <c r="AN395" s="3" t="n">
        <v>3</v>
      </c>
      <c r="AO395" s="3" t="n">
        <v>2</v>
      </c>
    </row>
    <row r="396" customFormat="false" ht="15" hidden="false" customHeight="false" outlineLevel="0" collapsed="false">
      <c r="A396" s="3" t="n">
        <v>0</v>
      </c>
      <c r="B396" s="3" t="n">
        <v>3</v>
      </c>
      <c r="C396" s="3" t="n">
        <v>1</v>
      </c>
      <c r="D396" s="3" t="n">
        <v>1</v>
      </c>
      <c r="E396" s="3" t="n">
        <v>2</v>
      </c>
      <c r="F396" s="3" t="n">
        <v>2</v>
      </c>
      <c r="G396" s="3" t="n">
        <v>1</v>
      </c>
      <c r="H396" s="3" t="n">
        <v>2</v>
      </c>
      <c r="I396" s="3" t="n">
        <v>1</v>
      </c>
      <c r="J396" s="3" t="n">
        <v>21</v>
      </c>
      <c r="K396" s="3" t="n">
        <v>4</v>
      </c>
      <c r="L396" s="3" t="n">
        <v>2</v>
      </c>
      <c r="M396" s="3" t="n">
        <v>5</v>
      </c>
      <c r="N396" s="3" t="n">
        <v>3</v>
      </c>
      <c r="O396" s="3" t="n">
        <v>5</v>
      </c>
      <c r="P396" s="3" t="n">
        <v>2</v>
      </c>
      <c r="Q396" s="3" t="n">
        <v>4</v>
      </c>
      <c r="R396" s="3" t="n">
        <v>3</v>
      </c>
      <c r="S396" s="3" t="n">
        <v>5</v>
      </c>
      <c r="T396" s="3" t="n">
        <v>5</v>
      </c>
      <c r="U396" s="3" t="n">
        <v>4</v>
      </c>
      <c r="V396" s="3" t="n">
        <v>4</v>
      </c>
      <c r="W396" s="3" t="n">
        <v>4</v>
      </c>
      <c r="X396" s="3" t="n">
        <v>4</v>
      </c>
      <c r="Y396" s="3" t="n">
        <v>4</v>
      </c>
      <c r="Z396" s="3" t="n">
        <v>5</v>
      </c>
      <c r="AA396" s="3" t="n">
        <v>3</v>
      </c>
      <c r="AB396" s="3" t="n">
        <v>3</v>
      </c>
      <c r="AC396" s="3" t="n">
        <v>3</v>
      </c>
      <c r="AD396" s="3" t="n">
        <v>3</v>
      </c>
      <c r="AE396" s="3" t="n">
        <v>4</v>
      </c>
      <c r="AF396" s="3" t="n">
        <v>3</v>
      </c>
      <c r="AG396" s="3" t="n">
        <v>4</v>
      </c>
      <c r="AH396" s="3" t="n">
        <v>3</v>
      </c>
      <c r="AI396" s="3" t="n">
        <v>2</v>
      </c>
      <c r="AJ396" s="3" t="n">
        <v>4</v>
      </c>
      <c r="AK396" s="3" t="n">
        <v>3</v>
      </c>
      <c r="AL396" s="3" t="n">
        <v>4</v>
      </c>
      <c r="AM396" s="3" t="n">
        <v>4</v>
      </c>
      <c r="AN396" s="3" t="n">
        <v>3</v>
      </c>
      <c r="AO396" s="3" t="n">
        <v>4</v>
      </c>
    </row>
    <row r="397" customFormat="false" ht="15" hidden="false" customHeight="false" outlineLevel="0" collapsed="false">
      <c r="A397" s="3" t="n">
        <v>0</v>
      </c>
      <c r="B397" s="3" t="n">
        <v>4</v>
      </c>
      <c r="C397" s="3" t="n">
        <v>1</v>
      </c>
      <c r="D397" s="3" t="n">
        <v>1</v>
      </c>
      <c r="E397" s="3" t="n">
        <v>2</v>
      </c>
      <c r="F397" s="3" t="n">
        <v>2</v>
      </c>
      <c r="G397" s="3" t="n">
        <v>3</v>
      </c>
      <c r="H397" s="3" t="n">
        <v>3</v>
      </c>
      <c r="I397" s="3" t="n">
        <v>3</v>
      </c>
      <c r="J397" s="3" t="n">
        <v>26</v>
      </c>
      <c r="K397" s="3" t="n">
        <v>2</v>
      </c>
      <c r="L397" s="3" t="n">
        <v>2</v>
      </c>
      <c r="M397" s="3" t="n">
        <v>5</v>
      </c>
      <c r="N397" s="3" t="n">
        <v>5</v>
      </c>
      <c r="O397" s="3" t="n">
        <v>5</v>
      </c>
      <c r="P397" s="3" t="n">
        <v>2</v>
      </c>
      <c r="Q397" s="3" t="n">
        <v>4</v>
      </c>
      <c r="R397" s="3" t="n">
        <v>1</v>
      </c>
      <c r="S397" s="3" t="n">
        <v>5</v>
      </c>
      <c r="T397" s="3" t="n">
        <v>5</v>
      </c>
      <c r="U397" s="3" t="n">
        <v>5</v>
      </c>
      <c r="V397" s="3" t="n">
        <v>2</v>
      </c>
      <c r="W397" s="3" t="n">
        <v>3</v>
      </c>
      <c r="X397" s="3" t="n">
        <v>5</v>
      </c>
      <c r="Y397" s="3" t="n">
        <v>2</v>
      </c>
      <c r="Z397" s="3" t="n">
        <v>4</v>
      </c>
      <c r="AA397" s="3" t="n">
        <v>4</v>
      </c>
      <c r="AB397" s="3" t="n">
        <v>2</v>
      </c>
      <c r="AC397" s="3" t="n">
        <v>1</v>
      </c>
      <c r="AD397" s="3" t="n">
        <v>1</v>
      </c>
      <c r="AE397" s="3" t="n">
        <v>4</v>
      </c>
      <c r="AF397" s="3" t="n">
        <v>2</v>
      </c>
      <c r="AG397" s="3" t="n">
        <v>3</v>
      </c>
      <c r="AH397" s="3" t="n">
        <v>5</v>
      </c>
      <c r="AI397" s="3" t="n">
        <v>5</v>
      </c>
      <c r="AJ397" s="3" t="n">
        <v>5</v>
      </c>
      <c r="AK397" s="3" t="n">
        <v>2</v>
      </c>
      <c r="AL397" s="3" t="n">
        <v>5</v>
      </c>
      <c r="AM397" s="3" t="n">
        <v>5</v>
      </c>
      <c r="AN397" s="3" t="n">
        <v>3</v>
      </c>
      <c r="AO397" s="3" t="n">
        <v>3</v>
      </c>
    </row>
    <row r="398" customFormat="false" ht="15" hidden="false" customHeight="false" outlineLevel="0" collapsed="false">
      <c r="A398" s="3" t="n">
        <v>0</v>
      </c>
      <c r="B398" s="3" t="n">
        <v>3</v>
      </c>
      <c r="C398" s="3" t="n">
        <v>2</v>
      </c>
      <c r="D398" s="3" t="n">
        <v>1</v>
      </c>
      <c r="E398" s="3" t="n">
        <v>2</v>
      </c>
      <c r="F398" s="3" t="n">
        <v>2</v>
      </c>
      <c r="G398" s="3" t="n">
        <v>3</v>
      </c>
      <c r="H398" s="3" t="n">
        <v>2</v>
      </c>
      <c r="I398" s="3" t="n">
        <v>2</v>
      </c>
      <c r="J398" s="3" t="n">
        <v>22</v>
      </c>
      <c r="K398" s="3" t="n">
        <v>3</v>
      </c>
      <c r="L398" s="3" t="n">
        <v>4</v>
      </c>
      <c r="M398" s="3" t="n">
        <v>2</v>
      </c>
      <c r="N398" s="3" t="n">
        <v>3</v>
      </c>
      <c r="O398" s="3" t="n">
        <v>4</v>
      </c>
      <c r="P398" s="3" t="n">
        <v>4</v>
      </c>
      <c r="Q398" s="3" t="n">
        <v>4</v>
      </c>
      <c r="R398" s="3" t="n">
        <v>4</v>
      </c>
      <c r="S398" s="3" t="n">
        <v>3</v>
      </c>
      <c r="T398" s="3" t="n">
        <v>5</v>
      </c>
      <c r="U398" s="3" t="n">
        <v>3</v>
      </c>
      <c r="V398" s="3" t="n">
        <v>4</v>
      </c>
      <c r="W398" s="3" t="n">
        <v>4</v>
      </c>
      <c r="X398" s="3" t="n">
        <v>4</v>
      </c>
      <c r="Y398" s="3" t="n">
        <v>4</v>
      </c>
      <c r="Z398" s="3" t="n">
        <v>4</v>
      </c>
      <c r="AA398" s="3" t="n">
        <v>4</v>
      </c>
      <c r="AB398" s="3" t="n">
        <v>3</v>
      </c>
      <c r="AC398" s="3" t="n">
        <v>3</v>
      </c>
      <c r="AD398" s="3" t="n">
        <v>2</v>
      </c>
      <c r="AE398" s="3" t="n">
        <v>4</v>
      </c>
      <c r="AF398" s="3" t="n">
        <v>3</v>
      </c>
      <c r="AG398" s="3" t="n">
        <v>3</v>
      </c>
      <c r="AH398" s="3" t="n">
        <v>4</v>
      </c>
      <c r="AI398" s="3" t="n">
        <v>3</v>
      </c>
      <c r="AJ398" s="3" t="n">
        <v>4</v>
      </c>
      <c r="AK398" s="3" t="n">
        <v>3</v>
      </c>
      <c r="AL398" s="3" t="n">
        <v>4</v>
      </c>
      <c r="AM398" s="3" t="n">
        <v>3</v>
      </c>
      <c r="AN398" s="3" t="n">
        <v>4</v>
      </c>
      <c r="AO398" s="3" t="n">
        <v>3</v>
      </c>
    </row>
    <row r="399" customFormat="false" ht="15" hidden="false" customHeight="false" outlineLevel="0" collapsed="false">
      <c r="A399" s="3" t="n">
        <v>0</v>
      </c>
      <c r="B399" s="3" t="n">
        <v>3</v>
      </c>
      <c r="C399" s="3" t="n">
        <v>1</v>
      </c>
      <c r="D399" s="3" t="n">
        <v>1</v>
      </c>
      <c r="E399" s="3" t="n">
        <v>2</v>
      </c>
      <c r="F399" s="3" t="n">
        <v>2</v>
      </c>
      <c r="G399" s="3" t="n">
        <v>3</v>
      </c>
      <c r="H399" s="3" t="n">
        <v>1</v>
      </c>
      <c r="I399" s="3" t="n">
        <v>1</v>
      </c>
      <c r="J399" s="3" t="n">
        <v>22</v>
      </c>
      <c r="K399" s="3" t="n">
        <v>4</v>
      </c>
      <c r="L399" s="3" t="n">
        <v>3</v>
      </c>
      <c r="M399" s="3" t="n">
        <v>3</v>
      </c>
      <c r="N399" s="3" t="n">
        <v>3</v>
      </c>
      <c r="O399" s="3" t="n">
        <v>4</v>
      </c>
      <c r="P399" s="3" t="n">
        <v>3</v>
      </c>
      <c r="Q399" s="3" t="n">
        <v>4</v>
      </c>
      <c r="R399" s="3" t="n">
        <v>3</v>
      </c>
      <c r="S399" s="3" t="n">
        <v>5</v>
      </c>
      <c r="T399" s="3" t="n">
        <v>5</v>
      </c>
      <c r="U399" s="3" t="n">
        <v>4</v>
      </c>
      <c r="V399" s="3" t="n">
        <v>4</v>
      </c>
      <c r="W399" s="3" t="n">
        <v>5</v>
      </c>
      <c r="X399" s="3" t="n">
        <v>4</v>
      </c>
      <c r="Y399" s="3" t="n">
        <v>5</v>
      </c>
      <c r="Z399" s="3" t="n">
        <v>5</v>
      </c>
      <c r="AA399" s="3" t="n">
        <v>3</v>
      </c>
      <c r="AB399" s="3" t="n">
        <v>5</v>
      </c>
      <c r="AC399" s="3" t="n">
        <v>2</v>
      </c>
      <c r="AD399" s="3" t="n">
        <v>2</v>
      </c>
      <c r="AE399" s="3" t="n">
        <v>4</v>
      </c>
      <c r="AF399" s="3" t="n">
        <v>4</v>
      </c>
      <c r="AG399" s="3" t="n">
        <v>4</v>
      </c>
      <c r="AH399" s="3" t="n">
        <v>5</v>
      </c>
      <c r="AI399" s="3" t="n">
        <v>5</v>
      </c>
      <c r="AJ399" s="3" t="n">
        <v>4</v>
      </c>
      <c r="AK399" s="3" t="n">
        <v>3</v>
      </c>
      <c r="AL399" s="3" t="n">
        <v>5</v>
      </c>
      <c r="AM399" s="3" t="n">
        <v>5</v>
      </c>
      <c r="AN399" s="3" t="n">
        <v>4</v>
      </c>
      <c r="AO399" s="3" t="n">
        <v>3</v>
      </c>
    </row>
    <row r="400" customFormat="false" ht="15" hidden="false" customHeight="false" outlineLevel="0" collapsed="false">
      <c r="A400" s="3" t="n">
        <v>0</v>
      </c>
      <c r="B400" s="3" t="n">
        <v>6</v>
      </c>
      <c r="C400" s="3" t="n">
        <v>1</v>
      </c>
      <c r="D400" s="3" t="n">
        <v>1</v>
      </c>
      <c r="E400" s="3" t="n">
        <v>2</v>
      </c>
      <c r="F400" s="3" t="n">
        <v>2</v>
      </c>
      <c r="G400" s="3" t="n">
        <v>3</v>
      </c>
      <c r="H400" s="3" t="n">
        <v>3</v>
      </c>
      <c r="I400" s="3" t="n">
        <v>2</v>
      </c>
      <c r="J400" s="3" t="n">
        <v>23</v>
      </c>
      <c r="K400" s="3" t="n">
        <v>4</v>
      </c>
      <c r="L400" s="3" t="n">
        <v>3</v>
      </c>
      <c r="M400" s="3" t="n">
        <v>3</v>
      </c>
      <c r="N400" s="3" t="n">
        <v>4</v>
      </c>
      <c r="O400" s="3" t="n">
        <v>4</v>
      </c>
      <c r="P400" s="3" t="n">
        <v>4</v>
      </c>
      <c r="Q400" s="3" t="n">
        <v>3</v>
      </c>
      <c r="R400" s="3" t="n">
        <v>3</v>
      </c>
      <c r="S400" s="3" t="n">
        <v>4</v>
      </c>
      <c r="T400" s="3" t="n">
        <v>5</v>
      </c>
      <c r="U400" s="3" t="n">
        <v>4</v>
      </c>
      <c r="V400" s="3" t="n">
        <v>3</v>
      </c>
      <c r="W400" s="3" t="n">
        <v>2</v>
      </c>
      <c r="X400" s="3" t="n">
        <v>3</v>
      </c>
      <c r="Y400" s="3" t="n">
        <v>2</v>
      </c>
      <c r="Z400" s="3" t="n">
        <v>4</v>
      </c>
      <c r="AA400" s="3" t="n">
        <v>4</v>
      </c>
      <c r="AB400" s="3" t="n">
        <v>2</v>
      </c>
      <c r="AC400" s="3" t="n">
        <v>2</v>
      </c>
      <c r="AD400" s="3" t="n">
        <v>2</v>
      </c>
      <c r="AE400" s="3" t="n">
        <v>3</v>
      </c>
      <c r="AF400" s="3" t="n">
        <v>2</v>
      </c>
      <c r="AG400" s="3" t="n">
        <v>4</v>
      </c>
      <c r="AH400" s="3" t="n">
        <v>4</v>
      </c>
      <c r="AI400" s="3" t="n">
        <v>4</v>
      </c>
      <c r="AJ400" s="3" t="n">
        <v>2</v>
      </c>
      <c r="AK400" s="3" t="n">
        <v>4</v>
      </c>
      <c r="AL400" s="3" t="n">
        <v>4</v>
      </c>
      <c r="AM400" s="3" t="n">
        <v>3</v>
      </c>
      <c r="AN400" s="3" t="n">
        <v>2</v>
      </c>
      <c r="AO400" s="3" t="n">
        <v>3</v>
      </c>
    </row>
    <row r="401" customFormat="false" ht="15" hidden="false" customHeight="false" outlineLevel="0" collapsed="false">
      <c r="A401" s="3" t="n">
        <v>0</v>
      </c>
      <c r="B401" s="3" t="n">
        <v>3</v>
      </c>
      <c r="C401" s="3" t="n">
        <v>1</v>
      </c>
      <c r="D401" s="3" t="n">
        <v>2</v>
      </c>
      <c r="E401" s="3" t="n">
        <v>2</v>
      </c>
      <c r="F401" s="3" t="n">
        <v>2</v>
      </c>
      <c r="G401" s="3" t="n">
        <v>3</v>
      </c>
      <c r="H401" s="3" t="n">
        <v>3</v>
      </c>
      <c r="I401" s="3" t="n">
        <v>1</v>
      </c>
      <c r="J401" s="3" t="n">
        <v>23</v>
      </c>
      <c r="K401" s="3" t="n">
        <v>3</v>
      </c>
      <c r="L401" s="3" t="n">
        <v>3</v>
      </c>
      <c r="M401" s="3" t="n">
        <v>4</v>
      </c>
      <c r="N401" s="3" t="n">
        <v>3</v>
      </c>
      <c r="O401" s="3" t="n">
        <v>4</v>
      </c>
      <c r="P401" s="3" t="n">
        <v>1</v>
      </c>
      <c r="Q401" s="3" t="n">
        <v>1</v>
      </c>
      <c r="R401" s="3" t="n">
        <v>3</v>
      </c>
      <c r="S401" s="3" t="n">
        <v>3</v>
      </c>
      <c r="T401" s="3" t="n">
        <v>3</v>
      </c>
      <c r="U401" s="3" t="n">
        <v>4</v>
      </c>
      <c r="V401" s="3" t="n">
        <v>4</v>
      </c>
      <c r="W401" s="3" t="n">
        <v>5</v>
      </c>
      <c r="X401" s="3" t="n">
        <v>3</v>
      </c>
      <c r="Y401" s="3" t="n">
        <v>5</v>
      </c>
      <c r="Z401" s="3" t="n">
        <v>5</v>
      </c>
      <c r="AA401" s="3" t="n">
        <v>3</v>
      </c>
      <c r="AB401" s="3" t="n">
        <v>1</v>
      </c>
      <c r="AC401" s="3" t="n">
        <v>2</v>
      </c>
      <c r="AD401" s="3" t="n">
        <v>2</v>
      </c>
      <c r="AE401" s="3" t="n">
        <v>3</v>
      </c>
      <c r="AF401" s="3" t="n">
        <v>2</v>
      </c>
      <c r="AG401" s="3" t="n">
        <v>5</v>
      </c>
      <c r="AH401" s="3" t="n">
        <v>3</v>
      </c>
      <c r="AI401" s="3" t="n">
        <v>2</v>
      </c>
      <c r="AJ401" s="3" t="n">
        <v>2</v>
      </c>
      <c r="AK401" s="3" t="n">
        <v>3</v>
      </c>
      <c r="AL401" s="3" t="n">
        <v>5</v>
      </c>
      <c r="AM401" s="3" t="n">
        <v>3</v>
      </c>
      <c r="AN401" s="3" t="n">
        <v>3</v>
      </c>
      <c r="AO401" s="3" t="n">
        <v>3</v>
      </c>
    </row>
    <row r="402" customFormat="false" ht="15" hidden="false" customHeight="false" outlineLevel="0" collapsed="false">
      <c r="A402" s="3" t="n">
        <v>0</v>
      </c>
      <c r="B402" s="3" t="n">
        <v>6</v>
      </c>
      <c r="C402" s="3" t="n">
        <v>1</v>
      </c>
      <c r="D402" s="3" t="n">
        <v>1</v>
      </c>
      <c r="E402" s="3" t="n">
        <v>2</v>
      </c>
      <c r="F402" s="3" t="n">
        <v>2</v>
      </c>
      <c r="G402" s="3" t="n">
        <v>3</v>
      </c>
      <c r="H402" s="3" t="n">
        <v>2</v>
      </c>
      <c r="I402" s="3" t="n">
        <v>1</v>
      </c>
      <c r="J402" s="3" t="n">
        <v>22</v>
      </c>
      <c r="K402" s="3" t="n">
        <v>3</v>
      </c>
      <c r="L402" s="3" t="n">
        <v>3</v>
      </c>
      <c r="M402" s="3" t="n">
        <v>3</v>
      </c>
      <c r="N402" s="3" t="n">
        <v>3</v>
      </c>
      <c r="O402" s="3" t="n">
        <v>3</v>
      </c>
      <c r="P402" s="3" t="n">
        <v>3</v>
      </c>
      <c r="Q402" s="3" t="n">
        <v>3</v>
      </c>
      <c r="R402" s="3" t="n">
        <v>3</v>
      </c>
      <c r="S402" s="3" t="n">
        <v>4</v>
      </c>
      <c r="T402" s="3" t="n">
        <v>4</v>
      </c>
      <c r="U402" s="3" t="n">
        <v>4</v>
      </c>
      <c r="V402" s="3" t="n">
        <v>4</v>
      </c>
      <c r="W402" s="3" t="n">
        <v>4</v>
      </c>
      <c r="X402" s="3" t="n">
        <v>4</v>
      </c>
      <c r="Y402" s="3" t="n">
        <v>3</v>
      </c>
      <c r="Z402" s="3" t="n">
        <v>4</v>
      </c>
      <c r="AA402" s="3" t="n">
        <v>4</v>
      </c>
      <c r="AB402" s="3" t="n">
        <v>3</v>
      </c>
      <c r="AC402" s="3" t="n">
        <v>2</v>
      </c>
      <c r="AD402" s="3" t="n">
        <v>3</v>
      </c>
      <c r="AE402" s="3" t="n">
        <v>4</v>
      </c>
      <c r="AF402" s="3" t="n">
        <v>1</v>
      </c>
      <c r="AG402" s="3" t="n">
        <v>2</v>
      </c>
      <c r="AH402" s="3" t="n">
        <v>4</v>
      </c>
      <c r="AI402" s="3" t="n">
        <v>5</v>
      </c>
      <c r="AJ402" s="3" t="n">
        <v>4</v>
      </c>
      <c r="AK402" s="3" t="n">
        <v>3</v>
      </c>
      <c r="AL402" s="3" t="n">
        <v>4</v>
      </c>
      <c r="AM402" s="3" t="n">
        <v>2</v>
      </c>
      <c r="AN402" s="3" t="n">
        <v>3</v>
      </c>
      <c r="AO402" s="3" t="n">
        <v>2</v>
      </c>
    </row>
    <row r="403" customFormat="false" ht="15" hidden="false" customHeight="false" outlineLevel="0" collapsed="false">
      <c r="A403" s="3" t="n">
        <v>0</v>
      </c>
      <c r="B403" s="3" t="n">
        <v>1</v>
      </c>
      <c r="C403" s="3" t="n">
        <v>2</v>
      </c>
      <c r="D403" s="3" t="n">
        <v>1</v>
      </c>
      <c r="E403" s="3" t="n">
        <v>2</v>
      </c>
      <c r="F403" s="3" t="n">
        <v>2</v>
      </c>
      <c r="G403" s="3" t="n">
        <v>1</v>
      </c>
      <c r="H403" s="3" t="n">
        <v>3</v>
      </c>
      <c r="I403" s="3" t="n">
        <v>1</v>
      </c>
      <c r="J403" s="3" t="n">
        <v>23</v>
      </c>
      <c r="K403" s="3" t="n">
        <v>4</v>
      </c>
      <c r="L403" s="3" t="n">
        <v>4</v>
      </c>
      <c r="M403" s="3" t="n">
        <v>3</v>
      </c>
      <c r="N403" s="3" t="n">
        <v>5</v>
      </c>
      <c r="O403" s="3" t="n">
        <v>3</v>
      </c>
      <c r="P403" s="3" t="n">
        <v>2</v>
      </c>
      <c r="Q403" s="3" t="n">
        <v>3</v>
      </c>
      <c r="R403" s="3" t="n">
        <v>4</v>
      </c>
      <c r="S403" s="3" t="n">
        <v>4</v>
      </c>
      <c r="T403" s="3" t="n">
        <v>3</v>
      </c>
      <c r="U403" s="3" t="n">
        <v>5</v>
      </c>
      <c r="V403" s="3" t="n">
        <v>3</v>
      </c>
      <c r="W403" s="3" t="n">
        <v>3</v>
      </c>
      <c r="X403" s="3" t="n">
        <v>4</v>
      </c>
      <c r="Y403" s="3" t="n">
        <v>3</v>
      </c>
      <c r="Z403" s="3" t="n">
        <v>4</v>
      </c>
      <c r="AA403" s="3" t="n">
        <v>1</v>
      </c>
      <c r="AB403" s="3" t="n">
        <v>4</v>
      </c>
      <c r="AC403" s="3" t="n">
        <v>2</v>
      </c>
      <c r="AD403" s="3" t="n">
        <v>2</v>
      </c>
      <c r="AE403" s="3" t="n">
        <v>4</v>
      </c>
      <c r="AF403" s="3" t="n">
        <v>4</v>
      </c>
      <c r="AG403" s="3" t="n">
        <v>4</v>
      </c>
      <c r="AH403" s="3" t="n">
        <v>5</v>
      </c>
      <c r="AI403" s="3" t="n">
        <v>5</v>
      </c>
      <c r="AJ403" s="3" t="n">
        <v>2</v>
      </c>
      <c r="AK403" s="3" t="n">
        <v>3</v>
      </c>
      <c r="AL403" s="3" t="n">
        <v>4</v>
      </c>
      <c r="AM403" s="3" t="n">
        <v>4</v>
      </c>
      <c r="AN403" s="3" t="n">
        <v>3</v>
      </c>
      <c r="AO403" s="3" t="n">
        <v>3</v>
      </c>
    </row>
    <row r="404" customFormat="false" ht="15" hidden="false" customHeight="false" outlineLevel="0" collapsed="false">
      <c r="A404" s="3" t="n">
        <v>0</v>
      </c>
      <c r="B404" s="3" t="n">
        <v>3</v>
      </c>
      <c r="C404" s="3" t="n">
        <v>2</v>
      </c>
      <c r="D404" s="3" t="n">
        <v>1</v>
      </c>
      <c r="E404" s="3" t="n">
        <v>2</v>
      </c>
      <c r="F404" s="3" t="n">
        <v>2</v>
      </c>
      <c r="G404" s="3" t="n">
        <v>2</v>
      </c>
      <c r="H404" s="3" t="n">
        <v>1</v>
      </c>
      <c r="I404" s="3" t="n">
        <v>1</v>
      </c>
      <c r="J404" s="3" t="n">
        <v>22</v>
      </c>
      <c r="K404" s="3" t="n">
        <v>3</v>
      </c>
      <c r="L404" s="3" t="n">
        <v>2</v>
      </c>
      <c r="M404" s="3" t="n">
        <v>4</v>
      </c>
      <c r="N404" s="3" t="n">
        <v>3</v>
      </c>
      <c r="O404" s="3" t="n">
        <v>2</v>
      </c>
      <c r="P404" s="3" t="n">
        <v>2</v>
      </c>
      <c r="Q404" s="3" t="n">
        <v>3</v>
      </c>
      <c r="R404" s="3" t="n">
        <v>3</v>
      </c>
      <c r="S404" s="3" t="n">
        <v>4</v>
      </c>
      <c r="T404" s="3" t="n">
        <v>4</v>
      </c>
      <c r="U404" s="3" t="n">
        <v>4</v>
      </c>
      <c r="V404" s="3" t="n">
        <v>4</v>
      </c>
      <c r="W404" s="3" t="n">
        <v>4</v>
      </c>
      <c r="X404" s="3" t="n">
        <v>4</v>
      </c>
      <c r="Y404" s="3" t="n">
        <v>4</v>
      </c>
      <c r="Z404" s="3" t="n">
        <v>4</v>
      </c>
      <c r="AA404" s="3" t="n">
        <v>2</v>
      </c>
      <c r="AB404" s="3" t="n">
        <v>3</v>
      </c>
      <c r="AC404" s="3" t="n">
        <v>2</v>
      </c>
      <c r="AD404" s="3" t="n">
        <v>2</v>
      </c>
      <c r="AE404" s="3" t="n">
        <v>4</v>
      </c>
      <c r="AF404" s="3" t="n">
        <v>4</v>
      </c>
      <c r="AG404" s="3" t="n">
        <v>4</v>
      </c>
      <c r="AH404" s="3" t="n">
        <v>4</v>
      </c>
      <c r="AI404" s="3" t="n">
        <v>4</v>
      </c>
      <c r="AJ404" s="3" t="n">
        <v>3</v>
      </c>
      <c r="AK404" s="3" t="n">
        <v>2</v>
      </c>
      <c r="AL404" s="3" t="n">
        <v>4</v>
      </c>
      <c r="AM404" s="3" t="n">
        <v>2</v>
      </c>
      <c r="AN404" s="3" t="n">
        <v>2</v>
      </c>
      <c r="AO404" s="3" t="n">
        <v>3</v>
      </c>
    </row>
    <row r="405" customFormat="false" ht="15" hidden="false" customHeight="false" outlineLevel="0" collapsed="false">
      <c r="A405" s="3" t="n">
        <v>1</v>
      </c>
      <c r="B405" s="3" t="n">
        <v>1</v>
      </c>
      <c r="C405" s="3" t="n">
        <v>1</v>
      </c>
      <c r="D405" s="3" t="n">
        <v>1</v>
      </c>
      <c r="E405" s="3" t="n">
        <v>2</v>
      </c>
      <c r="F405" s="3" t="n">
        <v>2</v>
      </c>
      <c r="G405" s="3" t="n">
        <v>3</v>
      </c>
      <c r="H405" s="3" t="n">
        <v>1</v>
      </c>
      <c r="I405" s="3" t="n">
        <v>3</v>
      </c>
      <c r="J405" s="3" t="n">
        <v>26</v>
      </c>
      <c r="K405" s="3" t="n">
        <v>2</v>
      </c>
      <c r="L405" s="3" t="n">
        <v>2</v>
      </c>
      <c r="M405" s="3" t="n">
        <v>3</v>
      </c>
      <c r="N405" s="3" t="n">
        <v>4</v>
      </c>
      <c r="O405" s="3" t="n">
        <v>3</v>
      </c>
      <c r="P405" s="3" t="n">
        <v>2</v>
      </c>
      <c r="Q405" s="3" t="n">
        <v>4</v>
      </c>
      <c r="R405" s="3" t="n">
        <v>3</v>
      </c>
      <c r="S405" s="3" t="n">
        <v>4</v>
      </c>
      <c r="T405" s="3" t="n">
        <v>4</v>
      </c>
      <c r="U405" s="3" t="n">
        <v>5</v>
      </c>
      <c r="V405" s="3" t="n">
        <v>4</v>
      </c>
      <c r="W405" s="3" t="n">
        <v>4</v>
      </c>
      <c r="X405" s="3" t="n">
        <v>4</v>
      </c>
      <c r="Y405" s="3" t="n">
        <v>4</v>
      </c>
      <c r="Z405" s="3" t="n">
        <v>4</v>
      </c>
      <c r="AA405" s="3" t="n">
        <v>4</v>
      </c>
      <c r="AB405" s="3" t="n">
        <v>2</v>
      </c>
      <c r="AC405" s="3" t="n">
        <v>2</v>
      </c>
      <c r="AD405" s="3" t="n">
        <v>2</v>
      </c>
      <c r="AE405" s="3" t="n">
        <v>3</v>
      </c>
      <c r="AF405" s="3" t="n">
        <v>2</v>
      </c>
      <c r="AG405" s="3" t="n">
        <v>4</v>
      </c>
      <c r="AH405" s="3" t="n">
        <v>4</v>
      </c>
      <c r="AI405" s="3" t="n">
        <v>4</v>
      </c>
      <c r="AJ405" s="3" t="n">
        <v>3</v>
      </c>
      <c r="AK405" s="3" t="n">
        <v>2</v>
      </c>
      <c r="AL405" s="3" t="n">
        <v>4</v>
      </c>
      <c r="AM405" s="3" t="n">
        <v>4</v>
      </c>
      <c r="AN405" s="3" t="n">
        <v>3</v>
      </c>
      <c r="AO405" s="3" t="n">
        <v>3</v>
      </c>
    </row>
    <row r="406" customFormat="false" ht="15" hidden="false" customHeight="false" outlineLevel="0" collapsed="false">
      <c r="A406" s="3" t="n">
        <v>1</v>
      </c>
      <c r="B406" s="3" t="n">
        <v>4</v>
      </c>
      <c r="C406" s="3" t="n">
        <v>1</v>
      </c>
      <c r="D406" s="3" t="n">
        <v>1</v>
      </c>
      <c r="E406" s="3" t="n">
        <v>2</v>
      </c>
      <c r="F406" s="3" t="n">
        <v>2</v>
      </c>
      <c r="G406" s="3" t="n">
        <v>2</v>
      </c>
      <c r="H406" s="3" t="n">
        <v>1</v>
      </c>
      <c r="I406" s="3" t="n">
        <v>3</v>
      </c>
      <c r="J406" s="3" t="n">
        <v>27</v>
      </c>
      <c r="K406" s="3" t="n">
        <v>4</v>
      </c>
      <c r="L406" s="3" t="n">
        <v>4</v>
      </c>
      <c r="M406" s="3" t="n">
        <v>2</v>
      </c>
      <c r="N406" s="3" t="n">
        <v>2</v>
      </c>
      <c r="O406" s="3" t="n">
        <v>5</v>
      </c>
      <c r="P406" s="3" t="n">
        <v>2</v>
      </c>
      <c r="Q406" s="3" t="n">
        <v>3</v>
      </c>
      <c r="R406" s="3" t="n">
        <v>3</v>
      </c>
      <c r="S406" s="3" t="n">
        <v>5</v>
      </c>
      <c r="T406" s="3" t="n">
        <v>5</v>
      </c>
      <c r="U406" s="3" t="n">
        <v>5</v>
      </c>
      <c r="V406" s="3" t="n">
        <v>3</v>
      </c>
      <c r="W406" s="3" t="n">
        <v>4</v>
      </c>
      <c r="X406" s="3" t="n">
        <v>4</v>
      </c>
      <c r="Y406" s="3" t="n">
        <v>4</v>
      </c>
      <c r="Z406" s="3" t="n">
        <v>5</v>
      </c>
      <c r="AA406" s="3" t="n">
        <v>4</v>
      </c>
      <c r="AB406" s="3" t="n">
        <v>4</v>
      </c>
      <c r="AC406" s="3" t="n">
        <v>2</v>
      </c>
      <c r="AD406" s="3" t="n">
        <v>2</v>
      </c>
      <c r="AE406" s="3" t="n">
        <v>4</v>
      </c>
      <c r="AF406" s="3" t="n">
        <v>4</v>
      </c>
      <c r="AG406" s="3" t="n">
        <v>5</v>
      </c>
      <c r="AH406" s="3" t="n">
        <v>5</v>
      </c>
      <c r="AI406" s="3" t="n">
        <v>4</v>
      </c>
      <c r="AJ406" s="3" t="n">
        <v>2</v>
      </c>
      <c r="AK406" s="3" t="n">
        <v>5</v>
      </c>
      <c r="AL406" s="3" t="n">
        <v>5</v>
      </c>
      <c r="AM406" s="3" t="n">
        <v>4</v>
      </c>
      <c r="AN406" s="3" t="n">
        <v>2</v>
      </c>
      <c r="AO406" s="3" t="n">
        <v>3</v>
      </c>
    </row>
    <row r="407" customFormat="false" ht="15" hidden="false" customHeight="false" outlineLevel="0" collapsed="false">
      <c r="A407" s="3" t="n">
        <v>1</v>
      </c>
      <c r="B407" s="3" t="n">
        <v>3</v>
      </c>
      <c r="C407" s="3" t="n">
        <v>2</v>
      </c>
      <c r="D407" s="3" t="n">
        <v>1</v>
      </c>
      <c r="E407" s="3" t="n">
        <v>2</v>
      </c>
      <c r="F407" s="3" t="n">
        <v>2</v>
      </c>
      <c r="G407" s="3" t="n">
        <v>1</v>
      </c>
      <c r="H407" s="3" t="n">
        <v>3</v>
      </c>
      <c r="I407" s="3" t="n">
        <v>3</v>
      </c>
      <c r="J407" s="3" t="n">
        <v>24</v>
      </c>
      <c r="K407" s="3" t="n">
        <v>3</v>
      </c>
      <c r="L407" s="3" t="n">
        <v>4</v>
      </c>
      <c r="M407" s="3" t="n">
        <v>4</v>
      </c>
      <c r="N407" s="3" t="n">
        <v>4</v>
      </c>
      <c r="O407" s="3" t="n">
        <v>3</v>
      </c>
      <c r="P407" s="3" t="n">
        <v>2</v>
      </c>
      <c r="Q407" s="3" t="n">
        <v>3</v>
      </c>
      <c r="R407" s="3" t="n">
        <v>3</v>
      </c>
      <c r="S407" s="3" t="n">
        <v>5</v>
      </c>
      <c r="T407" s="3" t="n">
        <v>5</v>
      </c>
      <c r="U407" s="3" t="n">
        <v>5</v>
      </c>
      <c r="V407" s="3" t="n">
        <v>4</v>
      </c>
      <c r="W407" s="3" t="n">
        <v>5</v>
      </c>
      <c r="X407" s="3" t="n">
        <v>5</v>
      </c>
      <c r="Y407" s="3" t="n">
        <v>5</v>
      </c>
      <c r="Z407" s="3" t="n">
        <v>5</v>
      </c>
      <c r="AA407" s="3" t="n">
        <v>3</v>
      </c>
      <c r="AB407" s="3" t="n">
        <v>3</v>
      </c>
      <c r="AC407" s="3" t="n">
        <v>3</v>
      </c>
      <c r="AD407" s="3" t="n">
        <v>3</v>
      </c>
      <c r="AE407" s="3" t="n">
        <v>4</v>
      </c>
      <c r="AF407" s="3" t="n">
        <v>4</v>
      </c>
      <c r="AG407" s="3" t="n">
        <v>4</v>
      </c>
      <c r="AH407" s="3" t="n">
        <v>4</v>
      </c>
      <c r="AI407" s="3" t="n">
        <v>4</v>
      </c>
      <c r="AJ407" s="3" t="n">
        <v>2</v>
      </c>
      <c r="AK407" s="3" t="n">
        <v>3</v>
      </c>
      <c r="AL407" s="3" t="n">
        <v>3</v>
      </c>
      <c r="AM407" s="3" t="n">
        <v>3</v>
      </c>
      <c r="AN407" s="3" t="n">
        <v>3</v>
      </c>
      <c r="AO407" s="3" t="n">
        <v>4</v>
      </c>
    </row>
    <row r="408" customFormat="false" ht="15" hidden="false" customHeight="false" outlineLevel="0" collapsed="false">
      <c r="A408" s="3" t="n">
        <v>1</v>
      </c>
      <c r="B408" s="3" t="n">
        <v>3</v>
      </c>
      <c r="C408" s="3" t="n">
        <v>1</v>
      </c>
      <c r="D408" s="3" t="n">
        <v>1</v>
      </c>
      <c r="E408" s="3" t="n">
        <v>2</v>
      </c>
      <c r="F408" s="3" t="n">
        <v>2</v>
      </c>
      <c r="G408" s="3" t="n">
        <v>3</v>
      </c>
      <c r="H408" s="3" t="n">
        <v>3</v>
      </c>
      <c r="I408" s="3" t="n">
        <v>1</v>
      </c>
      <c r="J408" s="3" t="n">
        <v>21</v>
      </c>
      <c r="K408" s="3" t="n">
        <v>4</v>
      </c>
      <c r="L408" s="3" t="n">
        <v>3</v>
      </c>
      <c r="M408" s="3" t="n">
        <v>4</v>
      </c>
      <c r="N408" s="3" t="n">
        <v>5</v>
      </c>
      <c r="O408" s="3" t="n">
        <v>3</v>
      </c>
      <c r="P408" s="3" t="n">
        <v>3</v>
      </c>
      <c r="Q408" s="3" t="n">
        <v>4</v>
      </c>
      <c r="R408" s="3" t="n">
        <v>2</v>
      </c>
      <c r="S408" s="3" t="n">
        <v>4</v>
      </c>
      <c r="T408" s="3" t="n">
        <v>5</v>
      </c>
      <c r="U408" s="3" t="n">
        <v>5</v>
      </c>
      <c r="V408" s="3" t="n">
        <v>4</v>
      </c>
      <c r="W408" s="3" t="n">
        <v>4</v>
      </c>
      <c r="X408" s="3" t="n">
        <v>3</v>
      </c>
      <c r="Y408" s="3" t="n">
        <v>3</v>
      </c>
      <c r="Z408" s="3" t="n">
        <v>5</v>
      </c>
      <c r="AA408" s="3" t="n">
        <v>5</v>
      </c>
      <c r="AB408" s="3" t="n">
        <v>4</v>
      </c>
      <c r="AC408" s="3" t="n">
        <v>2</v>
      </c>
      <c r="AD408" s="3" t="n">
        <v>2</v>
      </c>
      <c r="AE408" s="3" t="n">
        <v>4</v>
      </c>
      <c r="AF408" s="3" t="n">
        <v>3</v>
      </c>
      <c r="AG408" s="3" t="n">
        <v>4</v>
      </c>
      <c r="AH408" s="3" t="n">
        <v>5</v>
      </c>
      <c r="AI408" s="3" t="n">
        <v>5</v>
      </c>
      <c r="AJ408" s="3" t="n">
        <v>5</v>
      </c>
      <c r="AK408" s="3" t="n">
        <v>4</v>
      </c>
      <c r="AL408" s="3" t="n">
        <v>4</v>
      </c>
      <c r="AM408" s="3" t="n">
        <v>3</v>
      </c>
      <c r="AN408" s="3" t="n">
        <v>3</v>
      </c>
      <c r="AO408" s="3" t="n">
        <v>4</v>
      </c>
    </row>
    <row r="409" customFormat="false" ht="15" hidden="false" customHeight="false" outlineLevel="0" collapsed="false">
      <c r="A409" s="3" t="n">
        <v>0</v>
      </c>
      <c r="B409" s="3" t="n">
        <v>3</v>
      </c>
      <c r="C409" s="3" t="n">
        <v>2</v>
      </c>
      <c r="D409" s="3" t="n">
        <v>1</v>
      </c>
      <c r="E409" s="3" t="n">
        <v>2</v>
      </c>
      <c r="F409" s="3" t="n">
        <v>2</v>
      </c>
      <c r="G409" s="3" t="n">
        <v>3</v>
      </c>
      <c r="H409" s="3" t="n">
        <v>3</v>
      </c>
      <c r="I409" s="3" t="n">
        <v>2</v>
      </c>
      <c r="J409" s="3" t="n">
        <v>20</v>
      </c>
      <c r="K409" s="3" t="n">
        <v>4</v>
      </c>
      <c r="L409" s="3" t="n">
        <v>4</v>
      </c>
      <c r="M409" s="3" t="n">
        <v>4</v>
      </c>
      <c r="N409" s="3" t="n">
        <v>5</v>
      </c>
      <c r="O409" s="3" t="n">
        <v>4</v>
      </c>
      <c r="P409" s="3" t="n">
        <v>4</v>
      </c>
      <c r="Q409" s="3" t="n">
        <v>3</v>
      </c>
      <c r="R409" s="3" t="n">
        <v>4</v>
      </c>
      <c r="S409" s="3" t="n">
        <v>4</v>
      </c>
      <c r="T409" s="3" t="n">
        <v>5</v>
      </c>
      <c r="U409" s="3" t="n">
        <v>4</v>
      </c>
      <c r="V409" s="3" t="n">
        <v>4</v>
      </c>
      <c r="W409" s="3" t="n">
        <v>4</v>
      </c>
      <c r="X409" s="3" t="n">
        <v>4</v>
      </c>
      <c r="Y409" s="3" t="n">
        <v>3</v>
      </c>
      <c r="Z409" s="3" t="n">
        <v>4</v>
      </c>
      <c r="AA409" s="3" t="n">
        <v>4</v>
      </c>
      <c r="AB409" s="3" t="n">
        <v>4</v>
      </c>
      <c r="AC409" s="3" t="n">
        <v>3</v>
      </c>
      <c r="AD409" s="3" t="n">
        <v>4</v>
      </c>
      <c r="AE409" s="3" t="n">
        <v>4</v>
      </c>
      <c r="AF409" s="3" t="n">
        <v>3</v>
      </c>
      <c r="AG409" s="3" t="n">
        <v>4</v>
      </c>
      <c r="AH409" s="3" t="n">
        <v>4</v>
      </c>
      <c r="AI409" s="3" t="n">
        <v>4</v>
      </c>
      <c r="AJ409" s="3" t="n">
        <v>5</v>
      </c>
      <c r="AK409" s="3" t="n">
        <v>3</v>
      </c>
      <c r="AL409" s="3" t="n">
        <v>4</v>
      </c>
      <c r="AM409" s="3" t="n">
        <v>4</v>
      </c>
      <c r="AN409" s="3" t="n">
        <v>4</v>
      </c>
      <c r="AO409" s="3" t="n">
        <v>4</v>
      </c>
    </row>
    <row r="410" customFormat="false" ht="15" hidden="false" customHeight="false" outlineLevel="0" collapsed="false">
      <c r="A410" s="3" t="n">
        <v>0</v>
      </c>
      <c r="B410" s="3" t="n">
        <v>3</v>
      </c>
      <c r="C410" s="3" t="n">
        <v>2</v>
      </c>
      <c r="D410" s="3" t="n">
        <v>1</v>
      </c>
      <c r="E410" s="3" t="n">
        <v>2</v>
      </c>
      <c r="F410" s="3" t="n">
        <v>2</v>
      </c>
      <c r="G410" s="3" t="n">
        <v>1</v>
      </c>
      <c r="H410" s="3" t="n">
        <v>3</v>
      </c>
      <c r="I410" s="3" t="n">
        <v>1</v>
      </c>
      <c r="J410" s="3" t="n">
        <v>24</v>
      </c>
      <c r="K410" s="3" t="n">
        <v>3</v>
      </c>
      <c r="L410" s="3" t="n">
        <v>4</v>
      </c>
      <c r="M410" s="3" t="n">
        <v>3</v>
      </c>
      <c r="N410" s="3" t="n">
        <v>3</v>
      </c>
      <c r="O410" s="3" t="n">
        <v>3</v>
      </c>
      <c r="P410" s="3" t="n">
        <v>4</v>
      </c>
      <c r="Q410" s="3" t="n">
        <v>3</v>
      </c>
      <c r="R410" s="3" t="n">
        <v>3</v>
      </c>
      <c r="S410" s="3" t="n">
        <v>4</v>
      </c>
      <c r="T410" s="3" t="n">
        <v>4</v>
      </c>
      <c r="U410" s="3" t="n">
        <v>4</v>
      </c>
      <c r="V410" s="3" t="n">
        <v>4</v>
      </c>
      <c r="W410" s="3" t="n">
        <v>4</v>
      </c>
      <c r="X410" s="3" t="n">
        <v>3</v>
      </c>
      <c r="Y410" s="3" t="n">
        <v>4</v>
      </c>
      <c r="Z410" s="3" t="n">
        <v>4</v>
      </c>
      <c r="AA410" s="3" t="n">
        <v>3</v>
      </c>
      <c r="AB410" s="3" t="n">
        <v>2</v>
      </c>
      <c r="AC410" s="3" t="n">
        <v>3</v>
      </c>
      <c r="AD410" s="3" t="n">
        <v>3</v>
      </c>
      <c r="AE410" s="3" t="n">
        <v>4</v>
      </c>
      <c r="AF410" s="3" t="n">
        <v>3</v>
      </c>
      <c r="AG410" s="3" t="n">
        <v>4</v>
      </c>
      <c r="AH410" s="3" t="n">
        <v>4</v>
      </c>
      <c r="AI410" s="3" t="n">
        <v>3</v>
      </c>
      <c r="AJ410" s="3" t="n">
        <v>4</v>
      </c>
      <c r="AK410" s="3" t="n">
        <v>3</v>
      </c>
      <c r="AL410" s="3" t="n">
        <v>3</v>
      </c>
      <c r="AM410" s="3" t="n">
        <v>3</v>
      </c>
      <c r="AN410" s="3" t="n">
        <v>3</v>
      </c>
      <c r="AO410" s="3" t="n">
        <v>3</v>
      </c>
    </row>
    <row r="411" customFormat="false" ht="15" hidden="false" customHeight="false" outlineLevel="0" collapsed="false">
      <c r="A411" s="3" t="n">
        <v>0</v>
      </c>
      <c r="B411" s="3" t="n">
        <v>6</v>
      </c>
      <c r="C411" s="3" t="n">
        <v>1</v>
      </c>
      <c r="D411" s="3" t="n">
        <v>1</v>
      </c>
      <c r="E411" s="3" t="n">
        <v>2</v>
      </c>
      <c r="F411" s="3" t="n">
        <v>2</v>
      </c>
      <c r="G411" s="3" t="n">
        <v>2</v>
      </c>
      <c r="H411" s="3" t="n">
        <v>3</v>
      </c>
      <c r="I411" s="3" t="n">
        <v>1</v>
      </c>
      <c r="J411" s="3" t="n">
        <v>22</v>
      </c>
      <c r="K411" s="3" t="n">
        <v>3</v>
      </c>
      <c r="L411" s="3" t="n">
        <v>3</v>
      </c>
      <c r="M411" s="3" t="n">
        <v>5</v>
      </c>
      <c r="N411" s="3" t="n">
        <v>3</v>
      </c>
      <c r="O411" s="3" t="n">
        <v>5</v>
      </c>
      <c r="P411" s="3" t="n">
        <v>3</v>
      </c>
      <c r="Q411" s="3" t="n">
        <v>3</v>
      </c>
      <c r="R411" s="3" t="n">
        <v>3</v>
      </c>
      <c r="S411" s="3" t="n">
        <v>4</v>
      </c>
      <c r="T411" s="3" t="n">
        <v>5</v>
      </c>
      <c r="U411" s="3" t="n">
        <v>4</v>
      </c>
      <c r="V411" s="3" t="n">
        <v>4</v>
      </c>
      <c r="W411" s="3" t="n">
        <v>4</v>
      </c>
      <c r="X411" s="3" t="n">
        <v>4</v>
      </c>
      <c r="Y411" s="3" t="n">
        <v>3</v>
      </c>
      <c r="Z411" s="3" t="n">
        <v>4</v>
      </c>
      <c r="AA411" s="3" t="n">
        <v>5</v>
      </c>
      <c r="AB411" s="3" t="n">
        <v>3</v>
      </c>
      <c r="AC411" s="3" t="n">
        <v>1</v>
      </c>
      <c r="AD411" s="3" t="n">
        <v>2</v>
      </c>
      <c r="AE411" s="3" t="n">
        <v>4</v>
      </c>
      <c r="AF411" s="3" t="n">
        <v>3</v>
      </c>
      <c r="AG411" s="3" t="n">
        <v>2</v>
      </c>
      <c r="AH411" s="3" t="n">
        <v>4</v>
      </c>
      <c r="AI411" s="3" t="n">
        <v>4</v>
      </c>
      <c r="AJ411" s="3" t="n">
        <v>3</v>
      </c>
      <c r="AK411" s="3" t="n">
        <v>3</v>
      </c>
      <c r="AL411" s="3" t="n">
        <v>5</v>
      </c>
      <c r="AM411" s="3" t="n">
        <v>3</v>
      </c>
      <c r="AN411" s="3" t="n">
        <v>3</v>
      </c>
      <c r="AO411" s="3" t="n">
        <v>3</v>
      </c>
    </row>
    <row r="412" customFormat="false" ht="15" hidden="false" customHeight="false" outlineLevel="0" collapsed="false">
      <c r="A412" s="3" t="n">
        <v>0</v>
      </c>
      <c r="B412" s="3" t="n">
        <v>3</v>
      </c>
      <c r="C412" s="3" t="n">
        <v>2</v>
      </c>
      <c r="D412" s="3" t="n">
        <v>1</v>
      </c>
      <c r="E412" s="3" t="n">
        <v>2</v>
      </c>
      <c r="F412" s="3" t="n">
        <v>2</v>
      </c>
      <c r="G412" s="3" t="n">
        <v>3</v>
      </c>
      <c r="H412" s="3" t="n">
        <v>2</v>
      </c>
      <c r="I412" s="3" t="n">
        <v>1</v>
      </c>
      <c r="J412" s="3" t="n">
        <v>21</v>
      </c>
      <c r="K412" s="3" t="n">
        <v>3</v>
      </c>
      <c r="L412" s="3" t="n">
        <v>2</v>
      </c>
      <c r="M412" s="3" t="n">
        <v>4</v>
      </c>
      <c r="N412" s="3" t="n">
        <v>4</v>
      </c>
      <c r="O412" s="3" t="n">
        <v>2</v>
      </c>
      <c r="P412" s="3" t="n">
        <v>2</v>
      </c>
      <c r="Q412" s="3" t="n">
        <v>2</v>
      </c>
      <c r="R412" s="3" t="n">
        <v>2</v>
      </c>
      <c r="S412" s="3" t="n">
        <v>1</v>
      </c>
      <c r="T412" s="3" t="n">
        <v>4</v>
      </c>
      <c r="U412" s="3" t="n">
        <v>4</v>
      </c>
      <c r="V412" s="3" t="n">
        <v>3</v>
      </c>
      <c r="W412" s="3" t="n">
        <v>4</v>
      </c>
      <c r="X412" s="3" t="n">
        <v>3</v>
      </c>
      <c r="Y412" s="3" t="n">
        <v>3</v>
      </c>
      <c r="Z412" s="3" t="n">
        <v>4</v>
      </c>
      <c r="AA412" s="3" t="n">
        <v>4</v>
      </c>
      <c r="AB412" s="3" t="n">
        <v>4</v>
      </c>
      <c r="AC412" s="3" t="n">
        <v>2</v>
      </c>
      <c r="AD412" s="3" t="n">
        <v>3</v>
      </c>
      <c r="AE412" s="3" t="n">
        <v>3</v>
      </c>
      <c r="AF412" s="3" t="n">
        <v>2</v>
      </c>
      <c r="AG412" s="3" t="n">
        <v>3</v>
      </c>
      <c r="AH412" s="3" t="n">
        <v>3</v>
      </c>
      <c r="AI412" s="3" t="n">
        <v>4</v>
      </c>
      <c r="AJ412" s="3" t="n">
        <v>3</v>
      </c>
      <c r="AK412" s="3" t="n">
        <v>3</v>
      </c>
      <c r="AL412" s="3" t="n">
        <v>3</v>
      </c>
      <c r="AM412" s="3" t="n">
        <v>3</v>
      </c>
      <c r="AN412" s="3" t="n">
        <v>2</v>
      </c>
      <c r="AO412" s="3" t="n">
        <v>3</v>
      </c>
    </row>
    <row r="413" customFormat="false" ht="15" hidden="false" customHeight="false" outlineLevel="0" collapsed="false">
      <c r="A413" s="3" t="n">
        <v>0</v>
      </c>
      <c r="B413" s="3" t="n">
        <v>3</v>
      </c>
      <c r="C413" s="3" t="n">
        <v>1</v>
      </c>
      <c r="D413" s="3" t="n">
        <v>2</v>
      </c>
      <c r="E413" s="3" t="n">
        <v>2</v>
      </c>
      <c r="F413" s="3" t="n">
        <v>2</v>
      </c>
      <c r="G413" s="3" t="n">
        <v>1</v>
      </c>
      <c r="H413" s="3" t="n">
        <v>1</v>
      </c>
      <c r="I413" s="3" t="n">
        <v>1</v>
      </c>
      <c r="J413" s="3" t="n">
        <v>22</v>
      </c>
      <c r="K413" s="3" t="n">
        <v>2</v>
      </c>
      <c r="L413" s="3" t="n">
        <v>3</v>
      </c>
      <c r="M413" s="3" t="n">
        <v>3</v>
      </c>
      <c r="N413" s="3" t="n">
        <v>3</v>
      </c>
      <c r="O413" s="3" t="n">
        <v>3</v>
      </c>
      <c r="P413" s="3" t="n">
        <v>2</v>
      </c>
      <c r="Q413" s="3" t="n">
        <v>4</v>
      </c>
      <c r="R413" s="3" t="n">
        <v>2</v>
      </c>
      <c r="S413" s="3" t="n">
        <v>4</v>
      </c>
      <c r="T413" s="3" t="n">
        <v>3</v>
      </c>
      <c r="U413" s="3" t="n">
        <v>4</v>
      </c>
      <c r="V413" s="3" t="n">
        <v>4</v>
      </c>
      <c r="W413" s="3" t="n">
        <v>4</v>
      </c>
      <c r="X413" s="3" t="n">
        <v>3</v>
      </c>
      <c r="Y413" s="3" t="n">
        <v>3</v>
      </c>
      <c r="Z413" s="3" t="n">
        <v>3</v>
      </c>
      <c r="AA413" s="3" t="n">
        <v>3</v>
      </c>
      <c r="AB413" s="3" t="n">
        <v>2</v>
      </c>
      <c r="AC413" s="3" t="n">
        <v>4</v>
      </c>
      <c r="AD413" s="3" t="n">
        <v>3</v>
      </c>
      <c r="AE413" s="3" t="n">
        <v>3</v>
      </c>
      <c r="AF413" s="3" t="n">
        <v>2</v>
      </c>
      <c r="AG413" s="3" t="n">
        <v>2</v>
      </c>
      <c r="AH413" s="3" t="n">
        <v>5</v>
      </c>
      <c r="AI413" s="3" t="n">
        <v>3</v>
      </c>
      <c r="AJ413" s="3" t="n">
        <v>3</v>
      </c>
      <c r="AK413" s="3" t="n">
        <v>4</v>
      </c>
      <c r="AL413" s="3" t="n">
        <v>3</v>
      </c>
      <c r="AM413" s="3" t="n">
        <v>3</v>
      </c>
      <c r="AN413" s="3" t="n">
        <v>4</v>
      </c>
      <c r="AO413" s="3" t="n">
        <v>3</v>
      </c>
    </row>
    <row r="414" customFormat="false" ht="15" hidden="false" customHeight="false" outlineLevel="0" collapsed="false">
      <c r="A414" s="3" t="n">
        <v>0</v>
      </c>
      <c r="B414" s="3" t="n">
        <v>3</v>
      </c>
      <c r="C414" s="3" t="n">
        <v>2</v>
      </c>
      <c r="D414" s="3" t="n">
        <v>1</v>
      </c>
      <c r="E414" s="3" t="n">
        <v>2</v>
      </c>
      <c r="F414" s="3" t="n">
        <v>2</v>
      </c>
      <c r="G414" s="3" t="n">
        <v>1</v>
      </c>
      <c r="H414" s="3" t="n">
        <v>2</v>
      </c>
      <c r="I414" s="3" t="n">
        <v>1</v>
      </c>
      <c r="J414" s="3" t="n">
        <v>22</v>
      </c>
      <c r="K414" s="3" t="n">
        <v>3</v>
      </c>
      <c r="L414" s="3" t="n">
        <v>3</v>
      </c>
      <c r="M414" s="3" t="n">
        <v>3</v>
      </c>
      <c r="N414" s="3" t="n">
        <v>3</v>
      </c>
      <c r="O414" s="3" t="n">
        <v>3</v>
      </c>
      <c r="P414" s="3" t="n">
        <v>3</v>
      </c>
      <c r="Q414" s="3" t="n">
        <v>3</v>
      </c>
      <c r="R414" s="3" t="n">
        <v>3</v>
      </c>
      <c r="S414" s="3" t="n">
        <v>4</v>
      </c>
      <c r="T414" s="3" t="n">
        <v>4</v>
      </c>
      <c r="U414" s="3" t="n">
        <v>4</v>
      </c>
      <c r="V414" s="3" t="n">
        <v>4</v>
      </c>
      <c r="W414" s="3" t="n">
        <v>4</v>
      </c>
      <c r="X414" s="3" t="n">
        <v>4</v>
      </c>
      <c r="Y414" s="3" t="n">
        <v>4</v>
      </c>
      <c r="Z414" s="3" t="n">
        <v>4</v>
      </c>
      <c r="AA414" s="3" t="n">
        <v>4</v>
      </c>
      <c r="AB414" s="3" t="n">
        <v>3</v>
      </c>
      <c r="AC414" s="3" t="n">
        <v>3</v>
      </c>
      <c r="AD414" s="3" t="n">
        <v>3</v>
      </c>
      <c r="AE414" s="3" t="n">
        <v>4</v>
      </c>
      <c r="AF414" s="3" t="n">
        <v>3</v>
      </c>
      <c r="AG414" s="3" t="n">
        <v>4</v>
      </c>
      <c r="AH414" s="3" t="n">
        <v>4</v>
      </c>
      <c r="AI414" s="3" t="n">
        <v>4</v>
      </c>
      <c r="AJ414" s="3" t="n">
        <v>4</v>
      </c>
      <c r="AK414" s="3" t="n">
        <v>2</v>
      </c>
      <c r="AL414" s="3" t="n">
        <v>4</v>
      </c>
      <c r="AM414" s="3" t="n">
        <v>3</v>
      </c>
      <c r="AN414" s="3" t="n">
        <v>3</v>
      </c>
      <c r="AO414" s="3" t="n">
        <v>3</v>
      </c>
    </row>
    <row r="415" customFormat="false" ht="15" hidden="false" customHeight="false" outlineLevel="0" collapsed="false">
      <c r="A415" s="3" t="n">
        <v>0</v>
      </c>
      <c r="B415" s="3" t="n">
        <v>3</v>
      </c>
      <c r="C415" s="3" t="n">
        <v>2</v>
      </c>
      <c r="D415" s="3" t="n">
        <v>1</v>
      </c>
      <c r="E415" s="3" t="n">
        <v>2</v>
      </c>
      <c r="F415" s="3" t="n">
        <v>2</v>
      </c>
      <c r="G415" s="3" t="n">
        <v>1</v>
      </c>
      <c r="H415" s="3" t="n">
        <v>3</v>
      </c>
      <c r="I415" s="3" t="n">
        <v>1</v>
      </c>
      <c r="J415" s="3" t="n">
        <v>21</v>
      </c>
      <c r="K415" s="3" t="n">
        <v>4</v>
      </c>
      <c r="L415" s="3" t="n">
        <v>4</v>
      </c>
      <c r="M415" s="3" t="n">
        <v>4</v>
      </c>
      <c r="N415" s="3" t="n">
        <v>3</v>
      </c>
      <c r="O415" s="3" t="n">
        <v>4</v>
      </c>
      <c r="P415" s="3" t="n">
        <v>3</v>
      </c>
      <c r="Q415" s="3" t="n">
        <v>4</v>
      </c>
      <c r="R415" s="3" t="n">
        <v>4</v>
      </c>
      <c r="S415" s="3" t="n">
        <v>2</v>
      </c>
      <c r="T415" s="3" t="n">
        <v>4</v>
      </c>
      <c r="U415" s="3" t="n">
        <v>3</v>
      </c>
      <c r="V415" s="3" t="n">
        <v>4</v>
      </c>
      <c r="W415" s="3" t="n">
        <v>4</v>
      </c>
      <c r="X415" s="3" t="n">
        <v>3</v>
      </c>
      <c r="Y415" s="3" t="n">
        <v>3</v>
      </c>
      <c r="Z415" s="3" t="n">
        <v>4</v>
      </c>
      <c r="AA415" s="3" t="n">
        <v>3</v>
      </c>
      <c r="AB415" s="3" t="n">
        <v>2</v>
      </c>
      <c r="AC415" s="3" t="n">
        <v>4</v>
      </c>
      <c r="AD415" s="3" t="n">
        <v>3</v>
      </c>
      <c r="AE415" s="3" t="n">
        <v>5</v>
      </c>
      <c r="AF415" s="3" t="n">
        <v>3</v>
      </c>
      <c r="AG415" s="3" t="n">
        <v>3</v>
      </c>
      <c r="AH415" s="3" t="n">
        <v>3</v>
      </c>
      <c r="AI415" s="3" t="n">
        <v>2</v>
      </c>
      <c r="AJ415" s="3" t="n">
        <v>3</v>
      </c>
      <c r="AK415" s="3" t="n">
        <v>3</v>
      </c>
      <c r="AL415" s="3" t="n">
        <v>3</v>
      </c>
      <c r="AM415" s="3" t="n">
        <v>3</v>
      </c>
      <c r="AN415" s="3" t="n">
        <v>4</v>
      </c>
      <c r="AO415" s="3" t="n">
        <v>3</v>
      </c>
    </row>
    <row r="416" customFormat="false" ht="15" hidden="false" customHeight="false" outlineLevel="0" collapsed="false">
      <c r="A416" s="3" t="n">
        <v>0</v>
      </c>
      <c r="B416" s="3" t="n">
        <v>3</v>
      </c>
      <c r="C416" s="3" t="n">
        <v>2</v>
      </c>
      <c r="D416" s="3" t="n">
        <v>1</v>
      </c>
      <c r="E416" s="3" t="n">
        <v>2</v>
      </c>
      <c r="F416" s="3" t="n">
        <v>2</v>
      </c>
      <c r="G416" s="3" t="n">
        <v>1</v>
      </c>
      <c r="H416" s="3" t="n">
        <v>3</v>
      </c>
      <c r="I416" s="3" t="n">
        <v>1</v>
      </c>
      <c r="J416" s="3" t="n">
        <v>21</v>
      </c>
      <c r="K416" s="3" t="n">
        <v>3</v>
      </c>
      <c r="L416" s="3" t="n">
        <v>3</v>
      </c>
      <c r="M416" s="3" t="n">
        <v>4</v>
      </c>
      <c r="N416" s="3" t="n">
        <v>4</v>
      </c>
      <c r="O416" s="3" t="n">
        <v>4</v>
      </c>
      <c r="P416" s="3" t="n">
        <v>3</v>
      </c>
      <c r="Q416" s="3" t="n">
        <v>4</v>
      </c>
      <c r="R416" s="3" t="n">
        <v>4</v>
      </c>
      <c r="S416" s="3" t="n">
        <v>4</v>
      </c>
      <c r="T416" s="3" t="n">
        <v>3</v>
      </c>
      <c r="U416" s="3" t="n">
        <v>3</v>
      </c>
      <c r="V416" s="3" t="n">
        <v>4</v>
      </c>
      <c r="W416" s="3" t="n">
        <v>4</v>
      </c>
      <c r="X416" s="3" t="n">
        <v>3</v>
      </c>
      <c r="Y416" s="3" t="n">
        <v>3</v>
      </c>
      <c r="Z416" s="3" t="n">
        <v>4</v>
      </c>
      <c r="AA416" s="3" t="n">
        <v>4</v>
      </c>
      <c r="AB416" s="3" t="n">
        <v>3</v>
      </c>
      <c r="AC416" s="3" t="n">
        <v>4</v>
      </c>
      <c r="AD416" s="3" t="n">
        <v>3</v>
      </c>
      <c r="AE416" s="3" t="n">
        <v>3</v>
      </c>
      <c r="AF416" s="3" t="n">
        <v>4</v>
      </c>
      <c r="AG416" s="3" t="n">
        <v>3</v>
      </c>
      <c r="AH416" s="3" t="n">
        <v>4</v>
      </c>
      <c r="AI416" s="3" t="n">
        <v>4</v>
      </c>
      <c r="AJ416" s="3" t="n">
        <v>2</v>
      </c>
      <c r="AK416" s="3" t="n">
        <v>3</v>
      </c>
      <c r="AL416" s="3" t="n">
        <v>3</v>
      </c>
      <c r="AM416" s="3" t="n">
        <v>3</v>
      </c>
      <c r="AN416" s="3" t="n">
        <v>5</v>
      </c>
      <c r="AO416" s="3" t="n">
        <v>3</v>
      </c>
    </row>
    <row r="417" customFormat="false" ht="15" hidden="false" customHeight="false" outlineLevel="0" collapsed="false">
      <c r="A417" s="3" t="n">
        <v>0</v>
      </c>
      <c r="B417" s="3" t="n">
        <v>3</v>
      </c>
      <c r="C417" s="3" t="n">
        <v>1</v>
      </c>
      <c r="D417" s="3" t="n">
        <v>2</v>
      </c>
      <c r="E417" s="3" t="n">
        <v>1</v>
      </c>
      <c r="F417" s="3" t="n">
        <v>2</v>
      </c>
      <c r="G417" s="3" t="n">
        <v>3</v>
      </c>
      <c r="H417" s="3" t="n">
        <v>1</v>
      </c>
      <c r="I417" s="3" t="n">
        <v>1</v>
      </c>
      <c r="J417" s="3" t="n">
        <v>22</v>
      </c>
      <c r="K417" s="3" t="n">
        <v>4</v>
      </c>
      <c r="L417" s="3" t="n">
        <v>2</v>
      </c>
      <c r="M417" s="3" t="n">
        <v>4</v>
      </c>
      <c r="N417" s="3" t="n">
        <v>4</v>
      </c>
      <c r="O417" s="3" t="n">
        <v>4</v>
      </c>
      <c r="P417" s="3" t="n">
        <v>4</v>
      </c>
      <c r="Q417" s="3" t="n">
        <v>4</v>
      </c>
      <c r="R417" s="3" t="n">
        <v>3</v>
      </c>
      <c r="S417" s="3" t="n">
        <v>3</v>
      </c>
      <c r="T417" s="3" t="n">
        <v>4</v>
      </c>
      <c r="U417" s="3" t="n">
        <v>5</v>
      </c>
      <c r="V417" s="3" t="n">
        <v>2</v>
      </c>
      <c r="W417" s="3" t="n">
        <v>4</v>
      </c>
      <c r="X417" s="3" t="n">
        <v>3</v>
      </c>
      <c r="Y417" s="3" t="n">
        <v>3</v>
      </c>
      <c r="Z417" s="3" t="n">
        <v>4</v>
      </c>
      <c r="AA417" s="3" t="n">
        <v>4</v>
      </c>
      <c r="AB417" s="3" t="n">
        <v>4</v>
      </c>
      <c r="AC417" s="3" t="n">
        <v>2</v>
      </c>
      <c r="AD417" s="3" t="n">
        <v>3</v>
      </c>
      <c r="AE417" s="3" t="n">
        <v>4</v>
      </c>
      <c r="AF417" s="3" t="n">
        <v>3</v>
      </c>
      <c r="AG417" s="3" t="n">
        <v>4</v>
      </c>
      <c r="AH417" s="3" t="n">
        <v>4</v>
      </c>
      <c r="AI417" s="3" t="n">
        <v>4</v>
      </c>
      <c r="AJ417" s="3" t="n">
        <v>3</v>
      </c>
      <c r="AK417" s="3" t="n">
        <v>4</v>
      </c>
      <c r="AL417" s="3" t="n">
        <v>4</v>
      </c>
      <c r="AM417" s="3" t="n">
        <v>3</v>
      </c>
      <c r="AN417" s="3" t="n">
        <v>2</v>
      </c>
      <c r="AO417" s="3" t="n">
        <v>3</v>
      </c>
    </row>
    <row r="418" customFormat="false" ht="15" hidden="false" customHeight="false" outlineLevel="0" collapsed="false">
      <c r="A418" s="3" t="n">
        <v>0</v>
      </c>
      <c r="B418" s="3" t="n">
        <v>4</v>
      </c>
      <c r="C418" s="3" t="n">
        <v>1</v>
      </c>
      <c r="D418" s="3" t="n">
        <v>1</v>
      </c>
      <c r="E418" s="3" t="n">
        <v>2</v>
      </c>
      <c r="F418" s="3" t="n">
        <v>2</v>
      </c>
      <c r="G418" s="3" t="n">
        <v>2</v>
      </c>
      <c r="H418" s="3" t="n">
        <v>1</v>
      </c>
      <c r="I418" s="3" t="n">
        <v>3</v>
      </c>
      <c r="J418" s="3" t="n">
        <v>25</v>
      </c>
      <c r="K418" s="3" t="n">
        <v>4</v>
      </c>
      <c r="L418" s="3" t="n">
        <v>4</v>
      </c>
      <c r="M418" s="3" t="n">
        <v>4</v>
      </c>
      <c r="N418" s="3" t="n">
        <v>4</v>
      </c>
      <c r="O418" s="3" t="n">
        <v>4</v>
      </c>
      <c r="P418" s="3" t="n">
        <v>4</v>
      </c>
      <c r="Q418" s="3" t="n">
        <v>4</v>
      </c>
      <c r="R418" s="3" t="n">
        <v>3</v>
      </c>
      <c r="S418" s="3" t="n">
        <v>5</v>
      </c>
      <c r="T418" s="3" t="n">
        <v>5</v>
      </c>
      <c r="U418" s="3" t="n">
        <v>4</v>
      </c>
      <c r="V418" s="3" t="n">
        <v>3</v>
      </c>
      <c r="W418" s="3" t="n">
        <v>3</v>
      </c>
      <c r="X418" s="3" t="n">
        <v>2</v>
      </c>
      <c r="Y418" s="3" t="n">
        <v>3</v>
      </c>
      <c r="Z418" s="3" t="n">
        <v>4</v>
      </c>
      <c r="AA418" s="3" t="n">
        <v>3</v>
      </c>
      <c r="AB418" s="3" t="n">
        <v>2</v>
      </c>
      <c r="AC418" s="3" t="n">
        <v>2</v>
      </c>
      <c r="AD418" s="3" t="n">
        <v>4</v>
      </c>
      <c r="AE418" s="3" t="n">
        <v>4</v>
      </c>
      <c r="AF418" s="3" t="n">
        <v>4</v>
      </c>
      <c r="AG418" s="3" t="n">
        <v>4</v>
      </c>
      <c r="AH418" s="3" t="n">
        <v>4</v>
      </c>
      <c r="AI418" s="3" t="n">
        <v>4</v>
      </c>
      <c r="AJ418" s="3" t="n">
        <v>4</v>
      </c>
      <c r="AK418" s="3" t="n">
        <v>4</v>
      </c>
      <c r="AL418" s="3" t="n">
        <v>3</v>
      </c>
      <c r="AM418" s="3" t="n">
        <v>3</v>
      </c>
      <c r="AN418" s="3" t="n">
        <v>4</v>
      </c>
      <c r="AO418" s="3" t="n">
        <v>2</v>
      </c>
    </row>
    <row r="419" customFormat="false" ht="15" hidden="false" customHeight="false" outlineLevel="0" collapsed="false">
      <c r="A419" s="3" t="n">
        <v>0</v>
      </c>
      <c r="B419" s="3" t="n">
        <v>1</v>
      </c>
      <c r="C419" s="3" t="n">
        <v>2</v>
      </c>
      <c r="D419" s="3" t="n">
        <v>2</v>
      </c>
      <c r="E419" s="3" t="n">
        <v>2</v>
      </c>
      <c r="F419" s="3" t="n">
        <v>2</v>
      </c>
      <c r="G419" s="3" t="n">
        <v>3</v>
      </c>
      <c r="H419" s="3" t="n">
        <v>1</v>
      </c>
      <c r="I419" s="3" t="n">
        <v>2</v>
      </c>
      <c r="J419" s="3" t="n">
        <v>22</v>
      </c>
      <c r="K419" s="3" t="n">
        <v>4</v>
      </c>
      <c r="L419" s="3" t="n">
        <v>3</v>
      </c>
      <c r="M419" s="3" t="n">
        <v>3</v>
      </c>
      <c r="N419" s="3" t="n">
        <v>3</v>
      </c>
      <c r="O419" s="3" t="n">
        <v>4</v>
      </c>
      <c r="P419" s="3" t="n">
        <v>2</v>
      </c>
      <c r="Q419" s="3" t="n">
        <v>2</v>
      </c>
      <c r="R419" s="3" t="n">
        <v>2</v>
      </c>
      <c r="S419" s="3" t="n">
        <v>3</v>
      </c>
      <c r="T419" s="3" t="n">
        <v>2</v>
      </c>
      <c r="U419" s="3" t="n">
        <v>4</v>
      </c>
      <c r="V419" s="3" t="n">
        <v>3</v>
      </c>
      <c r="W419" s="3" t="n">
        <v>4</v>
      </c>
      <c r="X419" s="3" t="n">
        <v>4</v>
      </c>
      <c r="Y419" s="3" t="n">
        <v>4</v>
      </c>
      <c r="Z419" s="3" t="n">
        <v>4</v>
      </c>
      <c r="AA419" s="3" t="n">
        <v>2</v>
      </c>
      <c r="AB419" s="3" t="n">
        <v>3</v>
      </c>
      <c r="AC419" s="3" t="n">
        <v>1</v>
      </c>
      <c r="AD419" s="3" t="n">
        <v>1</v>
      </c>
      <c r="AE419" s="3" t="n">
        <v>3</v>
      </c>
      <c r="AF419" s="3" t="n">
        <v>4</v>
      </c>
      <c r="AG419" s="3" t="n">
        <v>4</v>
      </c>
      <c r="AH419" s="3" t="n">
        <v>3</v>
      </c>
      <c r="AI419" s="3" t="n">
        <v>4</v>
      </c>
      <c r="AJ419" s="3" t="n">
        <v>4</v>
      </c>
      <c r="AK419" s="3" t="n">
        <v>2</v>
      </c>
      <c r="AL419" s="3" t="n">
        <v>3</v>
      </c>
      <c r="AM419" s="3" t="n">
        <v>3</v>
      </c>
      <c r="AN419" s="3" t="n">
        <v>2</v>
      </c>
      <c r="AO419" s="3" t="n">
        <v>3</v>
      </c>
    </row>
    <row r="420" customFormat="false" ht="15" hidden="false" customHeight="false" outlineLevel="0" collapsed="false">
      <c r="A420" s="3" t="n">
        <v>0</v>
      </c>
      <c r="B420" s="3" t="n">
        <v>6</v>
      </c>
      <c r="C420" s="3" t="n">
        <v>1</v>
      </c>
      <c r="D420" s="3" t="n">
        <v>2</v>
      </c>
      <c r="E420" s="3" t="n">
        <v>2</v>
      </c>
      <c r="F420" s="3" t="n">
        <v>2</v>
      </c>
      <c r="G420" s="3" t="n">
        <v>2</v>
      </c>
      <c r="H420" s="3" t="n">
        <v>3</v>
      </c>
      <c r="I420" s="3" t="n">
        <v>1</v>
      </c>
      <c r="J420" s="3" t="n">
        <v>21</v>
      </c>
      <c r="K420" s="3" t="n">
        <v>4</v>
      </c>
      <c r="L420" s="3" t="n">
        <v>3</v>
      </c>
      <c r="M420" s="3" t="n">
        <v>2</v>
      </c>
      <c r="N420" s="3" t="n">
        <v>3</v>
      </c>
      <c r="O420" s="3" t="n">
        <v>3</v>
      </c>
      <c r="P420" s="3" t="n">
        <v>3</v>
      </c>
      <c r="Q420" s="3" t="n">
        <v>3</v>
      </c>
      <c r="R420" s="3" t="n">
        <v>3</v>
      </c>
      <c r="S420" s="3" t="n">
        <v>3</v>
      </c>
      <c r="T420" s="3" t="n">
        <v>4</v>
      </c>
      <c r="U420" s="3" t="n">
        <v>4</v>
      </c>
      <c r="V420" s="3" t="n">
        <v>4</v>
      </c>
      <c r="W420" s="3" t="n">
        <v>4</v>
      </c>
      <c r="X420" s="3" t="n">
        <v>4</v>
      </c>
      <c r="Y420" s="3" t="n">
        <v>4</v>
      </c>
      <c r="Z420" s="3" t="n">
        <v>4</v>
      </c>
      <c r="AA420" s="3" t="n">
        <v>3</v>
      </c>
      <c r="AB420" s="3" t="n">
        <v>3</v>
      </c>
      <c r="AC420" s="3" t="n">
        <v>3</v>
      </c>
      <c r="AD420" s="3" t="n">
        <v>3</v>
      </c>
      <c r="AE420" s="3" t="n">
        <v>3</v>
      </c>
      <c r="AF420" s="3" t="n">
        <v>2</v>
      </c>
      <c r="AG420" s="3" t="n">
        <v>3</v>
      </c>
      <c r="AH420" s="3" t="n">
        <v>2</v>
      </c>
      <c r="AI420" s="3" t="n">
        <v>2</v>
      </c>
      <c r="AJ420" s="3" t="n">
        <v>4</v>
      </c>
      <c r="AK420" s="3" t="n">
        <v>3</v>
      </c>
      <c r="AL420" s="3" t="n">
        <v>3</v>
      </c>
      <c r="AM420" s="3" t="n">
        <v>3</v>
      </c>
      <c r="AN420" s="3" t="n">
        <v>3</v>
      </c>
      <c r="AO420" s="3" t="n">
        <v>3</v>
      </c>
    </row>
    <row r="421" customFormat="false" ht="15" hidden="false" customHeight="false" outlineLevel="0" collapsed="false">
      <c r="A421" s="3" t="n">
        <v>0</v>
      </c>
      <c r="B421" s="3" t="n">
        <v>1</v>
      </c>
      <c r="C421" s="3" t="n">
        <v>1</v>
      </c>
      <c r="D421" s="3" t="n">
        <v>2</v>
      </c>
      <c r="E421" s="3" t="n">
        <v>2</v>
      </c>
      <c r="F421" s="3" t="n">
        <v>2</v>
      </c>
      <c r="G421" s="3" t="n">
        <v>3</v>
      </c>
      <c r="H421" s="3" t="n">
        <v>2</v>
      </c>
      <c r="I421" s="3" t="n">
        <v>1</v>
      </c>
      <c r="J421" s="3" t="n">
        <v>22</v>
      </c>
      <c r="K421" s="3" t="n">
        <v>4</v>
      </c>
      <c r="L421" s="3" t="n">
        <v>2</v>
      </c>
      <c r="M421" s="3" t="n">
        <v>2</v>
      </c>
      <c r="N421" s="3" t="n">
        <v>1</v>
      </c>
      <c r="O421" s="3" t="n">
        <v>5</v>
      </c>
      <c r="P421" s="3" t="n">
        <v>4</v>
      </c>
      <c r="Q421" s="3" t="n">
        <v>1</v>
      </c>
      <c r="R421" s="3" t="n">
        <v>2</v>
      </c>
      <c r="S421" s="3" t="n">
        <v>4</v>
      </c>
      <c r="T421" s="3" t="n">
        <v>5</v>
      </c>
      <c r="U421" s="3" t="n">
        <v>4</v>
      </c>
      <c r="V421" s="3" t="n">
        <v>3</v>
      </c>
      <c r="W421" s="3" t="n">
        <v>3</v>
      </c>
      <c r="X421" s="3" t="n">
        <v>2</v>
      </c>
      <c r="Y421" s="3" t="n">
        <v>3</v>
      </c>
      <c r="Z421" s="3" t="n">
        <v>3</v>
      </c>
      <c r="AA421" s="3" t="n">
        <v>4</v>
      </c>
      <c r="AB421" s="3" t="n">
        <v>2</v>
      </c>
      <c r="AC421" s="3" t="n">
        <v>1</v>
      </c>
      <c r="AD421" s="3" t="n">
        <v>1</v>
      </c>
      <c r="AE421" s="3" t="n">
        <v>4</v>
      </c>
      <c r="AF421" s="3" t="n">
        <v>3</v>
      </c>
      <c r="AG421" s="3" t="n">
        <v>3</v>
      </c>
      <c r="AH421" s="3" t="n">
        <v>4</v>
      </c>
      <c r="AI421" s="3" t="n">
        <v>4</v>
      </c>
      <c r="AJ421" s="3" t="n">
        <v>5</v>
      </c>
      <c r="AK421" s="3" t="n">
        <v>2</v>
      </c>
      <c r="AL421" s="3" t="n">
        <v>5</v>
      </c>
      <c r="AM421" s="3" t="n">
        <v>4</v>
      </c>
      <c r="AN421" s="3" t="n">
        <v>3</v>
      </c>
      <c r="AO421" s="3" t="n">
        <v>3</v>
      </c>
    </row>
    <row r="422" customFormat="false" ht="15" hidden="false" customHeight="false" outlineLevel="0" collapsed="false">
      <c r="A422" s="3" t="n">
        <v>0</v>
      </c>
      <c r="B422" s="3" t="n">
        <v>3</v>
      </c>
      <c r="C422" s="3" t="n">
        <v>2</v>
      </c>
      <c r="D422" s="3" t="n">
        <v>1</v>
      </c>
      <c r="E422" s="3" t="n">
        <v>2</v>
      </c>
      <c r="F422" s="3" t="n">
        <v>2</v>
      </c>
      <c r="G422" s="3" t="n">
        <v>1</v>
      </c>
      <c r="H422" s="3" t="n">
        <v>3</v>
      </c>
      <c r="I422" s="3" t="n">
        <v>1</v>
      </c>
      <c r="J422" s="3" t="n">
        <v>21</v>
      </c>
      <c r="K422" s="3" t="n">
        <v>4</v>
      </c>
      <c r="L422" s="3" t="n">
        <v>4</v>
      </c>
      <c r="M422" s="3" t="n">
        <v>2</v>
      </c>
      <c r="N422" s="3" t="n">
        <v>4</v>
      </c>
      <c r="O422" s="3" t="n">
        <v>4</v>
      </c>
      <c r="P422" s="3" t="n">
        <v>3</v>
      </c>
      <c r="Q422" s="3" t="n">
        <v>4</v>
      </c>
      <c r="R422" s="3" t="n">
        <v>3</v>
      </c>
      <c r="S422" s="3" t="n">
        <v>4</v>
      </c>
      <c r="T422" s="3" t="n">
        <v>4</v>
      </c>
      <c r="U422" s="3" t="n">
        <v>5</v>
      </c>
      <c r="V422" s="3" t="n">
        <v>4</v>
      </c>
      <c r="W422" s="3" t="n">
        <v>5</v>
      </c>
      <c r="X422" s="3" t="n">
        <v>4</v>
      </c>
      <c r="Y422" s="3" t="n">
        <v>4</v>
      </c>
      <c r="Z422" s="3" t="n">
        <v>5</v>
      </c>
      <c r="AA422" s="3" t="n">
        <v>2</v>
      </c>
      <c r="AB422" s="3" t="n">
        <v>4</v>
      </c>
      <c r="AC422" s="3" t="n">
        <v>2</v>
      </c>
      <c r="AD422" s="3" t="n">
        <v>2</v>
      </c>
      <c r="AE422" s="3" t="n">
        <v>4</v>
      </c>
      <c r="AF422" s="3" t="n">
        <v>3</v>
      </c>
      <c r="AG422" s="3" t="n">
        <v>4</v>
      </c>
      <c r="AH422" s="3" t="n">
        <v>4</v>
      </c>
      <c r="AI422" s="3" t="n">
        <v>4</v>
      </c>
      <c r="AJ422" s="3" t="n">
        <v>5</v>
      </c>
      <c r="AK422" s="3" t="n">
        <v>3</v>
      </c>
      <c r="AL422" s="3" t="n">
        <v>3</v>
      </c>
      <c r="AM422" s="3" t="n">
        <v>3</v>
      </c>
      <c r="AN422" s="3" t="n">
        <v>4</v>
      </c>
      <c r="AO422" s="3" t="n">
        <v>4</v>
      </c>
    </row>
    <row r="423" customFormat="false" ht="15" hidden="false" customHeight="false" outlineLevel="0" collapsed="false">
      <c r="A423" s="3" t="n">
        <v>1</v>
      </c>
      <c r="B423" s="3" t="n">
        <v>4</v>
      </c>
      <c r="C423" s="3" t="n">
        <v>2</v>
      </c>
      <c r="D423" s="3" t="n">
        <v>1</v>
      </c>
      <c r="E423" s="3" t="n">
        <v>2</v>
      </c>
      <c r="F423" s="3" t="n">
        <v>2</v>
      </c>
      <c r="G423" s="3" t="n">
        <v>3</v>
      </c>
      <c r="H423" s="3" t="n">
        <v>2</v>
      </c>
      <c r="I423" s="3" t="n">
        <v>3</v>
      </c>
      <c r="J423" s="3" t="n">
        <v>26</v>
      </c>
      <c r="K423" s="3" t="n">
        <v>3</v>
      </c>
      <c r="L423" s="3" t="n">
        <v>4</v>
      </c>
      <c r="M423" s="3" t="n">
        <v>2</v>
      </c>
      <c r="N423" s="3" t="n">
        <v>4</v>
      </c>
      <c r="O423" s="3" t="n">
        <v>4</v>
      </c>
      <c r="P423" s="3" t="n">
        <v>4</v>
      </c>
      <c r="Q423" s="3" t="n">
        <v>2</v>
      </c>
      <c r="R423" s="3" t="n">
        <v>2</v>
      </c>
      <c r="S423" s="3" t="n">
        <v>4</v>
      </c>
      <c r="T423" s="3" t="n">
        <v>5</v>
      </c>
      <c r="U423" s="3" t="n">
        <v>5</v>
      </c>
      <c r="V423" s="3" t="n">
        <v>2</v>
      </c>
      <c r="W423" s="3" t="n">
        <v>3</v>
      </c>
      <c r="X423" s="3" t="n">
        <v>4</v>
      </c>
      <c r="Y423" s="3" t="n">
        <v>2</v>
      </c>
      <c r="Z423" s="3" t="n">
        <v>3</v>
      </c>
      <c r="AA423" s="3" t="n">
        <v>1</v>
      </c>
      <c r="AB423" s="3" t="n">
        <v>2</v>
      </c>
      <c r="AC423" s="3" t="n">
        <v>2</v>
      </c>
      <c r="AD423" s="3" t="n">
        <v>2</v>
      </c>
      <c r="AE423" s="3" t="n">
        <v>4</v>
      </c>
      <c r="AF423" s="3" t="n">
        <v>4</v>
      </c>
      <c r="AG423" s="3" t="n">
        <v>4</v>
      </c>
      <c r="AH423" s="3" t="n">
        <v>4</v>
      </c>
      <c r="AI423" s="3" t="n">
        <v>4</v>
      </c>
      <c r="AJ423" s="3" t="n">
        <v>4</v>
      </c>
      <c r="AK423" s="3" t="n">
        <v>2</v>
      </c>
      <c r="AL423" s="3" t="n">
        <v>4</v>
      </c>
      <c r="AM423" s="3" t="n">
        <v>4</v>
      </c>
      <c r="AN423" s="3" t="n">
        <v>2</v>
      </c>
      <c r="AO423" s="3" t="n">
        <v>3</v>
      </c>
    </row>
    <row r="424" customFormat="false" ht="15" hidden="false" customHeight="false" outlineLevel="0" collapsed="false">
      <c r="A424" s="3" t="n">
        <v>1</v>
      </c>
      <c r="B424" s="3" t="n">
        <v>6</v>
      </c>
      <c r="C424" s="3" t="n">
        <v>1</v>
      </c>
      <c r="D424" s="3" t="n">
        <v>1</v>
      </c>
      <c r="E424" s="3" t="n">
        <v>2</v>
      </c>
      <c r="F424" s="3" t="n">
        <v>2</v>
      </c>
      <c r="G424" s="3" t="n">
        <v>3</v>
      </c>
      <c r="H424" s="3" t="n">
        <v>1</v>
      </c>
      <c r="I424" s="3" t="n">
        <v>1</v>
      </c>
      <c r="J424" s="3" t="n">
        <v>22</v>
      </c>
      <c r="K424" s="3" t="n">
        <v>3</v>
      </c>
      <c r="L424" s="3" t="n">
        <v>4</v>
      </c>
      <c r="M424" s="3" t="n">
        <v>2</v>
      </c>
      <c r="N424" s="3" t="n">
        <v>4</v>
      </c>
      <c r="O424" s="3" t="n">
        <v>4</v>
      </c>
      <c r="P424" s="3" t="n">
        <v>4</v>
      </c>
      <c r="Q424" s="3" t="n">
        <v>4</v>
      </c>
      <c r="R424" s="3" t="n">
        <v>1</v>
      </c>
      <c r="S424" s="3" t="n">
        <v>4</v>
      </c>
      <c r="T424" s="3" t="n">
        <v>5</v>
      </c>
      <c r="U424" s="3" t="n">
        <v>5</v>
      </c>
      <c r="V424" s="3" t="n">
        <v>3</v>
      </c>
      <c r="W424" s="3" t="n">
        <v>3</v>
      </c>
      <c r="X424" s="3" t="n">
        <v>2</v>
      </c>
      <c r="Y424" s="3" t="n">
        <v>2</v>
      </c>
      <c r="Z424" s="3" t="n">
        <v>3</v>
      </c>
      <c r="AA424" s="3" t="n">
        <v>4</v>
      </c>
      <c r="AB424" s="3" t="n">
        <v>4</v>
      </c>
      <c r="AC424" s="3" t="n">
        <v>2</v>
      </c>
      <c r="AD424" s="3" t="n">
        <v>2</v>
      </c>
      <c r="AE424" s="3" t="n">
        <v>4</v>
      </c>
      <c r="AF424" s="3" t="n">
        <v>2</v>
      </c>
      <c r="AG424" s="3" t="n">
        <v>4</v>
      </c>
      <c r="AH424" s="3" t="n">
        <v>4</v>
      </c>
      <c r="AI424" s="3" t="n">
        <v>4</v>
      </c>
      <c r="AJ424" s="3" t="n">
        <v>3</v>
      </c>
      <c r="AK424" s="3" t="n">
        <v>3</v>
      </c>
      <c r="AL424" s="3" t="n">
        <v>5</v>
      </c>
      <c r="AM424" s="3" t="n">
        <v>4</v>
      </c>
      <c r="AN424" s="3" t="n">
        <v>2</v>
      </c>
      <c r="AO424" s="3" t="n">
        <v>4</v>
      </c>
    </row>
    <row r="425" customFormat="false" ht="15" hidden="false" customHeight="false" outlineLevel="0" collapsed="false">
      <c r="A425" s="3" t="n">
        <v>0</v>
      </c>
      <c r="B425" s="3" t="n">
        <v>4</v>
      </c>
      <c r="C425" s="3" t="n">
        <v>1</v>
      </c>
      <c r="D425" s="3" t="n">
        <v>1</v>
      </c>
      <c r="E425" s="3" t="n">
        <v>2</v>
      </c>
      <c r="F425" s="3" t="n">
        <v>2</v>
      </c>
      <c r="G425" s="3" t="n">
        <v>2</v>
      </c>
      <c r="H425" s="3" t="n">
        <v>1</v>
      </c>
      <c r="I425" s="3" t="n">
        <v>3</v>
      </c>
      <c r="J425" s="3" t="n">
        <v>25</v>
      </c>
      <c r="K425" s="3" t="n">
        <v>3</v>
      </c>
      <c r="L425" s="3" t="n">
        <v>4</v>
      </c>
      <c r="M425" s="3" t="n">
        <v>3</v>
      </c>
      <c r="N425" s="3" t="n">
        <v>3</v>
      </c>
      <c r="O425" s="3" t="n">
        <v>4</v>
      </c>
      <c r="P425" s="3" t="n">
        <v>2</v>
      </c>
      <c r="Q425" s="3" t="n">
        <v>2</v>
      </c>
      <c r="R425" s="3" t="n">
        <v>3</v>
      </c>
      <c r="S425" s="3" t="n">
        <v>4</v>
      </c>
      <c r="T425" s="3" t="n">
        <v>5</v>
      </c>
      <c r="U425" s="3" t="n">
        <v>5</v>
      </c>
      <c r="V425" s="3" t="n">
        <v>4</v>
      </c>
      <c r="W425" s="3" t="n">
        <v>5</v>
      </c>
      <c r="X425" s="3" t="n">
        <v>3</v>
      </c>
      <c r="Y425" s="3" t="n">
        <v>5</v>
      </c>
      <c r="Z425" s="3" t="n">
        <v>4</v>
      </c>
      <c r="AA425" s="3" t="n">
        <v>2</v>
      </c>
      <c r="AB425" s="3" t="n">
        <v>4</v>
      </c>
      <c r="AC425" s="3" t="n">
        <v>3</v>
      </c>
      <c r="AD425" s="3" t="n">
        <v>4</v>
      </c>
      <c r="AE425" s="3" t="n">
        <v>4</v>
      </c>
      <c r="AF425" s="3" t="n">
        <v>3</v>
      </c>
      <c r="AG425" s="3" t="n">
        <v>5</v>
      </c>
      <c r="AH425" s="3" t="n">
        <v>3</v>
      </c>
      <c r="AI425" s="3" t="n">
        <v>3</v>
      </c>
      <c r="AJ425" s="3" t="n">
        <v>5</v>
      </c>
      <c r="AK425" s="3" t="n">
        <v>3</v>
      </c>
      <c r="AL425" s="3" t="n">
        <v>5</v>
      </c>
      <c r="AM425" s="3" t="n">
        <v>3</v>
      </c>
      <c r="AN425" s="3" t="n">
        <v>4</v>
      </c>
      <c r="AO425" s="3" t="n">
        <v>3</v>
      </c>
    </row>
    <row r="426" customFormat="false" ht="15" hidden="false" customHeight="false" outlineLevel="0" collapsed="false">
      <c r="A426" s="3" t="n">
        <v>1</v>
      </c>
      <c r="B426" s="3" t="n">
        <v>3</v>
      </c>
      <c r="C426" s="3" t="n">
        <v>1</v>
      </c>
      <c r="D426" s="3" t="n">
        <v>1</v>
      </c>
      <c r="E426" s="3" t="n">
        <v>2</v>
      </c>
      <c r="F426" s="3" t="n">
        <v>2</v>
      </c>
      <c r="G426" s="3" t="n">
        <v>3</v>
      </c>
      <c r="H426" s="3" t="n">
        <v>2</v>
      </c>
      <c r="I426" s="3" t="n">
        <v>3</v>
      </c>
      <c r="J426" s="3" t="n">
        <v>23</v>
      </c>
      <c r="K426" s="3" t="n">
        <v>2</v>
      </c>
      <c r="L426" s="3" t="n">
        <v>4</v>
      </c>
      <c r="M426" s="3" t="n">
        <v>4</v>
      </c>
      <c r="N426" s="3" t="n">
        <v>3</v>
      </c>
      <c r="O426" s="3" t="n">
        <v>3</v>
      </c>
      <c r="P426" s="3" t="n">
        <v>4</v>
      </c>
      <c r="Q426" s="3" t="n">
        <v>4</v>
      </c>
      <c r="R426" s="3" t="n">
        <v>2</v>
      </c>
      <c r="S426" s="3" t="n">
        <v>4</v>
      </c>
      <c r="T426" s="3" t="n">
        <v>4</v>
      </c>
      <c r="U426" s="3" t="n">
        <v>4</v>
      </c>
      <c r="V426" s="3" t="n">
        <v>4</v>
      </c>
      <c r="W426" s="3" t="n">
        <v>4</v>
      </c>
      <c r="X426" s="3" t="n">
        <v>4</v>
      </c>
      <c r="Y426" s="3" t="n">
        <v>4</v>
      </c>
      <c r="Z426" s="3" t="n">
        <v>4</v>
      </c>
      <c r="AA426" s="3" t="n">
        <v>4</v>
      </c>
      <c r="AB426" s="3" t="n">
        <v>4</v>
      </c>
      <c r="AC426" s="3" t="n">
        <v>2</v>
      </c>
      <c r="AD426" s="3" t="n">
        <v>2</v>
      </c>
      <c r="AE426" s="3" t="n">
        <v>4</v>
      </c>
      <c r="AF426" s="3" t="n">
        <v>4</v>
      </c>
      <c r="AG426" s="3" t="n">
        <v>4</v>
      </c>
      <c r="AH426" s="3" t="n">
        <v>3</v>
      </c>
      <c r="AI426" s="3" t="n">
        <v>3</v>
      </c>
      <c r="AJ426" s="3" t="n">
        <v>4</v>
      </c>
      <c r="AK426" s="3" t="n">
        <v>2</v>
      </c>
      <c r="AL426" s="3" t="n">
        <v>5</v>
      </c>
      <c r="AM426" s="3" t="n">
        <v>4</v>
      </c>
      <c r="AN426" s="3" t="n">
        <v>4</v>
      </c>
      <c r="AO426" s="3" t="n">
        <v>2</v>
      </c>
    </row>
    <row r="427" customFormat="false" ht="15" hidden="false" customHeight="false" outlineLevel="0" collapsed="false">
      <c r="A427" s="3" t="n">
        <v>0</v>
      </c>
      <c r="B427" s="3" t="n">
        <v>4</v>
      </c>
      <c r="C427" s="3" t="n">
        <v>1</v>
      </c>
      <c r="D427" s="3" t="n">
        <v>1</v>
      </c>
      <c r="E427" s="3" t="n">
        <v>2</v>
      </c>
      <c r="F427" s="3" t="n">
        <v>2</v>
      </c>
      <c r="G427" s="3" t="n">
        <v>3</v>
      </c>
      <c r="H427" s="3" t="n">
        <v>2</v>
      </c>
      <c r="I427" s="3" t="n">
        <v>3</v>
      </c>
      <c r="J427" s="3" t="n">
        <v>24</v>
      </c>
      <c r="K427" s="3" t="n">
        <v>3</v>
      </c>
      <c r="L427" s="3" t="n">
        <v>3</v>
      </c>
      <c r="M427" s="3" t="n">
        <v>4</v>
      </c>
      <c r="N427" s="3" t="n">
        <v>3</v>
      </c>
      <c r="O427" s="3" t="n">
        <v>4</v>
      </c>
      <c r="P427" s="3" t="n">
        <v>3</v>
      </c>
      <c r="Q427" s="3" t="n">
        <v>4</v>
      </c>
      <c r="R427" s="3" t="n">
        <v>1</v>
      </c>
      <c r="S427" s="3" t="n">
        <v>4</v>
      </c>
      <c r="T427" s="3" t="n">
        <v>5</v>
      </c>
      <c r="U427" s="3" t="n">
        <v>4</v>
      </c>
      <c r="V427" s="3" t="n">
        <v>4</v>
      </c>
      <c r="W427" s="3" t="n">
        <v>3</v>
      </c>
      <c r="X427" s="3" t="n">
        <v>4</v>
      </c>
      <c r="Y427" s="3" t="n">
        <v>4</v>
      </c>
      <c r="Z427" s="3" t="n">
        <v>4</v>
      </c>
      <c r="AA427" s="3" t="n">
        <v>4</v>
      </c>
      <c r="AB427" s="3" t="n">
        <v>4</v>
      </c>
      <c r="AC427" s="3" t="n">
        <v>1</v>
      </c>
      <c r="AD427" s="3" t="n">
        <v>2</v>
      </c>
      <c r="AE427" s="3" t="n">
        <v>4</v>
      </c>
      <c r="AF427" s="3" t="n">
        <v>3</v>
      </c>
      <c r="AG427" s="3" t="n">
        <v>4</v>
      </c>
      <c r="AH427" s="3" t="n">
        <v>3</v>
      </c>
      <c r="AI427" s="3" t="n">
        <v>5</v>
      </c>
      <c r="AJ427" s="3" t="n">
        <v>3</v>
      </c>
      <c r="AK427" s="3" t="n">
        <v>4</v>
      </c>
      <c r="AL427" s="3" t="n">
        <v>5</v>
      </c>
      <c r="AM427" s="3" t="n">
        <v>4</v>
      </c>
      <c r="AN427" s="3" t="n">
        <v>2</v>
      </c>
      <c r="AO427" s="3" t="n">
        <v>3</v>
      </c>
    </row>
    <row r="428" customFormat="false" ht="15" hidden="false" customHeight="false" outlineLevel="0" collapsed="false">
      <c r="A428" s="3" t="n">
        <v>0</v>
      </c>
      <c r="B428" s="3" t="n">
        <v>3</v>
      </c>
      <c r="C428" s="3" t="n">
        <v>2</v>
      </c>
      <c r="D428" s="3" t="n">
        <v>1</v>
      </c>
      <c r="E428" s="3" t="n">
        <v>2</v>
      </c>
      <c r="F428" s="3" t="n">
        <v>2</v>
      </c>
      <c r="G428" s="3" t="n">
        <v>2</v>
      </c>
      <c r="H428" s="3" t="n">
        <v>2</v>
      </c>
      <c r="I428" s="3" t="n">
        <v>1</v>
      </c>
      <c r="J428" s="3" t="n">
        <v>21</v>
      </c>
      <c r="K428" s="3" t="n">
        <v>3</v>
      </c>
      <c r="L428" s="3" t="n">
        <v>3</v>
      </c>
      <c r="M428" s="3" t="n">
        <v>4</v>
      </c>
      <c r="N428" s="3" t="n">
        <v>4</v>
      </c>
      <c r="O428" s="3" t="n">
        <v>3</v>
      </c>
      <c r="P428" s="3" t="n">
        <v>3</v>
      </c>
      <c r="Q428" s="3" t="n">
        <v>4</v>
      </c>
      <c r="R428" s="3" t="n">
        <v>2</v>
      </c>
      <c r="S428" s="3" t="n">
        <v>4</v>
      </c>
      <c r="T428" s="3" t="n">
        <v>2</v>
      </c>
      <c r="U428" s="3" t="n">
        <v>4</v>
      </c>
      <c r="V428" s="3" t="n">
        <v>4</v>
      </c>
      <c r="W428" s="3" t="n">
        <v>3</v>
      </c>
      <c r="X428" s="3" t="n">
        <v>3</v>
      </c>
      <c r="Y428" s="3" t="n">
        <v>2</v>
      </c>
      <c r="Z428" s="3" t="n">
        <v>4</v>
      </c>
      <c r="AA428" s="3" t="n">
        <v>3</v>
      </c>
      <c r="AB428" s="3" t="n">
        <v>2</v>
      </c>
      <c r="AC428" s="3" t="n">
        <v>2</v>
      </c>
      <c r="AD428" s="3" t="n">
        <v>3</v>
      </c>
      <c r="AE428" s="3" t="n">
        <v>4</v>
      </c>
      <c r="AF428" s="3" t="n">
        <v>2</v>
      </c>
      <c r="AG428" s="3" t="n">
        <v>4</v>
      </c>
      <c r="AH428" s="3" t="n">
        <v>3</v>
      </c>
      <c r="AI428" s="3" t="n">
        <v>4</v>
      </c>
      <c r="AJ428" s="3" t="n">
        <v>4</v>
      </c>
      <c r="AK428" s="3" t="n">
        <v>3</v>
      </c>
      <c r="AL428" s="3" t="n">
        <v>4</v>
      </c>
      <c r="AM428" s="3" t="n">
        <v>4</v>
      </c>
      <c r="AN428" s="3" t="n">
        <v>2</v>
      </c>
      <c r="AO428" s="3" t="n">
        <v>3</v>
      </c>
    </row>
    <row r="429" customFormat="false" ht="15" hidden="false" customHeight="false" outlineLevel="0" collapsed="false">
      <c r="A429" s="3" t="n">
        <v>0</v>
      </c>
      <c r="B429" s="3" t="n">
        <v>3</v>
      </c>
      <c r="C429" s="3" t="n">
        <v>2</v>
      </c>
      <c r="D429" s="3" t="n">
        <v>1</v>
      </c>
      <c r="E429" s="3" t="n">
        <v>2</v>
      </c>
      <c r="F429" s="3" t="n">
        <v>2</v>
      </c>
      <c r="G429" s="3" t="n">
        <v>1</v>
      </c>
      <c r="H429" s="3" t="n">
        <v>2</v>
      </c>
      <c r="I429" s="3" t="n">
        <v>3</v>
      </c>
      <c r="J429" s="3" t="n">
        <v>22</v>
      </c>
      <c r="K429" s="3" t="n">
        <v>3</v>
      </c>
      <c r="L429" s="3" t="n">
        <v>3</v>
      </c>
      <c r="M429" s="3" t="n">
        <v>5</v>
      </c>
      <c r="N429" s="3" t="n">
        <v>4</v>
      </c>
      <c r="O429" s="3" t="n">
        <v>4</v>
      </c>
      <c r="P429" s="3" t="n">
        <v>4</v>
      </c>
      <c r="Q429" s="3" t="n">
        <v>4</v>
      </c>
      <c r="R429" s="3" t="n">
        <v>4</v>
      </c>
      <c r="S429" s="3" t="n">
        <v>4</v>
      </c>
      <c r="T429" s="3" t="n">
        <v>5</v>
      </c>
      <c r="U429" s="3" t="n">
        <v>5</v>
      </c>
      <c r="V429" s="3" t="n">
        <v>5</v>
      </c>
      <c r="W429" s="3" t="n">
        <v>5</v>
      </c>
      <c r="X429" s="3" t="n">
        <v>5</v>
      </c>
      <c r="Y429" s="3" t="n">
        <v>5</v>
      </c>
      <c r="Z429" s="3" t="n">
        <v>5</v>
      </c>
      <c r="AA429" s="3" t="n">
        <v>5</v>
      </c>
      <c r="AB429" s="3" t="n">
        <v>2</v>
      </c>
      <c r="AC429" s="3" t="n">
        <v>2</v>
      </c>
      <c r="AD429" s="3" t="n">
        <v>2</v>
      </c>
      <c r="AE429" s="3" t="n">
        <v>4</v>
      </c>
      <c r="AF429" s="3" t="n">
        <v>5</v>
      </c>
      <c r="AG429" s="3" t="n">
        <v>2</v>
      </c>
      <c r="AH429" s="3" t="n">
        <v>2</v>
      </c>
      <c r="AI429" s="3" t="n">
        <v>2</v>
      </c>
      <c r="AJ429" s="3" t="n">
        <v>5</v>
      </c>
      <c r="AK429" s="3" t="n">
        <v>3</v>
      </c>
      <c r="AL429" s="3" t="n">
        <v>5</v>
      </c>
      <c r="AM429" s="3" t="n">
        <v>4</v>
      </c>
      <c r="AN429" s="3" t="n">
        <v>3</v>
      </c>
      <c r="AO429" s="3" t="n">
        <v>4</v>
      </c>
    </row>
    <row r="430" customFormat="false" ht="15" hidden="false" customHeight="false" outlineLevel="0" collapsed="false">
      <c r="A430" s="3" t="n">
        <v>0</v>
      </c>
      <c r="B430" s="3" t="n">
        <v>1</v>
      </c>
      <c r="C430" s="3" t="n">
        <v>1</v>
      </c>
      <c r="D430" s="3" t="n">
        <v>1</v>
      </c>
      <c r="E430" s="3" t="n">
        <v>2</v>
      </c>
      <c r="F430" s="3" t="n">
        <v>2</v>
      </c>
      <c r="G430" s="3" t="n">
        <v>2</v>
      </c>
      <c r="H430" s="3" t="n">
        <v>2</v>
      </c>
      <c r="I430" s="3" t="n">
        <v>3</v>
      </c>
      <c r="J430" s="3" t="n">
        <v>24</v>
      </c>
      <c r="K430" s="3" t="n">
        <v>4</v>
      </c>
      <c r="L430" s="3" t="n">
        <v>2</v>
      </c>
      <c r="M430" s="3" t="n">
        <v>3</v>
      </c>
      <c r="N430" s="3" t="n">
        <v>4</v>
      </c>
      <c r="O430" s="3" t="n">
        <v>2</v>
      </c>
      <c r="P430" s="3" t="n">
        <v>3</v>
      </c>
      <c r="Q430" s="3" t="n">
        <v>4</v>
      </c>
      <c r="R430" s="3" t="n">
        <v>2</v>
      </c>
      <c r="S430" s="3" t="n">
        <v>4</v>
      </c>
      <c r="T430" s="3" t="n">
        <v>4</v>
      </c>
      <c r="U430" s="3" t="n">
        <v>4</v>
      </c>
      <c r="V430" s="3" t="n">
        <v>4</v>
      </c>
      <c r="W430" s="3" t="n">
        <v>4</v>
      </c>
      <c r="X430" s="3" t="n">
        <v>4</v>
      </c>
      <c r="Y430" s="3" t="n">
        <v>4</v>
      </c>
      <c r="Z430" s="3" t="n">
        <v>4</v>
      </c>
      <c r="AA430" s="3" t="n">
        <v>4</v>
      </c>
      <c r="AB430" s="3" t="n">
        <v>2</v>
      </c>
      <c r="AC430" s="3" t="n">
        <v>2</v>
      </c>
      <c r="AD430" s="3" t="n">
        <v>2</v>
      </c>
      <c r="AE430" s="3" t="n">
        <v>4</v>
      </c>
      <c r="AF430" s="3" t="n">
        <v>2</v>
      </c>
      <c r="AG430" s="3" t="n">
        <v>4</v>
      </c>
      <c r="AH430" s="3" t="n">
        <v>4</v>
      </c>
      <c r="AI430" s="3" t="n">
        <v>4</v>
      </c>
      <c r="AJ430" s="3" t="n">
        <v>2</v>
      </c>
      <c r="AK430" s="3" t="n">
        <v>2</v>
      </c>
      <c r="AL430" s="3" t="n">
        <v>4</v>
      </c>
      <c r="AM430" s="3" t="n">
        <v>4</v>
      </c>
      <c r="AN430" s="3" t="n">
        <v>3</v>
      </c>
      <c r="AO430" s="3" t="n">
        <v>3</v>
      </c>
    </row>
    <row r="431" customFormat="false" ht="15" hidden="false" customHeight="false" outlineLevel="0" collapsed="false">
      <c r="A431" s="3" t="n">
        <v>1</v>
      </c>
      <c r="B431" s="3" t="n">
        <v>4</v>
      </c>
      <c r="C431" s="3" t="n">
        <v>1</v>
      </c>
      <c r="D431" s="3" t="n">
        <v>1</v>
      </c>
      <c r="E431" s="3" t="n">
        <v>2</v>
      </c>
      <c r="F431" s="3" t="n">
        <v>2</v>
      </c>
      <c r="G431" s="3" t="n">
        <v>2</v>
      </c>
      <c r="H431" s="3" t="n">
        <v>2</v>
      </c>
      <c r="I431" s="3" t="n">
        <v>1</v>
      </c>
      <c r="J431" s="3" t="n">
        <v>23</v>
      </c>
      <c r="K431" s="3" t="n">
        <v>2</v>
      </c>
      <c r="L431" s="3" t="n">
        <v>3</v>
      </c>
      <c r="M431" s="3" t="n">
        <v>2</v>
      </c>
      <c r="N431" s="3" t="n">
        <v>2</v>
      </c>
      <c r="O431" s="3" t="n">
        <v>4</v>
      </c>
      <c r="P431" s="3" t="n">
        <v>2</v>
      </c>
      <c r="Q431" s="3" t="n">
        <v>4</v>
      </c>
      <c r="R431" s="3" t="n">
        <v>4</v>
      </c>
      <c r="S431" s="3" t="n">
        <v>4</v>
      </c>
      <c r="T431" s="3" t="n">
        <v>4</v>
      </c>
      <c r="U431" s="3" t="n">
        <v>4</v>
      </c>
      <c r="V431" s="3" t="n">
        <v>4</v>
      </c>
      <c r="W431" s="3" t="n">
        <v>4</v>
      </c>
      <c r="X431" s="3" t="n">
        <v>4</v>
      </c>
      <c r="Y431" s="3" t="n">
        <v>4</v>
      </c>
      <c r="Z431" s="3" t="n">
        <v>5</v>
      </c>
      <c r="AA431" s="3" t="n">
        <v>5</v>
      </c>
      <c r="AB431" s="3" t="n">
        <v>2</v>
      </c>
      <c r="AC431" s="3" t="n">
        <v>2</v>
      </c>
      <c r="AD431" s="3" t="n">
        <v>2</v>
      </c>
      <c r="AE431" s="3" t="n">
        <v>4</v>
      </c>
      <c r="AF431" s="3" t="n">
        <v>1</v>
      </c>
      <c r="AG431" s="3" t="n">
        <v>4</v>
      </c>
      <c r="AH431" s="3" t="n">
        <v>4</v>
      </c>
      <c r="AI431" s="3" t="n">
        <v>4</v>
      </c>
      <c r="AJ431" s="3" t="n">
        <v>2</v>
      </c>
      <c r="AK431" s="3" t="n">
        <v>2</v>
      </c>
      <c r="AL431" s="3" t="n">
        <v>4</v>
      </c>
      <c r="AM431" s="3" t="n">
        <v>4</v>
      </c>
      <c r="AN431" s="3" t="n">
        <v>3</v>
      </c>
      <c r="AO431" s="3" t="n">
        <v>2</v>
      </c>
    </row>
    <row r="432" customFormat="false" ht="15" hidden="false" customHeight="false" outlineLevel="0" collapsed="false">
      <c r="A432" s="3" t="n">
        <v>1</v>
      </c>
      <c r="B432" s="3" t="n">
        <v>3</v>
      </c>
      <c r="C432" s="3" t="n">
        <v>1</v>
      </c>
      <c r="D432" s="3" t="n">
        <v>1</v>
      </c>
      <c r="E432" s="3" t="n">
        <v>2</v>
      </c>
      <c r="F432" s="3" t="n">
        <v>2</v>
      </c>
      <c r="G432" s="3" t="n">
        <v>2</v>
      </c>
      <c r="H432" s="3" t="n">
        <v>2</v>
      </c>
      <c r="I432" s="3" t="n">
        <v>1</v>
      </c>
      <c r="J432" s="3" t="n">
        <v>22</v>
      </c>
      <c r="K432" s="3" t="n">
        <v>3</v>
      </c>
      <c r="L432" s="3" t="n">
        <v>3</v>
      </c>
      <c r="M432" s="3" t="n">
        <v>1</v>
      </c>
      <c r="N432" s="3" t="n">
        <v>2</v>
      </c>
      <c r="O432" s="3" t="n">
        <v>4</v>
      </c>
      <c r="P432" s="3" t="n">
        <v>3</v>
      </c>
      <c r="Q432" s="3" t="n">
        <v>3</v>
      </c>
      <c r="R432" s="3" t="n">
        <v>2</v>
      </c>
      <c r="S432" s="3" t="n">
        <v>4</v>
      </c>
      <c r="T432" s="3" t="n">
        <v>4</v>
      </c>
      <c r="U432" s="3" t="n">
        <v>5</v>
      </c>
      <c r="V432" s="3" t="n">
        <v>4</v>
      </c>
      <c r="W432" s="3" t="n">
        <v>1</v>
      </c>
      <c r="X432" s="3" t="n">
        <v>2</v>
      </c>
      <c r="Y432" s="3" t="n">
        <v>3</v>
      </c>
      <c r="Z432" s="3" t="n">
        <v>4</v>
      </c>
      <c r="AA432" s="3" t="n">
        <v>3</v>
      </c>
      <c r="AB432" s="3" t="n">
        <v>1</v>
      </c>
      <c r="AC432" s="3" t="n">
        <v>1</v>
      </c>
      <c r="AD432" s="3" t="n">
        <v>1</v>
      </c>
      <c r="AE432" s="3" t="n">
        <v>2</v>
      </c>
      <c r="AF432" s="3" t="n">
        <v>1</v>
      </c>
      <c r="AG432" s="3" t="n">
        <v>5</v>
      </c>
      <c r="AH432" s="3" t="n">
        <v>2</v>
      </c>
      <c r="AI432" s="3" t="n">
        <v>2</v>
      </c>
      <c r="AJ432" s="3" t="n">
        <v>3</v>
      </c>
      <c r="AK432" s="3" t="n">
        <v>3</v>
      </c>
      <c r="AL432" s="3" t="n">
        <v>5</v>
      </c>
      <c r="AM432" s="3" t="n">
        <v>2</v>
      </c>
      <c r="AN432" s="3" t="n">
        <v>1</v>
      </c>
      <c r="AO432" s="3" t="n">
        <v>4</v>
      </c>
    </row>
    <row r="433" customFormat="false" ht="15" hidden="false" customHeight="false" outlineLevel="0" collapsed="false">
      <c r="A433" s="3" t="n">
        <v>0</v>
      </c>
      <c r="B433" s="3" t="n">
        <v>1</v>
      </c>
      <c r="C433" s="3" t="n">
        <v>2</v>
      </c>
      <c r="D433" s="3" t="n">
        <v>2</v>
      </c>
      <c r="E433" s="3" t="n">
        <v>1</v>
      </c>
      <c r="F433" s="3" t="n">
        <v>2</v>
      </c>
      <c r="G433" s="3" t="n">
        <v>3</v>
      </c>
      <c r="H433" s="3" t="n">
        <v>1</v>
      </c>
      <c r="I433" s="3" t="n">
        <v>1</v>
      </c>
      <c r="J433" s="3" t="n">
        <v>22</v>
      </c>
      <c r="K433" s="3" t="n">
        <v>4</v>
      </c>
      <c r="L433" s="3" t="n">
        <v>3</v>
      </c>
      <c r="M433" s="3" t="n">
        <v>4</v>
      </c>
      <c r="N433" s="3" t="n">
        <v>4</v>
      </c>
      <c r="O433" s="3" t="n">
        <v>5</v>
      </c>
      <c r="P433" s="3" t="n">
        <v>5</v>
      </c>
      <c r="Q433" s="3" t="n">
        <v>4</v>
      </c>
      <c r="R433" s="3" t="n">
        <v>3</v>
      </c>
      <c r="S433" s="3" t="n">
        <v>5</v>
      </c>
      <c r="T433" s="3" t="n">
        <v>4</v>
      </c>
      <c r="U433" s="3" t="n">
        <v>5</v>
      </c>
      <c r="V433" s="3" t="n">
        <v>4</v>
      </c>
      <c r="W433" s="3" t="n">
        <v>3</v>
      </c>
      <c r="X433" s="3" t="n">
        <v>3</v>
      </c>
      <c r="Y433" s="3" t="n">
        <v>3</v>
      </c>
      <c r="Z433" s="3" t="n">
        <v>4</v>
      </c>
      <c r="AA433" s="3" t="n">
        <v>4</v>
      </c>
      <c r="AB433" s="3" t="n">
        <v>4</v>
      </c>
      <c r="AC433" s="3" t="n">
        <v>3</v>
      </c>
      <c r="AD433" s="3" t="n">
        <v>3</v>
      </c>
      <c r="AE433" s="3" t="n">
        <v>4</v>
      </c>
      <c r="AF433" s="3" t="n">
        <v>5</v>
      </c>
      <c r="AG433" s="3" t="n">
        <v>5</v>
      </c>
      <c r="AH433" s="3" t="n">
        <v>5</v>
      </c>
      <c r="AI433" s="3" t="n">
        <v>5</v>
      </c>
      <c r="AJ433" s="3" t="n">
        <v>5</v>
      </c>
      <c r="AK433" s="3" t="n">
        <v>5</v>
      </c>
      <c r="AL433" s="3" t="n">
        <v>5</v>
      </c>
      <c r="AM433" s="3" t="n">
        <v>4</v>
      </c>
      <c r="AN433" s="3" t="n">
        <v>4</v>
      </c>
      <c r="AO433" s="3" t="n">
        <v>4</v>
      </c>
    </row>
    <row r="434" customFormat="false" ht="15" hidden="false" customHeight="false" outlineLevel="0" collapsed="false">
      <c r="A434" s="3" t="n">
        <v>0</v>
      </c>
      <c r="B434" s="3" t="n">
        <v>1</v>
      </c>
      <c r="C434" s="3" t="n">
        <v>2</v>
      </c>
      <c r="D434" s="3" t="n">
        <v>2</v>
      </c>
      <c r="E434" s="3" t="n">
        <v>2</v>
      </c>
      <c r="F434" s="3" t="n">
        <v>2</v>
      </c>
      <c r="G434" s="3" t="n">
        <v>3</v>
      </c>
      <c r="H434" s="3" t="n">
        <v>2</v>
      </c>
      <c r="I434" s="3" t="n">
        <v>1</v>
      </c>
      <c r="J434" s="3" t="n">
        <v>21</v>
      </c>
      <c r="K434" s="3" t="n">
        <v>3</v>
      </c>
      <c r="L434" s="3" t="n">
        <v>4</v>
      </c>
      <c r="M434" s="3" t="n">
        <v>5</v>
      </c>
      <c r="N434" s="3" t="n">
        <v>4</v>
      </c>
      <c r="O434" s="3" t="n">
        <v>4</v>
      </c>
      <c r="P434" s="3" t="n">
        <v>2</v>
      </c>
      <c r="Q434" s="3" t="n">
        <v>5</v>
      </c>
      <c r="R434" s="3" t="n">
        <v>2</v>
      </c>
      <c r="S434" s="3" t="n">
        <v>3</v>
      </c>
      <c r="T434" s="3" t="n">
        <v>3</v>
      </c>
      <c r="U434" s="3" t="n">
        <v>4</v>
      </c>
      <c r="V434" s="3" t="n">
        <v>4</v>
      </c>
      <c r="W434" s="3" t="n">
        <v>3</v>
      </c>
      <c r="X434" s="3" t="n">
        <v>4</v>
      </c>
      <c r="Y434" s="3" t="n">
        <v>4</v>
      </c>
      <c r="Z434" s="3" t="n">
        <v>4</v>
      </c>
      <c r="AA434" s="3" t="n">
        <v>4</v>
      </c>
      <c r="AB434" s="3" t="n">
        <v>4</v>
      </c>
      <c r="AC434" s="3" t="n">
        <v>3</v>
      </c>
      <c r="AD434" s="3" t="n">
        <v>2</v>
      </c>
      <c r="AE434" s="3" t="n">
        <v>2</v>
      </c>
      <c r="AF434" s="3" t="n">
        <v>2</v>
      </c>
      <c r="AG434" s="3" t="n">
        <v>2</v>
      </c>
      <c r="AH434" s="3" t="n">
        <v>3</v>
      </c>
      <c r="AI434" s="3" t="n">
        <v>3</v>
      </c>
      <c r="AJ434" s="3" t="n">
        <v>4</v>
      </c>
      <c r="AK434" s="3" t="n">
        <v>2</v>
      </c>
      <c r="AL434" s="3" t="n">
        <v>2</v>
      </c>
      <c r="AM434" s="3" t="n">
        <v>2</v>
      </c>
      <c r="AN434" s="3" t="n">
        <v>4</v>
      </c>
      <c r="AO434" s="3" t="n">
        <v>3</v>
      </c>
    </row>
    <row r="435" customFormat="false" ht="15" hidden="false" customHeight="false" outlineLevel="0" collapsed="false">
      <c r="A435" s="3" t="n">
        <v>0</v>
      </c>
      <c r="B435" s="3" t="n">
        <v>3</v>
      </c>
      <c r="C435" s="3" t="n">
        <v>2</v>
      </c>
      <c r="D435" s="3" t="n">
        <v>1</v>
      </c>
      <c r="E435" s="3" t="n">
        <v>2</v>
      </c>
      <c r="F435" s="3" t="n">
        <v>2</v>
      </c>
      <c r="G435" s="3" t="n">
        <v>2</v>
      </c>
      <c r="H435" s="3" t="n">
        <v>3</v>
      </c>
      <c r="I435" s="3" t="n">
        <v>3</v>
      </c>
      <c r="J435" s="3" t="n">
        <v>25</v>
      </c>
      <c r="K435" s="3" t="n">
        <v>3</v>
      </c>
      <c r="L435" s="3" t="n">
        <v>4</v>
      </c>
      <c r="M435" s="3" t="n">
        <v>4</v>
      </c>
      <c r="N435" s="3" t="n">
        <v>4</v>
      </c>
      <c r="O435" s="3" t="n">
        <v>5</v>
      </c>
      <c r="P435" s="3" t="n">
        <v>2</v>
      </c>
      <c r="Q435" s="3" t="n">
        <v>2</v>
      </c>
      <c r="R435" s="3" t="n">
        <v>4</v>
      </c>
      <c r="S435" s="3" t="n">
        <v>5</v>
      </c>
      <c r="T435" s="3" t="n">
        <v>5</v>
      </c>
      <c r="U435" s="3" t="n">
        <v>5</v>
      </c>
      <c r="V435" s="3" t="n">
        <v>3</v>
      </c>
      <c r="W435" s="3" t="n">
        <v>4</v>
      </c>
      <c r="X435" s="3" t="n">
        <v>4</v>
      </c>
      <c r="Y435" s="3" t="n">
        <v>4</v>
      </c>
      <c r="Z435" s="3" t="n">
        <v>4</v>
      </c>
      <c r="AA435" s="3" t="n">
        <v>2</v>
      </c>
      <c r="AB435" s="3" t="n">
        <v>3</v>
      </c>
      <c r="AC435" s="3" t="n">
        <v>2</v>
      </c>
      <c r="AD435" s="3" t="n">
        <v>2</v>
      </c>
      <c r="AE435" s="3" t="n">
        <v>2</v>
      </c>
      <c r="AF435" s="3" t="n">
        <v>2</v>
      </c>
      <c r="AG435" s="3" t="n">
        <v>3</v>
      </c>
      <c r="AH435" s="3" t="n">
        <v>5</v>
      </c>
      <c r="AI435" s="3" t="n">
        <v>5</v>
      </c>
      <c r="AJ435" s="3" t="n">
        <v>5</v>
      </c>
      <c r="AK435" s="3" t="n">
        <v>2</v>
      </c>
      <c r="AL435" s="3" t="n">
        <v>4</v>
      </c>
      <c r="AM435" s="3" t="n">
        <v>4</v>
      </c>
      <c r="AN435" s="3" t="n">
        <v>4</v>
      </c>
      <c r="AO435" s="3" t="n">
        <v>4</v>
      </c>
    </row>
    <row r="436" customFormat="false" ht="15" hidden="false" customHeight="false" outlineLevel="0" collapsed="false">
      <c r="A436" s="3" t="n">
        <v>0</v>
      </c>
      <c r="B436" s="3" t="n">
        <v>3</v>
      </c>
      <c r="C436" s="3" t="n">
        <v>1</v>
      </c>
      <c r="D436" s="3" t="n">
        <v>2</v>
      </c>
      <c r="E436" s="3" t="n">
        <v>2</v>
      </c>
      <c r="F436" s="3" t="n">
        <v>2</v>
      </c>
      <c r="G436" s="3" t="n">
        <v>1</v>
      </c>
      <c r="H436" s="3" t="n">
        <v>2</v>
      </c>
      <c r="I436" s="3" t="n">
        <v>2</v>
      </c>
      <c r="J436" s="3" t="n">
        <v>26</v>
      </c>
      <c r="K436" s="3" t="n">
        <v>1</v>
      </c>
      <c r="L436" s="3" t="n">
        <v>3</v>
      </c>
      <c r="M436" s="3" t="n">
        <v>4</v>
      </c>
      <c r="N436" s="3" t="n">
        <v>4</v>
      </c>
      <c r="O436" s="3" t="n">
        <v>1</v>
      </c>
      <c r="P436" s="3" t="n">
        <v>1</v>
      </c>
      <c r="Q436" s="3" t="n">
        <v>2</v>
      </c>
      <c r="R436" s="3" t="n">
        <v>4</v>
      </c>
      <c r="S436" s="3" t="n">
        <v>4</v>
      </c>
      <c r="T436" s="3" t="n">
        <v>1</v>
      </c>
      <c r="U436" s="3" t="n">
        <v>4</v>
      </c>
      <c r="V436" s="3" t="n">
        <v>4</v>
      </c>
      <c r="W436" s="3" t="n">
        <v>5</v>
      </c>
      <c r="X436" s="3" t="n">
        <v>5</v>
      </c>
      <c r="Y436" s="3" t="n">
        <v>4</v>
      </c>
      <c r="Z436" s="3" t="n">
        <v>4</v>
      </c>
      <c r="AA436" s="3" t="n">
        <v>2</v>
      </c>
      <c r="AB436" s="3" t="n">
        <v>1</v>
      </c>
      <c r="AC436" s="3" t="n">
        <v>1</v>
      </c>
      <c r="AD436" s="3" t="n">
        <v>1</v>
      </c>
      <c r="AE436" s="3" t="n">
        <v>4</v>
      </c>
      <c r="AF436" s="3" t="n">
        <v>2</v>
      </c>
      <c r="AG436" s="3" t="n">
        <v>4</v>
      </c>
      <c r="AH436" s="3" t="n">
        <v>5</v>
      </c>
      <c r="AI436" s="3" t="n">
        <v>4</v>
      </c>
      <c r="AJ436" s="3" t="n">
        <v>1</v>
      </c>
      <c r="AK436" s="3" t="n">
        <v>4</v>
      </c>
      <c r="AL436" s="3" t="n">
        <v>2</v>
      </c>
      <c r="AM436" s="3" t="n">
        <v>4</v>
      </c>
      <c r="AN436" s="3" t="n">
        <v>1</v>
      </c>
      <c r="AO436" s="3" t="n">
        <v>2</v>
      </c>
    </row>
    <row r="437" customFormat="false" ht="15" hidden="false" customHeight="false" outlineLevel="0" collapsed="false">
      <c r="A437" s="3" t="n">
        <v>0</v>
      </c>
      <c r="B437" s="3" t="n">
        <v>3</v>
      </c>
      <c r="C437" s="3" t="n">
        <v>1</v>
      </c>
      <c r="D437" s="3" t="n">
        <v>1</v>
      </c>
      <c r="E437" s="3" t="n">
        <v>2</v>
      </c>
      <c r="F437" s="3" t="n">
        <v>2</v>
      </c>
      <c r="G437" s="3" t="n">
        <v>3</v>
      </c>
      <c r="H437" s="3" t="n">
        <v>1</v>
      </c>
      <c r="I437" s="3" t="n">
        <v>1</v>
      </c>
      <c r="J437" s="3" t="n">
        <v>21</v>
      </c>
      <c r="K437" s="3" t="n">
        <v>4</v>
      </c>
      <c r="L437" s="3" t="n">
        <v>1</v>
      </c>
      <c r="M437" s="3" t="n">
        <v>4</v>
      </c>
      <c r="N437" s="3" t="n">
        <v>4</v>
      </c>
      <c r="O437" s="3" t="n">
        <v>5</v>
      </c>
      <c r="P437" s="3" t="n">
        <v>4</v>
      </c>
      <c r="Q437" s="3" t="n">
        <v>3</v>
      </c>
      <c r="R437" s="3" t="n">
        <v>4</v>
      </c>
      <c r="S437" s="3" t="n">
        <v>4</v>
      </c>
      <c r="T437" s="3" t="n">
        <v>5</v>
      </c>
      <c r="U437" s="3" t="n">
        <v>5</v>
      </c>
      <c r="V437" s="3" t="n">
        <v>4</v>
      </c>
      <c r="W437" s="3" t="n">
        <v>3</v>
      </c>
      <c r="X437" s="3" t="n">
        <v>4</v>
      </c>
      <c r="Y437" s="3" t="n">
        <v>3</v>
      </c>
      <c r="Z437" s="3" t="n">
        <v>5</v>
      </c>
      <c r="AA437" s="3" t="n">
        <v>3</v>
      </c>
      <c r="AB437" s="3" t="n">
        <v>1</v>
      </c>
      <c r="AC437" s="3" t="n">
        <v>1</v>
      </c>
      <c r="AD437" s="3" t="n">
        <v>1</v>
      </c>
      <c r="AE437" s="3" t="n">
        <v>3</v>
      </c>
      <c r="AF437" s="3" t="n">
        <v>2</v>
      </c>
      <c r="AG437" s="3" t="n">
        <v>3</v>
      </c>
      <c r="AH437" s="3" t="n">
        <v>5</v>
      </c>
      <c r="AI437" s="3" t="n">
        <v>5</v>
      </c>
      <c r="AJ437" s="3" t="n">
        <v>3</v>
      </c>
      <c r="AK437" s="3" t="n">
        <v>3</v>
      </c>
      <c r="AL437" s="3" t="n">
        <v>4</v>
      </c>
      <c r="AM437" s="3" t="n">
        <v>4</v>
      </c>
      <c r="AN437" s="3" t="n">
        <v>4</v>
      </c>
      <c r="AO437" s="3" t="n">
        <v>3</v>
      </c>
    </row>
    <row r="438" customFormat="false" ht="15" hidden="false" customHeight="false" outlineLevel="0" collapsed="false">
      <c r="A438" s="3" t="n">
        <v>1</v>
      </c>
      <c r="B438" s="3" t="n">
        <v>3</v>
      </c>
      <c r="C438" s="3" t="n">
        <v>1</v>
      </c>
      <c r="D438" s="3" t="n">
        <v>1</v>
      </c>
      <c r="E438" s="3" t="n">
        <v>2</v>
      </c>
      <c r="F438" s="3" t="n">
        <v>2</v>
      </c>
      <c r="G438" s="3" t="n">
        <v>2</v>
      </c>
      <c r="H438" s="3" t="n">
        <v>1</v>
      </c>
      <c r="I438" s="3" t="n">
        <v>1</v>
      </c>
      <c r="J438" s="3" t="n">
        <v>21</v>
      </c>
      <c r="K438" s="3" t="n">
        <v>3</v>
      </c>
      <c r="L438" s="3" t="n">
        <v>4</v>
      </c>
      <c r="M438" s="3" t="n">
        <v>3</v>
      </c>
      <c r="N438" s="3" t="n">
        <v>3</v>
      </c>
      <c r="O438" s="3" t="n">
        <v>2</v>
      </c>
      <c r="P438" s="3" t="n">
        <v>2</v>
      </c>
      <c r="Q438" s="3" t="n">
        <v>2</v>
      </c>
      <c r="R438" s="3" t="n">
        <v>4</v>
      </c>
      <c r="S438" s="3" t="n">
        <v>3</v>
      </c>
      <c r="T438" s="3" t="n">
        <v>3</v>
      </c>
      <c r="U438" s="3" t="n">
        <v>3</v>
      </c>
      <c r="V438" s="3" t="n">
        <v>4</v>
      </c>
      <c r="W438" s="3" t="n">
        <v>4</v>
      </c>
      <c r="X438" s="3" t="n">
        <v>4</v>
      </c>
      <c r="Y438" s="3" t="n">
        <v>2</v>
      </c>
      <c r="Z438" s="3" t="n">
        <v>4</v>
      </c>
      <c r="AA438" s="3" t="n">
        <v>4</v>
      </c>
      <c r="AB438" s="3" t="n">
        <v>4</v>
      </c>
      <c r="AC438" s="3" t="n">
        <v>2</v>
      </c>
      <c r="AD438" s="3" t="n">
        <v>2</v>
      </c>
      <c r="AE438" s="3" t="n">
        <v>4</v>
      </c>
      <c r="AF438" s="3" t="n">
        <v>1</v>
      </c>
      <c r="AG438" s="3" t="n">
        <v>4</v>
      </c>
      <c r="AH438" s="3" t="n">
        <v>2</v>
      </c>
      <c r="AI438" s="3" t="n">
        <v>2</v>
      </c>
      <c r="AJ438" s="3" t="n">
        <v>3</v>
      </c>
      <c r="AK438" s="3" t="n">
        <v>4</v>
      </c>
      <c r="AL438" s="3" t="n">
        <v>3</v>
      </c>
      <c r="AM438" s="3" t="n">
        <v>4</v>
      </c>
      <c r="AN438" s="3" t="n">
        <v>2</v>
      </c>
      <c r="AO438" s="3" t="n">
        <v>4</v>
      </c>
    </row>
    <row r="439" customFormat="false" ht="15" hidden="false" customHeight="false" outlineLevel="0" collapsed="false">
      <c r="A439" s="3" t="n">
        <v>0</v>
      </c>
      <c r="B439" s="3" t="n">
        <v>3</v>
      </c>
      <c r="C439" s="3" t="n">
        <v>2</v>
      </c>
      <c r="D439" s="3" t="n">
        <v>2</v>
      </c>
      <c r="E439" s="3" t="n">
        <v>2</v>
      </c>
      <c r="F439" s="3" t="n">
        <v>2</v>
      </c>
      <c r="G439" s="3" t="n">
        <v>1</v>
      </c>
      <c r="H439" s="3" t="n">
        <v>3</v>
      </c>
      <c r="I439" s="3" t="n">
        <v>1</v>
      </c>
      <c r="J439" s="3" t="n">
        <v>23</v>
      </c>
      <c r="K439" s="3" t="n">
        <v>4</v>
      </c>
      <c r="L439" s="3" t="n">
        <v>3</v>
      </c>
      <c r="M439" s="3" t="n">
        <v>3</v>
      </c>
      <c r="N439" s="3" t="n">
        <v>3</v>
      </c>
      <c r="O439" s="3" t="n">
        <v>4</v>
      </c>
      <c r="P439" s="3" t="n">
        <v>4</v>
      </c>
      <c r="Q439" s="3" t="n">
        <v>3</v>
      </c>
      <c r="R439" s="3" t="n">
        <v>3</v>
      </c>
      <c r="S439" s="3" t="n">
        <v>4</v>
      </c>
      <c r="T439" s="3" t="n">
        <v>4</v>
      </c>
      <c r="U439" s="3" t="n">
        <v>4</v>
      </c>
      <c r="V439" s="3" t="n">
        <v>4</v>
      </c>
      <c r="W439" s="3" t="n">
        <v>4</v>
      </c>
      <c r="X439" s="3" t="n">
        <v>3</v>
      </c>
      <c r="Y439" s="3" t="n">
        <v>4</v>
      </c>
      <c r="Z439" s="3" t="n">
        <v>2</v>
      </c>
      <c r="AA439" s="3" t="n">
        <v>4</v>
      </c>
      <c r="AB439" s="3" t="n">
        <v>4</v>
      </c>
      <c r="AC439" s="3" t="n">
        <v>2</v>
      </c>
      <c r="AD439" s="3" t="n">
        <v>2</v>
      </c>
      <c r="AE439" s="3" t="n">
        <v>4</v>
      </c>
      <c r="AF439" s="3" t="n">
        <v>1</v>
      </c>
      <c r="AG439" s="3" t="n">
        <v>4</v>
      </c>
      <c r="AH439" s="3" t="n">
        <v>3</v>
      </c>
      <c r="AI439" s="3" t="n">
        <v>4</v>
      </c>
      <c r="AJ439" s="3" t="n">
        <v>3</v>
      </c>
      <c r="AK439" s="3" t="n">
        <v>4</v>
      </c>
      <c r="AL439" s="3" t="n">
        <v>4</v>
      </c>
      <c r="AM439" s="3" t="n">
        <v>3</v>
      </c>
      <c r="AN439" s="3" t="n">
        <v>3</v>
      </c>
      <c r="AO439" s="3" t="n">
        <v>4</v>
      </c>
    </row>
    <row r="440" customFormat="false" ht="15" hidden="false" customHeight="false" outlineLevel="0" collapsed="false">
      <c r="A440" s="3" t="n">
        <v>0</v>
      </c>
      <c r="B440" s="3" t="n">
        <v>3</v>
      </c>
      <c r="C440" s="3" t="n">
        <v>1</v>
      </c>
      <c r="D440" s="3" t="n">
        <v>1</v>
      </c>
      <c r="E440" s="3" t="n">
        <v>2</v>
      </c>
      <c r="F440" s="3" t="n">
        <v>2</v>
      </c>
      <c r="G440" s="3" t="n">
        <v>4</v>
      </c>
      <c r="H440" s="3" t="n">
        <v>3</v>
      </c>
      <c r="I440" s="3" t="n">
        <v>3</v>
      </c>
      <c r="J440" s="3" t="n">
        <v>24</v>
      </c>
      <c r="K440" s="3" t="n">
        <v>4</v>
      </c>
      <c r="L440" s="3" t="n">
        <v>3</v>
      </c>
      <c r="M440" s="3" t="n">
        <v>4</v>
      </c>
      <c r="N440" s="3" t="n">
        <v>4</v>
      </c>
      <c r="O440" s="3" t="n">
        <v>5</v>
      </c>
      <c r="P440" s="3" t="n">
        <v>1</v>
      </c>
      <c r="Q440" s="3" t="n">
        <v>4</v>
      </c>
      <c r="R440" s="3" t="n">
        <v>3</v>
      </c>
      <c r="S440" s="3" t="n">
        <v>3</v>
      </c>
      <c r="T440" s="3" t="n">
        <v>4</v>
      </c>
      <c r="U440" s="3" t="n">
        <v>3</v>
      </c>
      <c r="V440" s="3" t="n">
        <v>4</v>
      </c>
      <c r="W440" s="3" t="n">
        <v>3</v>
      </c>
      <c r="X440" s="3" t="n">
        <v>2</v>
      </c>
      <c r="Y440" s="3" t="n">
        <v>3</v>
      </c>
      <c r="Z440" s="3" t="n">
        <v>4</v>
      </c>
      <c r="AA440" s="3" t="n">
        <v>4</v>
      </c>
      <c r="AB440" s="3" t="n">
        <v>2</v>
      </c>
      <c r="AC440" s="3" t="n">
        <v>1</v>
      </c>
      <c r="AD440" s="3" t="n">
        <v>1</v>
      </c>
      <c r="AE440" s="3" t="n">
        <v>2</v>
      </c>
      <c r="AF440" s="3" t="n">
        <v>2</v>
      </c>
      <c r="AG440" s="3" t="n">
        <v>3</v>
      </c>
      <c r="AH440" s="3" t="n">
        <v>5</v>
      </c>
      <c r="AI440" s="3" t="n">
        <v>4</v>
      </c>
      <c r="AJ440" s="3" t="n">
        <v>5</v>
      </c>
      <c r="AK440" s="3" t="n">
        <v>5</v>
      </c>
      <c r="AL440" s="3" t="n">
        <v>4</v>
      </c>
      <c r="AM440" s="3" t="n">
        <v>4</v>
      </c>
      <c r="AN440" s="3" t="n">
        <v>1</v>
      </c>
      <c r="AO440" s="3" t="n">
        <v>3</v>
      </c>
    </row>
    <row r="441" customFormat="false" ht="15" hidden="false" customHeight="false" outlineLevel="0" collapsed="false">
      <c r="A441" s="3" t="n">
        <v>0</v>
      </c>
      <c r="B441" s="3" t="n">
        <v>4</v>
      </c>
      <c r="C441" s="3" t="n">
        <v>1</v>
      </c>
      <c r="D441" s="3" t="n">
        <v>1</v>
      </c>
      <c r="E441" s="3" t="n">
        <v>2</v>
      </c>
      <c r="F441" s="3" t="n">
        <v>2</v>
      </c>
      <c r="G441" s="3" t="n">
        <v>2</v>
      </c>
      <c r="H441" s="3" t="n">
        <v>2</v>
      </c>
      <c r="I441" s="3" t="n">
        <v>1</v>
      </c>
      <c r="J441" s="3" t="n">
        <v>22</v>
      </c>
      <c r="K441" s="3" t="n">
        <v>4</v>
      </c>
      <c r="L441" s="3" t="n">
        <v>2</v>
      </c>
      <c r="M441" s="3" t="n">
        <v>5</v>
      </c>
      <c r="N441" s="3" t="n">
        <v>4</v>
      </c>
      <c r="O441" s="3" t="n">
        <v>5</v>
      </c>
      <c r="P441" s="3" t="n">
        <v>1</v>
      </c>
      <c r="Q441" s="3" t="n">
        <v>5</v>
      </c>
      <c r="R441" s="3" t="n">
        <v>2</v>
      </c>
      <c r="S441" s="3" t="n">
        <v>5</v>
      </c>
      <c r="T441" s="3" t="n">
        <v>5</v>
      </c>
      <c r="U441" s="3" t="n">
        <v>4</v>
      </c>
      <c r="V441" s="3" t="n">
        <v>4</v>
      </c>
      <c r="W441" s="3" t="n">
        <v>5</v>
      </c>
      <c r="X441" s="3" t="n">
        <v>5</v>
      </c>
      <c r="Y441" s="3" t="n">
        <v>2</v>
      </c>
      <c r="Z441" s="3" t="n">
        <v>4</v>
      </c>
      <c r="AA441" s="3" t="n">
        <v>3</v>
      </c>
      <c r="AB441" s="3" t="n">
        <v>2</v>
      </c>
      <c r="AC441" s="3" t="n">
        <v>1</v>
      </c>
      <c r="AD441" s="3" t="n">
        <v>1</v>
      </c>
      <c r="AE441" s="3" t="n">
        <v>3</v>
      </c>
      <c r="AF441" s="3" t="n">
        <v>1</v>
      </c>
      <c r="AG441" s="3" t="n">
        <v>4</v>
      </c>
      <c r="AH441" s="3" t="n">
        <v>4</v>
      </c>
      <c r="AI441" s="3" t="n">
        <v>4</v>
      </c>
      <c r="AJ441" s="3" t="n">
        <v>4</v>
      </c>
      <c r="AK441" s="3" t="n">
        <v>1</v>
      </c>
      <c r="AL441" s="3" t="n">
        <v>5</v>
      </c>
      <c r="AM441" s="3" t="n">
        <v>3</v>
      </c>
      <c r="AN441" s="3" t="n">
        <v>2</v>
      </c>
      <c r="AO441" s="3" t="n">
        <v>2</v>
      </c>
    </row>
    <row r="442" customFormat="false" ht="15" hidden="false" customHeight="false" outlineLevel="0" collapsed="false">
      <c r="A442" s="3" t="n">
        <v>0</v>
      </c>
      <c r="B442" s="3" t="n">
        <v>1</v>
      </c>
      <c r="C442" s="3" t="n">
        <v>1</v>
      </c>
      <c r="D442" s="3" t="n">
        <v>2</v>
      </c>
      <c r="E442" s="3" t="n">
        <v>2</v>
      </c>
      <c r="F442" s="3" t="n">
        <v>2</v>
      </c>
      <c r="G442" s="3" t="n">
        <v>3</v>
      </c>
      <c r="H442" s="3" t="n">
        <v>2</v>
      </c>
      <c r="I442" s="3" t="n">
        <v>1</v>
      </c>
      <c r="J442" s="3" t="n">
        <v>21</v>
      </c>
      <c r="K442" s="3" t="n">
        <v>2</v>
      </c>
      <c r="L442" s="3" t="n">
        <v>2</v>
      </c>
      <c r="M442" s="3" t="n">
        <v>4</v>
      </c>
      <c r="N442" s="3" t="n">
        <v>3</v>
      </c>
      <c r="O442" s="3" t="n">
        <v>2</v>
      </c>
      <c r="P442" s="3" t="n">
        <v>2</v>
      </c>
      <c r="Q442" s="3" t="n">
        <v>3</v>
      </c>
      <c r="R442" s="3" t="n">
        <v>2</v>
      </c>
      <c r="S442" s="3" t="n">
        <v>4</v>
      </c>
      <c r="T442" s="3" t="n">
        <v>4</v>
      </c>
      <c r="U442" s="3" t="n">
        <v>4</v>
      </c>
      <c r="V442" s="3" t="n">
        <v>4</v>
      </c>
      <c r="W442" s="3" t="n">
        <v>4</v>
      </c>
      <c r="X442" s="3" t="n">
        <v>4</v>
      </c>
      <c r="Y442" s="3" t="n">
        <v>2</v>
      </c>
      <c r="Z442" s="3" t="n">
        <v>4</v>
      </c>
      <c r="AA442" s="3" t="n">
        <v>2</v>
      </c>
      <c r="AB442" s="3" t="n">
        <v>4</v>
      </c>
      <c r="AC442" s="3" t="n">
        <v>2</v>
      </c>
      <c r="AD442" s="3" t="n">
        <v>2</v>
      </c>
      <c r="AE442" s="3" t="n">
        <v>2</v>
      </c>
      <c r="AF442" s="3" t="n">
        <v>2</v>
      </c>
      <c r="AG442" s="3" t="n">
        <v>2</v>
      </c>
      <c r="AH442" s="3" t="n">
        <v>4</v>
      </c>
      <c r="AI442" s="3" t="n">
        <v>1</v>
      </c>
      <c r="AJ442" s="3" t="n">
        <v>2</v>
      </c>
      <c r="AK442" s="3" t="n">
        <v>2</v>
      </c>
      <c r="AL442" s="3" t="n">
        <v>4</v>
      </c>
      <c r="AM442" s="3" t="n">
        <v>2</v>
      </c>
      <c r="AN442" s="3" t="n">
        <v>2</v>
      </c>
      <c r="AO442" s="3" t="n">
        <v>1</v>
      </c>
    </row>
    <row r="443" customFormat="false" ht="15" hidden="false" customHeight="false" outlineLevel="0" collapsed="false">
      <c r="A443" s="3" t="n">
        <v>0</v>
      </c>
      <c r="B443" s="3" t="n">
        <v>3</v>
      </c>
      <c r="C443" s="3" t="n">
        <v>1</v>
      </c>
      <c r="D443" s="3" t="n">
        <v>1</v>
      </c>
      <c r="E443" s="3" t="n">
        <v>2</v>
      </c>
      <c r="F443" s="3" t="n">
        <v>2</v>
      </c>
      <c r="G443" s="3" t="n">
        <v>3</v>
      </c>
      <c r="H443" s="3" t="n">
        <v>2</v>
      </c>
      <c r="I443" s="3" t="n">
        <v>3</v>
      </c>
      <c r="J443" s="3" t="n">
        <v>28</v>
      </c>
      <c r="K443" s="3" t="n">
        <v>4</v>
      </c>
      <c r="L443" s="3" t="n">
        <v>3</v>
      </c>
      <c r="M443" s="3" t="n">
        <v>4</v>
      </c>
      <c r="N443" s="3" t="n">
        <v>4</v>
      </c>
      <c r="O443" s="3" t="n">
        <v>4</v>
      </c>
      <c r="P443" s="3" t="n">
        <v>2</v>
      </c>
      <c r="Q443" s="3" t="n">
        <v>3</v>
      </c>
      <c r="R443" s="3" t="n">
        <v>4</v>
      </c>
      <c r="S443" s="3" t="n">
        <v>4</v>
      </c>
      <c r="T443" s="3" t="n">
        <v>5</v>
      </c>
      <c r="U443" s="3" t="n">
        <v>5</v>
      </c>
      <c r="V443" s="3" t="n">
        <v>4</v>
      </c>
      <c r="W443" s="3" t="n">
        <v>4</v>
      </c>
      <c r="X443" s="3" t="n">
        <v>4</v>
      </c>
      <c r="Y443" s="3" t="n">
        <v>4</v>
      </c>
      <c r="Z443" s="3" t="n">
        <v>4</v>
      </c>
      <c r="AA443" s="3" t="n">
        <v>4</v>
      </c>
      <c r="AB443" s="3" t="n">
        <v>2</v>
      </c>
      <c r="AC443" s="3" t="n">
        <v>2</v>
      </c>
      <c r="AD443" s="3" t="n">
        <v>2</v>
      </c>
      <c r="AE443" s="3" t="n">
        <v>4</v>
      </c>
      <c r="AF443" s="3" t="n">
        <v>3</v>
      </c>
      <c r="AG443" s="3" t="n">
        <v>4</v>
      </c>
      <c r="AH443" s="3" t="n">
        <v>4</v>
      </c>
      <c r="AI443" s="3" t="n">
        <v>4</v>
      </c>
      <c r="AJ443" s="3" t="n">
        <v>4</v>
      </c>
      <c r="AK443" s="3" t="n">
        <v>3</v>
      </c>
      <c r="AL443" s="3" t="n">
        <v>4</v>
      </c>
      <c r="AM443" s="3" t="n">
        <v>3</v>
      </c>
      <c r="AN443" s="3" t="n">
        <v>3</v>
      </c>
      <c r="AO443" s="3" t="n">
        <v>4</v>
      </c>
    </row>
    <row r="444" customFormat="false" ht="15" hidden="false" customHeight="false" outlineLevel="0" collapsed="false">
      <c r="A444" s="3" t="n">
        <v>0</v>
      </c>
      <c r="B444" s="3" t="n">
        <v>6</v>
      </c>
      <c r="C444" s="3" t="n">
        <v>2</v>
      </c>
      <c r="D444" s="3" t="n">
        <v>1</v>
      </c>
      <c r="E444" s="3" t="n">
        <v>2</v>
      </c>
      <c r="F444" s="3" t="n">
        <v>2</v>
      </c>
      <c r="G444" s="3" t="n">
        <v>1</v>
      </c>
      <c r="H444" s="3" t="n">
        <v>3</v>
      </c>
      <c r="I444" s="3" t="n">
        <v>1</v>
      </c>
      <c r="J444" s="3" t="n">
        <v>22</v>
      </c>
      <c r="K444" s="3" t="n">
        <v>4</v>
      </c>
      <c r="L444" s="3" t="n">
        <v>3</v>
      </c>
      <c r="M444" s="3" t="n">
        <v>3</v>
      </c>
      <c r="N444" s="3" t="n">
        <v>4</v>
      </c>
      <c r="O444" s="3" t="n">
        <v>4</v>
      </c>
      <c r="P444" s="3" t="n">
        <v>3</v>
      </c>
      <c r="Q444" s="3" t="n">
        <v>3</v>
      </c>
      <c r="R444" s="3" t="n">
        <v>3</v>
      </c>
      <c r="S444" s="3" t="n">
        <v>4</v>
      </c>
      <c r="T444" s="3" t="n">
        <v>4</v>
      </c>
      <c r="U444" s="3" t="n">
        <v>4</v>
      </c>
      <c r="V444" s="3" t="n">
        <v>4</v>
      </c>
      <c r="W444" s="3" t="n">
        <v>4</v>
      </c>
      <c r="X444" s="3" t="n">
        <v>4</v>
      </c>
      <c r="Y444" s="3" t="n">
        <v>4</v>
      </c>
      <c r="Z444" s="3" t="n">
        <v>4</v>
      </c>
      <c r="AA444" s="3" t="n">
        <v>3</v>
      </c>
      <c r="AB444" s="3" t="n">
        <v>3</v>
      </c>
      <c r="AC444" s="3" t="n">
        <v>2</v>
      </c>
      <c r="AD444" s="3" t="n">
        <v>3</v>
      </c>
      <c r="AE444" s="3" t="n">
        <v>3</v>
      </c>
      <c r="AF444" s="3" t="n">
        <v>3</v>
      </c>
      <c r="AG444" s="3" t="n">
        <v>4</v>
      </c>
      <c r="AH444" s="3" t="n">
        <v>4</v>
      </c>
      <c r="AI444" s="3" t="n">
        <v>4</v>
      </c>
      <c r="AJ444" s="3" t="n">
        <v>4</v>
      </c>
      <c r="AK444" s="3" t="n">
        <v>2</v>
      </c>
      <c r="AL444" s="3" t="n">
        <v>3</v>
      </c>
      <c r="AM444" s="3" t="n">
        <v>3</v>
      </c>
      <c r="AN444" s="3" t="n">
        <v>3</v>
      </c>
      <c r="AO444" s="3" t="n">
        <v>3</v>
      </c>
    </row>
    <row r="445" customFormat="false" ht="15" hidden="false" customHeight="false" outlineLevel="0" collapsed="false">
      <c r="A445" s="3" t="n">
        <v>0</v>
      </c>
      <c r="B445" s="3" t="n">
        <v>4</v>
      </c>
      <c r="C445" s="3" t="n">
        <v>2</v>
      </c>
      <c r="D445" s="3" t="n">
        <v>2</v>
      </c>
      <c r="E445" s="3" t="n">
        <v>2</v>
      </c>
      <c r="F445" s="3" t="n">
        <v>2</v>
      </c>
      <c r="G445" s="3" t="n">
        <v>3</v>
      </c>
      <c r="H445" s="3" t="n">
        <v>2</v>
      </c>
      <c r="I445" s="3" t="n">
        <v>1</v>
      </c>
      <c r="J445" s="3" t="n">
        <v>23</v>
      </c>
      <c r="K445" s="3" t="n">
        <v>4</v>
      </c>
      <c r="L445" s="3" t="n">
        <v>3</v>
      </c>
      <c r="M445" s="3" t="n">
        <v>4</v>
      </c>
      <c r="N445" s="3" t="n">
        <v>4</v>
      </c>
      <c r="O445" s="3" t="n">
        <v>4</v>
      </c>
      <c r="P445" s="3" t="n">
        <v>4</v>
      </c>
      <c r="Q445" s="3" t="n">
        <v>3</v>
      </c>
      <c r="R445" s="3" t="n">
        <v>3</v>
      </c>
      <c r="S445" s="3" t="n">
        <v>4</v>
      </c>
      <c r="T445" s="3" t="n">
        <v>5</v>
      </c>
      <c r="U445" s="3" t="n">
        <v>4</v>
      </c>
      <c r="V445" s="3" t="n">
        <v>3</v>
      </c>
      <c r="W445" s="3" t="n">
        <v>4</v>
      </c>
      <c r="X445" s="3" t="n">
        <v>3</v>
      </c>
      <c r="Y445" s="3" t="n">
        <v>5</v>
      </c>
      <c r="Z445" s="3" t="n">
        <v>4</v>
      </c>
      <c r="AA445" s="3" t="n">
        <v>3</v>
      </c>
      <c r="AB445" s="3" t="n">
        <v>3</v>
      </c>
      <c r="AC445" s="3" t="n">
        <v>2</v>
      </c>
      <c r="AD445" s="3" t="n">
        <v>1</v>
      </c>
      <c r="AE445" s="3" t="n">
        <v>3</v>
      </c>
      <c r="AF445" s="3" t="n">
        <v>3</v>
      </c>
      <c r="AG445" s="3" t="n">
        <v>4</v>
      </c>
      <c r="AH445" s="3" t="n">
        <v>5</v>
      </c>
      <c r="AI445" s="3" t="n">
        <v>4</v>
      </c>
      <c r="AJ445" s="3" t="n">
        <v>4</v>
      </c>
      <c r="AK445" s="3" t="n">
        <v>4</v>
      </c>
      <c r="AL445" s="3" t="n">
        <v>5</v>
      </c>
      <c r="AM445" s="3" t="n">
        <v>3</v>
      </c>
      <c r="AN445" s="3" t="n">
        <v>3</v>
      </c>
      <c r="AO445" s="3" t="n">
        <v>4</v>
      </c>
    </row>
    <row r="446" customFormat="false" ht="15" hidden="false" customHeight="false" outlineLevel="0" collapsed="false">
      <c r="A446" s="3" t="n">
        <v>0</v>
      </c>
      <c r="B446" s="3" t="n">
        <v>3</v>
      </c>
      <c r="C446" s="3" t="n">
        <v>1</v>
      </c>
      <c r="D446" s="3" t="n">
        <v>1</v>
      </c>
      <c r="E446" s="3" t="n">
        <v>2</v>
      </c>
      <c r="F446" s="3" t="n">
        <v>2</v>
      </c>
      <c r="G446" s="3" t="n">
        <v>1</v>
      </c>
      <c r="H446" s="3" t="n">
        <v>2</v>
      </c>
      <c r="I446" s="3" t="n">
        <v>1</v>
      </c>
      <c r="J446" s="3" t="n">
        <v>22</v>
      </c>
      <c r="K446" s="3" t="n">
        <v>4</v>
      </c>
      <c r="L446" s="3" t="n">
        <v>4</v>
      </c>
      <c r="M446" s="3" t="n">
        <v>4</v>
      </c>
      <c r="N446" s="3" t="n">
        <v>4</v>
      </c>
      <c r="O446" s="3" t="n">
        <v>3</v>
      </c>
      <c r="P446" s="3" t="n">
        <v>4</v>
      </c>
      <c r="Q446" s="3" t="n">
        <v>2</v>
      </c>
      <c r="R446" s="3" t="n">
        <v>4</v>
      </c>
      <c r="S446" s="3" t="n">
        <v>4</v>
      </c>
      <c r="T446" s="3" t="n">
        <v>5</v>
      </c>
      <c r="U446" s="3" t="n">
        <v>4</v>
      </c>
      <c r="V446" s="3" t="n">
        <v>4</v>
      </c>
      <c r="W446" s="3" t="n">
        <v>4</v>
      </c>
      <c r="X446" s="3" t="n">
        <v>1</v>
      </c>
      <c r="Y446" s="3" t="n">
        <v>4</v>
      </c>
      <c r="Z446" s="3" t="n">
        <v>4</v>
      </c>
      <c r="AA446" s="3" t="n">
        <v>4</v>
      </c>
      <c r="AB446" s="3" t="n">
        <v>4</v>
      </c>
      <c r="AC446" s="3" t="n">
        <v>1</v>
      </c>
      <c r="AD446" s="3" t="n">
        <v>2</v>
      </c>
      <c r="AE446" s="3" t="n">
        <v>4</v>
      </c>
      <c r="AF446" s="3" t="n">
        <v>4</v>
      </c>
      <c r="AG446" s="3" t="n">
        <v>5</v>
      </c>
      <c r="AH446" s="3" t="n">
        <v>3</v>
      </c>
      <c r="AI446" s="3" t="n">
        <v>3</v>
      </c>
      <c r="AJ446" s="3" t="n">
        <v>5</v>
      </c>
      <c r="AK446" s="3" t="n">
        <v>1</v>
      </c>
      <c r="AL446" s="3" t="n">
        <v>5</v>
      </c>
      <c r="AM446" s="3" t="n">
        <v>4</v>
      </c>
      <c r="AN446" s="3" t="n">
        <v>1</v>
      </c>
      <c r="AO446" s="3" t="n">
        <v>3</v>
      </c>
    </row>
    <row r="447" customFormat="false" ht="15" hidden="false" customHeight="false" outlineLevel="0" collapsed="false">
      <c r="A447" s="3" t="n">
        <v>0</v>
      </c>
      <c r="B447" s="3" t="n">
        <v>4</v>
      </c>
      <c r="C447" s="3" t="n">
        <v>2</v>
      </c>
      <c r="D447" s="3" t="n">
        <v>1</v>
      </c>
      <c r="E447" s="3" t="n">
        <v>2</v>
      </c>
      <c r="F447" s="3" t="n">
        <v>2</v>
      </c>
      <c r="G447" s="3" t="n">
        <v>1</v>
      </c>
      <c r="H447" s="3" t="n">
        <v>3</v>
      </c>
      <c r="I447" s="3" t="n">
        <v>3</v>
      </c>
      <c r="J447" s="3" t="n">
        <v>26</v>
      </c>
      <c r="K447" s="3" t="n">
        <v>4</v>
      </c>
      <c r="L447" s="3" t="n">
        <v>3</v>
      </c>
      <c r="M447" s="3" t="n">
        <v>4</v>
      </c>
      <c r="N447" s="3" t="n">
        <v>4</v>
      </c>
      <c r="O447" s="3" t="n">
        <v>3</v>
      </c>
      <c r="P447" s="3" t="n">
        <v>3</v>
      </c>
      <c r="Q447" s="3" t="n">
        <v>4</v>
      </c>
      <c r="R447" s="3" t="n">
        <v>2</v>
      </c>
      <c r="S447" s="3" t="n">
        <v>5</v>
      </c>
      <c r="T447" s="3" t="n">
        <v>4</v>
      </c>
      <c r="U447" s="3" t="n">
        <v>4</v>
      </c>
      <c r="V447" s="3" t="n">
        <v>3</v>
      </c>
      <c r="W447" s="3" t="n">
        <v>4</v>
      </c>
      <c r="X447" s="3" t="n">
        <v>2</v>
      </c>
      <c r="Y447" s="3" t="n">
        <v>4</v>
      </c>
      <c r="Z447" s="3" t="n">
        <v>4</v>
      </c>
      <c r="AA447" s="3" t="n">
        <v>3</v>
      </c>
      <c r="AB447" s="3" t="n">
        <v>4</v>
      </c>
      <c r="AC447" s="3" t="n">
        <v>2</v>
      </c>
      <c r="AD447" s="3" t="n">
        <v>2</v>
      </c>
      <c r="AE447" s="3" t="n">
        <v>5</v>
      </c>
      <c r="AF447" s="3" t="n">
        <v>4</v>
      </c>
      <c r="AG447" s="3" t="n">
        <v>3</v>
      </c>
      <c r="AH447" s="3" t="n">
        <v>4</v>
      </c>
      <c r="AI447" s="3" t="n">
        <v>4</v>
      </c>
      <c r="AJ447" s="3" t="n">
        <v>5</v>
      </c>
      <c r="AK447" s="3" t="n">
        <v>3</v>
      </c>
      <c r="AL447" s="3" t="n">
        <v>3</v>
      </c>
      <c r="AM447" s="3" t="n">
        <v>3</v>
      </c>
      <c r="AN447" s="3" t="n">
        <v>3</v>
      </c>
      <c r="AO447" s="3" t="n">
        <v>3</v>
      </c>
    </row>
    <row r="448" customFormat="false" ht="15" hidden="false" customHeight="false" outlineLevel="0" collapsed="false">
      <c r="A448" s="3" t="n">
        <v>0</v>
      </c>
      <c r="B448" s="3" t="n">
        <v>3</v>
      </c>
      <c r="C448" s="3" t="n">
        <v>1</v>
      </c>
      <c r="D448" s="3" t="n">
        <v>2</v>
      </c>
      <c r="E448" s="3" t="n">
        <v>2</v>
      </c>
      <c r="F448" s="3" t="n">
        <v>2</v>
      </c>
      <c r="G448" s="3" t="n">
        <v>3</v>
      </c>
      <c r="H448" s="3" t="n">
        <v>1</v>
      </c>
      <c r="I448" s="3" t="n">
        <v>1</v>
      </c>
      <c r="J448" s="3" t="n">
        <v>22</v>
      </c>
      <c r="K448" s="3" t="n">
        <v>5</v>
      </c>
      <c r="L448" s="3" t="n">
        <v>4</v>
      </c>
      <c r="M448" s="3" t="n">
        <v>4</v>
      </c>
      <c r="N448" s="3" t="n">
        <v>4</v>
      </c>
      <c r="O448" s="3" t="n">
        <v>3</v>
      </c>
      <c r="P448" s="3" t="n">
        <v>4</v>
      </c>
      <c r="Q448" s="3" t="n">
        <v>3</v>
      </c>
      <c r="R448" s="3" t="n">
        <v>3</v>
      </c>
      <c r="S448" s="3" t="n">
        <v>4</v>
      </c>
      <c r="T448" s="3" t="n">
        <v>5</v>
      </c>
      <c r="U448" s="3" t="n">
        <v>3</v>
      </c>
      <c r="V448" s="3" t="n">
        <v>4</v>
      </c>
      <c r="W448" s="3" t="n">
        <v>5</v>
      </c>
      <c r="X448" s="3" t="n">
        <v>3</v>
      </c>
      <c r="Y448" s="3" t="n">
        <v>4</v>
      </c>
      <c r="Z448" s="3" t="n">
        <v>5</v>
      </c>
      <c r="AA448" s="3" t="n">
        <v>4</v>
      </c>
      <c r="AB448" s="3" t="n">
        <v>1</v>
      </c>
      <c r="AC448" s="3" t="n">
        <v>3</v>
      </c>
      <c r="AD448" s="3" t="n">
        <v>3</v>
      </c>
      <c r="AE448" s="3" t="n">
        <v>4</v>
      </c>
      <c r="AF448" s="3" t="n">
        <v>3</v>
      </c>
      <c r="AG448" s="3" t="n">
        <v>4</v>
      </c>
      <c r="AH448" s="3" t="n">
        <v>4</v>
      </c>
      <c r="AI448" s="3" t="n">
        <v>5</v>
      </c>
      <c r="AJ448" s="3" t="n">
        <v>3</v>
      </c>
      <c r="AK448" s="3" t="n">
        <v>3</v>
      </c>
      <c r="AL448" s="3" t="n">
        <v>4</v>
      </c>
      <c r="AM448" s="3" t="n">
        <v>3</v>
      </c>
      <c r="AN448" s="3" t="n">
        <v>3</v>
      </c>
      <c r="AO448" s="3" t="n">
        <v>2</v>
      </c>
    </row>
    <row r="449" customFormat="false" ht="15" hidden="false" customHeight="false" outlineLevel="0" collapsed="false">
      <c r="A449" s="3" t="n">
        <v>0</v>
      </c>
      <c r="B449" s="3" t="n">
        <v>3</v>
      </c>
      <c r="C449" s="3" t="n">
        <v>1</v>
      </c>
      <c r="D449" s="3" t="n">
        <v>1</v>
      </c>
      <c r="E449" s="3" t="n">
        <v>2</v>
      </c>
      <c r="F449" s="3" t="n">
        <v>2</v>
      </c>
      <c r="G449" s="3" t="n">
        <v>3</v>
      </c>
      <c r="H449" s="3" t="n">
        <v>1</v>
      </c>
      <c r="I449" s="3" t="n">
        <v>3</v>
      </c>
      <c r="J449" s="3" t="n">
        <v>23</v>
      </c>
      <c r="K449" s="3" t="n">
        <v>4</v>
      </c>
      <c r="L449" s="3" t="n">
        <v>4</v>
      </c>
      <c r="M449" s="3" t="n">
        <v>4</v>
      </c>
      <c r="N449" s="3" t="n">
        <v>4</v>
      </c>
      <c r="O449" s="3" t="n">
        <v>3</v>
      </c>
      <c r="P449" s="3" t="n">
        <v>4</v>
      </c>
      <c r="Q449" s="3" t="n">
        <v>3</v>
      </c>
      <c r="R449" s="3" t="n">
        <v>4</v>
      </c>
      <c r="S449" s="3" t="n">
        <v>4</v>
      </c>
      <c r="T449" s="3" t="n">
        <v>4</v>
      </c>
      <c r="U449" s="3" t="n">
        <v>4</v>
      </c>
      <c r="V449" s="3" t="n">
        <v>4</v>
      </c>
      <c r="W449" s="3" t="n">
        <v>4</v>
      </c>
      <c r="X449" s="3" t="n">
        <v>4</v>
      </c>
      <c r="Y449" s="3" t="n">
        <v>4</v>
      </c>
      <c r="Z449" s="3" t="n">
        <v>4</v>
      </c>
      <c r="AA449" s="3" t="n">
        <v>4</v>
      </c>
      <c r="AB449" s="3" t="n">
        <v>3</v>
      </c>
      <c r="AC449" s="3" t="n">
        <v>2</v>
      </c>
      <c r="AD449" s="3" t="n">
        <v>4</v>
      </c>
      <c r="AE449" s="3" t="n">
        <v>4</v>
      </c>
      <c r="AF449" s="3" t="n">
        <v>4</v>
      </c>
      <c r="AG449" s="3" t="n">
        <v>4</v>
      </c>
      <c r="AH449" s="3" t="n">
        <v>3</v>
      </c>
      <c r="AI449" s="3" t="n">
        <v>4</v>
      </c>
      <c r="AJ449" s="3" t="n">
        <v>4</v>
      </c>
      <c r="AK449" s="3" t="n">
        <v>4</v>
      </c>
      <c r="AL449" s="3" t="n">
        <v>4</v>
      </c>
      <c r="AM449" s="3" t="n">
        <v>4</v>
      </c>
      <c r="AN449" s="3" t="n">
        <v>2</v>
      </c>
      <c r="AO449" s="3" t="n">
        <v>4</v>
      </c>
    </row>
    <row r="450" customFormat="false" ht="15" hidden="false" customHeight="false" outlineLevel="0" collapsed="false">
      <c r="A450" s="3" t="n">
        <v>1</v>
      </c>
      <c r="B450" s="3" t="n">
        <v>4</v>
      </c>
      <c r="C450" s="3" t="n">
        <v>1</v>
      </c>
      <c r="D450" s="3" t="n">
        <v>1</v>
      </c>
      <c r="E450" s="3" t="n">
        <v>2</v>
      </c>
      <c r="F450" s="3" t="n">
        <v>2</v>
      </c>
      <c r="G450" s="3" t="n">
        <v>2</v>
      </c>
      <c r="H450" s="3" t="n">
        <v>2</v>
      </c>
      <c r="I450" s="3" t="n">
        <v>3</v>
      </c>
      <c r="J450" s="3" t="n">
        <v>24</v>
      </c>
      <c r="K450" s="3" t="n">
        <v>3</v>
      </c>
      <c r="L450" s="3" t="n">
        <v>4</v>
      </c>
      <c r="M450" s="3" t="n">
        <v>4</v>
      </c>
      <c r="N450" s="3" t="n">
        <v>4</v>
      </c>
      <c r="O450" s="3" t="n">
        <v>3</v>
      </c>
      <c r="P450" s="3" t="n">
        <v>2</v>
      </c>
      <c r="Q450" s="3" t="n">
        <v>3</v>
      </c>
      <c r="R450" s="3" t="n">
        <v>3</v>
      </c>
      <c r="S450" s="3" t="n">
        <v>5</v>
      </c>
      <c r="T450" s="3" t="n">
        <v>5</v>
      </c>
      <c r="U450" s="3" t="n">
        <v>5</v>
      </c>
      <c r="V450" s="3" t="n">
        <v>4</v>
      </c>
      <c r="W450" s="3" t="n">
        <v>4</v>
      </c>
      <c r="X450" s="3" t="n">
        <v>4</v>
      </c>
      <c r="Y450" s="3" t="n">
        <v>4</v>
      </c>
      <c r="Z450" s="3" t="n">
        <v>4</v>
      </c>
      <c r="AA450" s="3" t="n">
        <v>3</v>
      </c>
      <c r="AB450" s="3" t="n">
        <v>4</v>
      </c>
      <c r="AC450" s="3" t="n">
        <v>2</v>
      </c>
      <c r="AD450" s="3" t="n">
        <v>2</v>
      </c>
      <c r="AE450" s="3" t="n">
        <v>5</v>
      </c>
      <c r="AF450" s="3" t="n">
        <v>4</v>
      </c>
      <c r="AG450" s="3" t="n">
        <v>4</v>
      </c>
      <c r="AH450" s="3" t="n">
        <v>5</v>
      </c>
      <c r="AI450" s="3" t="n">
        <v>5</v>
      </c>
      <c r="AJ450" s="3" t="n">
        <v>4</v>
      </c>
      <c r="AK450" s="3" t="n">
        <v>3</v>
      </c>
      <c r="AL450" s="3" t="n">
        <v>3</v>
      </c>
      <c r="AM450" s="3" t="n">
        <v>3</v>
      </c>
      <c r="AN450" s="3" t="n">
        <v>4</v>
      </c>
      <c r="AO450" s="3" t="n">
        <v>2</v>
      </c>
    </row>
    <row r="451" customFormat="false" ht="15" hidden="false" customHeight="false" outlineLevel="0" collapsed="false">
      <c r="A451" s="3" t="n">
        <v>0</v>
      </c>
      <c r="B451" s="3" t="n">
        <v>3</v>
      </c>
      <c r="C451" s="3" t="n">
        <v>2</v>
      </c>
      <c r="D451" s="3" t="n">
        <v>1</v>
      </c>
      <c r="E451" s="3" t="n">
        <v>2</v>
      </c>
      <c r="F451" s="3" t="n">
        <v>2</v>
      </c>
      <c r="G451" s="3" t="n">
        <v>2</v>
      </c>
      <c r="H451" s="3" t="n">
        <v>3</v>
      </c>
      <c r="I451" s="3" t="n">
        <v>1</v>
      </c>
      <c r="J451" s="3" t="n">
        <v>21</v>
      </c>
      <c r="K451" s="3" t="n">
        <v>3</v>
      </c>
      <c r="L451" s="3" t="n">
        <v>4</v>
      </c>
      <c r="M451" s="3" t="n">
        <v>4</v>
      </c>
      <c r="N451" s="3" t="n">
        <v>3</v>
      </c>
      <c r="O451" s="3" t="n">
        <v>3</v>
      </c>
      <c r="P451" s="3" t="n">
        <v>3</v>
      </c>
      <c r="Q451" s="3" t="n">
        <v>4</v>
      </c>
      <c r="R451" s="3" t="n">
        <v>3</v>
      </c>
      <c r="S451" s="3" t="n">
        <v>3</v>
      </c>
      <c r="T451" s="3" t="n">
        <v>4</v>
      </c>
      <c r="U451" s="3" t="n">
        <v>4</v>
      </c>
      <c r="V451" s="3" t="n">
        <v>3</v>
      </c>
      <c r="W451" s="3" t="n">
        <v>4</v>
      </c>
      <c r="X451" s="3" t="n">
        <v>4</v>
      </c>
      <c r="Y451" s="3" t="n">
        <v>3</v>
      </c>
      <c r="Z451" s="3" t="n">
        <v>4</v>
      </c>
      <c r="AA451" s="3" t="n">
        <v>4</v>
      </c>
      <c r="AB451" s="3" t="n">
        <v>3</v>
      </c>
      <c r="AC451" s="3" t="n">
        <v>3</v>
      </c>
      <c r="AD451" s="3" t="n">
        <v>3</v>
      </c>
      <c r="AE451" s="3" t="n">
        <v>4</v>
      </c>
      <c r="AF451" s="3" t="n">
        <v>1</v>
      </c>
      <c r="AG451" s="3" t="n">
        <v>3</v>
      </c>
      <c r="AH451" s="3" t="n">
        <v>5</v>
      </c>
      <c r="AI451" s="3" t="n">
        <v>4</v>
      </c>
      <c r="AJ451" s="3" t="n">
        <v>4</v>
      </c>
      <c r="AK451" s="3" t="n">
        <v>2</v>
      </c>
      <c r="AL451" s="3" t="n">
        <v>4</v>
      </c>
      <c r="AM451" s="3" t="n">
        <v>4</v>
      </c>
      <c r="AN451" s="3" t="n">
        <v>3</v>
      </c>
      <c r="AO451" s="3" t="n">
        <v>3</v>
      </c>
    </row>
    <row r="452" customFormat="false" ht="15" hidden="false" customHeight="false" outlineLevel="0" collapsed="false">
      <c r="A452" s="3" t="n">
        <v>0</v>
      </c>
      <c r="B452" s="3" t="n">
        <v>4</v>
      </c>
      <c r="C452" s="3" t="n">
        <v>1</v>
      </c>
      <c r="D452" s="3" t="n">
        <v>1</v>
      </c>
      <c r="E452" s="3" t="n">
        <v>2</v>
      </c>
      <c r="F452" s="3" t="n">
        <v>2</v>
      </c>
      <c r="G452" s="3" t="n">
        <v>4</v>
      </c>
      <c r="H452" s="3" t="n">
        <v>1</v>
      </c>
      <c r="I452" s="3" t="n">
        <v>1</v>
      </c>
      <c r="J452" s="3" t="n">
        <v>24</v>
      </c>
      <c r="K452" s="3" t="n">
        <v>4</v>
      </c>
      <c r="L452" s="3" t="n">
        <v>4</v>
      </c>
      <c r="M452" s="3" t="n">
        <v>3</v>
      </c>
      <c r="N452" s="3" t="n">
        <v>3</v>
      </c>
      <c r="O452" s="3" t="n">
        <v>4</v>
      </c>
      <c r="P452" s="3" t="n">
        <v>4</v>
      </c>
      <c r="Q452" s="3" t="n">
        <v>4</v>
      </c>
      <c r="R452" s="3" t="n">
        <v>3</v>
      </c>
      <c r="S452" s="3" t="n">
        <v>4</v>
      </c>
      <c r="T452" s="3" t="n">
        <v>4</v>
      </c>
      <c r="U452" s="3" t="n">
        <v>5</v>
      </c>
      <c r="V452" s="3" t="n">
        <v>3</v>
      </c>
      <c r="W452" s="3" t="n">
        <v>4</v>
      </c>
      <c r="X452" s="3" t="n">
        <v>3</v>
      </c>
      <c r="Y452" s="3" t="n">
        <v>3</v>
      </c>
      <c r="Z452" s="3" t="n">
        <v>3</v>
      </c>
      <c r="AA452" s="3" t="n">
        <v>4</v>
      </c>
      <c r="AB452" s="3" t="n">
        <v>4</v>
      </c>
      <c r="AC452" s="3" t="n">
        <v>4</v>
      </c>
      <c r="AD452" s="3" t="n">
        <v>4</v>
      </c>
      <c r="AE452" s="3" t="n">
        <v>3</v>
      </c>
      <c r="AF452" s="3" t="n">
        <v>2</v>
      </c>
      <c r="AG452" s="3" t="n">
        <v>2</v>
      </c>
      <c r="AH452" s="3" t="n">
        <v>4</v>
      </c>
      <c r="AI452" s="3" t="n">
        <v>4</v>
      </c>
      <c r="AJ452" s="3" t="n">
        <v>3</v>
      </c>
      <c r="AK452" s="3" t="n">
        <v>3</v>
      </c>
      <c r="AL452" s="3" t="n">
        <v>2</v>
      </c>
      <c r="AM452" s="3" t="n">
        <v>3</v>
      </c>
      <c r="AN452" s="3" t="n">
        <v>4</v>
      </c>
      <c r="AO452" s="3" t="n">
        <v>2</v>
      </c>
    </row>
    <row r="453" customFormat="false" ht="15" hidden="false" customHeight="false" outlineLevel="0" collapsed="false">
      <c r="A453" s="3" t="n">
        <v>0</v>
      </c>
      <c r="B453" s="3" t="n">
        <v>3</v>
      </c>
      <c r="C453" s="3" t="n">
        <v>1</v>
      </c>
      <c r="D453" s="3" t="n">
        <v>1</v>
      </c>
      <c r="E453" s="3" t="n">
        <v>2</v>
      </c>
      <c r="F453" s="3" t="n">
        <v>2</v>
      </c>
      <c r="G453" s="3" t="n">
        <v>1</v>
      </c>
      <c r="H453" s="3" t="n">
        <v>3</v>
      </c>
      <c r="I453" s="3" t="n">
        <v>3</v>
      </c>
      <c r="J453" s="3" t="n">
        <v>24</v>
      </c>
      <c r="K453" s="3" t="n">
        <v>3</v>
      </c>
      <c r="L453" s="3" t="n">
        <v>2</v>
      </c>
      <c r="M453" s="3" t="n">
        <v>4</v>
      </c>
      <c r="N453" s="3" t="n">
        <v>3</v>
      </c>
      <c r="O453" s="3" t="n">
        <v>4</v>
      </c>
      <c r="P453" s="3" t="n">
        <v>3</v>
      </c>
      <c r="Q453" s="3" t="n">
        <v>4</v>
      </c>
      <c r="R453" s="3" t="n">
        <v>4</v>
      </c>
      <c r="S453" s="3" t="n">
        <v>3</v>
      </c>
      <c r="T453" s="3" t="n">
        <v>5</v>
      </c>
      <c r="U453" s="3" t="n">
        <v>4</v>
      </c>
      <c r="V453" s="3" t="n">
        <v>2</v>
      </c>
      <c r="W453" s="3" t="n">
        <v>4</v>
      </c>
      <c r="X453" s="3" t="n">
        <v>4</v>
      </c>
      <c r="Y453" s="3" t="n">
        <v>3</v>
      </c>
      <c r="Z453" s="3" t="n">
        <v>4</v>
      </c>
      <c r="AA453" s="3" t="n">
        <v>4</v>
      </c>
      <c r="AB453" s="3" t="n">
        <v>2</v>
      </c>
      <c r="AC453" s="3" t="n">
        <v>2</v>
      </c>
      <c r="AD453" s="3" t="n">
        <v>2</v>
      </c>
      <c r="AE453" s="3" t="n">
        <v>4</v>
      </c>
      <c r="AF453" s="3" t="n">
        <v>2</v>
      </c>
      <c r="AG453" s="3" t="n">
        <v>4</v>
      </c>
      <c r="AH453" s="3" t="n">
        <v>3</v>
      </c>
      <c r="AI453" s="3" t="n">
        <v>3</v>
      </c>
      <c r="AJ453" s="3" t="n">
        <v>4</v>
      </c>
      <c r="AK453" s="3" t="n">
        <v>3</v>
      </c>
      <c r="AL453" s="3" t="n">
        <v>5</v>
      </c>
      <c r="AM453" s="3" t="n">
        <v>3</v>
      </c>
      <c r="AN453" s="3" t="n">
        <v>3</v>
      </c>
      <c r="AO453" s="3" t="n">
        <v>4</v>
      </c>
    </row>
    <row r="454" customFormat="false" ht="15" hidden="false" customHeight="false" outlineLevel="0" collapsed="false">
      <c r="A454" s="3" t="n">
        <v>0</v>
      </c>
      <c r="B454" s="3" t="n">
        <v>3</v>
      </c>
      <c r="C454" s="3" t="n">
        <v>2</v>
      </c>
      <c r="D454" s="3" t="n">
        <v>2</v>
      </c>
      <c r="E454" s="3" t="n">
        <v>2</v>
      </c>
      <c r="F454" s="3" t="n">
        <v>2</v>
      </c>
      <c r="G454" s="3" t="n">
        <v>1</v>
      </c>
      <c r="H454" s="3" t="n">
        <v>3</v>
      </c>
      <c r="I454" s="3" t="n">
        <v>1</v>
      </c>
      <c r="J454" s="3" t="n">
        <v>22</v>
      </c>
      <c r="K454" s="3" t="n">
        <v>4</v>
      </c>
      <c r="L454" s="3" t="n">
        <v>4</v>
      </c>
      <c r="M454" s="3" t="n">
        <v>4</v>
      </c>
      <c r="N454" s="3" t="n">
        <v>3</v>
      </c>
      <c r="O454" s="3" t="n">
        <v>4</v>
      </c>
      <c r="P454" s="3" t="n">
        <v>2</v>
      </c>
      <c r="Q454" s="3" t="n">
        <v>2</v>
      </c>
      <c r="R454" s="3" t="n">
        <v>2</v>
      </c>
      <c r="S454" s="3" t="n">
        <v>4</v>
      </c>
      <c r="T454" s="3" t="n">
        <v>5</v>
      </c>
      <c r="U454" s="3" t="n">
        <v>5</v>
      </c>
      <c r="V454" s="3" t="n">
        <v>4</v>
      </c>
      <c r="W454" s="3" t="n">
        <v>5</v>
      </c>
      <c r="X454" s="3" t="n">
        <v>4</v>
      </c>
      <c r="Y454" s="3" t="n">
        <v>2</v>
      </c>
      <c r="Z454" s="3" t="n">
        <v>4</v>
      </c>
      <c r="AA454" s="3" t="n">
        <v>1</v>
      </c>
      <c r="AB454" s="3" t="n">
        <v>2</v>
      </c>
      <c r="AC454" s="3" t="n">
        <v>2</v>
      </c>
      <c r="AD454" s="3" t="n">
        <v>2</v>
      </c>
      <c r="AE454" s="3" t="n">
        <v>4</v>
      </c>
      <c r="AF454" s="3" t="n">
        <v>2</v>
      </c>
      <c r="AG454" s="3" t="n">
        <v>2</v>
      </c>
      <c r="AH454" s="3" t="n">
        <v>4</v>
      </c>
      <c r="AI454" s="3" t="n">
        <v>2</v>
      </c>
      <c r="AJ454" s="3" t="n">
        <v>5</v>
      </c>
      <c r="AK454" s="3" t="n">
        <v>4</v>
      </c>
      <c r="AL454" s="3" t="n">
        <v>4</v>
      </c>
      <c r="AM454" s="3" t="n">
        <v>4</v>
      </c>
      <c r="AN454" s="3" t="n">
        <v>4</v>
      </c>
      <c r="AO454" s="3" t="n">
        <v>2</v>
      </c>
    </row>
    <row r="455" customFormat="false" ht="15" hidden="false" customHeight="false" outlineLevel="0" collapsed="false">
      <c r="A455" s="3" t="n">
        <v>0</v>
      </c>
      <c r="B455" s="3" t="n">
        <v>4</v>
      </c>
      <c r="C455" s="3" t="n">
        <v>1</v>
      </c>
      <c r="D455" s="3" t="n">
        <v>1</v>
      </c>
      <c r="E455" s="3" t="n">
        <v>2</v>
      </c>
      <c r="F455" s="3" t="n">
        <v>2</v>
      </c>
      <c r="G455" s="3" t="n">
        <v>1</v>
      </c>
      <c r="H455" s="3" t="n">
        <v>3</v>
      </c>
      <c r="I455" s="3" t="n">
        <v>1</v>
      </c>
      <c r="J455" s="3" t="n">
        <v>23</v>
      </c>
      <c r="K455" s="3" t="n">
        <v>3</v>
      </c>
      <c r="L455" s="3" t="n">
        <v>4</v>
      </c>
      <c r="M455" s="3" t="n">
        <v>5</v>
      </c>
      <c r="N455" s="3" t="n">
        <v>5</v>
      </c>
      <c r="O455" s="3" t="n">
        <v>5</v>
      </c>
      <c r="P455" s="3" t="n">
        <v>4</v>
      </c>
      <c r="Q455" s="3" t="n">
        <v>3</v>
      </c>
      <c r="R455" s="3" t="n">
        <v>5</v>
      </c>
      <c r="S455" s="3" t="n">
        <v>5</v>
      </c>
      <c r="T455" s="3" t="n">
        <v>5</v>
      </c>
      <c r="U455" s="3" t="n">
        <v>5</v>
      </c>
      <c r="V455" s="3" t="n">
        <v>4</v>
      </c>
      <c r="W455" s="3" t="n">
        <v>5</v>
      </c>
      <c r="X455" s="3" t="n">
        <v>5</v>
      </c>
      <c r="Y455" s="3" t="n">
        <v>5</v>
      </c>
      <c r="Z455" s="3" t="n">
        <v>5</v>
      </c>
      <c r="AA455" s="3" t="n">
        <v>5</v>
      </c>
      <c r="AB455" s="3" t="n">
        <v>4</v>
      </c>
      <c r="AC455" s="3" t="n">
        <v>1</v>
      </c>
      <c r="AD455" s="3" t="n">
        <v>2</v>
      </c>
      <c r="AE455" s="3" t="n">
        <v>4</v>
      </c>
      <c r="AF455" s="3" t="n">
        <v>3</v>
      </c>
      <c r="AG455" s="3" t="n">
        <v>4</v>
      </c>
      <c r="AH455" s="3" t="n">
        <v>5</v>
      </c>
      <c r="AI455" s="3" t="n">
        <v>5</v>
      </c>
      <c r="AJ455" s="3" t="n">
        <v>4</v>
      </c>
      <c r="AK455" s="3" t="n">
        <v>4</v>
      </c>
      <c r="AL455" s="3" t="n">
        <v>5</v>
      </c>
      <c r="AM455" s="3" t="n">
        <v>4</v>
      </c>
      <c r="AN455" s="3" t="n">
        <v>4</v>
      </c>
      <c r="AO455" s="3" t="n">
        <v>4</v>
      </c>
    </row>
    <row r="456" customFormat="false" ht="15" hidden="false" customHeight="false" outlineLevel="0" collapsed="false">
      <c r="A456" s="3" t="n">
        <v>0</v>
      </c>
      <c r="B456" s="3" t="n">
        <v>3</v>
      </c>
      <c r="C456" s="3" t="n">
        <v>1</v>
      </c>
      <c r="D456" s="3" t="n">
        <v>1</v>
      </c>
      <c r="E456" s="3" t="n">
        <v>2</v>
      </c>
      <c r="F456" s="3" t="n">
        <v>2</v>
      </c>
      <c r="G456" s="3" t="n">
        <v>2</v>
      </c>
      <c r="H456" s="3" t="n">
        <v>2</v>
      </c>
      <c r="I456" s="3" t="n">
        <v>1</v>
      </c>
      <c r="J456" s="3" t="n">
        <v>20</v>
      </c>
      <c r="K456" s="3" t="n">
        <v>3</v>
      </c>
      <c r="L456" s="3" t="n">
        <v>2</v>
      </c>
      <c r="M456" s="3" t="n">
        <v>4</v>
      </c>
      <c r="N456" s="3" t="n">
        <v>3</v>
      </c>
      <c r="O456" s="3" t="n">
        <v>4</v>
      </c>
      <c r="P456" s="3" t="n">
        <v>2</v>
      </c>
      <c r="Q456" s="3" t="n">
        <v>2</v>
      </c>
      <c r="R456" s="3" t="n">
        <v>2</v>
      </c>
      <c r="S456" s="3" t="n">
        <v>3</v>
      </c>
      <c r="T456" s="3" t="n">
        <v>3</v>
      </c>
      <c r="U456" s="3" t="n">
        <v>4</v>
      </c>
      <c r="V456" s="3" t="n">
        <v>2</v>
      </c>
      <c r="W456" s="3" t="n">
        <v>3</v>
      </c>
      <c r="X456" s="3" t="n">
        <v>3</v>
      </c>
      <c r="Y456" s="3" t="n">
        <v>3</v>
      </c>
      <c r="Z456" s="3" t="n">
        <v>4</v>
      </c>
      <c r="AA456" s="3" t="n">
        <v>4</v>
      </c>
      <c r="AB456" s="3" t="n">
        <v>4</v>
      </c>
      <c r="AC456" s="3" t="n">
        <v>2</v>
      </c>
      <c r="AD456" s="3" t="n">
        <v>2</v>
      </c>
      <c r="AE456" s="3" t="n">
        <v>4</v>
      </c>
      <c r="AF456" s="3" t="n">
        <v>4</v>
      </c>
      <c r="AG456" s="3" t="n">
        <v>3</v>
      </c>
      <c r="AH456" s="3" t="n">
        <v>4</v>
      </c>
      <c r="AI456" s="3" t="n">
        <v>3</v>
      </c>
      <c r="AJ456" s="3" t="n">
        <v>2</v>
      </c>
      <c r="AK456" s="3" t="n">
        <v>3</v>
      </c>
      <c r="AL456" s="3" t="n">
        <v>2</v>
      </c>
      <c r="AM456" s="3" t="n">
        <v>3</v>
      </c>
      <c r="AN456" s="3" t="n">
        <v>2</v>
      </c>
      <c r="AO456" s="3" t="n">
        <v>3</v>
      </c>
    </row>
    <row r="457" customFormat="false" ht="15" hidden="false" customHeight="false" outlineLevel="0" collapsed="false">
      <c r="A457" s="3" t="n">
        <v>1</v>
      </c>
      <c r="B457" s="3" t="n">
        <v>3</v>
      </c>
      <c r="C457" s="3" t="n">
        <v>2</v>
      </c>
      <c r="D457" s="3" t="n">
        <v>1</v>
      </c>
      <c r="E457" s="3" t="n">
        <v>2</v>
      </c>
      <c r="F457" s="3" t="n">
        <v>2</v>
      </c>
      <c r="G457" s="3" t="n">
        <v>2</v>
      </c>
      <c r="H457" s="3" t="n">
        <v>2</v>
      </c>
      <c r="I457" s="3" t="n">
        <v>1</v>
      </c>
      <c r="J457" s="3" t="n">
        <v>23</v>
      </c>
      <c r="K457" s="3" t="n">
        <v>3</v>
      </c>
      <c r="L457" s="3" t="n">
        <v>3</v>
      </c>
      <c r="M457" s="3" t="n">
        <v>4</v>
      </c>
      <c r="N457" s="3" t="n">
        <v>4</v>
      </c>
      <c r="O457" s="3" t="n">
        <v>3</v>
      </c>
      <c r="P457" s="3" t="n">
        <v>3</v>
      </c>
      <c r="Q457" s="3" t="n">
        <v>4</v>
      </c>
      <c r="R457" s="3" t="n">
        <v>2</v>
      </c>
      <c r="S457" s="3" t="n">
        <v>4</v>
      </c>
      <c r="T457" s="3" t="n">
        <v>5</v>
      </c>
      <c r="U457" s="3" t="n">
        <v>5</v>
      </c>
      <c r="V457" s="3" t="n">
        <v>5</v>
      </c>
      <c r="W457" s="3" t="n">
        <v>4</v>
      </c>
      <c r="X457" s="3" t="n">
        <v>4</v>
      </c>
      <c r="Y457" s="3" t="n">
        <v>4</v>
      </c>
      <c r="Z457" s="3" t="n">
        <v>5</v>
      </c>
      <c r="AA457" s="3" t="n">
        <v>2</v>
      </c>
      <c r="AB457" s="3" t="n">
        <v>4</v>
      </c>
      <c r="AC457" s="3" t="n">
        <v>1</v>
      </c>
      <c r="AD457" s="3" t="n">
        <v>2</v>
      </c>
      <c r="AE457" s="3" t="n">
        <v>3</v>
      </c>
      <c r="AF457" s="3" t="n">
        <v>2</v>
      </c>
      <c r="AG457" s="3" t="n">
        <v>2</v>
      </c>
      <c r="AH457" s="3" t="n">
        <v>4</v>
      </c>
      <c r="AI457" s="3" t="n">
        <v>4</v>
      </c>
      <c r="AJ457" s="3" t="n">
        <v>4</v>
      </c>
      <c r="AK457" s="3" t="n">
        <v>4</v>
      </c>
      <c r="AL457" s="3" t="n">
        <v>4</v>
      </c>
      <c r="AM457" s="3" t="n">
        <v>4</v>
      </c>
      <c r="AN457" s="3" t="n">
        <v>3</v>
      </c>
      <c r="AO457" s="3" t="n">
        <v>3</v>
      </c>
    </row>
    <row r="458" customFormat="false" ht="15" hidden="false" customHeight="false" outlineLevel="0" collapsed="false">
      <c r="A458" s="3" t="n">
        <v>0</v>
      </c>
      <c r="B458" s="3" t="n">
        <v>1</v>
      </c>
      <c r="C458" s="3" t="n">
        <v>2</v>
      </c>
      <c r="D458" s="3" t="n">
        <v>2</v>
      </c>
      <c r="E458" s="3" t="n">
        <v>2</v>
      </c>
      <c r="F458" s="3" t="n">
        <v>2</v>
      </c>
      <c r="G458" s="3" t="n">
        <v>1</v>
      </c>
      <c r="H458" s="3" t="n">
        <v>2</v>
      </c>
      <c r="I458" s="3" t="n">
        <v>1</v>
      </c>
      <c r="J458" s="3" t="n">
        <v>22</v>
      </c>
      <c r="K458" s="3" t="n">
        <v>5</v>
      </c>
      <c r="L458" s="3" t="n">
        <v>4</v>
      </c>
      <c r="M458" s="3" t="n">
        <v>5</v>
      </c>
      <c r="N458" s="3" t="n">
        <v>4</v>
      </c>
      <c r="O458" s="3" t="n">
        <v>5</v>
      </c>
      <c r="P458" s="3" t="n">
        <v>1</v>
      </c>
      <c r="Q458" s="3" t="n">
        <v>1</v>
      </c>
      <c r="R458" s="3" t="n">
        <v>2</v>
      </c>
      <c r="S458" s="3" t="n">
        <v>5</v>
      </c>
      <c r="T458" s="3" t="n">
        <v>4</v>
      </c>
      <c r="U458" s="3" t="n">
        <v>4</v>
      </c>
      <c r="V458" s="3" t="n">
        <v>4</v>
      </c>
      <c r="W458" s="3" t="n">
        <v>4</v>
      </c>
      <c r="X458" s="3" t="n">
        <v>3</v>
      </c>
      <c r="Y458" s="3" t="n">
        <v>3</v>
      </c>
      <c r="Z458" s="3" t="n">
        <v>5</v>
      </c>
      <c r="AA458" s="3" t="n">
        <v>3</v>
      </c>
      <c r="AB458" s="3" t="n">
        <v>2</v>
      </c>
      <c r="AC458" s="3" t="n">
        <v>1</v>
      </c>
      <c r="AD458" s="3" t="n">
        <v>1</v>
      </c>
      <c r="AE458" s="3" t="n">
        <v>3</v>
      </c>
      <c r="AF458" s="3" t="n">
        <v>4</v>
      </c>
      <c r="AG458" s="3" t="n">
        <v>4</v>
      </c>
      <c r="AH458" s="3" t="n">
        <v>3</v>
      </c>
      <c r="AI458" s="3" t="n">
        <v>5</v>
      </c>
      <c r="AJ458" s="3" t="n">
        <v>4</v>
      </c>
      <c r="AK458" s="3" t="n">
        <v>1</v>
      </c>
      <c r="AL458" s="3" t="n">
        <v>4</v>
      </c>
      <c r="AM458" s="3" t="n">
        <v>4</v>
      </c>
      <c r="AN458" s="3" t="n">
        <v>2</v>
      </c>
      <c r="AO458" s="3" t="n">
        <v>2</v>
      </c>
    </row>
    <row r="459" customFormat="false" ht="15" hidden="false" customHeight="false" outlineLevel="0" collapsed="false">
      <c r="A459" s="3" t="n">
        <v>1</v>
      </c>
      <c r="B459" s="3" t="n">
        <v>3</v>
      </c>
      <c r="C459" s="3" t="n">
        <v>1</v>
      </c>
      <c r="D459" s="3" t="n">
        <v>1</v>
      </c>
      <c r="E459" s="3" t="n">
        <v>2</v>
      </c>
      <c r="F459" s="3" t="n">
        <v>2</v>
      </c>
      <c r="G459" s="3" t="n">
        <v>1</v>
      </c>
      <c r="H459" s="3" t="n">
        <v>3</v>
      </c>
      <c r="I459" s="3" t="n">
        <v>1</v>
      </c>
      <c r="J459" s="3" t="n">
        <v>22</v>
      </c>
      <c r="K459" s="3" t="n">
        <v>4</v>
      </c>
      <c r="L459" s="3" t="n">
        <v>3</v>
      </c>
      <c r="M459" s="3" t="n">
        <v>4</v>
      </c>
      <c r="N459" s="3" t="n">
        <v>3</v>
      </c>
      <c r="O459" s="3" t="n">
        <v>3</v>
      </c>
      <c r="P459" s="3" t="n">
        <v>4</v>
      </c>
      <c r="Q459" s="3" t="n">
        <v>3</v>
      </c>
      <c r="R459" s="3" t="n">
        <v>3</v>
      </c>
      <c r="S459" s="3" t="n">
        <v>3</v>
      </c>
      <c r="T459" s="3" t="n">
        <v>4</v>
      </c>
      <c r="U459" s="3" t="n">
        <v>3</v>
      </c>
      <c r="V459" s="3" t="n">
        <v>3</v>
      </c>
      <c r="W459" s="3" t="n">
        <v>1</v>
      </c>
      <c r="X459" s="3" t="n">
        <v>4</v>
      </c>
      <c r="Y459" s="3" t="n">
        <v>4</v>
      </c>
      <c r="Z459" s="3" t="n">
        <v>4</v>
      </c>
      <c r="AA459" s="3" t="n">
        <v>4</v>
      </c>
      <c r="AB459" s="3" t="n">
        <v>4</v>
      </c>
      <c r="AC459" s="3" t="n">
        <v>4</v>
      </c>
      <c r="AD459" s="3" t="n">
        <v>4</v>
      </c>
      <c r="AE459" s="3" t="n">
        <v>4</v>
      </c>
      <c r="AF459" s="3" t="n">
        <v>4</v>
      </c>
      <c r="AG459" s="3" t="n">
        <v>4</v>
      </c>
      <c r="AH459" s="3" t="n">
        <v>4</v>
      </c>
      <c r="AI459" s="3" t="n">
        <v>4</v>
      </c>
      <c r="AJ459" s="3" t="n">
        <v>3</v>
      </c>
      <c r="AK459" s="3" t="n">
        <v>4</v>
      </c>
      <c r="AL459" s="3" t="n">
        <v>4</v>
      </c>
      <c r="AM459" s="3" t="n">
        <v>3</v>
      </c>
      <c r="AN459" s="3" t="n">
        <v>1</v>
      </c>
      <c r="AO459" s="3" t="n">
        <v>4</v>
      </c>
    </row>
    <row r="460" customFormat="false" ht="15" hidden="false" customHeight="false" outlineLevel="0" collapsed="false">
      <c r="A460" s="3" t="n">
        <v>1</v>
      </c>
      <c r="B460" s="3" t="n">
        <v>3</v>
      </c>
      <c r="C460" s="3" t="n">
        <v>1</v>
      </c>
      <c r="D460" s="3" t="n">
        <v>1</v>
      </c>
      <c r="E460" s="3" t="n">
        <v>2</v>
      </c>
      <c r="F460" s="3" t="n">
        <v>2</v>
      </c>
      <c r="G460" s="3" t="n">
        <v>2</v>
      </c>
      <c r="H460" s="3" t="n">
        <v>2</v>
      </c>
      <c r="I460" s="3" t="n">
        <v>1</v>
      </c>
      <c r="J460" s="3" t="n">
        <v>23</v>
      </c>
      <c r="K460" s="3" t="n">
        <v>3</v>
      </c>
      <c r="L460" s="3" t="n">
        <v>4</v>
      </c>
      <c r="M460" s="3" t="n">
        <v>4</v>
      </c>
      <c r="N460" s="3" t="n">
        <v>3</v>
      </c>
      <c r="O460" s="3" t="n">
        <v>4</v>
      </c>
      <c r="P460" s="3" t="n">
        <v>4</v>
      </c>
      <c r="Q460" s="3" t="n">
        <v>4</v>
      </c>
      <c r="R460" s="3" t="n">
        <v>2</v>
      </c>
      <c r="S460" s="3" t="n">
        <v>4</v>
      </c>
      <c r="T460" s="3" t="n">
        <v>4</v>
      </c>
      <c r="U460" s="3" t="n">
        <v>4</v>
      </c>
      <c r="V460" s="3" t="n">
        <v>4</v>
      </c>
      <c r="W460" s="3" t="n">
        <v>4</v>
      </c>
      <c r="X460" s="3" t="n">
        <v>4</v>
      </c>
      <c r="Y460" s="3" t="n">
        <v>4</v>
      </c>
      <c r="Z460" s="3" t="n">
        <v>4</v>
      </c>
      <c r="AA460" s="3" t="n">
        <v>4</v>
      </c>
      <c r="AB460" s="3" t="n">
        <v>3</v>
      </c>
      <c r="AC460" s="3" t="n">
        <v>3</v>
      </c>
      <c r="AD460" s="3" t="n">
        <v>3</v>
      </c>
      <c r="AE460" s="3" t="n">
        <v>4</v>
      </c>
      <c r="AF460" s="3" t="n">
        <v>2</v>
      </c>
      <c r="AG460" s="3" t="n">
        <v>4</v>
      </c>
      <c r="AH460" s="3" t="n">
        <v>4</v>
      </c>
      <c r="AI460" s="3" t="n">
        <v>4</v>
      </c>
      <c r="AJ460" s="3" t="n">
        <v>5</v>
      </c>
      <c r="AK460" s="3" t="n">
        <v>4</v>
      </c>
      <c r="AL460" s="3" t="n">
        <v>4</v>
      </c>
      <c r="AM460" s="3" t="n">
        <v>3</v>
      </c>
      <c r="AN460" s="3" t="n">
        <v>3</v>
      </c>
      <c r="AO460" s="3" t="n">
        <v>3</v>
      </c>
    </row>
    <row r="461" customFormat="false" ht="15" hidden="false" customHeight="false" outlineLevel="0" collapsed="false">
      <c r="A461" s="3" t="n">
        <v>0</v>
      </c>
      <c r="B461" s="3" t="n">
        <v>6</v>
      </c>
      <c r="C461" s="3" t="n">
        <v>2</v>
      </c>
      <c r="D461" s="3" t="n">
        <v>2</v>
      </c>
      <c r="E461" s="3" t="n">
        <v>2</v>
      </c>
      <c r="F461" s="3" t="n">
        <v>2</v>
      </c>
      <c r="G461" s="3" t="n">
        <v>1</v>
      </c>
      <c r="H461" s="3" t="n">
        <v>3</v>
      </c>
      <c r="I461" s="3" t="n">
        <v>3</v>
      </c>
      <c r="J461" s="3" t="n">
        <v>26</v>
      </c>
      <c r="K461" s="3" t="n">
        <v>4</v>
      </c>
      <c r="L461" s="3" t="n">
        <v>4</v>
      </c>
      <c r="M461" s="3" t="n">
        <v>4</v>
      </c>
      <c r="N461" s="3" t="n">
        <v>4</v>
      </c>
      <c r="O461" s="3" t="n">
        <v>4</v>
      </c>
      <c r="P461" s="3" t="n">
        <v>3</v>
      </c>
      <c r="Q461" s="3" t="n">
        <v>4</v>
      </c>
      <c r="R461" s="3" t="n">
        <v>3</v>
      </c>
      <c r="S461" s="3" t="n">
        <v>5</v>
      </c>
      <c r="T461" s="3" t="n">
        <v>5</v>
      </c>
      <c r="U461" s="3" t="n">
        <v>4</v>
      </c>
      <c r="V461" s="3" t="n">
        <v>3</v>
      </c>
      <c r="W461" s="3" t="n">
        <v>4</v>
      </c>
      <c r="X461" s="3" t="n">
        <v>3</v>
      </c>
      <c r="Y461" s="3" t="n">
        <v>4</v>
      </c>
      <c r="Z461" s="3" t="n">
        <v>4</v>
      </c>
      <c r="AA461" s="3" t="n">
        <v>4</v>
      </c>
      <c r="AB461" s="3" t="n">
        <v>3</v>
      </c>
      <c r="AC461" s="3" t="n">
        <v>3</v>
      </c>
      <c r="AD461" s="3" t="n">
        <v>3</v>
      </c>
      <c r="AE461" s="3" t="n">
        <v>4</v>
      </c>
      <c r="AF461" s="3" t="n">
        <v>4</v>
      </c>
      <c r="AG461" s="3" t="n">
        <v>3</v>
      </c>
      <c r="AH461" s="3" t="n">
        <v>5</v>
      </c>
      <c r="AI461" s="3" t="n">
        <v>4</v>
      </c>
      <c r="AJ461" s="3" t="n">
        <v>5</v>
      </c>
      <c r="AK461" s="3" t="n">
        <v>3</v>
      </c>
      <c r="AL461" s="3" t="n">
        <v>3</v>
      </c>
      <c r="AM461" s="3" t="n">
        <v>4</v>
      </c>
      <c r="AN461" s="3" t="n">
        <v>4</v>
      </c>
      <c r="AO461" s="3" t="n">
        <v>3</v>
      </c>
    </row>
    <row r="462" customFormat="false" ht="15" hidden="false" customHeight="false" outlineLevel="0" collapsed="false">
      <c r="A462" s="3" t="n">
        <v>0</v>
      </c>
      <c r="B462" s="3" t="n">
        <v>3</v>
      </c>
      <c r="C462" s="3" t="n">
        <v>2</v>
      </c>
      <c r="D462" s="3" t="n">
        <v>1</v>
      </c>
      <c r="E462" s="3" t="n">
        <v>2</v>
      </c>
      <c r="F462" s="3" t="n">
        <v>2</v>
      </c>
      <c r="G462" s="3" t="n">
        <v>2</v>
      </c>
      <c r="H462" s="3" t="n">
        <v>2</v>
      </c>
      <c r="I462" s="3" t="n">
        <v>3</v>
      </c>
      <c r="J462" s="3" t="n">
        <v>25</v>
      </c>
      <c r="K462" s="3" t="n">
        <v>4</v>
      </c>
      <c r="L462" s="3" t="n">
        <v>4</v>
      </c>
      <c r="M462" s="3" t="n">
        <v>4</v>
      </c>
      <c r="N462" s="3" t="n">
        <v>3</v>
      </c>
      <c r="O462" s="3" t="n">
        <v>4</v>
      </c>
      <c r="P462" s="3" t="n">
        <v>4</v>
      </c>
      <c r="Q462" s="3" t="n">
        <v>3</v>
      </c>
      <c r="R462" s="3" t="n">
        <v>3</v>
      </c>
      <c r="S462" s="3" t="n">
        <v>4</v>
      </c>
      <c r="T462" s="3" t="n">
        <v>5</v>
      </c>
      <c r="U462" s="3" t="n">
        <v>4</v>
      </c>
      <c r="V462" s="3" t="n">
        <v>4</v>
      </c>
      <c r="W462" s="3" t="n">
        <v>4</v>
      </c>
      <c r="X462" s="3" t="n">
        <v>3</v>
      </c>
      <c r="Y462" s="3" t="n">
        <v>4</v>
      </c>
      <c r="Z462" s="3" t="n">
        <v>4</v>
      </c>
      <c r="AA462" s="3" t="n">
        <v>3</v>
      </c>
      <c r="AB462" s="3" t="n">
        <v>4</v>
      </c>
      <c r="AC462" s="3" t="n">
        <v>1</v>
      </c>
      <c r="AD462" s="3" t="n">
        <v>1</v>
      </c>
      <c r="AE462" s="3" t="n">
        <v>4</v>
      </c>
      <c r="AF462" s="3" t="n">
        <v>5</v>
      </c>
      <c r="AG462" s="3" t="n">
        <v>4</v>
      </c>
      <c r="AH462" s="3" t="n">
        <v>3</v>
      </c>
      <c r="AI462" s="3" t="n">
        <v>3</v>
      </c>
      <c r="AJ462" s="3" t="n">
        <v>3</v>
      </c>
      <c r="AK462" s="3" t="n">
        <v>2</v>
      </c>
      <c r="AL462" s="3" t="n">
        <v>4</v>
      </c>
      <c r="AM462" s="3" t="n">
        <v>4</v>
      </c>
      <c r="AN462" s="3" t="n">
        <v>4</v>
      </c>
      <c r="AO462" s="3" t="n">
        <v>2</v>
      </c>
    </row>
    <row r="463" customFormat="false" ht="15" hidden="false" customHeight="false" outlineLevel="0" collapsed="false">
      <c r="A463" s="3" t="n">
        <v>0</v>
      </c>
      <c r="B463" s="3" t="n">
        <v>3</v>
      </c>
      <c r="C463" s="3" t="n">
        <v>2</v>
      </c>
      <c r="D463" s="3" t="n">
        <v>2</v>
      </c>
      <c r="E463" s="3" t="n">
        <v>2</v>
      </c>
      <c r="F463" s="3" t="n">
        <v>2</v>
      </c>
      <c r="G463" s="3" t="n">
        <v>1</v>
      </c>
      <c r="H463" s="3" t="n">
        <v>2</v>
      </c>
      <c r="I463" s="3" t="n">
        <v>1</v>
      </c>
      <c r="J463" s="3" t="n">
        <v>20</v>
      </c>
      <c r="K463" s="3" t="n">
        <v>3</v>
      </c>
      <c r="L463" s="3" t="n">
        <v>4</v>
      </c>
      <c r="M463" s="3" t="n">
        <v>4</v>
      </c>
      <c r="N463" s="3" t="n">
        <v>4</v>
      </c>
      <c r="O463" s="3" t="n">
        <v>3</v>
      </c>
      <c r="P463" s="3" t="n">
        <v>3</v>
      </c>
      <c r="Q463" s="3" t="n">
        <v>2</v>
      </c>
      <c r="R463" s="3" t="n">
        <v>3</v>
      </c>
      <c r="S463" s="3" t="n">
        <v>4</v>
      </c>
      <c r="T463" s="3" t="n">
        <v>5</v>
      </c>
      <c r="U463" s="3" t="n">
        <v>4</v>
      </c>
      <c r="V463" s="3" t="n">
        <v>4</v>
      </c>
      <c r="W463" s="3" t="n">
        <v>4</v>
      </c>
      <c r="X463" s="3" t="n">
        <v>4</v>
      </c>
      <c r="Y463" s="3" t="n">
        <v>4</v>
      </c>
      <c r="Z463" s="3" t="n">
        <v>4</v>
      </c>
      <c r="AA463" s="3" t="n">
        <v>3</v>
      </c>
      <c r="AB463" s="3" t="n">
        <v>3</v>
      </c>
      <c r="AC463" s="3" t="n">
        <v>2</v>
      </c>
      <c r="AD463" s="3" t="n">
        <v>2</v>
      </c>
      <c r="AE463" s="3" t="n">
        <v>4</v>
      </c>
      <c r="AF463" s="3" t="n">
        <v>3</v>
      </c>
      <c r="AG463" s="3" t="n">
        <v>4</v>
      </c>
      <c r="AH463" s="3" t="n">
        <v>4</v>
      </c>
      <c r="AI463" s="3" t="n">
        <v>5</v>
      </c>
      <c r="AJ463" s="3" t="n">
        <v>4</v>
      </c>
      <c r="AK463" s="3" t="n">
        <v>2</v>
      </c>
      <c r="AL463" s="3" t="n">
        <v>4</v>
      </c>
      <c r="AM463" s="3" t="n">
        <v>4</v>
      </c>
      <c r="AN463" s="3" t="n">
        <v>2</v>
      </c>
      <c r="AO463" s="3" t="n">
        <v>3</v>
      </c>
    </row>
    <row r="464" customFormat="false" ht="15" hidden="false" customHeight="false" outlineLevel="0" collapsed="false">
      <c r="A464" s="3" t="n">
        <v>0</v>
      </c>
      <c r="B464" s="3" t="n">
        <v>2</v>
      </c>
      <c r="C464" s="3" t="n">
        <v>2</v>
      </c>
      <c r="D464" s="3" t="n">
        <v>1</v>
      </c>
      <c r="E464" s="3" t="n">
        <v>2</v>
      </c>
      <c r="F464" s="3" t="n">
        <v>2</v>
      </c>
      <c r="G464" s="3" t="n">
        <v>3</v>
      </c>
      <c r="H464" s="3" t="n">
        <v>3</v>
      </c>
      <c r="I464" s="3" t="n">
        <v>1</v>
      </c>
      <c r="J464" s="3" t="n">
        <v>21</v>
      </c>
      <c r="K464" s="3" t="n">
        <v>4</v>
      </c>
      <c r="L464" s="3" t="n">
        <v>3</v>
      </c>
      <c r="M464" s="3" t="n">
        <v>4</v>
      </c>
      <c r="N464" s="3" t="n">
        <v>3</v>
      </c>
      <c r="O464" s="3" t="n">
        <v>4</v>
      </c>
      <c r="P464" s="3" t="n">
        <v>4</v>
      </c>
      <c r="Q464" s="3" t="n">
        <v>4</v>
      </c>
      <c r="R464" s="3" t="n">
        <v>3</v>
      </c>
      <c r="S464" s="3" t="n">
        <v>5</v>
      </c>
      <c r="T464" s="3" t="n">
        <v>4</v>
      </c>
      <c r="U464" s="3" t="n">
        <v>4</v>
      </c>
      <c r="V464" s="3" t="n">
        <v>4</v>
      </c>
      <c r="W464" s="3" t="n">
        <v>4</v>
      </c>
      <c r="X464" s="3" t="n">
        <v>3</v>
      </c>
      <c r="Y464" s="3" t="n">
        <v>3</v>
      </c>
      <c r="Z464" s="3" t="n">
        <v>4</v>
      </c>
      <c r="AA464" s="3" t="n">
        <v>4</v>
      </c>
      <c r="AB464" s="3" t="n">
        <v>3</v>
      </c>
      <c r="AC464" s="3" t="n">
        <v>2</v>
      </c>
      <c r="AD464" s="3" t="n">
        <v>3</v>
      </c>
      <c r="AE464" s="3" t="n">
        <v>4</v>
      </c>
      <c r="AF464" s="3" t="n">
        <v>3</v>
      </c>
      <c r="AG464" s="3" t="n">
        <v>4</v>
      </c>
      <c r="AH464" s="3" t="n">
        <v>3</v>
      </c>
      <c r="AI464" s="3" t="n">
        <v>3</v>
      </c>
      <c r="AJ464" s="3" t="n">
        <v>3</v>
      </c>
      <c r="AK464" s="3" t="n">
        <v>4</v>
      </c>
      <c r="AL464" s="3" t="n">
        <v>5</v>
      </c>
      <c r="AM464" s="3" t="n">
        <v>3</v>
      </c>
      <c r="AN464" s="3" t="n">
        <v>4</v>
      </c>
      <c r="AO464" s="3" t="n">
        <v>4</v>
      </c>
    </row>
    <row r="465" customFormat="false" ht="15" hidden="false" customHeight="false" outlineLevel="0" collapsed="false">
      <c r="A465" s="3" t="n">
        <v>1</v>
      </c>
      <c r="B465" s="3" t="n">
        <v>3</v>
      </c>
      <c r="C465" s="3" t="n">
        <v>1</v>
      </c>
      <c r="D465" s="3" t="n">
        <v>1</v>
      </c>
      <c r="E465" s="3" t="n">
        <v>2</v>
      </c>
      <c r="F465" s="3" t="n">
        <v>2</v>
      </c>
      <c r="G465" s="3" t="n">
        <v>3</v>
      </c>
      <c r="H465" s="3" t="n">
        <v>1</v>
      </c>
      <c r="I465" s="3" t="n">
        <v>1</v>
      </c>
      <c r="J465" s="3" t="n">
        <v>22</v>
      </c>
      <c r="K465" s="3" t="n">
        <v>4</v>
      </c>
      <c r="L465" s="3" t="n">
        <v>4</v>
      </c>
      <c r="M465" s="3" t="n">
        <v>2</v>
      </c>
      <c r="N465" s="3" t="n">
        <v>4</v>
      </c>
      <c r="O465" s="3" t="n">
        <v>4</v>
      </c>
      <c r="P465" s="3" t="n">
        <v>4</v>
      </c>
      <c r="Q465" s="3" t="n">
        <v>3</v>
      </c>
      <c r="R465" s="3" t="n">
        <v>2</v>
      </c>
      <c r="S465" s="3" t="n">
        <v>3</v>
      </c>
      <c r="T465" s="3" t="n">
        <v>5</v>
      </c>
      <c r="U465" s="3" t="n">
        <v>4</v>
      </c>
      <c r="V465" s="3" t="n">
        <v>4</v>
      </c>
      <c r="W465" s="3" t="n">
        <v>4</v>
      </c>
      <c r="X465" s="3" t="n">
        <v>3</v>
      </c>
      <c r="Y465" s="3" t="n">
        <v>4</v>
      </c>
      <c r="Z465" s="3" t="n">
        <v>4</v>
      </c>
      <c r="AA465" s="3" t="n">
        <v>4</v>
      </c>
      <c r="AB465" s="3" t="n">
        <v>2</v>
      </c>
      <c r="AC465" s="3" t="n">
        <v>2</v>
      </c>
      <c r="AD465" s="3" t="n">
        <v>2</v>
      </c>
      <c r="AE465" s="3" t="n">
        <v>3</v>
      </c>
      <c r="AF465" s="3" t="n">
        <v>3</v>
      </c>
      <c r="AG465" s="3" t="n">
        <v>4</v>
      </c>
      <c r="AH465" s="3" t="n">
        <v>4</v>
      </c>
      <c r="AI465" s="3" t="n">
        <v>4</v>
      </c>
      <c r="AJ465" s="3" t="n">
        <v>4</v>
      </c>
      <c r="AK465" s="3" t="n">
        <v>3</v>
      </c>
      <c r="AL465" s="3" t="n">
        <v>4</v>
      </c>
      <c r="AM465" s="3" t="n">
        <v>2</v>
      </c>
      <c r="AN465" s="3" t="n">
        <v>3</v>
      </c>
      <c r="AO465" s="3" t="n">
        <v>2</v>
      </c>
    </row>
    <row r="466" customFormat="false" ht="15" hidden="false" customHeight="false" outlineLevel="0" collapsed="false">
      <c r="A466" s="3" t="n">
        <v>0</v>
      </c>
      <c r="B466" s="3" t="n">
        <v>3</v>
      </c>
      <c r="C466" s="3" t="n">
        <v>1</v>
      </c>
      <c r="D466" s="3" t="n">
        <v>1</v>
      </c>
      <c r="E466" s="3" t="n">
        <v>2</v>
      </c>
      <c r="F466" s="3" t="n">
        <v>2</v>
      </c>
      <c r="G466" s="3" t="n">
        <v>1</v>
      </c>
      <c r="H466" s="3" t="n">
        <v>2</v>
      </c>
      <c r="I466" s="3" t="n">
        <v>3</v>
      </c>
      <c r="J466" s="3" t="n">
        <v>22</v>
      </c>
      <c r="K466" s="3" t="n">
        <v>3</v>
      </c>
      <c r="L466" s="3" t="n">
        <v>2</v>
      </c>
      <c r="M466" s="3" t="n">
        <v>5</v>
      </c>
      <c r="N466" s="3" t="n">
        <v>4</v>
      </c>
      <c r="O466" s="3" t="n">
        <v>4</v>
      </c>
      <c r="P466" s="3" t="n">
        <v>4</v>
      </c>
      <c r="Q466" s="3" t="n">
        <v>4</v>
      </c>
      <c r="R466" s="3" t="n">
        <v>3</v>
      </c>
      <c r="S466" s="3" t="n">
        <v>5</v>
      </c>
      <c r="T466" s="3" t="n">
        <v>5</v>
      </c>
      <c r="U466" s="3" t="n">
        <v>5</v>
      </c>
      <c r="V466" s="3" t="n">
        <v>3</v>
      </c>
      <c r="W466" s="3" t="n">
        <v>4</v>
      </c>
      <c r="X466" s="3" t="n">
        <v>4</v>
      </c>
      <c r="Y466" s="3" t="n">
        <v>4</v>
      </c>
      <c r="Z466" s="3" t="n">
        <v>5</v>
      </c>
      <c r="AA466" s="3" t="n">
        <v>4</v>
      </c>
      <c r="AB466" s="3" t="n">
        <v>3</v>
      </c>
      <c r="AC466" s="3" t="n">
        <v>2</v>
      </c>
      <c r="AD466" s="3" t="n">
        <v>2</v>
      </c>
      <c r="AE466" s="3" t="n">
        <v>4</v>
      </c>
      <c r="AF466" s="3" t="n">
        <v>4</v>
      </c>
      <c r="AG466" s="3" t="n">
        <v>3</v>
      </c>
      <c r="AH466" s="3" t="n">
        <v>5</v>
      </c>
      <c r="AI466" s="3" t="n">
        <v>5</v>
      </c>
      <c r="AJ466" s="3" t="n">
        <v>4</v>
      </c>
      <c r="AK466" s="3" t="n">
        <v>2</v>
      </c>
      <c r="AL466" s="3" t="n">
        <v>3</v>
      </c>
      <c r="AM466" s="3" t="n">
        <v>3</v>
      </c>
      <c r="AN466" s="3" t="n">
        <v>4</v>
      </c>
      <c r="AO466" s="3" t="n">
        <v>3</v>
      </c>
    </row>
    <row r="467" customFormat="false" ht="15" hidden="false" customHeight="false" outlineLevel="0" collapsed="false">
      <c r="A467" s="3" t="n">
        <v>0</v>
      </c>
      <c r="B467" s="3" t="n">
        <v>6</v>
      </c>
      <c r="C467" s="3" t="n">
        <v>2</v>
      </c>
      <c r="D467" s="3" t="n">
        <v>2</v>
      </c>
      <c r="E467" s="3" t="n">
        <v>2</v>
      </c>
      <c r="F467" s="3" t="n">
        <v>2</v>
      </c>
      <c r="G467" s="3" t="n">
        <v>3</v>
      </c>
      <c r="H467" s="3" t="n">
        <v>2</v>
      </c>
      <c r="I467" s="3" t="n">
        <v>1</v>
      </c>
      <c r="J467" s="3" t="n">
        <v>21</v>
      </c>
      <c r="K467" s="3" t="n">
        <v>4</v>
      </c>
      <c r="L467" s="3" t="n">
        <v>2</v>
      </c>
      <c r="M467" s="3" t="n">
        <v>1</v>
      </c>
      <c r="N467" s="3" t="n">
        <v>4</v>
      </c>
      <c r="O467" s="3" t="n">
        <v>2</v>
      </c>
      <c r="P467" s="3" t="n">
        <v>1</v>
      </c>
      <c r="Q467" s="3" t="n">
        <v>1</v>
      </c>
      <c r="R467" s="3" t="n">
        <v>3</v>
      </c>
      <c r="S467" s="3" t="n">
        <v>5</v>
      </c>
      <c r="T467" s="3" t="n">
        <v>5</v>
      </c>
      <c r="U467" s="3" t="n">
        <v>5</v>
      </c>
      <c r="V467" s="3" t="n">
        <v>5</v>
      </c>
      <c r="W467" s="3" t="n">
        <v>5</v>
      </c>
      <c r="X467" s="3" t="n">
        <v>3</v>
      </c>
      <c r="Y467" s="3" t="n">
        <v>4</v>
      </c>
      <c r="Z467" s="3" t="n">
        <v>5</v>
      </c>
      <c r="AA467" s="3" t="n">
        <v>3</v>
      </c>
      <c r="AB467" s="3" t="n">
        <v>2</v>
      </c>
      <c r="AC467" s="3" t="n">
        <v>2</v>
      </c>
      <c r="AD467" s="3" t="n">
        <v>3</v>
      </c>
      <c r="AE467" s="3" t="n">
        <v>3</v>
      </c>
      <c r="AF467" s="3" t="n">
        <v>5</v>
      </c>
      <c r="AG467" s="3" t="n">
        <v>5</v>
      </c>
      <c r="AH467" s="3" t="n">
        <v>3</v>
      </c>
      <c r="AI467" s="3" t="n">
        <v>3</v>
      </c>
      <c r="AJ467" s="3" t="n">
        <v>4</v>
      </c>
      <c r="AK467" s="3" t="n">
        <v>1</v>
      </c>
      <c r="AL467" s="3" t="n">
        <v>4</v>
      </c>
      <c r="AM467" s="3" t="n">
        <v>3</v>
      </c>
      <c r="AN467" s="3" t="n">
        <v>2</v>
      </c>
      <c r="AO467" s="3" t="n">
        <v>4</v>
      </c>
    </row>
    <row r="468" customFormat="false" ht="15" hidden="false" customHeight="false" outlineLevel="0" collapsed="false">
      <c r="A468" s="3" t="n">
        <v>0</v>
      </c>
      <c r="B468" s="3" t="n">
        <v>1</v>
      </c>
      <c r="C468" s="3" t="n">
        <v>2</v>
      </c>
      <c r="D468" s="3" t="n">
        <v>1</v>
      </c>
      <c r="E468" s="3" t="n">
        <v>2</v>
      </c>
      <c r="F468" s="3" t="n">
        <v>2</v>
      </c>
      <c r="G468" s="3" t="n">
        <v>2</v>
      </c>
      <c r="H468" s="3" t="n">
        <v>1</v>
      </c>
      <c r="I468" s="3" t="n">
        <v>1</v>
      </c>
      <c r="J468" s="3" t="n">
        <v>22</v>
      </c>
      <c r="K468" s="3" t="n">
        <v>3</v>
      </c>
      <c r="L468" s="3" t="n">
        <v>4</v>
      </c>
      <c r="M468" s="3" t="n">
        <v>3</v>
      </c>
      <c r="N468" s="3" t="n">
        <v>4</v>
      </c>
      <c r="O468" s="3" t="n">
        <v>4</v>
      </c>
      <c r="P468" s="3" t="n">
        <v>3</v>
      </c>
      <c r="Q468" s="3" t="n">
        <v>4</v>
      </c>
      <c r="R468" s="3" t="n">
        <v>3</v>
      </c>
      <c r="S468" s="3" t="n">
        <v>4</v>
      </c>
      <c r="T468" s="3" t="n">
        <v>5</v>
      </c>
      <c r="U468" s="3" t="n">
        <v>5</v>
      </c>
      <c r="V468" s="3" t="n">
        <v>3</v>
      </c>
      <c r="W468" s="3" t="n">
        <v>4</v>
      </c>
      <c r="X468" s="3" t="n">
        <v>4</v>
      </c>
      <c r="Y468" s="3" t="n">
        <v>4</v>
      </c>
      <c r="Z468" s="3" t="n">
        <v>3</v>
      </c>
      <c r="AA468" s="3" t="n">
        <v>4</v>
      </c>
      <c r="AB468" s="3" t="n">
        <v>3</v>
      </c>
      <c r="AC468" s="3" t="n">
        <v>3</v>
      </c>
      <c r="AD468" s="3" t="n">
        <v>3</v>
      </c>
      <c r="AE468" s="3" t="n">
        <v>4</v>
      </c>
      <c r="AF468" s="3" t="n">
        <v>3</v>
      </c>
      <c r="AG468" s="3" t="n">
        <v>3</v>
      </c>
      <c r="AH468" s="3" t="n">
        <v>3</v>
      </c>
      <c r="AI468" s="3" t="n">
        <v>4</v>
      </c>
      <c r="AJ468" s="3" t="n">
        <v>4</v>
      </c>
      <c r="AK468" s="3" t="n">
        <v>3</v>
      </c>
      <c r="AL468" s="3" t="n">
        <v>3</v>
      </c>
      <c r="AM468" s="3" t="n">
        <v>3</v>
      </c>
      <c r="AN468" s="3" t="n">
        <v>3</v>
      </c>
      <c r="AO468" s="3" t="n">
        <v>3</v>
      </c>
    </row>
    <row r="469" customFormat="false" ht="15" hidden="false" customHeight="false" outlineLevel="0" collapsed="false">
      <c r="A469" s="3" t="n">
        <v>0</v>
      </c>
      <c r="B469" s="3" t="n">
        <v>1</v>
      </c>
      <c r="C469" s="3" t="n">
        <v>2</v>
      </c>
      <c r="D469" s="3" t="n">
        <v>1</v>
      </c>
      <c r="E469" s="3" t="n">
        <v>2</v>
      </c>
      <c r="F469" s="3" t="n">
        <v>2</v>
      </c>
      <c r="G469" s="3" t="n">
        <v>1</v>
      </c>
      <c r="H469" s="3" t="n">
        <v>3</v>
      </c>
      <c r="I469" s="3" t="n">
        <v>3</v>
      </c>
      <c r="J469" s="3" t="n">
        <v>29</v>
      </c>
      <c r="K469" s="3" t="n">
        <v>3</v>
      </c>
      <c r="L469" s="3" t="n">
        <v>4</v>
      </c>
      <c r="M469" s="3" t="n">
        <v>5</v>
      </c>
      <c r="N469" s="3" t="n">
        <v>4</v>
      </c>
      <c r="O469" s="3" t="n">
        <v>4</v>
      </c>
      <c r="P469" s="3" t="n">
        <v>2</v>
      </c>
      <c r="Q469" s="3" t="n">
        <v>5</v>
      </c>
      <c r="R469" s="3" t="n">
        <v>3</v>
      </c>
      <c r="S469" s="3" t="n">
        <v>5</v>
      </c>
      <c r="T469" s="3" t="n">
        <v>3</v>
      </c>
      <c r="U469" s="3" t="n">
        <v>5</v>
      </c>
      <c r="V469" s="3" t="n">
        <v>4</v>
      </c>
      <c r="W469" s="3" t="n">
        <v>3</v>
      </c>
      <c r="X469" s="3" t="n">
        <v>4</v>
      </c>
      <c r="Y469" s="3" t="n">
        <v>4</v>
      </c>
      <c r="Z469" s="3" t="n">
        <v>4</v>
      </c>
      <c r="AA469" s="3" t="n">
        <v>5</v>
      </c>
      <c r="AB469" s="3" t="n">
        <v>5</v>
      </c>
      <c r="AC469" s="3" t="n">
        <v>4</v>
      </c>
      <c r="AD469" s="3" t="n">
        <v>4</v>
      </c>
      <c r="AE469" s="3" t="n">
        <v>4</v>
      </c>
      <c r="AF469" s="3" t="n">
        <v>4</v>
      </c>
      <c r="AG469" s="3" t="n">
        <v>3</v>
      </c>
      <c r="AH469" s="3" t="n">
        <v>4</v>
      </c>
      <c r="AI469" s="3" t="n">
        <v>4</v>
      </c>
      <c r="AJ469" s="3" t="n">
        <v>5</v>
      </c>
      <c r="AK469" s="3" t="n">
        <v>3</v>
      </c>
      <c r="AL469" s="3" t="n">
        <v>4</v>
      </c>
      <c r="AM469" s="3" t="n">
        <v>1</v>
      </c>
      <c r="AN469" s="3" t="n">
        <v>4</v>
      </c>
      <c r="AO469" s="3" t="n">
        <v>4</v>
      </c>
    </row>
    <row r="470" customFormat="false" ht="15" hidden="false" customHeight="false" outlineLevel="0" collapsed="false">
      <c r="A470" s="3" t="n">
        <v>0</v>
      </c>
      <c r="B470" s="3" t="n">
        <v>4</v>
      </c>
      <c r="C470" s="3" t="n">
        <v>1</v>
      </c>
      <c r="D470" s="3" t="n">
        <v>1</v>
      </c>
      <c r="E470" s="3" t="n">
        <v>2</v>
      </c>
      <c r="F470" s="3" t="n">
        <v>2</v>
      </c>
      <c r="G470" s="3" t="n">
        <v>3</v>
      </c>
      <c r="H470" s="3" t="n">
        <v>2</v>
      </c>
      <c r="I470" s="3" t="n">
        <v>1</v>
      </c>
      <c r="J470" s="3" t="n">
        <v>23</v>
      </c>
      <c r="K470" s="3" t="n">
        <v>3</v>
      </c>
      <c r="L470" s="3" t="n">
        <v>2</v>
      </c>
      <c r="M470" s="3" t="n">
        <v>3</v>
      </c>
      <c r="N470" s="3" t="n">
        <v>3</v>
      </c>
      <c r="O470" s="3" t="n">
        <v>3</v>
      </c>
      <c r="P470" s="3" t="n">
        <v>2</v>
      </c>
      <c r="Q470" s="3" t="n">
        <v>3</v>
      </c>
      <c r="R470" s="3" t="n">
        <v>3</v>
      </c>
      <c r="S470" s="3" t="n">
        <v>4</v>
      </c>
      <c r="T470" s="3" t="n">
        <v>4</v>
      </c>
      <c r="U470" s="3" t="n">
        <v>4</v>
      </c>
      <c r="V470" s="3" t="n">
        <v>3</v>
      </c>
      <c r="W470" s="3" t="n">
        <v>3</v>
      </c>
      <c r="X470" s="3" t="n">
        <v>4</v>
      </c>
      <c r="Y470" s="3" t="n">
        <v>3</v>
      </c>
      <c r="Z470" s="3" t="n">
        <v>3</v>
      </c>
      <c r="AA470" s="3" t="n">
        <v>4</v>
      </c>
      <c r="AB470" s="3" t="n">
        <v>2</v>
      </c>
      <c r="AC470" s="3" t="n">
        <v>2</v>
      </c>
      <c r="AD470" s="3" t="n">
        <v>2</v>
      </c>
      <c r="AE470" s="3" t="n">
        <v>2</v>
      </c>
      <c r="AF470" s="3" t="n">
        <v>2</v>
      </c>
      <c r="AG470" s="3" t="n">
        <v>2</v>
      </c>
      <c r="AH470" s="3" t="n">
        <v>2</v>
      </c>
      <c r="AI470" s="3" t="n">
        <v>4</v>
      </c>
      <c r="AJ470" s="3" t="n">
        <v>2</v>
      </c>
      <c r="AK470" s="3" t="n">
        <v>3</v>
      </c>
      <c r="AL470" s="3" t="n">
        <v>4</v>
      </c>
      <c r="AM470" s="3" t="n">
        <v>2</v>
      </c>
      <c r="AN470" s="3" t="n">
        <v>3</v>
      </c>
      <c r="AO470" s="3" t="n">
        <v>3</v>
      </c>
    </row>
    <row r="471" customFormat="false" ht="15" hidden="false" customHeight="false" outlineLevel="0" collapsed="false">
      <c r="A471" s="3" t="n">
        <v>1</v>
      </c>
      <c r="B471" s="3" t="n">
        <v>3</v>
      </c>
      <c r="C471" s="3" t="n">
        <v>1</v>
      </c>
      <c r="D471" s="3" t="n">
        <v>1</v>
      </c>
      <c r="E471" s="3" t="n">
        <v>2</v>
      </c>
      <c r="F471" s="3" t="n">
        <v>2</v>
      </c>
      <c r="G471" s="3" t="n">
        <v>3</v>
      </c>
      <c r="H471" s="3" t="n">
        <v>2</v>
      </c>
      <c r="I471" s="3" t="n">
        <v>1</v>
      </c>
      <c r="J471" s="3" t="n">
        <v>21</v>
      </c>
      <c r="K471" s="3" t="n">
        <v>4</v>
      </c>
      <c r="L471" s="3" t="n">
        <v>2</v>
      </c>
      <c r="M471" s="3" t="n">
        <v>3</v>
      </c>
      <c r="N471" s="3" t="n">
        <v>4</v>
      </c>
      <c r="O471" s="3" t="n">
        <v>1</v>
      </c>
      <c r="P471" s="3" t="n">
        <v>4</v>
      </c>
      <c r="Q471" s="3" t="n">
        <v>4</v>
      </c>
      <c r="R471" s="3" t="n">
        <v>2</v>
      </c>
      <c r="S471" s="3" t="n">
        <v>5</v>
      </c>
      <c r="T471" s="3" t="n">
        <v>5</v>
      </c>
      <c r="U471" s="3" t="n">
        <v>5</v>
      </c>
      <c r="V471" s="3" t="n">
        <v>4</v>
      </c>
      <c r="W471" s="3" t="n">
        <v>5</v>
      </c>
      <c r="X471" s="3" t="n">
        <v>4</v>
      </c>
      <c r="Y471" s="3" t="n">
        <v>5</v>
      </c>
      <c r="Z471" s="3" t="n">
        <v>5</v>
      </c>
      <c r="AA471" s="3" t="n">
        <v>3</v>
      </c>
      <c r="AB471" s="3" t="n">
        <v>1</v>
      </c>
      <c r="AC471" s="3" t="n">
        <v>1</v>
      </c>
      <c r="AD471" s="3" t="n">
        <v>1</v>
      </c>
      <c r="AE471" s="3" t="n">
        <v>3</v>
      </c>
      <c r="AF471" s="3" t="n">
        <v>3</v>
      </c>
      <c r="AG471" s="3" t="n">
        <v>3</v>
      </c>
      <c r="AH471" s="3" t="n">
        <v>5</v>
      </c>
      <c r="AI471" s="3" t="n">
        <v>5</v>
      </c>
      <c r="AJ471" s="3" t="n">
        <v>3</v>
      </c>
      <c r="AK471" s="3" t="n">
        <v>3</v>
      </c>
      <c r="AL471" s="3" t="n">
        <v>5</v>
      </c>
      <c r="AM471" s="3" t="n">
        <v>3</v>
      </c>
      <c r="AN471" s="3" t="n">
        <v>2</v>
      </c>
      <c r="AO471" s="3" t="n">
        <v>4</v>
      </c>
    </row>
    <row r="472" customFormat="false" ht="15" hidden="false" customHeight="false" outlineLevel="0" collapsed="false">
      <c r="A472" s="3" t="n">
        <v>0</v>
      </c>
      <c r="B472" s="3" t="n">
        <v>4</v>
      </c>
      <c r="C472" s="3" t="n">
        <v>1</v>
      </c>
      <c r="D472" s="3" t="n">
        <v>1</v>
      </c>
      <c r="E472" s="3" t="n">
        <v>2</v>
      </c>
      <c r="F472" s="3" t="n">
        <v>2</v>
      </c>
      <c r="G472" s="3" t="n">
        <v>3</v>
      </c>
      <c r="H472" s="3" t="n">
        <v>2</v>
      </c>
      <c r="I472" s="3" t="n">
        <v>1</v>
      </c>
      <c r="J472" s="3" t="n">
        <v>21</v>
      </c>
      <c r="K472" s="3" t="n">
        <v>4</v>
      </c>
      <c r="L472" s="3" t="n">
        <v>4</v>
      </c>
      <c r="M472" s="3" t="n">
        <v>5</v>
      </c>
      <c r="N472" s="3" t="n">
        <v>4</v>
      </c>
      <c r="O472" s="3" t="n">
        <v>3</v>
      </c>
      <c r="P472" s="3" t="n">
        <v>2</v>
      </c>
      <c r="Q472" s="3" t="n">
        <v>5</v>
      </c>
      <c r="R472" s="3" t="n">
        <v>3</v>
      </c>
      <c r="S472" s="3" t="n">
        <v>4</v>
      </c>
      <c r="T472" s="3" t="n">
        <v>5</v>
      </c>
      <c r="U472" s="3" t="n">
        <v>5</v>
      </c>
      <c r="V472" s="3" t="n">
        <v>4</v>
      </c>
      <c r="W472" s="3" t="n">
        <v>4</v>
      </c>
      <c r="X472" s="3" t="n">
        <v>4</v>
      </c>
      <c r="Y472" s="3" t="n">
        <v>4</v>
      </c>
      <c r="Z472" s="3" t="n">
        <v>4</v>
      </c>
      <c r="AA472" s="3" t="n">
        <v>4</v>
      </c>
      <c r="AB472" s="3" t="n">
        <v>4</v>
      </c>
      <c r="AC472" s="3" t="n">
        <v>3</v>
      </c>
      <c r="AD472" s="3" t="n">
        <v>3</v>
      </c>
      <c r="AE472" s="3" t="n">
        <v>4</v>
      </c>
      <c r="AF472" s="3" t="n">
        <v>4</v>
      </c>
      <c r="AG472" s="3" t="n">
        <v>3</v>
      </c>
      <c r="AH472" s="3" t="n">
        <v>4</v>
      </c>
      <c r="AI472" s="3" t="n">
        <v>4</v>
      </c>
      <c r="AJ472" s="3" t="n">
        <v>4</v>
      </c>
      <c r="AK472" s="3" t="n">
        <v>4</v>
      </c>
      <c r="AL472" s="3" t="n">
        <v>4</v>
      </c>
      <c r="AM472" s="3" t="n">
        <v>3</v>
      </c>
      <c r="AN472" s="3" t="n">
        <v>4</v>
      </c>
      <c r="AO472" s="3" t="n">
        <v>3</v>
      </c>
    </row>
    <row r="473" customFormat="false" ht="15" hidden="false" customHeight="false" outlineLevel="0" collapsed="false">
      <c r="A473" s="3" t="n">
        <v>0</v>
      </c>
      <c r="B473" s="3" t="n">
        <v>3</v>
      </c>
      <c r="C473" s="3" t="n">
        <v>1</v>
      </c>
      <c r="D473" s="3" t="n">
        <v>1</v>
      </c>
      <c r="E473" s="3" t="n">
        <v>1</v>
      </c>
      <c r="F473" s="3" t="n">
        <v>2</v>
      </c>
      <c r="G473" s="3" t="n">
        <v>4</v>
      </c>
      <c r="H473" s="3" t="n">
        <v>2</v>
      </c>
      <c r="I473" s="3" t="n">
        <v>1</v>
      </c>
      <c r="J473" s="3" t="n">
        <v>20</v>
      </c>
      <c r="K473" s="3" t="n">
        <v>2</v>
      </c>
      <c r="L473" s="3" t="n">
        <v>3</v>
      </c>
      <c r="M473" s="3" t="n">
        <v>4</v>
      </c>
      <c r="N473" s="3" t="n">
        <v>3</v>
      </c>
      <c r="O473" s="3" t="n">
        <v>4</v>
      </c>
      <c r="P473" s="3" t="n">
        <v>4</v>
      </c>
      <c r="Q473" s="3" t="n">
        <v>3</v>
      </c>
      <c r="R473" s="3" t="n">
        <v>4</v>
      </c>
      <c r="S473" s="3" t="n">
        <v>3</v>
      </c>
      <c r="T473" s="3" t="n">
        <v>4</v>
      </c>
      <c r="U473" s="3" t="n">
        <v>4</v>
      </c>
      <c r="V473" s="3" t="n">
        <v>2</v>
      </c>
      <c r="W473" s="3" t="n">
        <v>3</v>
      </c>
      <c r="X473" s="3" t="n">
        <v>3</v>
      </c>
      <c r="Y473" s="3" t="n">
        <v>4</v>
      </c>
      <c r="Z473" s="3" t="n">
        <v>3</v>
      </c>
      <c r="AA473" s="3" t="n">
        <v>2</v>
      </c>
      <c r="AB473" s="3" t="n">
        <v>4</v>
      </c>
      <c r="AC473" s="3" t="n">
        <v>4</v>
      </c>
      <c r="AD473" s="3" t="n">
        <v>3</v>
      </c>
      <c r="AE473" s="3" t="n">
        <v>3</v>
      </c>
      <c r="AF473" s="3" t="n">
        <v>4</v>
      </c>
      <c r="AG473" s="3" t="n">
        <v>3</v>
      </c>
      <c r="AH473" s="3" t="n">
        <v>3</v>
      </c>
      <c r="AI473" s="3" t="n">
        <v>5</v>
      </c>
      <c r="AJ473" s="3" t="n">
        <v>3</v>
      </c>
      <c r="AK473" s="3" t="n">
        <v>2</v>
      </c>
      <c r="AL473" s="3" t="n">
        <v>3</v>
      </c>
      <c r="AM473" s="3" t="n">
        <v>2</v>
      </c>
      <c r="AN473" s="3" t="n">
        <v>3</v>
      </c>
      <c r="AO473" s="3" t="n">
        <v>4</v>
      </c>
    </row>
    <row r="474" customFormat="false" ht="15" hidden="false" customHeight="false" outlineLevel="0" collapsed="false">
      <c r="A474" s="3" t="n">
        <v>0</v>
      </c>
      <c r="B474" s="3" t="n">
        <v>4</v>
      </c>
      <c r="C474" s="3" t="n">
        <v>1</v>
      </c>
      <c r="D474" s="3" t="n">
        <v>1</v>
      </c>
      <c r="E474" s="3" t="n">
        <v>2</v>
      </c>
      <c r="F474" s="3" t="n">
        <v>2</v>
      </c>
      <c r="G474" s="3" t="n">
        <v>4</v>
      </c>
      <c r="H474" s="3" t="n">
        <v>2</v>
      </c>
      <c r="I474" s="3" t="n">
        <v>3</v>
      </c>
      <c r="J474" s="3" t="n">
        <v>24</v>
      </c>
      <c r="K474" s="3" t="n">
        <v>4</v>
      </c>
      <c r="L474" s="3" t="n">
        <v>2</v>
      </c>
      <c r="M474" s="3" t="n">
        <v>4</v>
      </c>
      <c r="N474" s="3" t="n">
        <v>4</v>
      </c>
      <c r="O474" s="3" t="n">
        <v>2</v>
      </c>
      <c r="P474" s="3" t="n">
        <v>2</v>
      </c>
      <c r="Q474" s="3" t="n">
        <v>3</v>
      </c>
      <c r="R474" s="3" t="n">
        <v>3</v>
      </c>
      <c r="S474" s="3" t="n">
        <v>5</v>
      </c>
      <c r="T474" s="3" t="n">
        <v>5</v>
      </c>
      <c r="U474" s="3" t="n">
        <v>4</v>
      </c>
      <c r="V474" s="3" t="n">
        <v>3</v>
      </c>
      <c r="W474" s="3" t="n">
        <v>4</v>
      </c>
      <c r="X474" s="3" t="n">
        <v>5</v>
      </c>
      <c r="Y474" s="3" t="n">
        <v>2</v>
      </c>
      <c r="Z474" s="3" t="n">
        <v>4</v>
      </c>
      <c r="AA474" s="3" t="n">
        <v>4</v>
      </c>
      <c r="AB474" s="3" t="n">
        <v>2</v>
      </c>
      <c r="AC474" s="3" t="n">
        <v>2</v>
      </c>
      <c r="AD474" s="3" t="n">
        <v>1</v>
      </c>
      <c r="AE474" s="3" t="n">
        <v>4</v>
      </c>
      <c r="AF474" s="3" t="n">
        <v>5</v>
      </c>
      <c r="AG474" s="3" t="n">
        <v>5</v>
      </c>
      <c r="AH474" s="3" t="n">
        <v>4</v>
      </c>
      <c r="AI474" s="3" t="n">
        <v>4</v>
      </c>
      <c r="AJ474" s="3" t="n">
        <v>5</v>
      </c>
      <c r="AK474" s="3" t="n">
        <v>3</v>
      </c>
      <c r="AL474" s="3" t="n">
        <v>4</v>
      </c>
      <c r="AM474" s="3" t="n">
        <v>3</v>
      </c>
      <c r="AN474" s="3" t="n">
        <v>4</v>
      </c>
      <c r="AO474" s="3" t="n">
        <v>3</v>
      </c>
    </row>
    <row r="475" customFormat="false" ht="15" hidden="false" customHeight="false" outlineLevel="0" collapsed="false">
      <c r="A475" s="3" t="n">
        <v>0</v>
      </c>
      <c r="B475" s="3" t="n">
        <v>3</v>
      </c>
      <c r="C475" s="3" t="n">
        <v>1</v>
      </c>
      <c r="D475" s="3" t="n">
        <v>1</v>
      </c>
      <c r="E475" s="3" t="n">
        <v>2</v>
      </c>
      <c r="F475" s="3" t="n">
        <v>2</v>
      </c>
      <c r="G475" s="3" t="n">
        <v>1</v>
      </c>
      <c r="H475" s="3" t="n">
        <v>3</v>
      </c>
      <c r="I475" s="3" t="n">
        <v>1</v>
      </c>
      <c r="J475" s="3" t="n">
        <v>20</v>
      </c>
      <c r="K475" s="3" t="n">
        <v>4</v>
      </c>
      <c r="L475" s="3" t="n">
        <v>2</v>
      </c>
      <c r="M475" s="3" t="n">
        <v>5</v>
      </c>
      <c r="N475" s="3" t="n">
        <v>4</v>
      </c>
      <c r="O475" s="3" t="n">
        <v>4</v>
      </c>
      <c r="P475" s="3" t="n">
        <v>2</v>
      </c>
      <c r="Q475" s="3" t="n">
        <v>2</v>
      </c>
      <c r="R475" s="3" t="n">
        <v>3</v>
      </c>
      <c r="S475" s="3" t="n">
        <v>3</v>
      </c>
      <c r="T475" s="3" t="n">
        <v>5</v>
      </c>
      <c r="U475" s="3" t="n">
        <v>4</v>
      </c>
      <c r="V475" s="3" t="n">
        <v>4</v>
      </c>
      <c r="W475" s="3" t="n">
        <v>5</v>
      </c>
      <c r="X475" s="3" t="n">
        <v>4</v>
      </c>
      <c r="Y475" s="3" t="n">
        <v>4</v>
      </c>
      <c r="Z475" s="3" t="n">
        <v>5</v>
      </c>
      <c r="AA475" s="3" t="n">
        <v>4</v>
      </c>
      <c r="AB475" s="3" t="n">
        <v>4</v>
      </c>
      <c r="AC475" s="3" t="n">
        <v>3</v>
      </c>
      <c r="AD475" s="3" t="n">
        <v>3</v>
      </c>
      <c r="AE475" s="3" t="n">
        <v>4</v>
      </c>
      <c r="AF475" s="3" t="n">
        <v>3</v>
      </c>
      <c r="AG475" s="3" t="n">
        <v>4</v>
      </c>
      <c r="AH475" s="3" t="n">
        <v>2</v>
      </c>
      <c r="AI475" s="3" t="n">
        <v>2</v>
      </c>
      <c r="AJ475" s="3" t="n">
        <v>5</v>
      </c>
      <c r="AK475" s="3" t="n">
        <v>1</v>
      </c>
      <c r="AL475" s="3" t="n">
        <v>3</v>
      </c>
      <c r="AM475" s="3" t="n">
        <v>3</v>
      </c>
      <c r="AN475" s="3" t="n">
        <v>3</v>
      </c>
      <c r="AO475" s="3" t="n">
        <v>3</v>
      </c>
    </row>
    <row r="476" customFormat="false" ht="15" hidden="false" customHeight="false" outlineLevel="0" collapsed="false">
      <c r="A476" s="3" t="n">
        <v>0</v>
      </c>
      <c r="B476" s="3" t="n">
        <v>3</v>
      </c>
      <c r="C476" s="3" t="n">
        <v>1</v>
      </c>
      <c r="D476" s="3" t="n">
        <v>2</v>
      </c>
      <c r="E476" s="3" t="n">
        <v>2</v>
      </c>
      <c r="F476" s="3" t="n">
        <v>2</v>
      </c>
      <c r="G476" s="3" t="n">
        <v>3</v>
      </c>
      <c r="H476" s="3" t="n">
        <v>1</v>
      </c>
      <c r="I476" s="3" t="n">
        <v>1</v>
      </c>
      <c r="J476" s="3" t="n">
        <v>21</v>
      </c>
      <c r="K476" s="3" t="n">
        <v>3</v>
      </c>
      <c r="L476" s="3" t="n">
        <v>2</v>
      </c>
      <c r="M476" s="3" t="n">
        <v>4</v>
      </c>
      <c r="N476" s="3" t="n">
        <v>3</v>
      </c>
      <c r="O476" s="3" t="n">
        <v>4</v>
      </c>
      <c r="P476" s="3" t="n">
        <v>2</v>
      </c>
      <c r="Q476" s="3" t="n">
        <v>3</v>
      </c>
      <c r="R476" s="3" t="n">
        <v>2</v>
      </c>
      <c r="S476" s="3" t="n">
        <v>4</v>
      </c>
      <c r="T476" s="3" t="n">
        <v>4</v>
      </c>
      <c r="U476" s="3" t="n">
        <v>4</v>
      </c>
      <c r="V476" s="3" t="n">
        <v>4</v>
      </c>
      <c r="W476" s="3" t="n">
        <v>4</v>
      </c>
      <c r="X476" s="3" t="n">
        <v>4</v>
      </c>
      <c r="Y476" s="3" t="n">
        <v>4</v>
      </c>
      <c r="Z476" s="3" t="n">
        <v>2</v>
      </c>
      <c r="AA476" s="3" t="n">
        <v>2</v>
      </c>
      <c r="AB476" s="3" t="n">
        <v>2</v>
      </c>
      <c r="AC476" s="3" t="n">
        <v>1</v>
      </c>
      <c r="AD476" s="3" t="n">
        <v>2</v>
      </c>
      <c r="AE476" s="3" t="n">
        <v>3</v>
      </c>
      <c r="AF476" s="3" t="n">
        <v>3</v>
      </c>
      <c r="AG476" s="3" t="n">
        <v>3</v>
      </c>
      <c r="AH476" s="3" t="n">
        <v>3</v>
      </c>
      <c r="AI476" s="3" t="n">
        <v>4</v>
      </c>
      <c r="AJ476" s="3" t="n">
        <v>4</v>
      </c>
      <c r="AK476" s="3" t="n">
        <v>1</v>
      </c>
      <c r="AL476" s="3" t="n">
        <v>4</v>
      </c>
      <c r="AM476" s="3" t="n">
        <v>3</v>
      </c>
      <c r="AN476" s="3" t="n">
        <v>3</v>
      </c>
      <c r="AO476" s="3" t="n">
        <v>2</v>
      </c>
    </row>
    <row r="477" customFormat="false" ht="15" hidden="false" customHeight="false" outlineLevel="0" collapsed="false">
      <c r="A477" s="3" t="n">
        <v>0</v>
      </c>
      <c r="B477" s="3" t="n">
        <v>3</v>
      </c>
      <c r="C477" s="3" t="n">
        <v>2</v>
      </c>
      <c r="D477" s="3" t="n">
        <v>1</v>
      </c>
      <c r="E477" s="3" t="n">
        <v>2</v>
      </c>
      <c r="F477" s="3" t="n">
        <v>2</v>
      </c>
      <c r="G477" s="3" t="n">
        <v>3</v>
      </c>
      <c r="H477" s="3" t="n">
        <v>2</v>
      </c>
      <c r="I477" s="3" t="n">
        <v>1</v>
      </c>
      <c r="J477" s="3" t="n">
        <v>22</v>
      </c>
      <c r="K477" s="3" t="n">
        <v>3</v>
      </c>
      <c r="L477" s="3" t="n">
        <v>3</v>
      </c>
      <c r="M477" s="3" t="n">
        <v>3</v>
      </c>
      <c r="N477" s="3" t="n">
        <v>4</v>
      </c>
      <c r="O477" s="3" t="n">
        <v>5</v>
      </c>
      <c r="P477" s="3" t="n">
        <v>4</v>
      </c>
      <c r="Q477" s="3" t="n">
        <v>3</v>
      </c>
      <c r="R477" s="3" t="n">
        <v>3</v>
      </c>
      <c r="S477" s="3" t="n">
        <v>4</v>
      </c>
      <c r="T477" s="3" t="n">
        <v>4</v>
      </c>
      <c r="U477" s="3" t="n">
        <v>5</v>
      </c>
      <c r="V477" s="3" t="n">
        <v>4</v>
      </c>
      <c r="W477" s="3" t="n">
        <v>4</v>
      </c>
      <c r="X477" s="3" t="n">
        <v>4</v>
      </c>
      <c r="Y477" s="3" t="n">
        <v>4</v>
      </c>
      <c r="Z477" s="3" t="n">
        <v>4</v>
      </c>
      <c r="AA477" s="3" t="n">
        <v>3</v>
      </c>
      <c r="AB477" s="3" t="n">
        <v>2</v>
      </c>
      <c r="AC477" s="3" t="n">
        <v>4</v>
      </c>
      <c r="AD477" s="3" t="n">
        <v>4</v>
      </c>
      <c r="AE477" s="3" t="n">
        <v>4</v>
      </c>
      <c r="AF477" s="3" t="n">
        <v>2</v>
      </c>
      <c r="AG477" s="3" t="n">
        <v>4</v>
      </c>
      <c r="AH477" s="3" t="n">
        <v>4</v>
      </c>
      <c r="AI477" s="3" t="n">
        <v>4</v>
      </c>
      <c r="AJ477" s="3" t="n">
        <v>4</v>
      </c>
      <c r="AK477" s="3" t="n">
        <v>4</v>
      </c>
      <c r="AL477" s="3" t="n">
        <v>3</v>
      </c>
      <c r="AM477" s="3" t="n">
        <v>3</v>
      </c>
      <c r="AN477" s="3" t="n">
        <v>3</v>
      </c>
      <c r="AO477" s="3" t="n">
        <v>4</v>
      </c>
    </row>
    <row r="478" customFormat="false" ht="15" hidden="false" customHeight="false" outlineLevel="0" collapsed="false">
      <c r="A478" s="3" t="n">
        <v>0</v>
      </c>
      <c r="B478" s="3" t="n">
        <v>3</v>
      </c>
      <c r="C478" s="3" t="n">
        <v>2</v>
      </c>
      <c r="D478" s="3" t="n">
        <v>1</v>
      </c>
      <c r="E478" s="3" t="n">
        <v>2</v>
      </c>
      <c r="F478" s="3" t="n">
        <v>2</v>
      </c>
      <c r="G478" s="3" t="n">
        <v>1</v>
      </c>
      <c r="H478" s="3" t="n">
        <v>2</v>
      </c>
      <c r="I478" s="3" t="n">
        <v>1</v>
      </c>
      <c r="J478" s="3" t="n">
        <v>22</v>
      </c>
      <c r="K478" s="3" t="n">
        <v>4</v>
      </c>
      <c r="L478" s="3" t="n">
        <v>3</v>
      </c>
      <c r="M478" s="3" t="n">
        <v>3</v>
      </c>
      <c r="N478" s="3" t="n">
        <v>4</v>
      </c>
      <c r="O478" s="3" t="n">
        <v>4</v>
      </c>
      <c r="P478" s="3" t="n">
        <v>2</v>
      </c>
      <c r="Q478" s="3" t="n">
        <v>3</v>
      </c>
      <c r="R478" s="3" t="n">
        <v>3</v>
      </c>
      <c r="S478" s="3" t="n">
        <v>4</v>
      </c>
      <c r="T478" s="3" t="n">
        <v>4</v>
      </c>
      <c r="U478" s="3" t="n">
        <v>5</v>
      </c>
      <c r="V478" s="3" t="n">
        <v>3</v>
      </c>
      <c r="W478" s="3" t="n">
        <v>3</v>
      </c>
      <c r="X478" s="3" t="n">
        <v>3</v>
      </c>
      <c r="Y478" s="3" t="n">
        <v>3</v>
      </c>
      <c r="Z478" s="3" t="n">
        <v>4</v>
      </c>
      <c r="AA478" s="3" t="n">
        <v>3</v>
      </c>
      <c r="AB478" s="3" t="n">
        <v>3</v>
      </c>
      <c r="AC478" s="3" t="n">
        <v>2</v>
      </c>
      <c r="AD478" s="3" t="n">
        <v>3</v>
      </c>
      <c r="AE478" s="3" t="n">
        <v>4</v>
      </c>
      <c r="AF478" s="3" t="n">
        <v>3</v>
      </c>
      <c r="AG478" s="3" t="n">
        <v>4</v>
      </c>
      <c r="AH478" s="3" t="n">
        <v>4</v>
      </c>
      <c r="AI478" s="3" t="n">
        <v>3</v>
      </c>
      <c r="AJ478" s="3" t="n">
        <v>4</v>
      </c>
      <c r="AK478" s="3" t="n">
        <v>3</v>
      </c>
      <c r="AL478" s="3" t="n">
        <v>3</v>
      </c>
      <c r="AM478" s="3" t="n">
        <v>4</v>
      </c>
      <c r="AN478" s="3" t="n">
        <v>4</v>
      </c>
      <c r="AO478" s="3" t="n">
        <v>3</v>
      </c>
    </row>
    <row r="479" customFormat="false" ht="15" hidden="false" customHeight="false" outlineLevel="0" collapsed="false">
      <c r="A479" s="3" t="n">
        <v>0</v>
      </c>
      <c r="B479" s="3" t="n">
        <v>3</v>
      </c>
      <c r="C479" s="3" t="n">
        <v>1</v>
      </c>
      <c r="D479" s="3" t="n">
        <v>2</v>
      </c>
      <c r="E479" s="3" t="n">
        <v>2</v>
      </c>
      <c r="F479" s="3" t="n">
        <v>2</v>
      </c>
      <c r="G479" s="3" t="n">
        <v>1</v>
      </c>
      <c r="H479" s="3" t="n">
        <v>2</v>
      </c>
      <c r="I479" s="3" t="n">
        <v>2</v>
      </c>
      <c r="J479" s="3" t="n">
        <v>22</v>
      </c>
      <c r="K479" s="3" t="n">
        <v>4</v>
      </c>
      <c r="L479" s="3" t="n">
        <v>3</v>
      </c>
      <c r="M479" s="3" t="n">
        <v>3</v>
      </c>
      <c r="N479" s="3" t="n">
        <v>4</v>
      </c>
      <c r="O479" s="3" t="n">
        <v>4</v>
      </c>
      <c r="P479" s="3" t="n">
        <v>3</v>
      </c>
      <c r="Q479" s="3" t="n">
        <v>4</v>
      </c>
      <c r="R479" s="3" t="n">
        <v>3</v>
      </c>
      <c r="S479" s="3" t="n">
        <v>4</v>
      </c>
      <c r="T479" s="3" t="n">
        <v>4</v>
      </c>
      <c r="U479" s="3" t="n">
        <v>4</v>
      </c>
      <c r="V479" s="3" t="n">
        <v>4</v>
      </c>
      <c r="W479" s="3" t="n">
        <v>4</v>
      </c>
      <c r="X479" s="3" t="n">
        <v>4</v>
      </c>
      <c r="Y479" s="3" t="n">
        <v>4</v>
      </c>
      <c r="Z479" s="3" t="n">
        <v>4</v>
      </c>
      <c r="AA479" s="3" t="n">
        <v>3</v>
      </c>
      <c r="AB479" s="3" t="n">
        <v>2</v>
      </c>
      <c r="AC479" s="3" t="n">
        <v>3</v>
      </c>
      <c r="AD479" s="3" t="n">
        <v>2</v>
      </c>
      <c r="AE479" s="3" t="n">
        <v>3</v>
      </c>
      <c r="AF479" s="3" t="n">
        <v>3</v>
      </c>
      <c r="AG479" s="3" t="n">
        <v>3</v>
      </c>
      <c r="AH479" s="3" t="n">
        <v>4</v>
      </c>
      <c r="AI479" s="3" t="n">
        <v>4</v>
      </c>
      <c r="AJ479" s="3" t="n">
        <v>4</v>
      </c>
      <c r="AK479" s="3" t="n">
        <v>3</v>
      </c>
      <c r="AL479" s="3" t="n">
        <v>3</v>
      </c>
      <c r="AM479" s="3" t="n">
        <v>3</v>
      </c>
      <c r="AN479" s="3" t="n">
        <v>3</v>
      </c>
      <c r="AO479" s="3" t="n">
        <v>3</v>
      </c>
    </row>
    <row r="480" customFormat="false" ht="15" hidden="false" customHeight="false" outlineLevel="0" collapsed="false">
      <c r="A480" s="3" t="n">
        <v>0</v>
      </c>
      <c r="B480" s="3" t="n">
        <v>4</v>
      </c>
      <c r="C480" s="3" t="n">
        <v>1</v>
      </c>
      <c r="D480" s="3" t="n">
        <v>1</v>
      </c>
      <c r="E480" s="3" t="n">
        <v>1</v>
      </c>
      <c r="F480" s="3" t="n">
        <v>2</v>
      </c>
      <c r="G480" s="3" t="n">
        <v>3</v>
      </c>
      <c r="H480" s="3" t="n">
        <v>3</v>
      </c>
      <c r="I480" s="3" t="n">
        <v>1</v>
      </c>
      <c r="J480" s="3" t="n">
        <v>23</v>
      </c>
      <c r="K480" s="3" t="n">
        <v>2</v>
      </c>
      <c r="L480" s="3" t="n">
        <v>4</v>
      </c>
      <c r="M480" s="3" t="n">
        <v>4</v>
      </c>
      <c r="N480" s="3" t="n">
        <v>4</v>
      </c>
      <c r="O480" s="3" t="n">
        <v>4</v>
      </c>
      <c r="P480" s="3" t="n">
        <v>3</v>
      </c>
      <c r="Q480" s="3" t="n">
        <v>3</v>
      </c>
      <c r="R480" s="3" t="n">
        <v>2</v>
      </c>
      <c r="S480" s="3" t="n">
        <v>5</v>
      </c>
      <c r="T480" s="3" t="n">
        <v>4</v>
      </c>
      <c r="U480" s="3" t="n">
        <v>4</v>
      </c>
      <c r="V480" s="3" t="n">
        <v>3</v>
      </c>
      <c r="W480" s="3" t="n">
        <v>4</v>
      </c>
      <c r="X480" s="3" t="n">
        <v>4</v>
      </c>
      <c r="Y480" s="3" t="n">
        <v>3</v>
      </c>
      <c r="Z480" s="3" t="n">
        <v>4</v>
      </c>
      <c r="AA480" s="3" t="n">
        <v>4</v>
      </c>
      <c r="AB480" s="3" t="n">
        <v>1</v>
      </c>
      <c r="AC480" s="3" t="n">
        <v>2</v>
      </c>
      <c r="AD480" s="3" t="n">
        <v>2</v>
      </c>
      <c r="AE480" s="3" t="n">
        <v>4</v>
      </c>
      <c r="AF480" s="3" t="n">
        <v>3</v>
      </c>
      <c r="AG480" s="3" t="n">
        <v>4</v>
      </c>
      <c r="AH480" s="3" t="n">
        <v>3</v>
      </c>
      <c r="AI480" s="3" t="n">
        <v>2</v>
      </c>
      <c r="AJ480" s="3" t="n">
        <v>4</v>
      </c>
      <c r="AK480" s="3" t="n">
        <v>1</v>
      </c>
      <c r="AL480" s="3" t="n">
        <v>4</v>
      </c>
      <c r="AM480" s="3" t="n">
        <v>4</v>
      </c>
      <c r="AN480" s="3" t="n">
        <v>3</v>
      </c>
      <c r="AO480" s="3" t="n">
        <v>2</v>
      </c>
    </row>
    <row r="481" customFormat="false" ht="15" hidden="false" customHeight="false" outlineLevel="0" collapsed="false">
      <c r="A481" s="3" t="n">
        <v>0</v>
      </c>
      <c r="B481" s="3" t="n">
        <v>4</v>
      </c>
      <c r="C481" s="3" t="n">
        <v>1</v>
      </c>
      <c r="D481" s="3" t="n">
        <v>2</v>
      </c>
      <c r="E481" s="3" t="n">
        <v>2</v>
      </c>
      <c r="F481" s="3" t="n">
        <v>2</v>
      </c>
      <c r="G481" s="3" t="n">
        <v>4</v>
      </c>
      <c r="H481" s="3" t="n">
        <v>2</v>
      </c>
      <c r="I481" s="3" t="n">
        <v>1</v>
      </c>
      <c r="J481" s="3" t="n">
        <v>22</v>
      </c>
      <c r="K481" s="3" t="n">
        <v>4</v>
      </c>
      <c r="L481" s="3" t="n">
        <v>4</v>
      </c>
      <c r="M481" s="3" t="n">
        <v>4</v>
      </c>
      <c r="N481" s="3" t="n">
        <v>3</v>
      </c>
      <c r="O481" s="3" t="n">
        <v>3</v>
      </c>
      <c r="P481" s="3" t="n">
        <v>2</v>
      </c>
      <c r="Q481" s="3" t="n">
        <v>4</v>
      </c>
      <c r="R481" s="3" t="n">
        <v>4</v>
      </c>
      <c r="S481" s="3" t="n">
        <v>4</v>
      </c>
      <c r="T481" s="3" t="n">
        <v>4</v>
      </c>
      <c r="U481" s="3" t="n">
        <v>4</v>
      </c>
      <c r="V481" s="3" t="n">
        <v>4</v>
      </c>
      <c r="W481" s="3" t="n">
        <v>4</v>
      </c>
      <c r="X481" s="3" t="n">
        <v>4</v>
      </c>
      <c r="Y481" s="3" t="n">
        <v>5</v>
      </c>
      <c r="Z481" s="3" t="n">
        <v>4</v>
      </c>
      <c r="AA481" s="3" t="n">
        <v>3</v>
      </c>
      <c r="AB481" s="3" t="n">
        <v>2</v>
      </c>
      <c r="AC481" s="3" t="n">
        <v>2</v>
      </c>
      <c r="AD481" s="3" t="n">
        <v>2</v>
      </c>
      <c r="AE481" s="3" t="n">
        <v>3</v>
      </c>
      <c r="AF481" s="3" t="n">
        <v>5</v>
      </c>
      <c r="AG481" s="3" t="n">
        <v>3</v>
      </c>
      <c r="AH481" s="3" t="n">
        <v>4</v>
      </c>
      <c r="AI481" s="3" t="n">
        <v>3</v>
      </c>
      <c r="AJ481" s="3" t="n">
        <v>4</v>
      </c>
      <c r="AK481" s="3" t="n">
        <v>2</v>
      </c>
      <c r="AL481" s="3" t="n">
        <v>4</v>
      </c>
      <c r="AM481" s="3" t="n">
        <v>3</v>
      </c>
      <c r="AN481" s="3" t="n">
        <v>3</v>
      </c>
      <c r="AO481" s="3" t="n">
        <v>4</v>
      </c>
    </row>
    <row r="482" customFormat="false" ht="15" hidden="false" customHeight="false" outlineLevel="0" collapsed="false">
      <c r="A482" s="3" t="n">
        <v>1</v>
      </c>
      <c r="B482" s="3" t="n">
        <v>3</v>
      </c>
      <c r="C482" s="3" t="n">
        <v>1</v>
      </c>
      <c r="D482" s="3" t="n">
        <v>1</v>
      </c>
      <c r="E482" s="3" t="n">
        <v>2</v>
      </c>
      <c r="F482" s="3" t="n">
        <v>2</v>
      </c>
      <c r="G482" s="3" t="n">
        <v>3</v>
      </c>
      <c r="H482" s="3" t="n">
        <v>1</v>
      </c>
      <c r="I482" s="3" t="n">
        <v>1</v>
      </c>
      <c r="J482" s="3" t="n">
        <v>22</v>
      </c>
      <c r="K482" s="3" t="n">
        <v>4</v>
      </c>
      <c r="L482" s="3" t="n">
        <v>2</v>
      </c>
      <c r="M482" s="3" t="n">
        <v>5</v>
      </c>
      <c r="N482" s="3" t="n">
        <v>3</v>
      </c>
      <c r="O482" s="3" t="n">
        <v>4</v>
      </c>
      <c r="P482" s="3" t="n">
        <v>4</v>
      </c>
      <c r="Q482" s="3" t="n">
        <v>2</v>
      </c>
      <c r="R482" s="3" t="n">
        <v>2</v>
      </c>
      <c r="S482" s="3" t="n">
        <v>4</v>
      </c>
      <c r="T482" s="3" t="n">
        <v>4</v>
      </c>
      <c r="U482" s="3" t="n">
        <v>4</v>
      </c>
      <c r="V482" s="3" t="n">
        <v>2</v>
      </c>
      <c r="W482" s="3" t="n">
        <v>5</v>
      </c>
      <c r="X482" s="3" t="n">
        <v>5</v>
      </c>
      <c r="Y482" s="3" t="n">
        <v>4</v>
      </c>
      <c r="Z482" s="3" t="n">
        <v>5</v>
      </c>
      <c r="AA482" s="3" t="n">
        <v>5</v>
      </c>
      <c r="AB482" s="3" t="n">
        <v>4</v>
      </c>
      <c r="AC482" s="3" t="n">
        <v>2</v>
      </c>
      <c r="AD482" s="3" t="n">
        <v>4</v>
      </c>
      <c r="AE482" s="3" t="n">
        <v>4</v>
      </c>
      <c r="AF482" s="3" t="n">
        <v>3</v>
      </c>
      <c r="AG482" s="3" t="n">
        <v>4</v>
      </c>
      <c r="AH482" s="3" t="n">
        <v>4</v>
      </c>
      <c r="AI482" s="3" t="n">
        <v>2</v>
      </c>
      <c r="AJ482" s="3" t="n">
        <v>5</v>
      </c>
      <c r="AK482" s="3" t="n">
        <v>4</v>
      </c>
      <c r="AL482" s="3" t="n">
        <v>5</v>
      </c>
      <c r="AM482" s="3" t="n">
        <v>5</v>
      </c>
      <c r="AN482" s="3" t="n">
        <v>2</v>
      </c>
      <c r="AO482" s="3" t="n">
        <v>4</v>
      </c>
    </row>
    <row r="483" customFormat="false" ht="15" hidden="false" customHeight="false" outlineLevel="0" collapsed="false">
      <c r="A483" s="3" t="n">
        <v>0</v>
      </c>
      <c r="B483" s="3" t="n">
        <v>1</v>
      </c>
      <c r="C483" s="3" t="n">
        <v>2</v>
      </c>
      <c r="D483" s="3" t="n">
        <v>1</v>
      </c>
      <c r="E483" s="3" t="n">
        <v>2</v>
      </c>
      <c r="F483" s="3" t="n">
        <v>2</v>
      </c>
      <c r="G483" s="3" t="n">
        <v>4</v>
      </c>
      <c r="H483" s="3" t="n">
        <v>1</v>
      </c>
      <c r="I483" s="3" t="n">
        <v>1</v>
      </c>
      <c r="J483" s="3" t="n">
        <v>23</v>
      </c>
      <c r="K483" s="3" t="n">
        <v>3</v>
      </c>
      <c r="L483" s="3" t="n">
        <v>3</v>
      </c>
      <c r="M483" s="3" t="n">
        <v>2</v>
      </c>
      <c r="N483" s="3" t="n">
        <v>4</v>
      </c>
      <c r="O483" s="3" t="n">
        <v>3</v>
      </c>
      <c r="P483" s="3" t="n">
        <v>2</v>
      </c>
      <c r="Q483" s="3" t="n">
        <v>2</v>
      </c>
      <c r="R483" s="3" t="n">
        <v>2</v>
      </c>
      <c r="S483" s="3" t="n">
        <v>5</v>
      </c>
      <c r="T483" s="3" t="n">
        <v>5</v>
      </c>
      <c r="U483" s="3" t="n">
        <v>5</v>
      </c>
      <c r="V483" s="3" t="n">
        <v>4</v>
      </c>
      <c r="W483" s="3" t="n">
        <v>4</v>
      </c>
      <c r="X483" s="3" t="n">
        <v>4</v>
      </c>
      <c r="Y483" s="3" t="n">
        <v>3</v>
      </c>
      <c r="Z483" s="3" t="n">
        <v>4</v>
      </c>
      <c r="AA483" s="3" t="n">
        <v>2</v>
      </c>
      <c r="AB483" s="3" t="n">
        <v>2</v>
      </c>
      <c r="AC483" s="3" t="n">
        <v>2</v>
      </c>
      <c r="AD483" s="3" t="n">
        <v>2</v>
      </c>
      <c r="AE483" s="3" t="n">
        <v>4</v>
      </c>
      <c r="AF483" s="3" t="n">
        <v>3</v>
      </c>
      <c r="AG483" s="3" t="n">
        <v>4</v>
      </c>
      <c r="AH483" s="3" t="n">
        <v>4</v>
      </c>
      <c r="AI483" s="3" t="n">
        <v>4</v>
      </c>
      <c r="AJ483" s="3" t="n">
        <v>4</v>
      </c>
      <c r="AK483" s="3" t="n">
        <v>3</v>
      </c>
      <c r="AL483" s="3" t="n">
        <v>4</v>
      </c>
      <c r="AM483" s="3" t="n">
        <v>4</v>
      </c>
      <c r="AN483" s="3" t="n">
        <v>2</v>
      </c>
      <c r="AO483" s="3" t="n">
        <v>4</v>
      </c>
    </row>
    <row r="484" customFormat="false" ht="15" hidden="false" customHeight="false" outlineLevel="0" collapsed="false">
      <c r="A484" s="3" t="n">
        <v>0</v>
      </c>
      <c r="B484" s="3" t="n">
        <v>1</v>
      </c>
      <c r="C484" s="3" t="n">
        <v>1</v>
      </c>
      <c r="D484" s="3" t="n">
        <v>1</v>
      </c>
      <c r="E484" s="3" t="n">
        <v>2</v>
      </c>
      <c r="F484" s="3" t="n">
        <v>2</v>
      </c>
      <c r="G484" s="3" t="n">
        <v>2</v>
      </c>
      <c r="H484" s="3" t="n">
        <v>2</v>
      </c>
      <c r="I484" s="3" t="n">
        <v>3</v>
      </c>
      <c r="J484" s="3" t="n">
        <v>26</v>
      </c>
      <c r="K484" s="3" t="n">
        <v>5</v>
      </c>
      <c r="L484" s="3" t="n">
        <v>3</v>
      </c>
      <c r="M484" s="3" t="n">
        <v>4</v>
      </c>
      <c r="N484" s="3" t="n">
        <v>5</v>
      </c>
      <c r="O484" s="3" t="n">
        <v>3</v>
      </c>
      <c r="P484" s="3" t="n">
        <v>5</v>
      </c>
      <c r="Q484" s="3" t="n">
        <v>2</v>
      </c>
      <c r="R484" s="3" t="n">
        <v>3</v>
      </c>
      <c r="S484" s="3" t="n">
        <v>1</v>
      </c>
      <c r="T484" s="3" t="n">
        <v>4</v>
      </c>
      <c r="U484" s="3" t="n">
        <v>4</v>
      </c>
      <c r="V484" s="3" t="n">
        <v>4</v>
      </c>
      <c r="W484" s="3" t="n">
        <v>4</v>
      </c>
      <c r="X484" s="3" t="n">
        <v>4</v>
      </c>
      <c r="Y484" s="3" t="n">
        <v>4</v>
      </c>
      <c r="Z484" s="3" t="n">
        <v>5</v>
      </c>
      <c r="AA484" s="3" t="n">
        <v>5</v>
      </c>
      <c r="AB484" s="3" t="n">
        <v>3</v>
      </c>
      <c r="AC484" s="3" t="n">
        <v>1</v>
      </c>
      <c r="AD484" s="3" t="n">
        <v>2</v>
      </c>
      <c r="AE484" s="3" t="n">
        <v>3</v>
      </c>
      <c r="AF484" s="3" t="n">
        <v>4</v>
      </c>
      <c r="AG484" s="3" t="n">
        <v>4</v>
      </c>
      <c r="AH484" s="3" t="n">
        <v>3</v>
      </c>
      <c r="AI484" s="3" t="n">
        <v>2</v>
      </c>
      <c r="AJ484" s="3" t="n">
        <v>5</v>
      </c>
      <c r="AK484" s="3" t="n">
        <v>5</v>
      </c>
      <c r="AL484" s="3" t="n">
        <v>5</v>
      </c>
      <c r="AM484" s="3" t="n">
        <v>4</v>
      </c>
      <c r="AN484" s="3" t="n">
        <v>3</v>
      </c>
      <c r="AO484" s="3" t="n">
        <v>4</v>
      </c>
    </row>
    <row r="485" customFormat="false" ht="15" hidden="false" customHeight="false" outlineLevel="0" collapsed="false">
      <c r="A485" s="3" t="n">
        <v>0</v>
      </c>
      <c r="B485" s="3" t="n">
        <v>6</v>
      </c>
      <c r="C485" s="3" t="n">
        <v>1</v>
      </c>
      <c r="D485" s="3" t="n">
        <v>1</v>
      </c>
      <c r="E485" s="3" t="n">
        <v>2</v>
      </c>
      <c r="F485" s="3" t="n">
        <v>2</v>
      </c>
      <c r="G485" s="3" t="n">
        <v>2</v>
      </c>
      <c r="H485" s="3" t="n">
        <v>3</v>
      </c>
      <c r="I485" s="3" t="n">
        <v>1</v>
      </c>
      <c r="J485" s="3" t="n">
        <v>23</v>
      </c>
      <c r="K485" s="3" t="n">
        <v>2</v>
      </c>
      <c r="L485" s="3" t="n">
        <v>4</v>
      </c>
      <c r="M485" s="3" t="n">
        <v>4</v>
      </c>
      <c r="N485" s="3" t="n">
        <v>3</v>
      </c>
      <c r="O485" s="3" t="n">
        <v>3</v>
      </c>
      <c r="P485" s="3" t="n">
        <v>2</v>
      </c>
      <c r="Q485" s="3" t="n">
        <v>3</v>
      </c>
      <c r="R485" s="3" t="n">
        <v>3</v>
      </c>
      <c r="S485" s="3" t="n">
        <v>4</v>
      </c>
      <c r="T485" s="3" t="n">
        <v>4</v>
      </c>
      <c r="U485" s="3" t="n">
        <v>4</v>
      </c>
      <c r="V485" s="3" t="n">
        <v>4</v>
      </c>
      <c r="W485" s="3" t="n">
        <v>4</v>
      </c>
      <c r="X485" s="3" t="n">
        <v>4</v>
      </c>
      <c r="Y485" s="3" t="n">
        <v>3</v>
      </c>
      <c r="Z485" s="3" t="n">
        <v>4</v>
      </c>
      <c r="AA485" s="3" t="n">
        <v>4</v>
      </c>
      <c r="AB485" s="3" t="n">
        <v>4</v>
      </c>
      <c r="AC485" s="3" t="n">
        <v>1</v>
      </c>
      <c r="AD485" s="3" t="n">
        <v>1</v>
      </c>
      <c r="AE485" s="3" t="n">
        <v>4</v>
      </c>
      <c r="AF485" s="3" t="n">
        <v>3</v>
      </c>
      <c r="AG485" s="3" t="n">
        <v>5</v>
      </c>
      <c r="AH485" s="3" t="n">
        <v>3</v>
      </c>
      <c r="AI485" s="3" t="n">
        <v>4</v>
      </c>
      <c r="AJ485" s="3" t="n">
        <v>5</v>
      </c>
      <c r="AK485" s="3" t="n">
        <v>2</v>
      </c>
      <c r="AL485" s="3" t="n">
        <v>4</v>
      </c>
      <c r="AM485" s="3" t="n">
        <v>5</v>
      </c>
      <c r="AN485" s="3" t="n">
        <v>4</v>
      </c>
      <c r="AO485" s="3" t="n">
        <v>4</v>
      </c>
    </row>
    <row r="486" customFormat="false" ht="15" hidden="false" customHeight="false" outlineLevel="0" collapsed="false">
      <c r="A486" s="3" t="n">
        <v>0</v>
      </c>
      <c r="B486" s="3" t="n">
        <v>4</v>
      </c>
      <c r="C486" s="3" t="n">
        <v>1</v>
      </c>
      <c r="D486" s="3" t="n">
        <v>2</v>
      </c>
      <c r="E486" s="3" t="n">
        <v>2</v>
      </c>
      <c r="F486" s="3" t="n">
        <v>2</v>
      </c>
      <c r="G486" s="3" t="n">
        <v>1</v>
      </c>
      <c r="H486" s="3" t="n">
        <v>3</v>
      </c>
      <c r="I486" s="3" t="n">
        <v>1</v>
      </c>
      <c r="J486" s="3" t="n">
        <v>22</v>
      </c>
      <c r="K486" s="3" t="n">
        <v>4</v>
      </c>
      <c r="L486" s="3" t="n">
        <v>3</v>
      </c>
      <c r="M486" s="3" t="n">
        <v>4</v>
      </c>
      <c r="N486" s="3" t="n">
        <v>4</v>
      </c>
      <c r="O486" s="3" t="n">
        <v>2</v>
      </c>
      <c r="P486" s="3" t="n">
        <v>2</v>
      </c>
      <c r="Q486" s="3" t="n">
        <v>4</v>
      </c>
      <c r="R486" s="3" t="n">
        <v>2</v>
      </c>
      <c r="S486" s="3" t="n">
        <v>4</v>
      </c>
      <c r="T486" s="3" t="n">
        <v>5</v>
      </c>
      <c r="U486" s="3" t="n">
        <v>5</v>
      </c>
      <c r="V486" s="3" t="n">
        <v>4</v>
      </c>
      <c r="W486" s="3" t="n">
        <v>5</v>
      </c>
      <c r="X486" s="3" t="n">
        <v>5</v>
      </c>
      <c r="Y486" s="3" t="n">
        <v>4</v>
      </c>
      <c r="Z486" s="3" t="n">
        <v>4</v>
      </c>
      <c r="AA486" s="3" t="n">
        <v>2</v>
      </c>
      <c r="AB486" s="3" t="n">
        <v>2</v>
      </c>
      <c r="AC486" s="3" t="n">
        <v>2</v>
      </c>
      <c r="AD486" s="3" t="n">
        <v>2</v>
      </c>
      <c r="AE486" s="3" t="n">
        <v>3</v>
      </c>
      <c r="AF486" s="3" t="n">
        <v>2</v>
      </c>
      <c r="AG486" s="3" t="n">
        <v>4</v>
      </c>
      <c r="AH486" s="3" t="n">
        <v>4</v>
      </c>
      <c r="AI486" s="3" t="n">
        <v>4</v>
      </c>
      <c r="AJ486" s="3" t="n">
        <v>4</v>
      </c>
      <c r="AK486" s="3" t="n">
        <v>2</v>
      </c>
      <c r="AL486" s="3" t="n">
        <v>4</v>
      </c>
      <c r="AM486" s="3" t="n">
        <v>3</v>
      </c>
      <c r="AN486" s="3" t="n">
        <v>2</v>
      </c>
      <c r="AO486" s="3" t="n">
        <v>3</v>
      </c>
    </row>
    <row r="487" customFormat="false" ht="15" hidden="false" customHeight="false" outlineLevel="0" collapsed="false">
      <c r="A487" s="3" t="n">
        <v>1</v>
      </c>
      <c r="B487" s="3" t="n">
        <v>3</v>
      </c>
      <c r="C487" s="3" t="n">
        <v>2</v>
      </c>
      <c r="D487" s="3" t="n">
        <v>2</v>
      </c>
      <c r="E487" s="3" t="n">
        <v>1</v>
      </c>
      <c r="F487" s="3" t="n">
        <v>2</v>
      </c>
      <c r="G487" s="3" t="n">
        <v>3</v>
      </c>
      <c r="H487" s="3" t="n">
        <v>2</v>
      </c>
      <c r="I487" s="3" t="n">
        <v>1</v>
      </c>
      <c r="J487" s="3" t="n">
        <v>22</v>
      </c>
      <c r="K487" s="3" t="n">
        <v>3</v>
      </c>
      <c r="L487" s="3" t="n">
        <v>4</v>
      </c>
      <c r="M487" s="3" t="n">
        <v>3</v>
      </c>
      <c r="N487" s="3" t="n">
        <v>3</v>
      </c>
      <c r="O487" s="3" t="n">
        <v>4</v>
      </c>
      <c r="P487" s="3" t="n">
        <v>3</v>
      </c>
      <c r="Q487" s="3" t="n">
        <v>3</v>
      </c>
      <c r="R487" s="3" t="n">
        <v>3</v>
      </c>
      <c r="S487" s="3" t="n">
        <v>5</v>
      </c>
      <c r="T487" s="3" t="n">
        <v>3</v>
      </c>
      <c r="U487" s="3" t="n">
        <v>2</v>
      </c>
      <c r="V487" s="3" t="n">
        <v>3</v>
      </c>
      <c r="W487" s="3" t="n">
        <v>4</v>
      </c>
      <c r="X487" s="3" t="n">
        <v>2</v>
      </c>
      <c r="Y487" s="3" t="n">
        <v>4</v>
      </c>
      <c r="Z487" s="3" t="n">
        <v>3</v>
      </c>
      <c r="AA487" s="3" t="n">
        <v>3</v>
      </c>
      <c r="AB487" s="3" t="n">
        <v>4</v>
      </c>
      <c r="AC487" s="3" t="n">
        <v>3</v>
      </c>
      <c r="AD487" s="3" t="n">
        <v>3</v>
      </c>
      <c r="AE487" s="3" t="n">
        <v>3</v>
      </c>
      <c r="AF487" s="3" t="n">
        <v>2</v>
      </c>
      <c r="AG487" s="3" t="n">
        <v>3</v>
      </c>
      <c r="AH487" s="3" t="n">
        <v>3</v>
      </c>
      <c r="AI487" s="3" t="n">
        <v>3</v>
      </c>
      <c r="AJ487" s="3" t="n">
        <v>4</v>
      </c>
      <c r="AK487" s="3" t="n">
        <v>2</v>
      </c>
      <c r="AL487" s="3" t="n">
        <v>2</v>
      </c>
      <c r="AM487" s="3" t="n">
        <v>4</v>
      </c>
      <c r="AN487" s="3" t="n">
        <v>3</v>
      </c>
      <c r="AO487" s="3" t="n">
        <v>3</v>
      </c>
    </row>
    <row r="488" customFormat="false" ht="15" hidden="false" customHeight="false" outlineLevel="0" collapsed="false">
      <c r="A488" s="3" t="n">
        <v>1</v>
      </c>
      <c r="B488" s="3" t="n">
        <v>4</v>
      </c>
      <c r="C488" s="3" t="n">
        <v>1</v>
      </c>
      <c r="D488" s="3" t="n">
        <v>1</v>
      </c>
      <c r="E488" s="3" t="n">
        <v>2</v>
      </c>
      <c r="F488" s="3" t="n">
        <v>2</v>
      </c>
      <c r="G488" s="3" t="n">
        <v>2</v>
      </c>
      <c r="H488" s="3" t="n">
        <v>3</v>
      </c>
      <c r="I488" s="3" t="n">
        <v>3</v>
      </c>
      <c r="J488" s="3" t="n">
        <v>25</v>
      </c>
      <c r="K488" s="3" t="n">
        <v>4</v>
      </c>
      <c r="L488" s="3" t="n">
        <v>3</v>
      </c>
      <c r="M488" s="3" t="n">
        <v>4</v>
      </c>
      <c r="N488" s="3" t="n">
        <v>3</v>
      </c>
      <c r="O488" s="3" t="n">
        <v>3</v>
      </c>
      <c r="P488" s="3" t="n">
        <v>4</v>
      </c>
      <c r="Q488" s="3" t="n">
        <v>3</v>
      </c>
      <c r="R488" s="3" t="n">
        <v>1</v>
      </c>
      <c r="S488" s="3" t="n">
        <v>3</v>
      </c>
      <c r="T488" s="3" t="n">
        <v>5</v>
      </c>
      <c r="U488" s="3" t="n">
        <v>5</v>
      </c>
      <c r="V488" s="3" t="n">
        <v>4</v>
      </c>
      <c r="W488" s="3" t="n">
        <v>5</v>
      </c>
      <c r="X488" s="3" t="n">
        <v>1</v>
      </c>
      <c r="Y488" s="3" t="n">
        <v>4</v>
      </c>
      <c r="Z488" s="3" t="n">
        <v>4</v>
      </c>
      <c r="AA488" s="3" t="n">
        <v>4</v>
      </c>
      <c r="AB488" s="3" t="n">
        <v>2</v>
      </c>
      <c r="AC488" s="3" t="n">
        <v>1</v>
      </c>
      <c r="AD488" s="3" t="n">
        <v>1</v>
      </c>
      <c r="AE488" s="3" t="n">
        <v>4</v>
      </c>
      <c r="AF488" s="3" t="n">
        <v>2</v>
      </c>
      <c r="AG488" s="3" t="n">
        <v>4</v>
      </c>
      <c r="AH488" s="3" t="n">
        <v>4</v>
      </c>
      <c r="AI488" s="3" t="n">
        <v>4</v>
      </c>
      <c r="AJ488" s="3" t="n">
        <v>2</v>
      </c>
      <c r="AK488" s="3" t="n">
        <v>4</v>
      </c>
      <c r="AL488" s="3" t="n">
        <v>5</v>
      </c>
      <c r="AM488" s="3" t="n">
        <v>4</v>
      </c>
      <c r="AN488" s="3" t="n">
        <v>1</v>
      </c>
      <c r="AO488" s="3" t="n">
        <v>2</v>
      </c>
    </row>
    <row r="489" customFormat="false" ht="15" hidden="false" customHeight="false" outlineLevel="0" collapsed="false">
      <c r="A489" s="3" t="n">
        <v>0</v>
      </c>
      <c r="B489" s="3" t="n">
        <v>2</v>
      </c>
      <c r="C489" s="3" t="n">
        <v>1</v>
      </c>
      <c r="D489" s="3" t="n">
        <v>1</v>
      </c>
      <c r="E489" s="3" t="n">
        <v>2</v>
      </c>
      <c r="F489" s="3" t="n">
        <v>2</v>
      </c>
      <c r="G489" s="3" t="n">
        <v>2</v>
      </c>
      <c r="H489" s="3" t="n">
        <v>2</v>
      </c>
      <c r="I489" s="3" t="n">
        <v>1</v>
      </c>
      <c r="J489" s="3" t="n">
        <v>23</v>
      </c>
      <c r="K489" s="3" t="n">
        <v>5</v>
      </c>
      <c r="L489" s="3" t="n">
        <v>4</v>
      </c>
      <c r="M489" s="3" t="n">
        <v>5</v>
      </c>
      <c r="N489" s="3" t="n">
        <v>3</v>
      </c>
      <c r="O489" s="3" t="n">
        <v>3</v>
      </c>
      <c r="P489" s="3" t="n">
        <v>3</v>
      </c>
      <c r="Q489" s="3" t="n">
        <v>3</v>
      </c>
      <c r="R489" s="3" t="n">
        <v>1</v>
      </c>
      <c r="S489" s="3" t="n">
        <v>3</v>
      </c>
      <c r="T489" s="3" t="n">
        <v>5</v>
      </c>
      <c r="U489" s="3" t="n">
        <v>4</v>
      </c>
      <c r="V489" s="3" t="n">
        <v>5</v>
      </c>
      <c r="W489" s="3" t="n">
        <v>3</v>
      </c>
      <c r="X489" s="3" t="n">
        <v>5</v>
      </c>
      <c r="Y489" s="3" t="n">
        <v>5</v>
      </c>
      <c r="Z489" s="3" t="n">
        <v>5</v>
      </c>
      <c r="AA489" s="3" t="n">
        <v>5</v>
      </c>
      <c r="AB489" s="3" t="n">
        <v>4</v>
      </c>
      <c r="AC489" s="3" t="n">
        <v>3</v>
      </c>
      <c r="AD489" s="3" t="n">
        <v>3</v>
      </c>
      <c r="AE489" s="3" t="n">
        <v>3</v>
      </c>
      <c r="AF489" s="3" t="n">
        <v>1</v>
      </c>
      <c r="AG489" s="3" t="n">
        <v>5</v>
      </c>
      <c r="AH489" s="3" t="n">
        <v>3</v>
      </c>
      <c r="AI489" s="3" t="n">
        <v>4</v>
      </c>
      <c r="AJ489" s="3" t="n">
        <v>4</v>
      </c>
      <c r="AK489" s="3" t="n">
        <v>4</v>
      </c>
      <c r="AL489" s="3" t="n">
        <v>5</v>
      </c>
      <c r="AM489" s="3" t="n">
        <v>4</v>
      </c>
      <c r="AN489" s="3" t="n">
        <v>2</v>
      </c>
      <c r="AO489" s="3" t="n">
        <v>4</v>
      </c>
    </row>
    <row r="490" customFormat="false" ht="15" hidden="false" customHeight="false" outlineLevel="0" collapsed="false">
      <c r="A490" s="3" t="n">
        <v>0</v>
      </c>
      <c r="B490" s="3" t="n">
        <v>4</v>
      </c>
      <c r="C490" s="3" t="n">
        <v>1</v>
      </c>
      <c r="D490" s="3" t="n">
        <v>1</v>
      </c>
      <c r="E490" s="3" t="n">
        <v>2</v>
      </c>
      <c r="F490" s="3" t="n">
        <v>2</v>
      </c>
      <c r="G490" s="3" t="n">
        <v>3</v>
      </c>
      <c r="H490" s="3" t="n">
        <v>3</v>
      </c>
      <c r="I490" s="3" t="n">
        <v>1</v>
      </c>
      <c r="J490" s="3" t="n">
        <v>23</v>
      </c>
      <c r="K490" s="3" t="n">
        <v>1</v>
      </c>
      <c r="L490" s="3" t="n">
        <v>2</v>
      </c>
      <c r="M490" s="3" t="n">
        <v>5</v>
      </c>
      <c r="N490" s="3" t="n">
        <v>1</v>
      </c>
      <c r="O490" s="3" t="n">
        <v>4</v>
      </c>
      <c r="P490" s="3" t="n">
        <v>4</v>
      </c>
      <c r="Q490" s="3" t="n">
        <v>3</v>
      </c>
      <c r="R490" s="3" t="n">
        <v>1</v>
      </c>
      <c r="S490" s="3" t="n">
        <v>5</v>
      </c>
      <c r="T490" s="3" t="n">
        <v>4</v>
      </c>
      <c r="U490" s="3" t="n">
        <v>5</v>
      </c>
      <c r="V490" s="3" t="n">
        <v>4</v>
      </c>
      <c r="W490" s="3" t="n">
        <v>4</v>
      </c>
      <c r="X490" s="3" t="n">
        <v>4</v>
      </c>
      <c r="Y490" s="3" t="n">
        <v>4</v>
      </c>
      <c r="Z490" s="3" t="n">
        <v>5</v>
      </c>
      <c r="AA490" s="3" t="n">
        <v>4</v>
      </c>
      <c r="AB490" s="3" t="n">
        <v>4</v>
      </c>
      <c r="AC490" s="3" t="n">
        <v>1</v>
      </c>
      <c r="AD490" s="3" t="n">
        <v>1</v>
      </c>
      <c r="AE490" s="3" t="n">
        <v>2</v>
      </c>
      <c r="AF490" s="3" t="n">
        <v>1</v>
      </c>
      <c r="AG490" s="3" t="n">
        <v>2</v>
      </c>
      <c r="AH490" s="3" t="n">
        <v>4</v>
      </c>
      <c r="AI490" s="3" t="n">
        <v>4</v>
      </c>
      <c r="AJ490" s="3" t="n">
        <v>1</v>
      </c>
      <c r="AK490" s="3" t="n">
        <v>2</v>
      </c>
      <c r="AL490" s="3" t="n">
        <v>5</v>
      </c>
      <c r="AM490" s="3" t="n">
        <v>3</v>
      </c>
      <c r="AN490" s="3" t="n">
        <v>2</v>
      </c>
      <c r="AO490" s="3" t="n">
        <v>3</v>
      </c>
    </row>
    <row r="491" customFormat="false" ht="15" hidden="false" customHeight="false" outlineLevel="0" collapsed="false">
      <c r="A491" s="3" t="n">
        <v>1</v>
      </c>
      <c r="B491" s="3" t="n">
        <v>4</v>
      </c>
      <c r="C491" s="3" t="n">
        <v>1</v>
      </c>
      <c r="D491" s="3" t="n">
        <v>1</v>
      </c>
      <c r="E491" s="3" t="n">
        <v>2</v>
      </c>
      <c r="F491" s="3" t="n">
        <v>2</v>
      </c>
      <c r="G491" s="3" t="n">
        <v>3</v>
      </c>
      <c r="H491" s="3" t="n">
        <v>2</v>
      </c>
      <c r="I491" s="3" t="n">
        <v>1</v>
      </c>
      <c r="J491" s="3" t="n">
        <v>24</v>
      </c>
      <c r="K491" s="3" t="n">
        <v>3</v>
      </c>
      <c r="L491" s="3" t="n">
        <v>4</v>
      </c>
      <c r="M491" s="3" t="n">
        <v>3</v>
      </c>
      <c r="N491" s="3" t="n">
        <v>4</v>
      </c>
      <c r="O491" s="3" t="n">
        <v>5</v>
      </c>
      <c r="P491" s="3" t="n">
        <v>4</v>
      </c>
      <c r="Q491" s="3" t="n">
        <v>4</v>
      </c>
      <c r="R491" s="3" t="n">
        <v>4</v>
      </c>
      <c r="S491" s="3" t="n">
        <v>5</v>
      </c>
      <c r="T491" s="3" t="n">
        <v>4</v>
      </c>
      <c r="U491" s="3" t="n">
        <v>5</v>
      </c>
      <c r="V491" s="3" t="n">
        <v>3</v>
      </c>
      <c r="W491" s="3" t="n">
        <v>4</v>
      </c>
      <c r="X491" s="3" t="n">
        <v>4</v>
      </c>
      <c r="Y491" s="3" t="n">
        <v>4</v>
      </c>
      <c r="Z491" s="3" t="n">
        <v>4</v>
      </c>
      <c r="AA491" s="3" t="n">
        <v>4</v>
      </c>
      <c r="AB491" s="3" t="n">
        <v>3</v>
      </c>
      <c r="AC491" s="3" t="n">
        <v>2</v>
      </c>
      <c r="AD491" s="3" t="n">
        <v>2</v>
      </c>
      <c r="AE491" s="3" t="n">
        <v>3</v>
      </c>
      <c r="AF491" s="3" t="n">
        <v>2</v>
      </c>
      <c r="AG491" s="3" t="n">
        <v>4</v>
      </c>
      <c r="AH491" s="3" t="n">
        <v>5</v>
      </c>
      <c r="AI491" s="3" t="n">
        <v>4</v>
      </c>
      <c r="AJ491" s="3" t="n">
        <v>3</v>
      </c>
      <c r="AK491" s="3" t="n">
        <v>5</v>
      </c>
      <c r="AL491" s="3" t="n">
        <v>4</v>
      </c>
      <c r="AM491" s="3" t="n">
        <v>4</v>
      </c>
      <c r="AN491" s="3" t="n">
        <v>4</v>
      </c>
      <c r="AO491" s="3" t="n">
        <v>2</v>
      </c>
    </row>
    <row r="492" customFormat="false" ht="15" hidden="false" customHeight="false" outlineLevel="0" collapsed="false">
      <c r="A492" s="3" t="n">
        <v>0</v>
      </c>
      <c r="B492" s="3" t="n">
        <v>3</v>
      </c>
      <c r="C492" s="3" t="n">
        <v>2</v>
      </c>
      <c r="D492" s="3" t="n">
        <v>1</v>
      </c>
      <c r="E492" s="3" t="n">
        <v>2</v>
      </c>
      <c r="F492" s="3" t="n">
        <v>2</v>
      </c>
      <c r="G492" s="3" t="n">
        <v>2</v>
      </c>
      <c r="H492" s="3" t="n">
        <v>2</v>
      </c>
      <c r="I492" s="3" t="n">
        <v>1</v>
      </c>
      <c r="J492" s="3" t="n">
        <v>21</v>
      </c>
      <c r="K492" s="3" t="n">
        <v>3</v>
      </c>
      <c r="L492" s="3" t="n">
        <v>3</v>
      </c>
      <c r="M492" s="3" t="n">
        <v>4</v>
      </c>
      <c r="N492" s="3" t="n">
        <v>4</v>
      </c>
      <c r="O492" s="3" t="n">
        <v>4</v>
      </c>
      <c r="P492" s="3" t="n">
        <v>2</v>
      </c>
      <c r="Q492" s="3" t="n">
        <v>3</v>
      </c>
      <c r="R492" s="3" t="n">
        <v>3</v>
      </c>
      <c r="S492" s="3" t="n">
        <v>4</v>
      </c>
      <c r="T492" s="3" t="n">
        <v>5</v>
      </c>
      <c r="U492" s="3" t="n">
        <v>4</v>
      </c>
      <c r="V492" s="3" t="n">
        <v>4</v>
      </c>
      <c r="W492" s="3" t="n">
        <v>5</v>
      </c>
      <c r="X492" s="3" t="n">
        <v>3</v>
      </c>
      <c r="Y492" s="3" t="n">
        <v>4</v>
      </c>
      <c r="Z492" s="3" t="n">
        <v>4</v>
      </c>
      <c r="AA492" s="3" t="n">
        <v>4</v>
      </c>
      <c r="AB492" s="3" t="n">
        <v>3</v>
      </c>
      <c r="AC492" s="3" t="n">
        <v>3</v>
      </c>
      <c r="AD492" s="3" t="n">
        <v>3</v>
      </c>
      <c r="AE492" s="3" t="n">
        <v>4</v>
      </c>
      <c r="AF492" s="3" t="n">
        <v>4</v>
      </c>
      <c r="AG492" s="3" t="n">
        <v>3</v>
      </c>
      <c r="AH492" s="3" t="n">
        <v>4</v>
      </c>
      <c r="AI492" s="3" t="n">
        <v>4</v>
      </c>
      <c r="AJ492" s="3" t="n">
        <v>4</v>
      </c>
      <c r="AK492" s="3" t="n">
        <v>2</v>
      </c>
      <c r="AL492" s="3" t="n">
        <v>4</v>
      </c>
      <c r="AM492" s="3" t="n">
        <v>4</v>
      </c>
      <c r="AN492" s="3" t="n">
        <v>4</v>
      </c>
      <c r="AO492" s="3" t="n">
        <v>4</v>
      </c>
    </row>
    <row r="493" customFormat="false" ht="15" hidden="false" customHeight="false" outlineLevel="0" collapsed="false">
      <c r="A493" s="3" t="n">
        <v>1</v>
      </c>
      <c r="B493" s="3" t="n">
        <v>4</v>
      </c>
      <c r="C493" s="3" t="n">
        <v>1</v>
      </c>
      <c r="D493" s="3" t="n">
        <v>1</v>
      </c>
      <c r="E493" s="3" t="n">
        <v>2</v>
      </c>
      <c r="F493" s="3" t="n">
        <v>2</v>
      </c>
      <c r="G493" s="3" t="n">
        <v>2</v>
      </c>
      <c r="H493" s="3" t="n">
        <v>2</v>
      </c>
      <c r="I493" s="3" t="n">
        <v>1</v>
      </c>
      <c r="J493" s="3" t="n">
        <v>23</v>
      </c>
      <c r="K493" s="3" t="n">
        <v>5</v>
      </c>
      <c r="L493" s="3" t="n">
        <v>4</v>
      </c>
      <c r="M493" s="3" t="n">
        <v>4</v>
      </c>
      <c r="N493" s="3" t="n">
        <v>4</v>
      </c>
      <c r="O493" s="3" t="n">
        <v>5</v>
      </c>
      <c r="P493" s="3" t="n">
        <v>5</v>
      </c>
      <c r="Q493" s="3" t="n">
        <v>5</v>
      </c>
      <c r="R493" s="3" t="n">
        <v>4</v>
      </c>
      <c r="S493" s="3" t="n">
        <v>4</v>
      </c>
      <c r="T493" s="3" t="n">
        <v>5</v>
      </c>
      <c r="U493" s="3" t="n">
        <v>5</v>
      </c>
      <c r="V493" s="3" t="n">
        <v>4</v>
      </c>
      <c r="W493" s="3" t="n">
        <v>4</v>
      </c>
      <c r="X493" s="3" t="n">
        <v>5</v>
      </c>
      <c r="Y493" s="3" t="n">
        <v>4</v>
      </c>
      <c r="Z493" s="3" t="n">
        <v>5</v>
      </c>
      <c r="AA493" s="3" t="n">
        <v>1</v>
      </c>
      <c r="AB493" s="3" t="n">
        <v>5</v>
      </c>
      <c r="AC493" s="3" t="n">
        <v>4</v>
      </c>
      <c r="AD493" s="3" t="n">
        <v>2</v>
      </c>
      <c r="AE493" s="3" t="n">
        <v>2</v>
      </c>
      <c r="AF493" s="3" t="n">
        <v>4</v>
      </c>
      <c r="AG493" s="3" t="n">
        <v>5</v>
      </c>
      <c r="AH493" s="3" t="n">
        <v>5</v>
      </c>
      <c r="AI493" s="3" t="n">
        <v>4</v>
      </c>
      <c r="AJ493" s="3" t="n">
        <v>4</v>
      </c>
      <c r="AK493" s="3" t="n">
        <v>4</v>
      </c>
      <c r="AL493" s="3" t="n">
        <v>5</v>
      </c>
      <c r="AM493" s="3" t="n">
        <v>4</v>
      </c>
      <c r="AN493" s="3" t="n">
        <v>5</v>
      </c>
      <c r="AO493" s="3" t="n">
        <v>4</v>
      </c>
    </row>
    <row r="494" customFormat="false" ht="15" hidden="false" customHeight="false" outlineLevel="0" collapsed="false">
      <c r="A494" s="3" t="n">
        <v>0</v>
      </c>
      <c r="B494" s="3" t="n">
        <v>4</v>
      </c>
      <c r="C494" s="3" t="n">
        <v>1</v>
      </c>
      <c r="D494" s="3" t="n">
        <v>1</v>
      </c>
      <c r="E494" s="3" t="n">
        <v>2</v>
      </c>
      <c r="F494" s="3" t="n">
        <v>2</v>
      </c>
      <c r="G494" s="3" t="n">
        <v>2</v>
      </c>
      <c r="H494" s="3" t="n">
        <v>3</v>
      </c>
      <c r="I494" s="3" t="n">
        <v>3</v>
      </c>
      <c r="J494" s="3" t="n">
        <v>24</v>
      </c>
      <c r="K494" s="3" t="n">
        <v>3</v>
      </c>
      <c r="L494" s="3" t="n">
        <v>2</v>
      </c>
      <c r="M494" s="3" t="n">
        <v>4</v>
      </c>
      <c r="N494" s="3" t="n">
        <v>4</v>
      </c>
      <c r="O494" s="3" t="n">
        <v>2</v>
      </c>
      <c r="P494" s="3" t="n">
        <v>2</v>
      </c>
      <c r="Q494" s="3" t="n">
        <v>2</v>
      </c>
      <c r="R494" s="3" t="n">
        <v>2</v>
      </c>
      <c r="S494" s="3" t="n">
        <v>3</v>
      </c>
      <c r="T494" s="3" t="n">
        <v>4</v>
      </c>
      <c r="U494" s="3" t="n">
        <v>3</v>
      </c>
      <c r="V494" s="3" t="n">
        <v>4</v>
      </c>
      <c r="W494" s="3" t="n">
        <v>4</v>
      </c>
      <c r="X494" s="3" t="n">
        <v>4</v>
      </c>
      <c r="Y494" s="3" t="n">
        <v>4</v>
      </c>
      <c r="Z494" s="3" t="n">
        <v>4</v>
      </c>
      <c r="AA494" s="3" t="n">
        <v>2</v>
      </c>
      <c r="AB494" s="3" t="n">
        <v>1</v>
      </c>
      <c r="AC494" s="3" t="n">
        <v>1</v>
      </c>
      <c r="AD494" s="3" t="n">
        <v>1</v>
      </c>
      <c r="AE494" s="3" t="n">
        <v>2</v>
      </c>
      <c r="AF494" s="3" t="n">
        <v>1</v>
      </c>
      <c r="AG494" s="3" t="n">
        <v>1</v>
      </c>
      <c r="AH494" s="3" t="n">
        <v>4</v>
      </c>
      <c r="AI494" s="3" t="n">
        <v>4</v>
      </c>
      <c r="AJ494" s="3" t="n">
        <v>3</v>
      </c>
      <c r="AK494" s="3" t="n">
        <v>4</v>
      </c>
      <c r="AL494" s="3" t="n">
        <v>3</v>
      </c>
      <c r="AM494" s="3" t="n">
        <v>3</v>
      </c>
      <c r="AN494" s="3" t="n">
        <v>2</v>
      </c>
      <c r="AO494" s="3" t="n">
        <v>1</v>
      </c>
    </row>
    <row r="495" customFormat="false" ht="15" hidden="false" customHeight="false" outlineLevel="0" collapsed="false">
      <c r="A495" s="3" t="n">
        <v>0</v>
      </c>
      <c r="B495" s="3" t="n">
        <v>4</v>
      </c>
      <c r="C495" s="3" t="n">
        <v>2</v>
      </c>
      <c r="D495" s="3" t="n">
        <v>1</v>
      </c>
      <c r="E495" s="3" t="n">
        <v>2</v>
      </c>
      <c r="F495" s="3" t="n">
        <v>2</v>
      </c>
      <c r="G495" s="3" t="n">
        <v>3</v>
      </c>
      <c r="H495" s="3" t="n">
        <v>3</v>
      </c>
      <c r="I495" s="3" t="n">
        <v>2</v>
      </c>
      <c r="J495" s="3" t="n">
        <v>24</v>
      </c>
      <c r="K495" s="3" t="n">
        <v>4</v>
      </c>
      <c r="L495" s="3" t="n">
        <v>2</v>
      </c>
      <c r="M495" s="3" t="n">
        <v>2</v>
      </c>
      <c r="N495" s="3" t="n">
        <v>2</v>
      </c>
      <c r="O495" s="3" t="n">
        <v>4</v>
      </c>
      <c r="P495" s="3" t="n">
        <v>2</v>
      </c>
      <c r="Q495" s="3" t="n">
        <v>3</v>
      </c>
      <c r="R495" s="3" t="n">
        <v>4</v>
      </c>
      <c r="S495" s="3" t="n">
        <v>4</v>
      </c>
      <c r="T495" s="3" t="n">
        <v>5</v>
      </c>
      <c r="U495" s="3" t="n">
        <v>5</v>
      </c>
      <c r="V495" s="3" t="n">
        <v>3</v>
      </c>
      <c r="W495" s="3" t="n">
        <v>4</v>
      </c>
      <c r="X495" s="3" t="n">
        <v>1</v>
      </c>
      <c r="Y495" s="3" t="n">
        <v>3</v>
      </c>
      <c r="Z495" s="3" t="n">
        <v>4</v>
      </c>
      <c r="AA495" s="3" t="n">
        <v>2</v>
      </c>
      <c r="AB495" s="3" t="n">
        <v>3</v>
      </c>
      <c r="AC495" s="3" t="n">
        <v>1</v>
      </c>
      <c r="AD495" s="3" t="n">
        <v>1</v>
      </c>
      <c r="AE495" s="3" t="n">
        <v>3</v>
      </c>
      <c r="AF495" s="3" t="n">
        <v>2</v>
      </c>
      <c r="AG495" s="3" t="n">
        <v>4</v>
      </c>
      <c r="AH495" s="3" t="n">
        <v>3</v>
      </c>
      <c r="AI495" s="3" t="n">
        <v>2</v>
      </c>
      <c r="AJ495" s="3" t="n">
        <v>3</v>
      </c>
      <c r="AK495" s="3" t="n">
        <v>3</v>
      </c>
      <c r="AL495" s="3" t="n">
        <v>4</v>
      </c>
      <c r="AM495" s="3" t="n">
        <v>4</v>
      </c>
      <c r="AN495" s="3" t="n">
        <v>3</v>
      </c>
      <c r="AO495" s="3" t="n">
        <v>2</v>
      </c>
    </row>
    <row r="496" customFormat="false" ht="15" hidden="false" customHeight="false" outlineLevel="0" collapsed="false">
      <c r="A496" s="3" t="n">
        <v>0</v>
      </c>
      <c r="B496" s="3" t="n">
        <v>4</v>
      </c>
      <c r="C496" s="3" t="n">
        <v>1</v>
      </c>
      <c r="D496" s="3" t="n">
        <v>1</v>
      </c>
      <c r="E496" s="3" t="n">
        <v>2</v>
      </c>
      <c r="F496" s="3" t="n">
        <v>2</v>
      </c>
      <c r="G496" s="3" t="n">
        <v>2</v>
      </c>
      <c r="H496" s="3" t="n">
        <v>1</v>
      </c>
      <c r="I496" s="3" t="n">
        <v>2</v>
      </c>
      <c r="J496" s="3" t="n">
        <v>24</v>
      </c>
      <c r="K496" s="3" t="n">
        <v>5</v>
      </c>
      <c r="L496" s="3" t="n">
        <v>2</v>
      </c>
      <c r="M496" s="3" t="n">
        <v>4</v>
      </c>
      <c r="N496" s="3" t="n">
        <v>4</v>
      </c>
      <c r="O496" s="3" t="n">
        <v>2</v>
      </c>
      <c r="P496" s="3" t="n">
        <v>3</v>
      </c>
      <c r="Q496" s="3" t="n">
        <v>2</v>
      </c>
      <c r="R496" s="3" t="n">
        <v>5</v>
      </c>
      <c r="S496" s="3" t="n">
        <v>4</v>
      </c>
      <c r="T496" s="3" t="n">
        <v>5</v>
      </c>
      <c r="U496" s="3" t="n">
        <v>5</v>
      </c>
      <c r="V496" s="3" t="n">
        <v>4</v>
      </c>
      <c r="W496" s="3" t="n">
        <v>5</v>
      </c>
      <c r="X496" s="3" t="n">
        <v>4</v>
      </c>
      <c r="Y496" s="3" t="n">
        <v>4</v>
      </c>
      <c r="Z496" s="3" t="n">
        <v>5</v>
      </c>
      <c r="AA496" s="3" t="n">
        <v>5</v>
      </c>
      <c r="AB496" s="3" t="n">
        <v>4</v>
      </c>
      <c r="AC496" s="3" t="n">
        <v>2</v>
      </c>
      <c r="AD496" s="3" t="n">
        <v>2</v>
      </c>
      <c r="AE496" s="3" t="n">
        <v>4</v>
      </c>
      <c r="AF496" s="3" t="n">
        <v>2</v>
      </c>
      <c r="AG496" s="3" t="n">
        <v>4</v>
      </c>
      <c r="AH496" s="3" t="n">
        <v>2</v>
      </c>
      <c r="AI496" s="3" t="n">
        <v>2</v>
      </c>
      <c r="AJ496" s="3" t="n">
        <v>4</v>
      </c>
      <c r="AK496" s="3" t="n">
        <v>2</v>
      </c>
      <c r="AL496" s="3" t="n">
        <v>5</v>
      </c>
      <c r="AM496" s="3" t="n">
        <v>3</v>
      </c>
      <c r="AN496" s="3" t="n">
        <v>2</v>
      </c>
      <c r="AO496" s="3" t="n">
        <v>4</v>
      </c>
    </row>
    <row r="497" customFormat="false" ht="15" hidden="false" customHeight="false" outlineLevel="0" collapsed="false">
      <c r="A497" s="3" t="n">
        <v>0</v>
      </c>
      <c r="B497" s="3" t="n">
        <v>1</v>
      </c>
      <c r="C497" s="3" t="n">
        <v>1</v>
      </c>
      <c r="D497" s="3" t="n">
        <v>2</v>
      </c>
      <c r="E497" s="3" t="n">
        <v>2</v>
      </c>
      <c r="F497" s="3" t="n">
        <v>2</v>
      </c>
      <c r="G497" s="3" t="n">
        <v>3</v>
      </c>
      <c r="H497" s="3" t="n">
        <v>1</v>
      </c>
      <c r="I497" s="3" t="n">
        <v>1</v>
      </c>
      <c r="J497" s="3" t="n">
        <v>22</v>
      </c>
      <c r="K497" s="3" t="n">
        <v>3</v>
      </c>
      <c r="L497" s="3" t="n">
        <v>2</v>
      </c>
      <c r="M497" s="3" t="n">
        <v>3</v>
      </c>
      <c r="N497" s="3" t="n">
        <v>4</v>
      </c>
      <c r="O497" s="3" t="n">
        <v>3</v>
      </c>
      <c r="P497" s="3" t="n">
        <v>3</v>
      </c>
      <c r="Q497" s="3" t="n">
        <v>3</v>
      </c>
      <c r="R497" s="3" t="n">
        <v>3</v>
      </c>
      <c r="S497" s="3" t="n">
        <v>5</v>
      </c>
      <c r="T497" s="3" t="n">
        <v>5</v>
      </c>
      <c r="U497" s="3" t="n">
        <v>5</v>
      </c>
      <c r="V497" s="3" t="n">
        <v>4</v>
      </c>
      <c r="W497" s="3" t="n">
        <v>4</v>
      </c>
      <c r="X497" s="3" t="n">
        <v>4</v>
      </c>
      <c r="Y497" s="3" t="n">
        <v>4</v>
      </c>
      <c r="Z497" s="3" t="n">
        <v>4</v>
      </c>
      <c r="AA497" s="3" t="n">
        <v>3</v>
      </c>
      <c r="AB497" s="3" t="n">
        <v>3</v>
      </c>
      <c r="AC497" s="3" t="n">
        <v>2</v>
      </c>
      <c r="AD497" s="3" t="n">
        <v>2</v>
      </c>
      <c r="AE497" s="3" t="n">
        <v>3</v>
      </c>
      <c r="AF497" s="3" t="n">
        <v>4</v>
      </c>
      <c r="AG497" s="3" t="n">
        <v>4</v>
      </c>
      <c r="AH497" s="3" t="n">
        <v>3</v>
      </c>
      <c r="AI497" s="3" t="n">
        <v>3</v>
      </c>
      <c r="AJ497" s="3" t="n">
        <v>2</v>
      </c>
      <c r="AK497" s="3" t="n">
        <v>3</v>
      </c>
      <c r="AL497" s="3" t="n">
        <v>4</v>
      </c>
      <c r="AM497" s="3" t="n">
        <v>3</v>
      </c>
      <c r="AN497" s="3" t="n">
        <v>3</v>
      </c>
      <c r="AO497" s="3" t="n">
        <v>3</v>
      </c>
    </row>
    <row r="498" customFormat="false" ht="15" hidden="false" customHeight="false" outlineLevel="0" collapsed="false">
      <c r="A498" s="3" t="n">
        <v>0</v>
      </c>
      <c r="B498" s="3" t="n">
        <v>3</v>
      </c>
      <c r="C498" s="3" t="n">
        <v>2</v>
      </c>
      <c r="D498" s="3" t="n">
        <v>1</v>
      </c>
      <c r="E498" s="3" t="n">
        <v>2</v>
      </c>
      <c r="F498" s="3" t="n">
        <v>2</v>
      </c>
      <c r="G498" s="3" t="n">
        <v>3</v>
      </c>
      <c r="H498" s="3" t="n">
        <v>2</v>
      </c>
      <c r="I498" s="3" t="n">
        <v>1</v>
      </c>
      <c r="J498" s="3" t="n">
        <v>22</v>
      </c>
      <c r="K498" s="3" t="n">
        <v>3</v>
      </c>
      <c r="L498" s="3" t="n">
        <v>4</v>
      </c>
      <c r="M498" s="3" t="n">
        <v>4</v>
      </c>
      <c r="N498" s="3" t="n">
        <v>4</v>
      </c>
      <c r="O498" s="3" t="n">
        <v>3</v>
      </c>
      <c r="P498" s="3" t="n">
        <v>3</v>
      </c>
      <c r="Q498" s="3" t="n">
        <v>3</v>
      </c>
      <c r="R498" s="3" t="n">
        <v>3</v>
      </c>
      <c r="S498" s="3" t="n">
        <v>4</v>
      </c>
      <c r="T498" s="3" t="n">
        <v>4</v>
      </c>
      <c r="U498" s="3" t="n">
        <v>4</v>
      </c>
      <c r="V498" s="3" t="n">
        <v>4</v>
      </c>
      <c r="W498" s="3" t="n">
        <v>4</v>
      </c>
      <c r="X498" s="3" t="n">
        <v>2</v>
      </c>
      <c r="Y498" s="3" t="n">
        <v>4</v>
      </c>
      <c r="Z498" s="3" t="n">
        <v>4</v>
      </c>
      <c r="AA498" s="3" t="n">
        <v>4</v>
      </c>
      <c r="AB498" s="3" t="n">
        <v>4</v>
      </c>
      <c r="AC498" s="3" t="n">
        <v>2</v>
      </c>
      <c r="AD498" s="3" t="n">
        <v>2</v>
      </c>
      <c r="AE498" s="3" t="n">
        <v>4</v>
      </c>
      <c r="AF498" s="3" t="n">
        <v>3</v>
      </c>
      <c r="AG498" s="3" t="n">
        <v>3</v>
      </c>
      <c r="AH498" s="3" t="n">
        <v>4</v>
      </c>
      <c r="AI498" s="3" t="n">
        <v>4</v>
      </c>
      <c r="AJ498" s="3" t="n">
        <v>4</v>
      </c>
      <c r="AK498" s="3" t="n">
        <v>3</v>
      </c>
      <c r="AL498" s="3" t="n">
        <v>3</v>
      </c>
      <c r="AM498" s="3" t="n">
        <v>3</v>
      </c>
      <c r="AN498" s="3" t="n">
        <v>3</v>
      </c>
      <c r="AO498" s="3" t="n">
        <v>3</v>
      </c>
    </row>
    <row r="499" customFormat="false" ht="15" hidden="false" customHeight="false" outlineLevel="0" collapsed="false">
      <c r="A499" s="3" t="n">
        <v>0</v>
      </c>
      <c r="B499" s="3" t="n">
        <v>3</v>
      </c>
      <c r="C499" s="3" t="n">
        <v>1</v>
      </c>
      <c r="D499" s="3" t="n">
        <v>1</v>
      </c>
      <c r="E499" s="3" t="n">
        <v>2</v>
      </c>
      <c r="F499" s="3" t="n">
        <v>2</v>
      </c>
      <c r="G499" s="3" t="n">
        <v>3</v>
      </c>
      <c r="H499" s="3" t="n">
        <v>2</v>
      </c>
      <c r="I499" s="3" t="n">
        <v>1</v>
      </c>
      <c r="J499" s="3" t="n">
        <v>21</v>
      </c>
      <c r="K499" s="3" t="n">
        <v>2</v>
      </c>
      <c r="L499" s="3" t="n">
        <v>3</v>
      </c>
      <c r="M499" s="3" t="n">
        <v>5</v>
      </c>
      <c r="N499" s="3" t="n">
        <v>4</v>
      </c>
      <c r="O499" s="3" t="n">
        <v>3</v>
      </c>
      <c r="P499" s="3" t="n">
        <v>4</v>
      </c>
      <c r="Q499" s="3" t="n">
        <v>2</v>
      </c>
      <c r="R499" s="3" t="n">
        <v>3</v>
      </c>
      <c r="S499" s="3" t="n">
        <v>4</v>
      </c>
      <c r="T499" s="3" t="n">
        <v>4</v>
      </c>
      <c r="U499" s="3" t="n">
        <v>4</v>
      </c>
      <c r="V499" s="3" t="n">
        <v>3</v>
      </c>
      <c r="W499" s="3" t="n">
        <v>5</v>
      </c>
      <c r="X499" s="3" t="n">
        <v>4</v>
      </c>
      <c r="Y499" s="3" t="n">
        <v>4</v>
      </c>
      <c r="Z499" s="3" t="n">
        <v>5</v>
      </c>
      <c r="AA499" s="3" t="n">
        <v>5</v>
      </c>
      <c r="AB499" s="3" t="n">
        <v>4</v>
      </c>
      <c r="AC499" s="3" t="n">
        <v>1</v>
      </c>
      <c r="AD499" s="3" t="n">
        <v>2</v>
      </c>
      <c r="AE499" s="3" t="n">
        <v>4</v>
      </c>
      <c r="AF499" s="3" t="n">
        <v>4</v>
      </c>
      <c r="AG499" s="3" t="n">
        <v>4</v>
      </c>
      <c r="AH499" s="3" t="n">
        <v>4</v>
      </c>
      <c r="AI499" s="3" t="n">
        <v>4</v>
      </c>
      <c r="AJ499" s="3" t="n">
        <v>5</v>
      </c>
      <c r="AK499" s="3" t="n">
        <v>2</v>
      </c>
      <c r="AL499" s="3" t="n">
        <v>4</v>
      </c>
      <c r="AM499" s="3" t="n">
        <v>3</v>
      </c>
      <c r="AN499" s="3" t="n">
        <v>3</v>
      </c>
      <c r="AO499" s="3" t="n">
        <v>3</v>
      </c>
    </row>
    <row r="500" customFormat="false" ht="15" hidden="false" customHeight="false" outlineLevel="0" collapsed="false">
      <c r="A500" s="3" t="n">
        <v>0</v>
      </c>
      <c r="B500" s="3" t="n">
        <v>4</v>
      </c>
      <c r="C500" s="3" t="n">
        <v>1</v>
      </c>
      <c r="D500" s="3" t="n">
        <v>2</v>
      </c>
      <c r="E500" s="3" t="n">
        <v>2</v>
      </c>
      <c r="F500" s="3" t="n">
        <v>2</v>
      </c>
      <c r="G500" s="3" t="n">
        <v>2</v>
      </c>
      <c r="H500" s="3" t="n">
        <v>1</v>
      </c>
      <c r="I500" s="3" t="n">
        <v>1</v>
      </c>
      <c r="J500" s="3" t="n">
        <v>22</v>
      </c>
      <c r="K500" s="3" t="n">
        <v>3</v>
      </c>
      <c r="L500" s="3" t="n">
        <v>2</v>
      </c>
      <c r="M500" s="3" t="n">
        <v>4</v>
      </c>
      <c r="N500" s="3" t="n">
        <v>3</v>
      </c>
      <c r="O500" s="3" t="n">
        <v>3</v>
      </c>
      <c r="P500" s="3" t="n">
        <v>5</v>
      </c>
      <c r="Q500" s="3" t="n">
        <v>4</v>
      </c>
      <c r="R500" s="3" t="n">
        <v>3</v>
      </c>
      <c r="S500" s="3" t="n">
        <v>3</v>
      </c>
      <c r="T500" s="3" t="n">
        <v>5</v>
      </c>
      <c r="U500" s="3" t="n">
        <v>5</v>
      </c>
      <c r="V500" s="3" t="n">
        <v>4</v>
      </c>
      <c r="W500" s="3" t="n">
        <v>5</v>
      </c>
      <c r="X500" s="3" t="n">
        <v>5</v>
      </c>
      <c r="Y500" s="3" t="n">
        <v>5</v>
      </c>
      <c r="Z500" s="3" t="n">
        <v>4</v>
      </c>
      <c r="AA500" s="3" t="n">
        <v>4</v>
      </c>
      <c r="AB500" s="3" t="n">
        <v>1</v>
      </c>
      <c r="AC500" s="3" t="n">
        <v>2</v>
      </c>
      <c r="AD500" s="3" t="n">
        <v>1</v>
      </c>
      <c r="AE500" s="3" t="n">
        <v>4</v>
      </c>
      <c r="AF500" s="3" t="n">
        <v>3</v>
      </c>
      <c r="AG500" s="3" t="n">
        <v>4</v>
      </c>
      <c r="AH500" s="3" t="n">
        <v>4</v>
      </c>
      <c r="AI500" s="3" t="n">
        <v>4</v>
      </c>
      <c r="AJ500" s="3" t="n">
        <v>2</v>
      </c>
      <c r="AK500" s="3" t="n">
        <v>2</v>
      </c>
      <c r="AL500" s="3" t="n">
        <v>5</v>
      </c>
      <c r="AM500" s="3" t="n">
        <v>4</v>
      </c>
      <c r="AN500" s="3" t="n">
        <v>2</v>
      </c>
      <c r="AO500" s="3" t="n">
        <v>4</v>
      </c>
    </row>
    <row r="501" customFormat="false" ht="15" hidden="false" customHeight="false" outlineLevel="0" collapsed="false">
      <c r="A501" s="3" t="n">
        <v>0</v>
      </c>
      <c r="B501" s="3" t="n">
        <v>4</v>
      </c>
      <c r="C501" s="3" t="n">
        <v>1</v>
      </c>
      <c r="D501" s="3" t="n">
        <v>1</v>
      </c>
      <c r="E501" s="3" t="n">
        <v>2</v>
      </c>
      <c r="F501" s="3" t="n">
        <v>2</v>
      </c>
      <c r="G501" s="3" t="n">
        <v>2</v>
      </c>
      <c r="H501" s="3" t="n">
        <v>3</v>
      </c>
      <c r="I501" s="3" t="n">
        <v>3</v>
      </c>
      <c r="J501" s="3" t="n">
        <v>26</v>
      </c>
      <c r="K501" s="3" t="n">
        <v>3</v>
      </c>
      <c r="L501" s="3" t="n">
        <v>3</v>
      </c>
      <c r="M501" s="3" t="n">
        <v>2</v>
      </c>
      <c r="N501" s="3" t="n">
        <v>3</v>
      </c>
      <c r="O501" s="3" t="n">
        <v>2</v>
      </c>
      <c r="P501" s="3" t="n">
        <v>4</v>
      </c>
      <c r="Q501" s="3" t="n">
        <v>4</v>
      </c>
      <c r="R501" s="3" t="n">
        <v>3</v>
      </c>
      <c r="S501" s="3" t="n">
        <v>4</v>
      </c>
      <c r="T501" s="3" t="n">
        <v>4</v>
      </c>
      <c r="U501" s="3" t="n">
        <v>4</v>
      </c>
      <c r="V501" s="3" t="n">
        <v>4</v>
      </c>
      <c r="W501" s="3" t="n">
        <v>4</v>
      </c>
      <c r="X501" s="3" t="n">
        <v>4</v>
      </c>
      <c r="Y501" s="3" t="n">
        <v>4</v>
      </c>
      <c r="Z501" s="3" t="n">
        <v>4</v>
      </c>
      <c r="AA501" s="3" t="n">
        <v>2</v>
      </c>
      <c r="AB501" s="3" t="n">
        <v>3</v>
      </c>
      <c r="AC501" s="3" t="n">
        <v>3</v>
      </c>
      <c r="AD501" s="3" t="n">
        <v>3</v>
      </c>
      <c r="AE501" s="3" t="n">
        <v>3</v>
      </c>
      <c r="AF501" s="3" t="n">
        <v>1</v>
      </c>
      <c r="AG501" s="3" t="n">
        <v>3</v>
      </c>
      <c r="AH501" s="3" t="n">
        <v>3</v>
      </c>
      <c r="AI501" s="3" t="n">
        <v>4</v>
      </c>
      <c r="AJ501" s="3" t="n">
        <v>4</v>
      </c>
      <c r="AK501" s="3" t="n">
        <v>2</v>
      </c>
      <c r="AL501" s="3" t="n">
        <v>4</v>
      </c>
      <c r="AM501" s="3" t="n">
        <v>3</v>
      </c>
      <c r="AN501" s="3" t="n">
        <v>4</v>
      </c>
      <c r="AO501" s="3" t="n">
        <v>3</v>
      </c>
    </row>
    <row r="502" customFormat="false" ht="15" hidden="false" customHeight="false" outlineLevel="0" collapsed="false">
      <c r="A502" s="3" t="n">
        <v>0</v>
      </c>
      <c r="B502" s="3" t="n">
        <v>4</v>
      </c>
      <c r="C502" s="3" t="n">
        <v>1</v>
      </c>
      <c r="D502" s="3" t="n">
        <v>1</v>
      </c>
      <c r="E502" s="3" t="n">
        <v>2</v>
      </c>
      <c r="F502" s="3" t="n">
        <v>2</v>
      </c>
      <c r="G502" s="3" t="n">
        <v>1</v>
      </c>
      <c r="H502" s="3" t="n">
        <v>1</v>
      </c>
      <c r="I502" s="3" t="n">
        <v>3</v>
      </c>
      <c r="J502" s="3" t="n">
        <v>25</v>
      </c>
      <c r="K502" s="3" t="n">
        <v>4</v>
      </c>
      <c r="L502" s="3" t="n">
        <v>4</v>
      </c>
      <c r="M502" s="3" t="n">
        <v>4</v>
      </c>
      <c r="N502" s="3" t="n">
        <v>4</v>
      </c>
      <c r="O502" s="3" t="n">
        <v>5</v>
      </c>
      <c r="P502" s="3" t="n">
        <v>4</v>
      </c>
      <c r="Q502" s="3" t="n">
        <v>3</v>
      </c>
      <c r="R502" s="3" t="n">
        <v>4</v>
      </c>
      <c r="S502" s="3" t="n">
        <v>4</v>
      </c>
      <c r="T502" s="3" t="n">
        <v>4</v>
      </c>
      <c r="U502" s="3" t="n">
        <v>5</v>
      </c>
      <c r="V502" s="3" t="n">
        <v>4</v>
      </c>
      <c r="W502" s="3" t="n">
        <v>4</v>
      </c>
      <c r="X502" s="3" t="n">
        <v>4</v>
      </c>
      <c r="Y502" s="3" t="n">
        <v>5</v>
      </c>
      <c r="Z502" s="3" t="n">
        <v>4</v>
      </c>
      <c r="AA502" s="3" t="n">
        <v>4</v>
      </c>
      <c r="AB502" s="3" t="n">
        <v>2</v>
      </c>
      <c r="AC502" s="3" t="n">
        <v>1</v>
      </c>
      <c r="AD502" s="3" t="n">
        <v>2</v>
      </c>
      <c r="AE502" s="3" t="n">
        <v>4</v>
      </c>
      <c r="AF502" s="3" t="n">
        <v>4</v>
      </c>
      <c r="AG502" s="3" t="n">
        <v>4</v>
      </c>
      <c r="AH502" s="3" t="n">
        <v>4</v>
      </c>
      <c r="AI502" s="3" t="n">
        <v>4</v>
      </c>
      <c r="AJ502" s="3" t="n">
        <v>5</v>
      </c>
      <c r="AK502" s="3" t="n">
        <v>5</v>
      </c>
      <c r="AL502" s="3" t="n">
        <v>5</v>
      </c>
      <c r="AM502" s="3" t="n">
        <v>4</v>
      </c>
      <c r="AN502" s="3" t="n">
        <v>3</v>
      </c>
      <c r="AO502" s="3" t="n">
        <v>5</v>
      </c>
    </row>
    <row r="503" customFormat="false" ht="15" hidden="false" customHeight="false" outlineLevel="0" collapsed="false">
      <c r="A503" s="3" t="n">
        <v>1</v>
      </c>
      <c r="B503" s="3" t="n">
        <v>4</v>
      </c>
      <c r="C503" s="3" t="n">
        <v>1</v>
      </c>
      <c r="D503" s="3" t="n">
        <v>1</v>
      </c>
      <c r="E503" s="3" t="n">
        <v>2</v>
      </c>
      <c r="F503" s="3" t="n">
        <v>2</v>
      </c>
      <c r="G503" s="3" t="n">
        <v>1</v>
      </c>
      <c r="H503" s="3" t="n">
        <v>2</v>
      </c>
      <c r="I503" s="3" t="n">
        <v>3</v>
      </c>
      <c r="J503" s="3" t="n">
        <v>27</v>
      </c>
      <c r="K503" s="3" t="n">
        <v>2</v>
      </c>
      <c r="L503" s="3" t="n">
        <v>2</v>
      </c>
      <c r="M503" s="3" t="n">
        <v>1</v>
      </c>
      <c r="N503" s="3" t="n">
        <v>1</v>
      </c>
      <c r="O503" s="3" t="n">
        <v>4</v>
      </c>
      <c r="P503" s="3" t="n">
        <v>4</v>
      </c>
      <c r="Q503" s="3" t="n">
        <v>2</v>
      </c>
      <c r="R503" s="3" t="n">
        <v>2</v>
      </c>
      <c r="S503" s="3" t="n">
        <v>5</v>
      </c>
      <c r="T503" s="3" t="n">
        <v>4</v>
      </c>
      <c r="U503" s="3" t="n">
        <v>5</v>
      </c>
      <c r="V503" s="3" t="n">
        <v>5</v>
      </c>
      <c r="W503" s="3" t="n">
        <v>4</v>
      </c>
      <c r="X503" s="3" t="n">
        <v>4</v>
      </c>
      <c r="Y503" s="3" t="n">
        <v>4</v>
      </c>
      <c r="Z503" s="3" t="n">
        <v>4</v>
      </c>
      <c r="AA503" s="3" t="n">
        <v>4</v>
      </c>
      <c r="AB503" s="3" t="n">
        <v>4</v>
      </c>
      <c r="AC503" s="3" t="n">
        <v>1</v>
      </c>
      <c r="AD503" s="3" t="n">
        <v>2</v>
      </c>
      <c r="AE503" s="3" t="n">
        <v>3</v>
      </c>
      <c r="AF503" s="3" t="n">
        <v>2</v>
      </c>
      <c r="AG503" s="3" t="n">
        <v>4</v>
      </c>
      <c r="AH503" s="3" t="n">
        <v>2</v>
      </c>
      <c r="AI503" s="3" t="n">
        <v>3</v>
      </c>
      <c r="AJ503" s="3" t="n">
        <v>2</v>
      </c>
      <c r="AK503" s="3" t="n">
        <v>4</v>
      </c>
      <c r="AL503" s="3" t="n">
        <v>5</v>
      </c>
      <c r="AM503" s="3" t="n">
        <v>2</v>
      </c>
      <c r="AN503" s="3" t="n">
        <v>2</v>
      </c>
      <c r="AO503" s="3" t="n">
        <v>4</v>
      </c>
    </row>
    <row r="504" customFormat="false" ht="15" hidden="false" customHeight="false" outlineLevel="0" collapsed="false">
      <c r="A504" s="3" t="n">
        <v>0</v>
      </c>
      <c r="B504" s="3" t="n">
        <v>3</v>
      </c>
      <c r="C504" s="3" t="n">
        <v>2</v>
      </c>
      <c r="D504" s="3" t="n">
        <v>2</v>
      </c>
      <c r="E504" s="3" t="n">
        <v>2</v>
      </c>
      <c r="F504" s="3" t="n">
        <v>2</v>
      </c>
      <c r="G504" s="3" t="n">
        <v>1</v>
      </c>
      <c r="H504" s="3" t="n">
        <v>1</v>
      </c>
      <c r="I504" s="3" t="n">
        <v>1</v>
      </c>
      <c r="J504" s="3" t="n">
        <v>21</v>
      </c>
      <c r="K504" s="3" t="n">
        <v>3</v>
      </c>
      <c r="L504" s="3" t="n">
        <v>3</v>
      </c>
      <c r="M504" s="3" t="n">
        <v>3</v>
      </c>
      <c r="N504" s="3" t="n">
        <v>3</v>
      </c>
      <c r="O504" s="3" t="n">
        <v>3</v>
      </c>
      <c r="P504" s="3" t="n">
        <v>4</v>
      </c>
      <c r="Q504" s="3" t="n">
        <v>3</v>
      </c>
      <c r="R504" s="3" t="n">
        <v>3</v>
      </c>
      <c r="S504" s="3" t="n">
        <v>4</v>
      </c>
      <c r="T504" s="3" t="n">
        <v>4</v>
      </c>
      <c r="U504" s="3" t="n">
        <v>5</v>
      </c>
      <c r="V504" s="3" t="n">
        <v>3</v>
      </c>
      <c r="W504" s="3" t="n">
        <v>4</v>
      </c>
      <c r="X504" s="3" t="n">
        <v>3</v>
      </c>
      <c r="Y504" s="3" t="n">
        <v>2</v>
      </c>
      <c r="Z504" s="3" t="n">
        <v>4</v>
      </c>
      <c r="AA504" s="3" t="n">
        <v>2</v>
      </c>
      <c r="AB504" s="3" t="n">
        <v>3</v>
      </c>
      <c r="AC504" s="3" t="n">
        <v>2</v>
      </c>
      <c r="AD504" s="3" t="n">
        <v>2</v>
      </c>
      <c r="AE504" s="3" t="n">
        <v>4</v>
      </c>
      <c r="AF504" s="3" t="n">
        <v>3</v>
      </c>
      <c r="AG504" s="3" t="n">
        <v>4</v>
      </c>
      <c r="AH504" s="3" t="n">
        <v>4</v>
      </c>
      <c r="AI504" s="3" t="n">
        <v>4</v>
      </c>
      <c r="AJ504" s="3" t="n">
        <v>5</v>
      </c>
      <c r="AK504" s="3" t="n">
        <v>3</v>
      </c>
      <c r="AL504" s="3" t="n">
        <v>4</v>
      </c>
      <c r="AM504" s="3" t="n">
        <v>3</v>
      </c>
      <c r="AN504" s="3" t="n">
        <v>3</v>
      </c>
      <c r="AO504" s="3" t="n">
        <v>3</v>
      </c>
    </row>
    <row r="505" customFormat="false" ht="15" hidden="false" customHeight="false" outlineLevel="0" collapsed="false">
      <c r="A505" s="3" t="n">
        <v>0</v>
      </c>
      <c r="B505" s="3" t="n">
        <v>6</v>
      </c>
      <c r="C505" s="3" t="n">
        <v>1</v>
      </c>
      <c r="D505" s="3" t="n">
        <v>2</v>
      </c>
      <c r="E505" s="3" t="n">
        <v>2</v>
      </c>
      <c r="F505" s="3" t="n">
        <v>2</v>
      </c>
      <c r="G505" s="3" t="n">
        <v>3</v>
      </c>
      <c r="H505" s="3" t="n">
        <v>1</v>
      </c>
      <c r="I505" s="3" t="n">
        <v>1</v>
      </c>
      <c r="J505" s="3" t="n">
        <v>24</v>
      </c>
      <c r="K505" s="3" t="n">
        <v>3</v>
      </c>
      <c r="L505" s="3" t="n">
        <v>3</v>
      </c>
      <c r="M505" s="3" t="n">
        <v>4</v>
      </c>
      <c r="N505" s="3" t="n">
        <v>3</v>
      </c>
      <c r="O505" s="3" t="n">
        <v>3</v>
      </c>
      <c r="P505" s="3" t="n">
        <v>3</v>
      </c>
      <c r="Q505" s="3" t="n">
        <v>3</v>
      </c>
      <c r="R505" s="3" t="n">
        <v>3</v>
      </c>
      <c r="S505" s="3" t="n">
        <v>4</v>
      </c>
      <c r="T505" s="3" t="n">
        <v>4</v>
      </c>
      <c r="U505" s="3" t="n">
        <v>4</v>
      </c>
      <c r="V505" s="3" t="n">
        <v>3</v>
      </c>
      <c r="W505" s="3" t="n">
        <v>3</v>
      </c>
      <c r="X505" s="3" t="n">
        <v>3</v>
      </c>
      <c r="Y505" s="3" t="n">
        <v>3</v>
      </c>
      <c r="Z505" s="3" t="n">
        <v>4</v>
      </c>
      <c r="AA505" s="3" t="n">
        <v>3</v>
      </c>
      <c r="AB505" s="3" t="n">
        <v>2</v>
      </c>
      <c r="AC505" s="3" t="n">
        <v>2</v>
      </c>
      <c r="AD505" s="3" t="n">
        <v>2</v>
      </c>
      <c r="AE505" s="3" t="n">
        <v>4</v>
      </c>
      <c r="AF505" s="3" t="n">
        <v>3</v>
      </c>
      <c r="AG505" s="3" t="n">
        <v>4</v>
      </c>
      <c r="AH505" s="3" t="n">
        <v>3</v>
      </c>
      <c r="AI505" s="3" t="n">
        <v>3</v>
      </c>
      <c r="AJ505" s="3" t="n">
        <v>4</v>
      </c>
      <c r="AK505" s="3" t="n">
        <v>3</v>
      </c>
      <c r="AL505" s="3" t="n">
        <v>4</v>
      </c>
      <c r="AM505" s="3" t="n">
        <v>4</v>
      </c>
      <c r="AN505" s="3" t="n">
        <v>4</v>
      </c>
      <c r="AO505" s="3" t="n">
        <v>3</v>
      </c>
    </row>
    <row r="506" customFormat="false" ht="15" hidden="false" customHeight="false" outlineLevel="0" collapsed="false">
      <c r="A506" s="3" t="n">
        <v>0</v>
      </c>
      <c r="B506" s="3" t="n">
        <v>4</v>
      </c>
      <c r="C506" s="3" t="n">
        <v>1</v>
      </c>
      <c r="D506" s="3" t="n">
        <v>2</v>
      </c>
      <c r="E506" s="3" t="n">
        <v>2</v>
      </c>
      <c r="F506" s="3" t="n">
        <v>2</v>
      </c>
      <c r="G506" s="3" t="n">
        <v>1</v>
      </c>
      <c r="H506" s="3" t="n">
        <v>1</v>
      </c>
      <c r="I506" s="3" t="n">
        <v>3</v>
      </c>
      <c r="J506" s="3" t="n">
        <v>26</v>
      </c>
      <c r="K506" s="3" t="n">
        <v>4</v>
      </c>
      <c r="L506" s="3" t="n">
        <v>4</v>
      </c>
      <c r="M506" s="3" t="n">
        <v>5</v>
      </c>
      <c r="N506" s="3" t="n">
        <v>5</v>
      </c>
      <c r="O506" s="3" t="n">
        <v>4</v>
      </c>
      <c r="P506" s="3" t="n">
        <v>5</v>
      </c>
      <c r="Q506" s="3" t="n">
        <v>3</v>
      </c>
      <c r="R506" s="3" t="n">
        <v>4</v>
      </c>
      <c r="S506" s="3" t="n">
        <v>5</v>
      </c>
      <c r="T506" s="3" t="n">
        <v>5</v>
      </c>
      <c r="U506" s="3" t="n">
        <v>5</v>
      </c>
      <c r="V506" s="3" t="n">
        <v>5</v>
      </c>
      <c r="W506" s="3" t="n">
        <v>3</v>
      </c>
      <c r="X506" s="3" t="n">
        <v>5</v>
      </c>
      <c r="Y506" s="3" t="n">
        <v>3</v>
      </c>
      <c r="Z506" s="3" t="n">
        <v>5</v>
      </c>
      <c r="AA506" s="3" t="n">
        <v>5</v>
      </c>
      <c r="AB506" s="3" t="n">
        <v>2</v>
      </c>
      <c r="AC506" s="3" t="n">
        <v>1</v>
      </c>
      <c r="AD506" s="3" t="n">
        <v>1</v>
      </c>
      <c r="AE506" s="3" t="n">
        <v>5</v>
      </c>
      <c r="AF506" s="3" t="n">
        <v>5</v>
      </c>
      <c r="AG506" s="3" t="n">
        <v>5</v>
      </c>
      <c r="AH506" s="3" t="n">
        <v>5</v>
      </c>
      <c r="AI506" s="3" t="n">
        <v>5</v>
      </c>
      <c r="AJ506" s="3" t="n">
        <v>3</v>
      </c>
      <c r="AK506" s="3" t="n">
        <v>2</v>
      </c>
      <c r="AL506" s="3" t="n">
        <v>5</v>
      </c>
      <c r="AM506" s="3" t="n">
        <v>5</v>
      </c>
      <c r="AN506" s="3" t="n">
        <v>2</v>
      </c>
      <c r="AO506" s="3" t="n">
        <v>2</v>
      </c>
    </row>
    <row r="507" customFormat="false" ht="15" hidden="false" customHeight="false" outlineLevel="0" collapsed="false">
      <c r="A507" s="3" t="n">
        <v>1</v>
      </c>
      <c r="B507" s="3" t="n">
        <v>4</v>
      </c>
      <c r="C507" s="3" t="n">
        <v>2</v>
      </c>
      <c r="D507" s="3" t="n">
        <v>1</v>
      </c>
      <c r="E507" s="3" t="n">
        <v>2</v>
      </c>
      <c r="F507" s="3" t="n">
        <v>2</v>
      </c>
      <c r="G507" s="3" t="n">
        <v>2</v>
      </c>
      <c r="H507" s="3" t="n">
        <v>3</v>
      </c>
      <c r="I507" s="3" t="n">
        <v>2</v>
      </c>
      <c r="J507" s="3" t="n">
        <v>23</v>
      </c>
      <c r="K507" s="3" t="n">
        <v>3</v>
      </c>
      <c r="L507" s="3" t="n">
        <v>3</v>
      </c>
      <c r="M507" s="3" t="n">
        <v>3</v>
      </c>
      <c r="N507" s="3" t="n">
        <v>3</v>
      </c>
      <c r="O507" s="3" t="n">
        <v>4</v>
      </c>
      <c r="P507" s="3" t="n">
        <v>3</v>
      </c>
      <c r="Q507" s="3" t="n">
        <v>3</v>
      </c>
      <c r="R507" s="3" t="n">
        <v>3</v>
      </c>
      <c r="S507" s="3" t="n">
        <v>3</v>
      </c>
      <c r="T507" s="3" t="n">
        <v>3</v>
      </c>
      <c r="U507" s="3" t="n">
        <v>4</v>
      </c>
      <c r="V507" s="3" t="n">
        <v>3</v>
      </c>
      <c r="W507" s="3" t="n">
        <v>5</v>
      </c>
      <c r="X507" s="3" t="n">
        <v>4</v>
      </c>
      <c r="Y507" s="3" t="n">
        <v>4</v>
      </c>
      <c r="Z507" s="3" t="n">
        <v>5</v>
      </c>
      <c r="AA507" s="3" t="n">
        <v>3</v>
      </c>
      <c r="AB507" s="3" t="n">
        <v>2</v>
      </c>
      <c r="AC507" s="3" t="n">
        <v>3</v>
      </c>
      <c r="AD507" s="3" t="n">
        <v>3</v>
      </c>
      <c r="AE507" s="3" t="n">
        <v>3</v>
      </c>
      <c r="AF507" s="3" t="n">
        <v>2</v>
      </c>
      <c r="AG507" s="3" t="n">
        <v>3</v>
      </c>
      <c r="AH507" s="3" t="n">
        <v>3</v>
      </c>
      <c r="AI507" s="3" t="n">
        <v>4</v>
      </c>
      <c r="AJ507" s="3" t="n">
        <v>2</v>
      </c>
      <c r="AK507" s="3" t="n">
        <v>3</v>
      </c>
      <c r="AL507" s="3" t="n">
        <v>4</v>
      </c>
      <c r="AM507" s="3" t="n">
        <v>3</v>
      </c>
      <c r="AN507" s="3" t="n">
        <v>3</v>
      </c>
      <c r="AO507" s="3" t="n">
        <v>3</v>
      </c>
    </row>
    <row r="508" customFormat="false" ht="15" hidden="false" customHeight="false" outlineLevel="0" collapsed="false">
      <c r="A508" s="3" t="n">
        <v>0</v>
      </c>
      <c r="B508" s="3" t="n">
        <v>6</v>
      </c>
      <c r="C508" s="3" t="n">
        <v>2</v>
      </c>
      <c r="D508" s="3" t="n">
        <v>1</v>
      </c>
      <c r="E508" s="3" t="n">
        <v>2</v>
      </c>
      <c r="F508" s="3" t="n">
        <v>2</v>
      </c>
      <c r="G508" s="3" t="n">
        <v>3</v>
      </c>
      <c r="H508" s="3" t="n">
        <v>2</v>
      </c>
      <c r="I508" s="3" t="n">
        <v>1</v>
      </c>
      <c r="J508" s="3" t="n">
        <v>23</v>
      </c>
      <c r="K508" s="3" t="n">
        <v>4</v>
      </c>
      <c r="L508" s="3" t="n">
        <v>4</v>
      </c>
      <c r="M508" s="3" t="n">
        <v>2</v>
      </c>
      <c r="N508" s="3" t="n">
        <v>4</v>
      </c>
      <c r="O508" s="3" t="n">
        <v>3</v>
      </c>
      <c r="P508" s="3" t="n">
        <v>4</v>
      </c>
      <c r="Q508" s="3" t="n">
        <v>4</v>
      </c>
      <c r="R508" s="3" t="n">
        <v>3</v>
      </c>
      <c r="S508" s="3" t="n">
        <v>4</v>
      </c>
      <c r="T508" s="3" t="n">
        <v>4</v>
      </c>
      <c r="U508" s="3" t="n">
        <v>4</v>
      </c>
      <c r="V508" s="3" t="n">
        <v>3</v>
      </c>
      <c r="W508" s="3" t="n">
        <v>3</v>
      </c>
      <c r="X508" s="3" t="n">
        <v>4</v>
      </c>
      <c r="Y508" s="3" t="n">
        <v>3</v>
      </c>
      <c r="Z508" s="3" t="n">
        <v>4</v>
      </c>
      <c r="AA508" s="3" t="n">
        <v>4</v>
      </c>
      <c r="AB508" s="3" t="n">
        <v>4</v>
      </c>
      <c r="AC508" s="3" t="n">
        <v>4</v>
      </c>
      <c r="AD508" s="3" t="n">
        <v>4</v>
      </c>
      <c r="AE508" s="3" t="n">
        <v>4</v>
      </c>
      <c r="AF508" s="3" t="n">
        <v>3</v>
      </c>
      <c r="AG508" s="3" t="n">
        <v>4</v>
      </c>
      <c r="AH508" s="3" t="n">
        <v>4</v>
      </c>
      <c r="AI508" s="3" t="n">
        <v>4</v>
      </c>
      <c r="AJ508" s="3" t="n">
        <v>4</v>
      </c>
      <c r="AK508" s="3" t="n">
        <v>4</v>
      </c>
      <c r="AL508" s="3" t="n">
        <v>4</v>
      </c>
      <c r="AM508" s="3" t="n">
        <v>4</v>
      </c>
      <c r="AN508" s="3" t="n">
        <v>4</v>
      </c>
      <c r="AO508" s="3" t="n">
        <v>4</v>
      </c>
    </row>
    <row r="509" customFormat="false" ht="15" hidden="false" customHeight="false" outlineLevel="0" collapsed="false">
      <c r="A509" s="3" t="n">
        <v>0</v>
      </c>
      <c r="B509" s="3" t="n">
        <v>3</v>
      </c>
      <c r="C509" s="3" t="n">
        <v>2</v>
      </c>
      <c r="D509" s="3" t="n">
        <v>2</v>
      </c>
      <c r="E509" s="3" t="n">
        <v>2</v>
      </c>
      <c r="F509" s="3" t="n">
        <v>2</v>
      </c>
      <c r="G509" s="3" t="n">
        <v>2</v>
      </c>
      <c r="H509" s="3" t="n">
        <v>1</v>
      </c>
      <c r="I509" s="3" t="n">
        <v>1</v>
      </c>
      <c r="J509" s="3" t="n">
        <v>20</v>
      </c>
      <c r="K509" s="3" t="n">
        <v>4</v>
      </c>
      <c r="L509" s="3" t="n">
        <v>4</v>
      </c>
      <c r="M509" s="3" t="n">
        <v>3</v>
      </c>
      <c r="N509" s="3" t="n">
        <v>3</v>
      </c>
      <c r="O509" s="3" t="n">
        <v>4</v>
      </c>
      <c r="P509" s="3" t="n">
        <v>3</v>
      </c>
      <c r="Q509" s="3" t="n">
        <v>4</v>
      </c>
      <c r="R509" s="3" t="n">
        <v>3</v>
      </c>
      <c r="S509" s="3" t="n">
        <v>4</v>
      </c>
      <c r="T509" s="3" t="n">
        <v>4</v>
      </c>
      <c r="U509" s="3" t="n">
        <v>4</v>
      </c>
      <c r="V509" s="3" t="n">
        <v>4</v>
      </c>
      <c r="W509" s="3" t="n">
        <v>4</v>
      </c>
      <c r="X509" s="3" t="n">
        <v>4</v>
      </c>
      <c r="Y509" s="3" t="n">
        <v>4</v>
      </c>
      <c r="Z509" s="3" t="n">
        <v>4</v>
      </c>
      <c r="AA509" s="3" t="n">
        <v>2</v>
      </c>
      <c r="AB509" s="3" t="n">
        <v>4</v>
      </c>
      <c r="AC509" s="3" t="n">
        <v>2</v>
      </c>
      <c r="AD509" s="3" t="n">
        <v>2</v>
      </c>
      <c r="AE509" s="3" t="n">
        <v>4</v>
      </c>
      <c r="AF509" s="3" t="n">
        <v>4</v>
      </c>
      <c r="AG509" s="3" t="n">
        <v>4</v>
      </c>
      <c r="AH509" s="3" t="n">
        <v>4</v>
      </c>
      <c r="AI509" s="3" t="n">
        <v>4</v>
      </c>
      <c r="AJ509" s="3" t="n">
        <v>4</v>
      </c>
      <c r="AK509" s="3" t="n">
        <v>3</v>
      </c>
      <c r="AL509" s="3" t="n">
        <v>4</v>
      </c>
      <c r="AM509" s="3" t="n">
        <v>3</v>
      </c>
      <c r="AN509" s="3" t="n">
        <v>2</v>
      </c>
      <c r="AO509" s="3" t="n">
        <v>3</v>
      </c>
    </row>
    <row r="510" customFormat="false" ht="15" hidden="false" customHeight="false" outlineLevel="0" collapsed="false">
      <c r="A510" s="3" t="n">
        <v>0</v>
      </c>
      <c r="B510" s="3" t="n">
        <v>3</v>
      </c>
      <c r="C510" s="3" t="n">
        <v>2</v>
      </c>
      <c r="D510" s="3" t="n">
        <v>1</v>
      </c>
      <c r="E510" s="3" t="n">
        <v>2</v>
      </c>
      <c r="F510" s="3" t="n">
        <v>2</v>
      </c>
      <c r="G510" s="3" t="n">
        <v>3</v>
      </c>
      <c r="H510" s="3" t="n">
        <v>1</v>
      </c>
      <c r="I510" s="3" t="n">
        <v>1</v>
      </c>
      <c r="J510" s="3" t="n">
        <v>22</v>
      </c>
      <c r="K510" s="3" t="n">
        <v>3</v>
      </c>
      <c r="L510" s="3" t="n">
        <v>5</v>
      </c>
      <c r="M510" s="3" t="n">
        <v>5</v>
      </c>
      <c r="N510" s="3" t="n">
        <v>5</v>
      </c>
      <c r="O510" s="3" t="n">
        <v>4</v>
      </c>
      <c r="P510" s="3" t="n">
        <v>5</v>
      </c>
      <c r="Q510" s="3" t="n">
        <v>4</v>
      </c>
      <c r="R510" s="3" t="n">
        <v>5</v>
      </c>
      <c r="S510" s="3" t="n">
        <v>4</v>
      </c>
      <c r="T510" s="3" t="n">
        <v>5</v>
      </c>
      <c r="U510" s="3" t="n">
        <v>5</v>
      </c>
      <c r="V510" s="3" t="n">
        <v>5</v>
      </c>
      <c r="W510" s="3" t="n">
        <v>5</v>
      </c>
      <c r="X510" s="3" t="n">
        <v>5</v>
      </c>
      <c r="Y510" s="3" t="n">
        <v>5</v>
      </c>
      <c r="Z510" s="3" t="n">
        <v>5</v>
      </c>
      <c r="AA510" s="3" t="n">
        <v>2</v>
      </c>
      <c r="AB510" s="3" t="n">
        <v>2</v>
      </c>
      <c r="AC510" s="3" t="n">
        <v>2</v>
      </c>
      <c r="AD510" s="3" t="n">
        <v>2</v>
      </c>
      <c r="AE510" s="3" t="n">
        <v>5</v>
      </c>
      <c r="AF510" s="3" t="n">
        <v>4</v>
      </c>
      <c r="AG510" s="3" t="n">
        <v>5</v>
      </c>
      <c r="AH510" s="3" t="n">
        <v>5</v>
      </c>
      <c r="AI510" s="3" t="n">
        <v>5</v>
      </c>
      <c r="AJ510" s="3" t="n">
        <v>4</v>
      </c>
      <c r="AK510" s="3" t="n">
        <v>3</v>
      </c>
      <c r="AL510" s="3" t="n">
        <v>3</v>
      </c>
      <c r="AM510" s="3" t="n">
        <v>4</v>
      </c>
      <c r="AN510" s="3" t="n">
        <v>3</v>
      </c>
      <c r="AO510" s="3" t="n">
        <v>3</v>
      </c>
    </row>
    <row r="511" customFormat="false" ht="15" hidden="false" customHeight="false" outlineLevel="0" collapsed="false">
      <c r="A511" s="3" t="n">
        <v>0</v>
      </c>
      <c r="B511" s="3" t="n">
        <v>4</v>
      </c>
      <c r="C511" s="3" t="n">
        <v>1</v>
      </c>
      <c r="D511" s="3" t="n">
        <v>2</v>
      </c>
      <c r="E511" s="3" t="n">
        <v>2</v>
      </c>
      <c r="F511" s="3" t="n">
        <v>2</v>
      </c>
      <c r="G511" s="3" t="n">
        <v>1</v>
      </c>
      <c r="H511" s="3" t="n">
        <v>1</v>
      </c>
      <c r="I511" s="3" t="n">
        <v>3</v>
      </c>
      <c r="J511" s="3" t="n">
        <v>27</v>
      </c>
      <c r="K511" s="3" t="n">
        <v>4</v>
      </c>
      <c r="L511" s="3" t="n">
        <v>5</v>
      </c>
      <c r="M511" s="3" t="n">
        <v>5</v>
      </c>
      <c r="N511" s="3" t="n">
        <v>4</v>
      </c>
      <c r="O511" s="3" t="n">
        <v>4</v>
      </c>
      <c r="P511" s="3" t="n">
        <v>2</v>
      </c>
      <c r="Q511" s="3" t="n">
        <v>2</v>
      </c>
      <c r="R511" s="3" t="n">
        <v>3</v>
      </c>
      <c r="S511" s="3" t="n">
        <v>5</v>
      </c>
      <c r="T511" s="3" t="n">
        <v>5</v>
      </c>
      <c r="U511" s="3" t="n">
        <v>4</v>
      </c>
      <c r="V511" s="3" t="n">
        <v>3</v>
      </c>
      <c r="W511" s="3" t="n">
        <v>4</v>
      </c>
      <c r="X511" s="3" t="n">
        <v>4</v>
      </c>
      <c r="Y511" s="3" t="n">
        <v>4</v>
      </c>
      <c r="Z511" s="3" t="n">
        <v>4</v>
      </c>
      <c r="AA511" s="3" t="n">
        <v>2</v>
      </c>
      <c r="AB511" s="3" t="n">
        <v>5</v>
      </c>
      <c r="AC511" s="3" t="n">
        <v>3</v>
      </c>
      <c r="AD511" s="3" t="n">
        <v>4</v>
      </c>
      <c r="AE511" s="3" t="n">
        <v>5</v>
      </c>
      <c r="AF511" s="3" t="n">
        <v>5</v>
      </c>
      <c r="AG511" s="3" t="n">
        <v>5</v>
      </c>
      <c r="AH511" s="3" t="n">
        <v>3</v>
      </c>
      <c r="AI511" s="3" t="n">
        <v>5</v>
      </c>
      <c r="AJ511" s="3" t="n">
        <v>5</v>
      </c>
      <c r="AK511" s="3" t="n">
        <v>2</v>
      </c>
      <c r="AL511" s="3" t="n">
        <v>4</v>
      </c>
      <c r="AM511" s="3" t="n">
        <v>4</v>
      </c>
      <c r="AN511" s="3" t="n">
        <v>4</v>
      </c>
      <c r="AO511" s="3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2026-10-12T16:37:50Z</dcterms:created>
  <dc:creator>openpyxl</dc:creator>
  <dc:description/>
  <dc:language>en-US</dc:language>
  <cp:lastModifiedBy/>
  <dcterms:modified xsi:type="dcterms:W3CDTF">2026-10-12T16:37:50Z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