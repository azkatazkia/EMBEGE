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aw_WB_FP_CPI_TOTL_ZG" sheetId="2" state="visible" r:id="rId2"/>
    <sheet xmlns:r="http://schemas.openxmlformats.org/officeDocument/2006/relationships" name="Raw_WB_NY_GDP_MKTP_KD_ZG" sheetId="3" state="visible" r:id="rId3"/>
    <sheet xmlns:r="http://schemas.openxmlformats.org/officeDocument/2006/relationships" name="Raw_WB_NE_GDI_TOTL_ZS" sheetId="4" state="visible" r:id="rId4"/>
    <sheet xmlns:r="http://schemas.openxmlformats.org/officeDocument/2006/relationships" name="Raw_WB_NE_EXP_GNFS_CD" sheetId="5" state="visible" r:id="rId5"/>
    <sheet xmlns:r="http://schemas.openxmlformats.org/officeDocument/2006/relationships" name="Raw_WB_NE_EXP_GNFS_ZS" sheetId="6" state="visible" r:id="rId6"/>
    <sheet xmlns:r="http://schemas.openxmlformats.org/officeDocument/2006/relationships" name="Raw_WB_EG_USE_ELEC_KH_PC" sheetId="7" state="visible" r:id="rId7"/>
    <sheet xmlns:r="http://schemas.openxmlformats.org/officeDocument/2006/relationships" name="Raw_ILO_Unemployed" sheetId="8" state="visible" r:id="rId8"/>
    <sheet xmlns:r="http://schemas.openxmlformats.org/officeDocument/2006/relationships" name="Raw_ILO_EmpSector" sheetId="9" state="visible" r:id="rId9"/>
    <sheet xmlns:r="http://schemas.openxmlformats.org/officeDocument/2006/relationships" name="Q1" sheetId="10" state="visible" r:id="rId10"/>
    <sheet xmlns:r="http://schemas.openxmlformats.org/officeDocument/2006/relationships" name="Q2" sheetId="11" state="visible" r:id="rId11"/>
    <sheet xmlns:r="http://schemas.openxmlformats.org/officeDocument/2006/relationships" name="Q3" sheetId="12" state="visible" r:id="rId12"/>
    <sheet xmlns:r="http://schemas.openxmlformats.org/officeDocument/2006/relationships" name="Q4_panel" sheetId="13" state="visible" r:id="rId13"/>
    <sheet xmlns:r="http://schemas.openxmlformats.org/officeDocument/2006/relationships" name="Q5_data" sheetId="14" state="visible" r:id="rId14"/>
    <sheet xmlns:r="http://schemas.openxmlformats.org/officeDocument/2006/relationships" name="Q6_series" sheetId="15" state="visible" r:id="rId15"/>
    <sheet xmlns:r="http://schemas.openxmlformats.org/officeDocument/2006/relationships" name="Q6_holdout" sheetId="16" state="visible" r:id="rId16"/>
    <sheet xmlns:r="http://schemas.openxmlformats.org/officeDocument/2006/relationships" name="Q7" sheetId="17" state="visible" r:id="rId17"/>
    <sheet xmlns:r="http://schemas.openxmlformats.org/officeDocument/2006/relationships" name="Resul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Statistical Analysis II - UTS 2026/2027 - Workbook</t>
        </is>
      </c>
    </row>
    <row r="2">
      <c r="A2" t="inlineStr">
        <is>
          <t>Student ID (NPM)</t>
        </is>
      </c>
      <c r="B2" t="inlineStr">
        <is>
          <t>120510253003 (last digit 3 -&gt; 4th country)</t>
        </is>
      </c>
    </row>
    <row r="3">
      <c r="A3" t="inlineStr">
        <is>
          <t>Assigned country</t>
        </is>
      </c>
      <c r="B3" t="inlineStr">
        <is>
          <t>Viet Nam (VNM); comparators Philippines (PHL), India (IND)</t>
        </is>
      </c>
    </row>
    <row r="4">
      <c r="A4" t="inlineStr">
        <is>
          <t>Extraction date</t>
        </is>
      </c>
      <c r="B4" t="inlineStr">
        <is>
          <t>2026-10-12</t>
        </is>
      </c>
    </row>
    <row r="6">
      <c r="A6" s="2" t="inlineStr">
        <is>
          <t>Source</t>
        </is>
      </c>
      <c r="B6" s="2" t="inlineStr">
        <is>
          <t>Exact URL / API call</t>
        </is>
      </c>
      <c r="C6" s="2" t="inlineStr">
        <is>
          <t>Indicator code</t>
        </is>
      </c>
      <c r="D6" s="2" t="inlineStr">
        <is>
          <t>Unit</t>
        </is>
      </c>
      <c r="E6" s="2" t="inlineStr">
        <is>
          <t>Period used</t>
        </is>
      </c>
    </row>
    <row r="7">
      <c r="A7" t="inlineStr">
        <is>
          <t>World Bank WDI (via API)</t>
        </is>
      </c>
      <c r="B7" t="inlineStr">
        <is>
          <t>https://api.worldbank.org/v2/country/VNM;PHL;IND/indicator/FP.CPI.TOTL.ZG?format=json&amp;per_page=20000&amp;date=1960:2025</t>
        </is>
      </c>
      <c r="C7" t="inlineStr">
        <is>
          <t>FP.CPI.TOTL.ZG</t>
        </is>
      </c>
      <c r="D7" t="inlineStr">
        <is>
          <t>% y/y</t>
        </is>
      </c>
      <c r="E7" t="inlineStr">
        <is>
          <t>1996-2025 (VNM)</t>
        </is>
      </c>
    </row>
    <row r="8">
      <c r="A8" t="inlineStr">
        <is>
          <t>World Bank WDI</t>
        </is>
      </c>
      <c r="B8" t="inlineStr">
        <is>
          <t>same pattern, indicator NY.GDP.MKTP.KD.ZG</t>
        </is>
      </c>
      <c r="C8" t="inlineStr">
        <is>
          <t>NY.GDP.MKTP.KD.ZG</t>
        </is>
      </c>
      <c r="D8" t="inlineStr">
        <is>
          <t>% y/y</t>
        </is>
      </c>
      <c r="E8" t="inlineStr">
        <is>
          <t>2000-2024 (Q4), 1996-2025 (Q5)</t>
        </is>
      </c>
    </row>
    <row r="9">
      <c r="A9" t="inlineStr">
        <is>
          <t>World Bank WDI</t>
        </is>
      </c>
      <c r="B9" t="inlineStr">
        <is>
          <t>same pattern, indicator NE.GDI.TOTL.ZS</t>
        </is>
      </c>
      <c r="C9" t="inlineStr">
        <is>
          <t>NE.GDI.TOTL.ZS</t>
        </is>
      </c>
      <c r="D9" t="inlineStr">
        <is>
          <t>% of GDP</t>
        </is>
      </c>
      <c r="E9" t="inlineStr">
        <is>
          <t>1996-2025</t>
        </is>
      </c>
    </row>
    <row r="10">
      <c r="A10" t="inlineStr">
        <is>
          <t>World Bank WDI</t>
        </is>
      </c>
      <c r="B10" t="inlineStr">
        <is>
          <t>same pattern, indicator NE.EXP.GNFS.CD</t>
        </is>
      </c>
      <c r="C10" t="inlineStr">
        <is>
          <t>NE.EXP.GNFS.CD</t>
        </is>
      </c>
      <c r="D10" t="inlineStr">
        <is>
          <t>current US$ (shown in US$ bn)</t>
        </is>
      </c>
      <c r="E10" t="inlineStr">
        <is>
          <t>1986-2025</t>
        </is>
      </c>
    </row>
    <row r="11">
      <c r="A11" t="inlineStr">
        <is>
          <t>World Bank WDI</t>
        </is>
      </c>
      <c r="B11" t="inlineStr">
        <is>
          <t>same pattern, indicators NE.EXP.GNFS.ZS, EG.USE.ELEC.KH.PC (context, Q8)</t>
        </is>
      </c>
      <c r="C11" t="inlineStr">
        <is>
          <t>NE.EXP.GNFS.ZS; EG.USE.ELEC.KH.PC</t>
        </is>
      </c>
      <c r="D11" t="inlineStr">
        <is>
          <t>% GDP; kWh/capita</t>
        </is>
      </c>
      <c r="E11" t="inlineStr">
        <is>
          <t>to 2025 / 2024</t>
        </is>
      </c>
    </row>
    <row r="12">
      <c r="A12" t="inlineStr">
        <is>
          <t>ILOSTAT SDMX</t>
        </is>
      </c>
      <c r="B12" t="inlineStr">
        <is>
          <t>https://sdmx.ilo.org/rest/data/ILO,DF_UNE_TUNE_SEX_AGE_NB/VNM+PHL+IND....?format=csv&amp;startPeriod=2015</t>
        </is>
      </c>
      <c r="C12" t="inlineStr">
        <is>
          <t>UNE_TUNE_NB (age 15+)</t>
        </is>
      </c>
      <c r="D12" t="inlineStr">
        <is>
          <t>thousand persons (UNIT_MULT=3)</t>
        </is>
      </c>
      <c r="E12" t="inlineStr">
        <is>
          <t>2024</t>
        </is>
      </c>
    </row>
    <row r="13">
      <c r="A13" t="inlineStr">
        <is>
          <t>ILOSTAT SDMX</t>
        </is>
      </c>
      <c r="B13" t="inlineStr">
        <is>
          <t>https://sdmx.ilo.org/rest/data/ILO,DF_EMP_TEMP_SEX_ECO_NB/VNM+PHL+IND....?format=csv&amp;startPeriod=2015</t>
        </is>
      </c>
      <c r="C13" t="inlineStr">
        <is>
          <t>EMP_TEMP_NB by ECO_SECTOR_*</t>
        </is>
      </c>
      <c r="D13" t="inlineStr">
        <is>
          <t>thousand persons</t>
        </is>
      </c>
      <c r="E13" t="inlineStr">
        <is>
          <t>2024</t>
        </is>
      </c>
    </row>
    <row r="15">
      <c r="A15" t="inlineStr">
        <is>
          <t>Sheets: Raw_* = downloaded data as received; Q1..Q6 = transformations/tests (Q1-Q3 contain live Excel formulas); Q7 = protocol (no data collected); Results = all statistics from analysis.py.</t>
        </is>
      </c>
    </row>
    <row r="16">
      <c r="A16" t="inlineStr">
        <is>
          <t>ILO figures are weighted labour-force-survey estimates (thousands), NOT raw respondent counts - see report Q2/Q3 caveat.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FP.CPI.TOTL.ZG</t>
        </is>
      </c>
    </row>
    <row r="2">
      <c r="A2" t="inlineStr">
        <is>
          <t>IND</t>
        </is>
      </c>
      <c r="B2" t="inlineStr">
        <is>
          <t>1960</t>
        </is>
      </c>
      <c r="C2" t="n">
        <v>1.7798778467739</v>
      </c>
    </row>
    <row r="3">
      <c r="A3" t="inlineStr">
        <is>
          <t>IND</t>
        </is>
      </c>
      <c r="B3" t="inlineStr">
        <is>
          <t>1961</t>
        </is>
      </c>
      <c r="C3" t="n">
        <v>1.69521293914432</v>
      </c>
    </row>
    <row r="4">
      <c r="A4" t="inlineStr">
        <is>
          <t>IND</t>
        </is>
      </c>
      <c r="B4" t="inlineStr">
        <is>
          <t>1962</t>
        </is>
      </c>
      <c r="C4" t="n">
        <v>3.63221497106987</v>
      </c>
    </row>
    <row r="5">
      <c r="A5" t="inlineStr">
        <is>
          <t>IND</t>
        </is>
      </c>
      <c r="B5" t="inlineStr">
        <is>
          <t>1963</t>
        </is>
      </c>
      <c r="C5" t="n">
        <v>2.94616135685225</v>
      </c>
    </row>
    <row r="6">
      <c r="A6" t="inlineStr">
        <is>
          <t>IND</t>
        </is>
      </c>
      <c r="B6" t="inlineStr">
        <is>
          <t>1964</t>
        </is>
      </c>
      <c r="C6" t="n">
        <v>13.3552611508153</v>
      </c>
    </row>
    <row r="7">
      <c r="A7" t="inlineStr">
        <is>
          <t>IND</t>
        </is>
      </c>
      <c r="B7" t="inlineStr">
        <is>
          <t>1965</t>
        </is>
      </c>
      <c r="C7" t="n">
        <v>9.47475859170695</v>
      </c>
    </row>
    <row r="8">
      <c r="A8" t="inlineStr">
        <is>
          <t>IND</t>
        </is>
      </c>
      <c r="B8" t="inlineStr">
        <is>
          <t>1966</t>
        </is>
      </c>
      <c r="C8" t="n">
        <v>10.801848348934</v>
      </c>
    </row>
    <row r="9">
      <c r="A9" t="inlineStr">
        <is>
          <t>IND</t>
        </is>
      </c>
      <c r="B9" t="inlineStr">
        <is>
          <t>1967</t>
        </is>
      </c>
      <c r="C9" t="n">
        <v>13.0622024777969</v>
      </c>
    </row>
    <row r="10">
      <c r="A10" t="inlineStr">
        <is>
          <t>IND</t>
        </is>
      </c>
      <c r="B10" t="inlineStr">
        <is>
          <t>1968</t>
        </is>
      </c>
      <c r="C10" t="n">
        <v>3.23741242627507</v>
      </c>
    </row>
    <row r="11">
      <c r="A11" t="inlineStr">
        <is>
          <t>IND</t>
        </is>
      </c>
      <c r="B11" t="inlineStr">
        <is>
          <t>1969</t>
        </is>
      </c>
      <c r="C11" t="n">
        <v>-0.584136610466281</v>
      </c>
    </row>
    <row r="12">
      <c r="A12" t="inlineStr">
        <is>
          <t>IND</t>
        </is>
      </c>
      <c r="B12" t="inlineStr">
        <is>
          <t>1970</t>
        </is>
      </c>
      <c r="C12" t="n">
        <v>5.09226161997544</v>
      </c>
    </row>
    <row r="13">
      <c r="A13" t="inlineStr">
        <is>
          <t>IND</t>
        </is>
      </c>
      <c r="B13" t="inlineStr">
        <is>
          <t>1971</t>
        </is>
      </c>
      <c r="C13" t="n">
        <v>3.07993868406546</v>
      </c>
    </row>
    <row r="14">
      <c r="A14" t="inlineStr">
        <is>
          <t>IND</t>
        </is>
      </c>
      <c r="B14" t="inlineStr">
        <is>
          <t>1972</t>
        </is>
      </c>
      <c r="C14" t="n">
        <v>6.44209746158234</v>
      </c>
    </row>
    <row r="15">
      <c r="A15" t="inlineStr">
        <is>
          <t>IND</t>
        </is>
      </c>
      <c r="B15" t="inlineStr">
        <is>
          <t>1973</t>
        </is>
      </c>
      <c r="C15" t="n">
        <v>16.9408159791736</v>
      </c>
    </row>
    <row r="16">
      <c r="A16" t="inlineStr">
        <is>
          <t>IND</t>
        </is>
      </c>
      <c r="B16" t="inlineStr">
        <is>
          <t>1974</t>
        </is>
      </c>
      <c r="C16" t="n">
        <v>28.5987340775089</v>
      </c>
    </row>
    <row r="17">
      <c r="A17" t="inlineStr">
        <is>
          <t>IND</t>
        </is>
      </c>
      <c r="B17" t="inlineStr">
        <is>
          <t>1975</t>
        </is>
      </c>
      <c r="C17" t="n">
        <v>5.74843029767442</v>
      </c>
    </row>
    <row r="18">
      <c r="A18" t="inlineStr">
        <is>
          <t>IND</t>
        </is>
      </c>
      <c r="B18" t="inlineStr">
        <is>
          <t>1976</t>
        </is>
      </c>
      <c r="C18" t="n">
        <v>-7.6339476339288</v>
      </c>
    </row>
    <row r="19">
      <c r="A19" t="inlineStr">
        <is>
          <t>IND</t>
        </is>
      </c>
      <c r="B19" t="inlineStr">
        <is>
          <t>1977</t>
        </is>
      </c>
      <c r="C19" t="n">
        <v>8.307470091711661</v>
      </c>
    </row>
    <row r="20">
      <c r="A20" t="inlineStr">
        <is>
          <t>IND</t>
        </is>
      </c>
      <c r="B20" t="inlineStr">
        <is>
          <t>1978</t>
        </is>
      </c>
      <c r="C20" t="n">
        <v>2.52304875695178</v>
      </c>
    </row>
    <row r="21">
      <c r="A21" t="inlineStr">
        <is>
          <t>IND</t>
        </is>
      </c>
      <c r="B21" t="inlineStr">
        <is>
          <t>1979</t>
        </is>
      </c>
      <c r="C21" t="n">
        <v>6.27568336762337</v>
      </c>
    </row>
    <row r="22">
      <c r="A22" t="inlineStr">
        <is>
          <t>IND</t>
        </is>
      </c>
      <c r="B22" t="inlineStr">
        <is>
          <t>1980</t>
        </is>
      </c>
      <c r="C22" t="n">
        <v>11.3460734795095</v>
      </c>
    </row>
    <row r="23">
      <c r="A23" t="inlineStr">
        <is>
          <t>IND</t>
        </is>
      </c>
      <c r="B23" t="inlineStr">
        <is>
          <t>1981</t>
        </is>
      </c>
      <c r="C23" t="n">
        <v>13.1125468976419</v>
      </c>
    </row>
    <row r="24">
      <c r="A24" t="inlineStr">
        <is>
          <t>IND</t>
        </is>
      </c>
      <c r="B24" t="inlineStr">
        <is>
          <t>1982</t>
        </is>
      </c>
      <c r="C24" t="n">
        <v>7.89074279377487</v>
      </c>
    </row>
    <row r="25">
      <c r="A25" t="inlineStr">
        <is>
          <t>IND</t>
        </is>
      </c>
      <c r="B25" t="inlineStr">
        <is>
          <t>1983</t>
        </is>
      </c>
      <c r="C25" t="n">
        <v>11.8680812986733</v>
      </c>
    </row>
    <row r="26">
      <c r="A26" t="inlineStr">
        <is>
          <t>IND</t>
        </is>
      </c>
      <c r="B26" t="inlineStr">
        <is>
          <t>1984</t>
        </is>
      </c>
      <c r="C26" t="n">
        <v>8.31890711860072</v>
      </c>
    </row>
    <row r="27">
      <c r="A27" t="inlineStr">
        <is>
          <t>IND</t>
        </is>
      </c>
      <c r="B27" t="inlineStr">
        <is>
          <t>1985</t>
        </is>
      </c>
      <c r="C27" t="n">
        <v>5.55642423236554</v>
      </c>
    </row>
    <row r="28">
      <c r="A28" t="inlineStr">
        <is>
          <t>IND</t>
        </is>
      </c>
      <c r="B28" t="inlineStr">
        <is>
          <t>1986</t>
        </is>
      </c>
      <c r="C28" t="n">
        <v>8.729720727025811</v>
      </c>
    </row>
    <row r="29">
      <c r="A29" t="inlineStr">
        <is>
          <t>IND</t>
        </is>
      </c>
      <c r="B29" t="inlineStr">
        <is>
          <t>1987</t>
        </is>
      </c>
      <c r="C29" t="n">
        <v>8.801125812518331</v>
      </c>
    </row>
    <row r="30">
      <c r="A30" t="inlineStr">
        <is>
          <t>IND</t>
        </is>
      </c>
      <c r="B30" t="inlineStr">
        <is>
          <t>1988</t>
        </is>
      </c>
      <c r="C30" t="n">
        <v>9.38347186185335</v>
      </c>
    </row>
    <row r="31">
      <c r="A31" t="inlineStr">
        <is>
          <t>IND</t>
        </is>
      </c>
      <c r="B31" t="inlineStr">
        <is>
          <t>1989</t>
        </is>
      </c>
      <c r="C31" t="n">
        <v>7.07428002942296</v>
      </c>
    </row>
    <row r="32">
      <c r="A32" t="inlineStr">
        <is>
          <t>IND</t>
        </is>
      </c>
      <c r="B32" t="inlineStr">
        <is>
          <t>1990</t>
        </is>
      </c>
      <c r="C32" t="n">
        <v>8.971232502732549</v>
      </c>
    </row>
    <row r="33">
      <c r="A33" t="inlineStr">
        <is>
          <t>IND</t>
        </is>
      </c>
      <c r="B33" t="inlineStr">
        <is>
          <t>1991</t>
        </is>
      </c>
      <c r="C33" t="n">
        <v>13.8702461773683</v>
      </c>
    </row>
    <row r="34">
      <c r="A34" t="inlineStr">
        <is>
          <t>IND</t>
        </is>
      </c>
      <c r="B34" t="inlineStr">
        <is>
          <t>1992</t>
        </is>
      </c>
      <c r="C34" t="n">
        <v>11.7878170418133</v>
      </c>
    </row>
    <row r="35">
      <c r="A35" t="inlineStr">
        <is>
          <t>IND</t>
        </is>
      </c>
      <c r="B35" t="inlineStr">
        <is>
          <t>1993</t>
        </is>
      </c>
      <c r="C35" t="n">
        <v>6.32689048779867</v>
      </c>
    </row>
    <row r="36">
      <c r="A36" t="inlineStr">
        <is>
          <t>IND</t>
        </is>
      </c>
      <c r="B36" t="inlineStr">
        <is>
          <t>1994</t>
        </is>
      </c>
      <c r="C36" t="n">
        <v>10.2479355556118</v>
      </c>
    </row>
    <row r="37">
      <c r="A37" t="inlineStr">
        <is>
          <t>IND</t>
        </is>
      </c>
      <c r="B37" t="inlineStr">
        <is>
          <t>1995</t>
        </is>
      </c>
      <c r="C37" t="n">
        <v>10.2248861637545</v>
      </c>
    </row>
    <row r="38">
      <c r="A38" t="inlineStr">
        <is>
          <t>IND</t>
        </is>
      </c>
      <c r="B38" t="inlineStr">
        <is>
          <t>1996</t>
        </is>
      </c>
      <c r="C38" t="n">
        <v>8.977152338264521</v>
      </c>
    </row>
    <row r="39">
      <c r="A39" t="inlineStr">
        <is>
          <t>IND</t>
        </is>
      </c>
      <c r="B39" t="inlineStr">
        <is>
          <t>1997</t>
        </is>
      </c>
      <c r="C39" t="n">
        <v>7.16425211462721</v>
      </c>
    </row>
    <row r="40">
      <c r="A40" t="inlineStr">
        <is>
          <t>IND</t>
        </is>
      </c>
      <c r="B40" t="inlineStr">
        <is>
          <t>1998</t>
        </is>
      </c>
      <c r="C40" t="n">
        <v>13.2308389767977</v>
      </c>
    </row>
    <row r="41">
      <c r="A41" t="inlineStr">
        <is>
          <t>IND</t>
        </is>
      </c>
      <c r="B41" t="inlineStr">
        <is>
          <t>1999</t>
        </is>
      </c>
      <c r="C41" t="n">
        <v>4.66982038037589</v>
      </c>
    </row>
    <row r="42">
      <c r="A42" t="inlineStr">
        <is>
          <t>IND</t>
        </is>
      </c>
      <c r="B42" t="inlineStr">
        <is>
          <t>2000</t>
        </is>
      </c>
      <c r="C42" t="n">
        <v>4.0094359104519</v>
      </c>
    </row>
    <row r="43">
      <c r="A43" t="inlineStr">
        <is>
          <t>IND</t>
        </is>
      </c>
      <c r="B43" t="inlineStr">
        <is>
          <t>2001</t>
        </is>
      </c>
      <c r="C43" t="n">
        <v>3.77929312235637</v>
      </c>
    </row>
    <row r="44">
      <c r="A44" t="inlineStr">
        <is>
          <t>IND</t>
        </is>
      </c>
      <c r="B44" t="inlineStr">
        <is>
          <t>2002</t>
        </is>
      </c>
      <c r="C44" t="n">
        <v>4.29715203929561</v>
      </c>
    </row>
    <row r="45">
      <c r="A45" t="inlineStr">
        <is>
          <t>IND</t>
        </is>
      </c>
      <c r="B45" t="inlineStr">
        <is>
          <t>2003</t>
        </is>
      </c>
      <c r="C45" t="n">
        <v>3.80585899528852</v>
      </c>
    </row>
    <row r="46">
      <c r="A46" t="inlineStr">
        <is>
          <t>IND</t>
        </is>
      </c>
      <c r="B46" t="inlineStr">
        <is>
          <t>2004</t>
        </is>
      </c>
      <c r="C46" t="n">
        <v>3.76725173477517</v>
      </c>
    </row>
    <row r="47">
      <c r="A47" t="inlineStr">
        <is>
          <t>IND</t>
        </is>
      </c>
      <c r="B47" t="inlineStr">
        <is>
          <t>2005</t>
        </is>
      </c>
      <c r="C47" t="n">
        <v>4.24634362031923</v>
      </c>
    </row>
    <row r="48">
      <c r="A48" t="inlineStr">
        <is>
          <t>IND</t>
        </is>
      </c>
      <c r="B48" t="inlineStr">
        <is>
          <t>2006</t>
        </is>
      </c>
      <c r="C48" t="n">
        <v>5.79652337561633</v>
      </c>
    </row>
    <row r="49">
      <c r="A49" t="inlineStr">
        <is>
          <t>IND</t>
        </is>
      </c>
      <c r="B49" t="inlineStr">
        <is>
          <t>2007</t>
        </is>
      </c>
      <c r="C49" t="n">
        <v>6.37288135593231</v>
      </c>
    </row>
    <row r="50">
      <c r="A50" t="inlineStr">
        <is>
          <t>IND</t>
        </is>
      </c>
      <c r="B50" t="inlineStr">
        <is>
          <t>2008</t>
        </is>
      </c>
      <c r="C50" t="n">
        <v>8.34926704907574</v>
      </c>
    </row>
    <row r="51">
      <c r="A51" t="inlineStr">
        <is>
          <t>IND</t>
        </is>
      </c>
      <c r="B51" t="inlineStr">
        <is>
          <t>2009</t>
        </is>
      </c>
      <c r="C51" t="n">
        <v>10.8823529411764</v>
      </c>
    </row>
    <row r="52">
      <c r="A52" t="inlineStr">
        <is>
          <t>IND</t>
        </is>
      </c>
      <c r="B52" t="inlineStr">
        <is>
          <t>2010</t>
        </is>
      </c>
      <c r="C52" t="n">
        <v>11.9893899204244</v>
      </c>
    </row>
    <row r="53">
      <c r="A53" t="inlineStr">
        <is>
          <t>IND</t>
        </is>
      </c>
      <c r="B53" t="inlineStr">
        <is>
          <t>2011</t>
        </is>
      </c>
      <c r="C53" t="n">
        <v>8.911793364833599</v>
      </c>
    </row>
    <row r="54">
      <c r="A54" t="inlineStr">
        <is>
          <t>IND</t>
        </is>
      </c>
      <c r="B54" t="inlineStr">
        <is>
          <t>2012</t>
        </is>
      </c>
      <c r="C54" t="n">
        <v>9.47899691419792</v>
      </c>
    </row>
    <row r="55">
      <c r="A55" t="inlineStr">
        <is>
          <t>IND</t>
        </is>
      </c>
      <c r="B55" t="inlineStr">
        <is>
          <t>2013</t>
        </is>
      </c>
      <c r="C55" t="n">
        <v>10.0178784746104</v>
      </c>
    </row>
    <row r="56">
      <c r="A56" t="inlineStr">
        <is>
          <t>IND</t>
        </is>
      </c>
      <c r="B56" t="inlineStr">
        <is>
          <t>2014</t>
        </is>
      </c>
      <c r="C56" t="n">
        <v>6.66565671867899</v>
      </c>
    </row>
    <row r="57">
      <c r="A57" t="inlineStr">
        <is>
          <t>IND</t>
        </is>
      </c>
      <c r="B57" t="inlineStr">
        <is>
          <t>2015</t>
        </is>
      </c>
      <c r="C57" t="n">
        <v>4.90697344127249</v>
      </c>
    </row>
    <row r="58">
      <c r="A58" t="inlineStr">
        <is>
          <t>IND</t>
        </is>
      </c>
      <c r="B58" t="inlineStr">
        <is>
          <t>2016</t>
        </is>
      </c>
      <c r="C58" t="n">
        <v>4.94821634062134</v>
      </c>
    </row>
    <row r="59">
      <c r="A59" t="inlineStr">
        <is>
          <t>IND</t>
        </is>
      </c>
      <c r="B59" t="inlineStr">
        <is>
          <t>2017</t>
        </is>
      </c>
      <c r="C59" t="n">
        <v>3.32817337461304</v>
      </c>
    </row>
    <row r="60">
      <c r="A60" t="inlineStr">
        <is>
          <t>IND</t>
        </is>
      </c>
      <c r="B60" t="inlineStr">
        <is>
          <t>2018</t>
        </is>
      </c>
      <c r="C60" t="n">
        <v>3.93882646691642</v>
      </c>
    </row>
    <row r="61">
      <c r="A61" t="inlineStr">
        <is>
          <t>IND</t>
        </is>
      </c>
      <c r="B61" t="inlineStr">
        <is>
          <t>2019</t>
        </is>
      </c>
      <c r="C61" t="n">
        <v>3.72950573539123</v>
      </c>
    </row>
    <row r="62">
      <c r="A62" t="inlineStr">
        <is>
          <t>IND</t>
        </is>
      </c>
      <c r="B62" t="inlineStr">
        <is>
          <t>2020</t>
        </is>
      </c>
      <c r="C62" t="n">
        <v>6.62343677628529</v>
      </c>
    </row>
    <row r="63">
      <c r="A63" t="inlineStr">
        <is>
          <t>IND</t>
        </is>
      </c>
      <c r="B63" t="inlineStr">
        <is>
          <t>2021</t>
        </is>
      </c>
      <c r="C63" t="n">
        <v>5.13140747176363</v>
      </c>
    </row>
    <row r="64">
      <c r="A64" t="inlineStr">
        <is>
          <t>IND</t>
        </is>
      </c>
      <c r="B64" t="inlineStr">
        <is>
          <t>2022</t>
        </is>
      </c>
      <c r="C64" t="n">
        <v>6.69903414079857</v>
      </c>
    </row>
    <row r="65">
      <c r="A65" t="inlineStr">
        <is>
          <t>IND</t>
        </is>
      </c>
      <c r="B65" t="inlineStr">
        <is>
          <t>2023</t>
        </is>
      </c>
      <c r="C65" t="n">
        <v>5.64914318907925</v>
      </c>
    </row>
    <row r="66">
      <c r="A66" t="inlineStr">
        <is>
          <t>IND</t>
        </is>
      </c>
      <c r="B66" t="inlineStr">
        <is>
          <t>2024</t>
        </is>
      </c>
      <c r="C66" t="n">
        <v>4.9530355097366</v>
      </c>
    </row>
    <row r="67">
      <c r="A67" t="inlineStr">
        <is>
          <t>IND</t>
        </is>
      </c>
      <c r="B67" t="inlineStr">
        <is>
          <t>2025</t>
        </is>
      </c>
      <c r="C67" t="n">
        <v>2.39884954182294</v>
      </c>
    </row>
    <row r="68">
      <c r="A68" t="inlineStr">
        <is>
          <t>PHL</t>
        </is>
      </c>
      <c r="B68" t="inlineStr">
        <is>
          <t>1960</t>
        </is>
      </c>
      <c r="C68" t="n">
        <v>4.15482177982161</v>
      </c>
    </row>
    <row r="69">
      <c r="A69" t="inlineStr">
        <is>
          <t>PHL</t>
        </is>
      </c>
      <c r="B69" t="inlineStr">
        <is>
          <t>1961</t>
        </is>
      </c>
      <c r="C69" t="n">
        <v>1.59563300452722</v>
      </c>
    </row>
    <row r="70">
      <c r="A70" t="inlineStr">
        <is>
          <t>PHL</t>
        </is>
      </c>
      <c r="B70" t="inlineStr">
        <is>
          <t>1962</t>
        </is>
      </c>
      <c r="C70" t="n">
        <v>5.79665220101376</v>
      </c>
    </row>
    <row r="71">
      <c r="A71" t="inlineStr">
        <is>
          <t>PHL</t>
        </is>
      </c>
      <c r="B71" t="inlineStr">
        <is>
          <t>1963</t>
        </is>
      </c>
      <c r="C71" t="n">
        <v>5.62554937008823</v>
      </c>
    </row>
    <row r="72">
      <c r="A72" t="inlineStr">
        <is>
          <t>PHL</t>
        </is>
      </c>
      <c r="B72" t="inlineStr">
        <is>
          <t>1964</t>
        </is>
      </c>
      <c r="C72" t="n">
        <v>8.183079057003299</v>
      </c>
    </row>
    <row r="73">
      <c r="A73" t="inlineStr">
        <is>
          <t>PHL</t>
        </is>
      </c>
      <c r="B73" t="inlineStr">
        <is>
          <t>1965</t>
        </is>
      </c>
      <c r="C73" t="n">
        <v>2.56410256428448</v>
      </c>
    </row>
    <row r="74">
      <c r="A74" t="inlineStr">
        <is>
          <t>PHL</t>
        </is>
      </c>
      <c r="B74" t="inlineStr">
        <is>
          <t>1966</t>
        </is>
      </c>
      <c r="C74" t="n">
        <v>5.39999999968074</v>
      </c>
    </row>
    <row r="75">
      <c r="A75" t="inlineStr">
        <is>
          <t>PHL</t>
        </is>
      </c>
      <c r="B75" t="inlineStr">
        <is>
          <t>1967</t>
        </is>
      </c>
      <c r="C75" t="n">
        <v>6.25395319397734</v>
      </c>
    </row>
    <row r="76">
      <c r="A76" t="inlineStr">
        <is>
          <t>PHL</t>
        </is>
      </c>
      <c r="B76" t="inlineStr">
        <is>
          <t>1968</t>
        </is>
      </c>
      <c r="C76" t="n">
        <v>2.35880645890594</v>
      </c>
    </row>
    <row r="77">
      <c r="A77" t="inlineStr">
        <is>
          <t>PHL</t>
        </is>
      </c>
      <c r="B77" t="inlineStr">
        <is>
          <t>1969</t>
        </is>
      </c>
      <c r="C77" t="n">
        <v>1.95551032285384</v>
      </c>
    </row>
    <row r="78">
      <c r="A78" t="inlineStr">
        <is>
          <t>PHL</t>
        </is>
      </c>
      <c r="B78" t="inlineStr">
        <is>
          <t>1970</t>
        </is>
      </c>
      <c r="C78" t="n">
        <v>14.3814616757328</v>
      </c>
    </row>
    <row r="79">
      <c r="A79" t="inlineStr">
        <is>
          <t>PHL</t>
        </is>
      </c>
      <c r="B79" t="inlineStr">
        <is>
          <t>1971</t>
        </is>
      </c>
      <c r="C79" t="n">
        <v>21.4033435366143</v>
      </c>
    </row>
    <row r="80">
      <c r="A80" t="inlineStr">
        <is>
          <t>PHL</t>
        </is>
      </c>
      <c r="B80" t="inlineStr">
        <is>
          <t>1972</t>
        </is>
      </c>
      <c r="C80" t="n">
        <v>8.20403413498833</v>
      </c>
    </row>
    <row r="81">
      <c r="A81" t="inlineStr">
        <is>
          <t>PHL</t>
        </is>
      </c>
      <c r="B81" t="inlineStr">
        <is>
          <t>1973</t>
        </is>
      </c>
      <c r="C81" t="n">
        <v>16.5800322638464</v>
      </c>
    </row>
    <row r="82">
      <c r="A82" t="inlineStr">
        <is>
          <t>PHL</t>
        </is>
      </c>
      <c r="B82" t="inlineStr">
        <is>
          <t>1974</t>
        </is>
      </c>
      <c r="C82" t="n">
        <v>34.1635916359164</v>
      </c>
    </row>
    <row r="83">
      <c r="A83" t="inlineStr">
        <is>
          <t>PHL</t>
        </is>
      </c>
      <c r="B83" t="inlineStr">
        <is>
          <t>1975</t>
        </is>
      </c>
      <c r="C83" t="n">
        <v>6.76140270456077</v>
      </c>
    </row>
    <row r="84">
      <c r="A84" t="inlineStr">
        <is>
          <t>PHL</t>
        </is>
      </c>
      <c r="B84" t="inlineStr">
        <is>
          <t>1976</t>
        </is>
      </c>
      <c r="C84" t="n">
        <v>9.19922713611011</v>
      </c>
    </row>
    <row r="85">
      <c r="A85" t="inlineStr">
        <is>
          <t>PHL</t>
        </is>
      </c>
      <c r="B85" t="inlineStr">
        <is>
          <t>1977</t>
        </is>
      </c>
      <c r="C85" t="n">
        <v>9.898751597365649</v>
      </c>
    </row>
    <row r="86">
      <c r="A86" t="inlineStr">
        <is>
          <t>PHL</t>
        </is>
      </c>
      <c r="B86" t="inlineStr">
        <is>
          <t>1978</t>
        </is>
      </c>
      <c r="C86" t="n">
        <v>7.33452593917692</v>
      </c>
    </row>
    <row r="87">
      <c r="A87" t="inlineStr">
        <is>
          <t>PHL</t>
        </is>
      </c>
      <c r="B87" t="inlineStr">
        <is>
          <t>1979</t>
        </is>
      </c>
      <c r="C87" t="n">
        <v>17.5333333327501</v>
      </c>
    </row>
    <row r="88">
      <c r="A88" t="inlineStr">
        <is>
          <t>PHL</t>
        </is>
      </c>
      <c r="B88" t="inlineStr">
        <is>
          <t>1980</t>
        </is>
      </c>
      <c r="C88" t="n">
        <v>18.2005104938508</v>
      </c>
    </row>
    <row r="89">
      <c r="A89" t="inlineStr">
        <is>
          <t>PHL</t>
        </is>
      </c>
      <c r="B89" t="inlineStr">
        <is>
          <t>1981</t>
        </is>
      </c>
      <c r="C89" t="n">
        <v>13.0825985241675</v>
      </c>
    </row>
    <row r="90">
      <c r="A90" t="inlineStr">
        <is>
          <t>PHL</t>
        </is>
      </c>
      <c r="B90" t="inlineStr">
        <is>
          <t>1982</t>
        </is>
      </c>
      <c r="C90" t="n">
        <v>10.2217271376891</v>
      </c>
    </row>
    <row r="91">
      <c r="A91" t="inlineStr">
        <is>
          <t>PHL</t>
        </is>
      </c>
      <c r="B91" t="inlineStr">
        <is>
          <t>1983</t>
        </is>
      </c>
      <c r="C91" t="n">
        <v>10.0293565620481</v>
      </c>
    </row>
    <row r="92">
      <c r="A92" t="inlineStr">
        <is>
          <t>PHL</t>
        </is>
      </c>
      <c r="B92" t="inlineStr">
        <is>
          <t>1984</t>
        </is>
      </c>
      <c r="C92" t="n">
        <v>50.3389756374497</v>
      </c>
    </row>
    <row r="93">
      <c r="A93" t="inlineStr">
        <is>
          <t>PHL</t>
        </is>
      </c>
      <c r="B93" t="inlineStr">
        <is>
          <t>1985</t>
        </is>
      </c>
      <c r="C93" t="n">
        <v>23.1031071803888</v>
      </c>
    </row>
    <row r="94">
      <c r="A94" t="inlineStr">
        <is>
          <t>PHL</t>
        </is>
      </c>
      <c r="B94" t="inlineStr">
        <is>
          <t>1986</t>
        </is>
      </c>
      <c r="C94" t="n">
        <v>1.14813777653338</v>
      </c>
    </row>
    <row r="95">
      <c r="A95" t="inlineStr">
        <is>
          <t>PHL</t>
        </is>
      </c>
      <c r="B95" t="inlineStr">
        <is>
          <t>1987</t>
        </is>
      </c>
      <c r="C95" t="n">
        <v>4.06976744186024</v>
      </c>
    </row>
    <row r="96">
      <c r="A96" t="inlineStr">
        <is>
          <t>PHL</t>
        </is>
      </c>
      <c r="B96" t="inlineStr">
        <is>
          <t>1988</t>
        </is>
      </c>
      <c r="C96" t="n">
        <v>13.8600691673318</v>
      </c>
    </row>
    <row r="97">
      <c r="A97" t="inlineStr">
        <is>
          <t>PHL</t>
        </is>
      </c>
      <c r="B97" t="inlineStr">
        <is>
          <t>1989</t>
        </is>
      </c>
      <c r="C97" t="n">
        <v>12.2429906542055</v>
      </c>
    </row>
    <row r="98">
      <c r="A98" t="inlineStr">
        <is>
          <t>PHL</t>
        </is>
      </c>
      <c r="B98" t="inlineStr">
        <is>
          <t>1990</t>
        </is>
      </c>
      <c r="C98" t="n">
        <v>12.1773522064946</v>
      </c>
    </row>
    <row r="99">
      <c r="A99" t="inlineStr">
        <is>
          <t>PHL</t>
        </is>
      </c>
      <c r="B99" t="inlineStr">
        <is>
          <t>1991</t>
        </is>
      </c>
      <c r="C99" t="n">
        <v>19.2614585266281</v>
      </c>
    </row>
    <row r="100">
      <c r="A100" t="inlineStr">
        <is>
          <t>PHL</t>
        </is>
      </c>
      <c r="B100" t="inlineStr">
        <is>
          <t>1992</t>
        </is>
      </c>
      <c r="C100" t="n">
        <v>8.65100357865264</v>
      </c>
    </row>
    <row r="101">
      <c r="A101" t="inlineStr">
        <is>
          <t>PHL</t>
        </is>
      </c>
      <c r="B101" t="inlineStr">
        <is>
          <t>1993</t>
        </is>
      </c>
      <c r="C101" t="n">
        <v>6.71631104109973</v>
      </c>
    </row>
    <row r="102">
      <c r="A102" t="inlineStr">
        <is>
          <t>PHL</t>
        </is>
      </c>
      <c r="B102" t="inlineStr">
        <is>
          <t>1994</t>
        </is>
      </c>
      <c r="C102" t="n">
        <v>10.3864734299517</v>
      </c>
    </row>
    <row r="103">
      <c r="A103" t="inlineStr">
        <is>
          <t>PHL</t>
        </is>
      </c>
      <c r="B103" t="inlineStr">
        <is>
          <t>1995</t>
        </is>
      </c>
      <c r="C103" t="n">
        <v>6.83199610989533</v>
      </c>
    </row>
    <row r="104">
      <c r="A104" t="inlineStr">
        <is>
          <t>PHL</t>
        </is>
      </c>
      <c r="B104" t="inlineStr">
        <is>
          <t>1996</t>
        </is>
      </c>
      <c r="C104" t="n">
        <v>7.47610377787909</v>
      </c>
    </row>
    <row r="105">
      <c r="A105" t="inlineStr">
        <is>
          <t>PHL</t>
        </is>
      </c>
      <c r="B105" t="inlineStr">
        <is>
          <t>1997</t>
        </is>
      </c>
      <c r="C105" t="n">
        <v>5.590259396506</v>
      </c>
    </row>
    <row r="106">
      <c r="A106" t="inlineStr">
        <is>
          <t>PHL</t>
        </is>
      </c>
      <c r="B106" t="inlineStr">
        <is>
          <t>1998</t>
        </is>
      </c>
      <c r="C106" t="n">
        <v>9.23493432267121</v>
      </c>
    </row>
    <row r="107">
      <c r="A107" t="inlineStr">
        <is>
          <t>PHL</t>
        </is>
      </c>
      <c r="B107" t="inlineStr">
        <is>
          <t>1999</t>
        </is>
      </c>
      <c r="C107" t="n">
        <v>5.93904901780808</v>
      </c>
    </row>
    <row r="108">
      <c r="A108" t="inlineStr">
        <is>
          <t>PHL</t>
        </is>
      </c>
      <c r="B108" t="inlineStr">
        <is>
          <t>2000</t>
        </is>
      </c>
      <c r="C108" t="n">
        <v>3.97712503249279</v>
      </c>
    </row>
    <row r="109">
      <c r="A109" t="inlineStr">
        <is>
          <t>PHL</t>
        </is>
      </c>
      <c r="B109" t="inlineStr">
        <is>
          <t>2001</t>
        </is>
      </c>
      <c r="C109" t="n">
        <v>5.34550195567141</v>
      </c>
    </row>
    <row r="110">
      <c r="A110" t="inlineStr">
        <is>
          <t>PHL</t>
        </is>
      </c>
      <c r="B110" t="inlineStr">
        <is>
          <t>2002</t>
        </is>
      </c>
      <c r="C110" t="n">
        <v>2.72277227722765</v>
      </c>
    </row>
    <row r="111">
      <c r="A111" t="inlineStr">
        <is>
          <t>PHL</t>
        </is>
      </c>
      <c r="B111" t="inlineStr">
        <is>
          <t>2003</t>
        </is>
      </c>
      <c r="C111" t="n">
        <v>2.28915662650607</v>
      </c>
    </row>
    <row r="112">
      <c r="A112" t="inlineStr">
        <is>
          <t>PHL</t>
        </is>
      </c>
      <c r="B112" t="inlineStr">
        <is>
          <t>2004</t>
        </is>
      </c>
      <c r="C112" t="n">
        <v>4.82921083627795</v>
      </c>
    </row>
    <row r="113">
      <c r="A113" t="inlineStr">
        <is>
          <t>PHL</t>
        </is>
      </c>
      <c r="B113" t="inlineStr">
        <is>
          <t>2005</t>
        </is>
      </c>
      <c r="C113" t="n">
        <v>6.51685393258433</v>
      </c>
    </row>
    <row r="114">
      <c r="A114" t="inlineStr">
        <is>
          <t>PHL</t>
        </is>
      </c>
      <c r="B114" t="inlineStr">
        <is>
          <t>2006</t>
        </is>
      </c>
      <c r="C114" t="n">
        <v>5.4852320675105</v>
      </c>
    </row>
    <row r="115">
      <c r="A115" t="inlineStr">
        <is>
          <t>PHL</t>
        </is>
      </c>
      <c r="B115" t="inlineStr">
        <is>
          <t>2007</t>
        </is>
      </c>
      <c r="C115" t="n">
        <v>2.90000000000002</v>
      </c>
    </row>
    <row r="116">
      <c r="A116" t="inlineStr">
        <is>
          <t>PHL</t>
        </is>
      </c>
      <c r="B116" t="inlineStr">
        <is>
          <t>2008</t>
        </is>
      </c>
      <c r="C116" t="n">
        <v>8.26044703595724</v>
      </c>
    </row>
    <row r="117">
      <c r="A117" t="inlineStr">
        <is>
          <t>PHL</t>
        </is>
      </c>
      <c r="B117" t="inlineStr">
        <is>
          <t>2009</t>
        </is>
      </c>
      <c r="C117" t="n">
        <v>4.21903052064628</v>
      </c>
    </row>
    <row r="118">
      <c r="A118" t="inlineStr">
        <is>
          <t>PHL</t>
        </is>
      </c>
      <c r="B118" t="inlineStr">
        <is>
          <t>2010</t>
        </is>
      </c>
      <c r="C118" t="n">
        <v>3.7898363479759</v>
      </c>
    </row>
    <row r="119">
      <c r="A119" t="inlineStr">
        <is>
          <t>PHL</t>
        </is>
      </c>
      <c r="B119" t="inlineStr">
        <is>
          <t>2011</t>
        </is>
      </c>
      <c r="C119" t="n">
        <v>4.7184170471842</v>
      </c>
    </row>
    <row r="120">
      <c r="A120" t="inlineStr">
        <is>
          <t>PHL</t>
        </is>
      </c>
      <c r="B120" t="inlineStr">
        <is>
          <t>2012</t>
        </is>
      </c>
      <c r="C120" t="n">
        <v>3.02696391124796</v>
      </c>
    </row>
    <row r="121">
      <c r="A121" t="inlineStr">
        <is>
          <t>PHL</t>
        </is>
      </c>
      <c r="B121" t="inlineStr">
        <is>
          <t>2013</t>
        </is>
      </c>
      <c r="C121" t="n">
        <v>2.58268766141794</v>
      </c>
    </row>
    <row r="122">
      <c r="A122" t="inlineStr">
        <is>
          <t>PHL</t>
        </is>
      </c>
      <c r="B122" t="inlineStr">
        <is>
          <t>2014</t>
        </is>
      </c>
      <c r="C122" t="n">
        <v>3.59782343864211</v>
      </c>
    </row>
    <row r="123">
      <c r="A123" t="inlineStr">
        <is>
          <t>PHL</t>
        </is>
      </c>
      <c r="B123" t="inlineStr">
        <is>
          <t>2015</t>
        </is>
      </c>
      <c r="C123" t="n">
        <v>0.674192536845408</v>
      </c>
    </row>
    <row r="124">
      <c r="A124" t="inlineStr">
        <is>
          <t>PHL</t>
        </is>
      </c>
      <c r="B124" t="inlineStr">
        <is>
          <t>2016</t>
        </is>
      </c>
      <c r="C124" t="n">
        <v>1.25369880080981</v>
      </c>
    </row>
    <row r="125">
      <c r="A125" t="inlineStr">
        <is>
          <t>PHL</t>
        </is>
      </c>
      <c r="B125" t="inlineStr">
        <is>
          <t>2017</t>
        </is>
      </c>
      <c r="C125" t="n">
        <v>2.85318772590947</v>
      </c>
    </row>
    <row r="126">
      <c r="A126" t="inlineStr">
        <is>
          <t>PHL</t>
        </is>
      </c>
      <c r="B126" t="inlineStr">
        <is>
          <t>2018</t>
        </is>
      </c>
      <c r="C126" t="n">
        <v>5.30934661627706</v>
      </c>
    </row>
    <row r="127">
      <c r="A127" t="inlineStr">
        <is>
          <t>PHL</t>
        </is>
      </c>
      <c r="B127" t="inlineStr">
        <is>
          <t>2019</t>
        </is>
      </c>
      <c r="C127" t="n">
        <v>2.39206534422404</v>
      </c>
    </row>
    <row r="128">
      <c r="A128" t="inlineStr">
        <is>
          <t>PHL</t>
        </is>
      </c>
      <c r="B128" t="inlineStr">
        <is>
          <t>2020</t>
        </is>
      </c>
      <c r="C128" t="n">
        <v>2.3931623931624</v>
      </c>
    </row>
    <row r="129">
      <c r="A129" t="inlineStr">
        <is>
          <t>PHL</t>
        </is>
      </c>
      <c r="B129" t="inlineStr">
        <is>
          <t>2021</t>
        </is>
      </c>
      <c r="C129" t="n">
        <v>3.92718022100332</v>
      </c>
    </row>
    <row r="130">
      <c r="A130" t="inlineStr">
        <is>
          <t>PHL</t>
        </is>
      </c>
      <c r="B130" t="inlineStr">
        <is>
          <t>2022</t>
        </is>
      </c>
      <c r="C130" t="n">
        <v>5.82115811213954</v>
      </c>
    </row>
    <row r="131">
      <c r="A131" t="inlineStr">
        <is>
          <t>PHL</t>
        </is>
      </c>
      <c r="B131" t="inlineStr">
        <is>
          <t>2023</t>
        </is>
      </c>
      <c r="C131" t="n">
        <v>5.97802515541409</v>
      </c>
    </row>
    <row r="132">
      <c r="A132" t="inlineStr">
        <is>
          <t>PHL</t>
        </is>
      </c>
      <c r="B132" t="inlineStr">
        <is>
          <t>2024</t>
        </is>
      </c>
      <c r="C132" t="n">
        <v>3.21260487006347</v>
      </c>
    </row>
    <row r="133">
      <c r="A133" t="inlineStr">
        <is>
          <t>PHL</t>
        </is>
      </c>
      <c r="B133" t="inlineStr">
        <is>
          <t>2025</t>
        </is>
      </c>
      <c r="C133" t="n">
        <v>1.6587364525509</v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</row>
    <row r="160">
      <c r="A160" t="inlineStr">
        <is>
          <t>VNM</t>
        </is>
      </c>
      <c r="B160" t="inlineStr">
        <is>
          <t>1986</t>
        </is>
      </c>
    </row>
    <row r="161">
      <c r="A161" t="inlineStr">
        <is>
          <t>VNM</t>
        </is>
      </c>
      <c r="B161" t="inlineStr">
        <is>
          <t>1987</t>
        </is>
      </c>
    </row>
    <row r="162">
      <c r="A162" t="inlineStr">
        <is>
          <t>VNM</t>
        </is>
      </c>
      <c r="B162" t="inlineStr">
        <is>
          <t>1988</t>
        </is>
      </c>
    </row>
    <row r="163">
      <c r="A163" t="inlineStr">
        <is>
          <t>VNM</t>
        </is>
      </c>
      <c r="B163" t="inlineStr">
        <is>
          <t>1989</t>
        </is>
      </c>
    </row>
    <row r="164">
      <c r="A164" t="inlineStr">
        <is>
          <t>VNM</t>
        </is>
      </c>
      <c r="B164" t="inlineStr">
        <is>
          <t>1990</t>
        </is>
      </c>
    </row>
    <row r="165">
      <c r="A165" t="inlineStr">
        <is>
          <t>VNM</t>
        </is>
      </c>
      <c r="B165" t="inlineStr">
        <is>
          <t>1991</t>
        </is>
      </c>
    </row>
    <row r="166">
      <c r="A166" t="inlineStr">
        <is>
          <t>VNM</t>
        </is>
      </c>
      <c r="B166" t="inlineStr">
        <is>
          <t>1992</t>
        </is>
      </c>
    </row>
    <row r="167">
      <c r="A167" t="inlineStr">
        <is>
          <t>VNM</t>
        </is>
      </c>
      <c r="B167" t="inlineStr">
        <is>
          <t>1993</t>
        </is>
      </c>
    </row>
    <row r="168">
      <c r="A168" t="inlineStr">
        <is>
          <t>VNM</t>
        </is>
      </c>
      <c r="B168" t="inlineStr">
        <is>
          <t>1994</t>
        </is>
      </c>
    </row>
    <row r="169">
      <c r="A169" t="inlineStr">
        <is>
          <t>VNM</t>
        </is>
      </c>
      <c r="B169" t="inlineStr">
        <is>
          <t>1995</t>
        </is>
      </c>
    </row>
    <row r="170">
      <c r="A170" t="inlineStr">
        <is>
          <t>VNM</t>
        </is>
      </c>
      <c r="B170" t="inlineStr">
        <is>
          <t>1996</t>
        </is>
      </c>
      <c r="C170" t="n">
        <v>5.67499999999991</v>
      </c>
    </row>
    <row r="171">
      <c r="A171" t="inlineStr">
        <is>
          <t>VNM</t>
        </is>
      </c>
      <c r="B171" t="inlineStr">
        <is>
          <t>1997</t>
        </is>
      </c>
      <c r="C171" t="n">
        <v>3.20952606261374</v>
      </c>
    </row>
    <row r="172">
      <c r="A172" t="inlineStr">
        <is>
          <t>VNM</t>
        </is>
      </c>
      <c r="B172" t="inlineStr">
        <is>
          <t>1998</t>
        </is>
      </c>
      <c r="C172" t="n">
        <v>7.26619804400963</v>
      </c>
    </row>
    <row r="173">
      <c r="A173" t="inlineStr">
        <is>
          <t>VNM</t>
        </is>
      </c>
      <c r="B173" t="inlineStr">
        <is>
          <t>1999</t>
        </is>
      </c>
      <c r="C173" t="n">
        <v>4.11710235771735</v>
      </c>
    </row>
    <row r="174">
      <c r="A174" t="inlineStr">
        <is>
          <t>VNM</t>
        </is>
      </c>
      <c r="B174" t="inlineStr">
        <is>
          <t>2000</t>
        </is>
      </c>
      <c r="C174" t="n">
        <v>-1.7103372785111</v>
      </c>
    </row>
    <row r="175">
      <c r="A175" t="inlineStr">
        <is>
          <t>VNM</t>
        </is>
      </c>
      <c r="B175" t="inlineStr">
        <is>
          <t>2001</t>
        </is>
      </c>
      <c r="C175" t="n">
        <v>-0.43154451172818</v>
      </c>
    </row>
    <row r="176">
      <c r="A176" t="inlineStr">
        <is>
          <t>VNM</t>
        </is>
      </c>
      <c r="B176" t="inlineStr">
        <is>
          <t>2002</t>
        </is>
      </c>
      <c r="C176" t="n">
        <v>3.83082838168467</v>
      </c>
    </row>
    <row r="177">
      <c r="A177" t="inlineStr">
        <is>
          <t>VNM</t>
        </is>
      </c>
      <c r="B177" t="inlineStr">
        <is>
          <t>2003</t>
        </is>
      </c>
      <c r="C177" t="n">
        <v>3.23464817293925</v>
      </c>
    </row>
    <row r="178">
      <c r="A178" t="inlineStr">
        <is>
          <t>VNM</t>
        </is>
      </c>
      <c r="B178" t="inlineStr">
        <is>
          <t>2004</t>
        </is>
      </c>
      <c r="C178" t="n">
        <v>7.75494748709606</v>
      </c>
    </row>
    <row r="179">
      <c r="A179" t="inlineStr">
        <is>
          <t>VNM</t>
        </is>
      </c>
      <c r="B179" t="inlineStr">
        <is>
          <t>2005</t>
        </is>
      </c>
      <c r="C179" t="n">
        <v>8.284572431286669</v>
      </c>
    </row>
    <row r="180">
      <c r="A180" t="inlineStr">
        <is>
          <t>VNM</t>
        </is>
      </c>
      <c r="B180" t="inlineStr">
        <is>
          <t>2006</t>
        </is>
      </c>
      <c r="C180" t="n">
        <v>7.41801715108469</v>
      </c>
    </row>
    <row r="181">
      <c r="A181" t="inlineStr">
        <is>
          <t>VNM</t>
        </is>
      </c>
      <c r="B181" t="inlineStr">
        <is>
          <t>2007</t>
        </is>
      </c>
      <c r="C181" t="n">
        <v>8.344448897738459</v>
      </c>
    </row>
    <row r="182">
      <c r="A182" t="inlineStr">
        <is>
          <t>VNM</t>
        </is>
      </c>
      <c r="B182" t="inlineStr">
        <is>
          <t>2008</t>
        </is>
      </c>
      <c r="C182" t="n">
        <v>23.1154483474477</v>
      </c>
    </row>
    <row r="183">
      <c r="A183" t="inlineStr">
        <is>
          <t>VNM</t>
        </is>
      </c>
      <c r="B183" t="inlineStr">
        <is>
          <t>2009</t>
        </is>
      </c>
      <c r="C183" t="n">
        <v>6.71698269988631</v>
      </c>
    </row>
    <row r="184">
      <c r="A184" t="inlineStr">
        <is>
          <t>VNM</t>
        </is>
      </c>
      <c r="B184" t="inlineStr">
        <is>
          <t>2010</t>
        </is>
      </c>
      <c r="C184" t="n">
        <v>9.207466487784121</v>
      </c>
    </row>
    <row r="185">
      <c r="A185" t="inlineStr">
        <is>
          <t>VNM</t>
        </is>
      </c>
      <c r="B185" t="inlineStr">
        <is>
          <t>2011</t>
        </is>
      </c>
      <c r="C185" t="n">
        <v>18.6777322770706</v>
      </c>
    </row>
    <row r="186">
      <c r="A186" t="inlineStr">
        <is>
          <t>VNM</t>
        </is>
      </c>
      <c r="B186" t="inlineStr">
        <is>
          <t>2012</t>
        </is>
      </c>
      <c r="C186" t="n">
        <v>9.094703395571919</v>
      </c>
    </row>
    <row r="187">
      <c r="A187" t="inlineStr">
        <is>
          <t>VNM</t>
        </is>
      </c>
      <c r="B187" t="inlineStr">
        <is>
          <t>2013</t>
        </is>
      </c>
      <c r="C187" t="n">
        <v>6.59267475899192</v>
      </c>
    </row>
    <row r="188">
      <c r="A188" t="inlineStr">
        <is>
          <t>VNM</t>
        </is>
      </c>
      <c r="B188" t="inlineStr">
        <is>
          <t>2014</t>
        </is>
      </c>
      <c r="C188" t="n">
        <v>4.08455446637624</v>
      </c>
    </row>
    <row r="189">
      <c r="A189" t="inlineStr">
        <is>
          <t>VNM</t>
        </is>
      </c>
      <c r="B189" t="inlineStr">
        <is>
          <t>2015</t>
        </is>
      </c>
      <c r="C189" t="n">
        <v>0.6312009051756839</v>
      </c>
    </row>
    <row r="190">
      <c r="A190" t="inlineStr">
        <is>
          <t>VNM</t>
        </is>
      </c>
      <c r="B190" t="inlineStr">
        <is>
          <t>2016</t>
        </is>
      </c>
      <c r="C190" t="n">
        <v>2.66824816969082</v>
      </c>
    </row>
    <row r="191">
      <c r="A191" t="inlineStr">
        <is>
          <t>VNM</t>
        </is>
      </c>
      <c r="B191" t="inlineStr">
        <is>
          <t>2017</t>
        </is>
      </c>
      <c r="C191" t="n">
        <v>3.52025688811617</v>
      </c>
    </row>
    <row r="192">
      <c r="A192" t="inlineStr">
        <is>
          <t>VNM</t>
        </is>
      </c>
      <c r="B192" t="inlineStr">
        <is>
          <t>2018</t>
        </is>
      </c>
      <c r="C192" t="n">
        <v>3.53962805942641</v>
      </c>
    </row>
    <row r="193">
      <c r="A193" t="inlineStr">
        <is>
          <t>VNM</t>
        </is>
      </c>
      <c r="B193" t="inlineStr">
        <is>
          <t>2019</t>
        </is>
      </c>
      <c r="C193" t="n">
        <v>2.79582367452243</v>
      </c>
    </row>
    <row r="194">
      <c r="A194" t="inlineStr">
        <is>
          <t>VNM</t>
        </is>
      </c>
      <c r="B194" t="inlineStr">
        <is>
          <t>2020</t>
        </is>
      </c>
      <c r="C194" t="n">
        <v>3.22093436652514</v>
      </c>
    </row>
    <row r="195">
      <c r="A195" t="inlineStr">
        <is>
          <t>VNM</t>
        </is>
      </c>
      <c r="B195" t="inlineStr">
        <is>
          <t>2021</t>
        </is>
      </c>
      <c r="C195" t="n">
        <v>1.83471554810461</v>
      </c>
    </row>
    <row r="196">
      <c r="A196" t="inlineStr">
        <is>
          <t>VNM</t>
        </is>
      </c>
      <c r="B196" t="inlineStr">
        <is>
          <t>2022</t>
        </is>
      </c>
      <c r="C196" t="n">
        <v>3.15650749963111</v>
      </c>
    </row>
    <row r="197">
      <c r="A197" t="inlineStr">
        <is>
          <t>VNM</t>
        </is>
      </c>
      <c r="B197" t="inlineStr">
        <is>
          <t>2023</t>
        </is>
      </c>
      <c r="C197" t="n">
        <v>3.25289282667662</v>
      </c>
    </row>
    <row r="198">
      <c r="A198" t="inlineStr">
        <is>
          <t>VNM</t>
        </is>
      </c>
      <c r="B198" t="inlineStr">
        <is>
          <t>2024</t>
        </is>
      </c>
      <c r="C198" t="n">
        <v>3.62109273885843</v>
      </c>
    </row>
    <row r="199">
      <c r="A199" t="inlineStr">
        <is>
          <t>VNM</t>
        </is>
      </c>
      <c r="B199" t="inlineStr">
        <is>
          <t>2025</t>
        </is>
      </c>
      <c r="C199" t="n">
        <v>3.30999314219739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NY.GDP.MKTP.KD.ZG</t>
        </is>
      </c>
    </row>
    <row r="2">
      <c r="A2" t="inlineStr">
        <is>
          <t>IND</t>
        </is>
      </c>
      <c r="B2" t="inlineStr">
        <is>
          <t>1960</t>
        </is>
      </c>
    </row>
    <row r="3">
      <c r="A3" t="inlineStr">
        <is>
          <t>IND</t>
        </is>
      </c>
      <c r="B3" t="inlineStr">
        <is>
          <t>1961</t>
        </is>
      </c>
      <c r="C3" t="n">
        <v>3.72274253269822</v>
      </c>
    </row>
    <row r="4">
      <c r="A4" t="inlineStr">
        <is>
          <t>IND</t>
        </is>
      </c>
      <c r="B4" t="inlineStr">
        <is>
          <t>1962</t>
        </is>
      </c>
      <c r="C4" t="n">
        <v>2.93112773665958</v>
      </c>
    </row>
    <row r="5">
      <c r="A5" t="inlineStr">
        <is>
          <t>IND</t>
        </is>
      </c>
      <c r="B5" t="inlineStr">
        <is>
          <t>1963</t>
        </is>
      </c>
      <c r="C5" t="n">
        <v>5.99435326095178</v>
      </c>
    </row>
    <row r="6">
      <c r="A6" t="inlineStr">
        <is>
          <t>IND</t>
        </is>
      </c>
      <c r="B6" t="inlineStr">
        <is>
          <t>1964</t>
        </is>
      </c>
      <c r="C6" t="n">
        <v>7.45295012232975</v>
      </c>
    </row>
    <row r="7">
      <c r="A7" t="inlineStr">
        <is>
          <t>IND</t>
        </is>
      </c>
      <c r="B7" t="inlineStr">
        <is>
          <t>1965</t>
        </is>
      </c>
      <c r="C7" t="n">
        <v>-2.63577010985361</v>
      </c>
    </row>
    <row r="8">
      <c r="A8" t="inlineStr">
        <is>
          <t>IND</t>
        </is>
      </c>
      <c r="B8" t="inlineStr">
        <is>
          <t>1966</t>
        </is>
      </c>
      <c r="C8" t="n">
        <v>-0.0553287698318314</v>
      </c>
    </row>
    <row r="9">
      <c r="A9" t="inlineStr">
        <is>
          <t>IND</t>
        </is>
      </c>
      <c r="B9" t="inlineStr">
        <is>
          <t>1967</t>
        </is>
      </c>
      <c r="C9" t="n">
        <v>7.82596303033105</v>
      </c>
    </row>
    <row r="10">
      <c r="A10" t="inlineStr">
        <is>
          <t>IND</t>
        </is>
      </c>
      <c r="B10" t="inlineStr">
        <is>
          <t>1968</t>
        </is>
      </c>
      <c r="C10" t="n">
        <v>3.38792917600242</v>
      </c>
    </row>
    <row r="11">
      <c r="A11" t="inlineStr">
        <is>
          <t>IND</t>
        </is>
      </c>
      <c r="B11" t="inlineStr">
        <is>
          <t>1969</t>
        </is>
      </c>
      <c r="C11" t="n">
        <v>6.53970029628042</v>
      </c>
    </row>
    <row r="12">
      <c r="A12" t="inlineStr">
        <is>
          <t>IND</t>
        </is>
      </c>
      <c r="B12" t="inlineStr">
        <is>
          <t>1970</t>
        </is>
      </c>
      <c r="C12" t="n">
        <v>5.15722973608261</v>
      </c>
    </row>
    <row r="13">
      <c r="A13" t="inlineStr">
        <is>
          <t>IND</t>
        </is>
      </c>
      <c r="B13" t="inlineStr">
        <is>
          <t>1971</t>
        </is>
      </c>
      <c r="C13" t="n">
        <v>1.64293038388766</v>
      </c>
    </row>
    <row r="14">
      <c r="A14" t="inlineStr">
        <is>
          <t>IND</t>
        </is>
      </c>
      <c r="B14" t="inlineStr">
        <is>
          <t>1972</t>
        </is>
      </c>
      <c r="C14" t="n">
        <v>-0.553301312377712</v>
      </c>
    </row>
    <row r="15">
      <c r="A15" t="inlineStr">
        <is>
          <t>IND</t>
        </is>
      </c>
      <c r="B15" t="inlineStr">
        <is>
          <t>1973</t>
        </is>
      </c>
      <c r="C15" t="n">
        <v>3.29552113522354</v>
      </c>
    </row>
    <row r="16">
      <c r="A16" t="inlineStr">
        <is>
          <t>IND</t>
        </is>
      </c>
      <c r="B16" t="inlineStr">
        <is>
          <t>1974</t>
        </is>
      </c>
      <c r="C16" t="n">
        <v>1.18533626034039</v>
      </c>
    </row>
    <row r="17">
      <c r="A17" t="inlineStr">
        <is>
          <t>IND</t>
        </is>
      </c>
      <c r="B17" t="inlineStr">
        <is>
          <t>1975</t>
        </is>
      </c>
      <c r="C17" t="n">
        <v>9.149912014805921</v>
      </c>
    </row>
    <row r="18">
      <c r="A18" t="inlineStr">
        <is>
          <t>IND</t>
        </is>
      </c>
      <c r="B18" t="inlineStr">
        <is>
          <t>1976</t>
        </is>
      </c>
      <c r="C18" t="n">
        <v>1.66310363661279</v>
      </c>
    </row>
    <row r="19">
      <c r="A19" t="inlineStr">
        <is>
          <t>IND</t>
        </is>
      </c>
      <c r="B19" t="inlineStr">
        <is>
          <t>1977</t>
        </is>
      </c>
      <c r="C19" t="n">
        <v>7.25476458583569</v>
      </c>
    </row>
    <row r="20">
      <c r="A20" t="inlineStr">
        <is>
          <t>IND</t>
        </is>
      </c>
      <c r="B20" t="inlineStr">
        <is>
          <t>1978</t>
        </is>
      </c>
      <c r="C20" t="n">
        <v>5.71253208900188</v>
      </c>
    </row>
    <row r="21">
      <c r="A21" t="inlineStr">
        <is>
          <t>IND</t>
        </is>
      </c>
      <c r="B21" t="inlineStr">
        <is>
          <t>1979</t>
        </is>
      </c>
      <c r="C21" t="n">
        <v>-5.2381827027895</v>
      </c>
    </row>
    <row r="22">
      <c r="A22" t="inlineStr">
        <is>
          <t>IND</t>
        </is>
      </c>
      <c r="B22" t="inlineStr">
        <is>
          <t>1980</t>
        </is>
      </c>
      <c r="C22" t="n">
        <v>6.7358215279985</v>
      </c>
    </row>
    <row r="23">
      <c r="A23" t="inlineStr">
        <is>
          <t>IND</t>
        </is>
      </c>
      <c r="B23" t="inlineStr">
        <is>
          <t>1981</t>
        </is>
      </c>
      <c r="C23" t="n">
        <v>6.00620362381767</v>
      </c>
    </row>
    <row r="24">
      <c r="A24" t="inlineStr">
        <is>
          <t>IND</t>
        </is>
      </c>
      <c r="B24" t="inlineStr">
        <is>
          <t>1982</t>
        </is>
      </c>
      <c r="C24" t="n">
        <v>3.47573324031237</v>
      </c>
    </row>
    <row r="25">
      <c r="A25" t="inlineStr">
        <is>
          <t>IND</t>
        </is>
      </c>
      <c r="B25" t="inlineStr">
        <is>
          <t>1983</t>
        </is>
      </c>
      <c r="C25" t="n">
        <v>7.28889290124586</v>
      </c>
    </row>
    <row r="26">
      <c r="A26" t="inlineStr">
        <is>
          <t>IND</t>
        </is>
      </c>
      <c r="B26" t="inlineStr">
        <is>
          <t>1984</t>
        </is>
      </c>
      <c r="C26" t="n">
        <v>3.8207378559735</v>
      </c>
    </row>
    <row r="27">
      <c r="A27" t="inlineStr">
        <is>
          <t>IND</t>
        </is>
      </c>
      <c r="B27" t="inlineStr">
        <is>
          <t>1985</t>
        </is>
      </c>
      <c r="C27" t="n">
        <v>5.25429922330889</v>
      </c>
    </row>
    <row r="28">
      <c r="A28" t="inlineStr">
        <is>
          <t>IND</t>
        </is>
      </c>
      <c r="B28" t="inlineStr">
        <is>
          <t>1986</t>
        </is>
      </c>
      <c r="C28" t="n">
        <v>4.77656417048946</v>
      </c>
    </row>
    <row r="29">
      <c r="A29" t="inlineStr">
        <is>
          <t>IND</t>
        </is>
      </c>
      <c r="B29" t="inlineStr">
        <is>
          <t>1987</t>
        </is>
      </c>
      <c r="C29" t="n">
        <v>3.96535563390576</v>
      </c>
    </row>
    <row r="30">
      <c r="A30" t="inlineStr">
        <is>
          <t>IND</t>
        </is>
      </c>
      <c r="B30" t="inlineStr">
        <is>
          <t>1988</t>
        </is>
      </c>
      <c r="C30" t="n">
        <v>9.62778291984834</v>
      </c>
    </row>
    <row r="31">
      <c r="A31" t="inlineStr">
        <is>
          <t>IND</t>
        </is>
      </c>
      <c r="B31" t="inlineStr">
        <is>
          <t>1989</t>
        </is>
      </c>
      <c r="C31" t="n">
        <v>5.94734332826503</v>
      </c>
    </row>
    <row r="32">
      <c r="A32" t="inlineStr">
        <is>
          <t>IND</t>
        </is>
      </c>
      <c r="B32" t="inlineStr">
        <is>
          <t>1990</t>
        </is>
      </c>
      <c r="C32" t="n">
        <v>5.53345456306495</v>
      </c>
    </row>
    <row r="33">
      <c r="A33" t="inlineStr">
        <is>
          <t>IND</t>
        </is>
      </c>
      <c r="B33" t="inlineStr">
        <is>
          <t>1991</t>
        </is>
      </c>
      <c r="C33" t="n">
        <v>1.05683143296179</v>
      </c>
    </row>
    <row r="34">
      <c r="A34" t="inlineStr">
        <is>
          <t>IND</t>
        </is>
      </c>
      <c r="B34" t="inlineStr">
        <is>
          <t>1992</t>
        </is>
      </c>
      <c r="C34" t="n">
        <v>5.48239602167003</v>
      </c>
    </row>
    <row r="35">
      <c r="A35" t="inlineStr">
        <is>
          <t>IND</t>
        </is>
      </c>
      <c r="B35" t="inlineStr">
        <is>
          <t>1993</t>
        </is>
      </c>
      <c r="C35" t="n">
        <v>4.7507762195799</v>
      </c>
    </row>
    <row r="36">
      <c r="A36" t="inlineStr">
        <is>
          <t>IND</t>
        </is>
      </c>
      <c r="B36" t="inlineStr">
        <is>
          <t>1994</t>
        </is>
      </c>
      <c r="C36" t="n">
        <v>6.65892406747307</v>
      </c>
    </row>
    <row r="37">
      <c r="A37" t="inlineStr">
        <is>
          <t>IND</t>
        </is>
      </c>
      <c r="B37" t="inlineStr">
        <is>
          <t>1995</t>
        </is>
      </c>
      <c r="C37" t="n">
        <v>7.57449184027195</v>
      </c>
    </row>
    <row r="38">
      <c r="A38" t="inlineStr">
        <is>
          <t>IND</t>
        </is>
      </c>
      <c r="B38" t="inlineStr">
        <is>
          <t>1996</t>
        </is>
      </c>
      <c r="C38" t="n">
        <v>7.54952224888829</v>
      </c>
    </row>
    <row r="39">
      <c r="A39" t="inlineStr">
        <is>
          <t>IND</t>
        </is>
      </c>
      <c r="B39" t="inlineStr">
        <is>
          <t>1997</t>
        </is>
      </c>
      <c r="C39" t="n">
        <v>4.04982084902483</v>
      </c>
    </row>
    <row r="40">
      <c r="A40" t="inlineStr">
        <is>
          <t>IND</t>
        </is>
      </c>
      <c r="B40" t="inlineStr">
        <is>
          <t>1998</t>
        </is>
      </c>
      <c r="C40" t="n">
        <v>6.18441582080355</v>
      </c>
    </row>
    <row r="41">
      <c r="A41" t="inlineStr">
        <is>
          <t>IND</t>
        </is>
      </c>
      <c r="B41" t="inlineStr">
        <is>
          <t>1999</t>
        </is>
      </c>
      <c r="C41" t="n">
        <v>8.845755561141161</v>
      </c>
    </row>
    <row r="42">
      <c r="A42" t="inlineStr">
        <is>
          <t>IND</t>
        </is>
      </c>
      <c r="B42" t="inlineStr">
        <is>
          <t>2000</t>
        </is>
      </c>
      <c r="C42" t="n">
        <v>3.84099115686554</v>
      </c>
    </row>
    <row r="43">
      <c r="A43" t="inlineStr">
        <is>
          <t>IND</t>
        </is>
      </c>
      <c r="B43" t="inlineStr">
        <is>
          <t>2001</t>
        </is>
      </c>
      <c r="C43" t="n">
        <v>4.82396626397303</v>
      </c>
    </row>
    <row r="44">
      <c r="A44" t="inlineStr">
        <is>
          <t>IND</t>
        </is>
      </c>
      <c r="B44" t="inlineStr">
        <is>
          <t>2002</t>
        </is>
      </c>
      <c r="C44" t="n">
        <v>3.80397532120038</v>
      </c>
    </row>
    <row r="45">
      <c r="A45" t="inlineStr">
        <is>
          <t>IND</t>
        </is>
      </c>
      <c r="B45" t="inlineStr">
        <is>
          <t>2003</t>
        </is>
      </c>
      <c r="C45" t="n">
        <v>7.86038147545045</v>
      </c>
    </row>
    <row r="46">
      <c r="A46" t="inlineStr">
        <is>
          <t>IND</t>
        </is>
      </c>
      <c r="B46" t="inlineStr">
        <is>
          <t>2004</t>
        </is>
      </c>
      <c r="C46" t="n">
        <v>7.92293661307978</v>
      </c>
    </row>
    <row r="47">
      <c r="A47" t="inlineStr">
        <is>
          <t>IND</t>
        </is>
      </c>
      <c r="B47" t="inlineStr">
        <is>
          <t>2005</t>
        </is>
      </c>
      <c r="C47" t="n">
        <v>7.92343062131789</v>
      </c>
    </row>
    <row r="48">
      <c r="A48" t="inlineStr">
        <is>
          <t>IND</t>
        </is>
      </c>
      <c r="B48" t="inlineStr">
        <is>
          <t>2006</t>
        </is>
      </c>
      <c r="C48" t="n">
        <v>8.06073257305057</v>
      </c>
    </row>
    <row r="49">
      <c r="A49" t="inlineStr">
        <is>
          <t>IND</t>
        </is>
      </c>
      <c r="B49" t="inlineStr">
        <is>
          <t>2007</t>
        </is>
      </c>
      <c r="C49" t="n">
        <v>7.66081506510766</v>
      </c>
    </row>
    <row r="50">
      <c r="A50" t="inlineStr">
        <is>
          <t>IND</t>
        </is>
      </c>
      <c r="B50" t="inlineStr">
        <is>
          <t>2008</t>
        </is>
      </c>
      <c r="C50" t="n">
        <v>3.08669805950082</v>
      </c>
    </row>
    <row r="51">
      <c r="A51" t="inlineStr">
        <is>
          <t>IND</t>
        </is>
      </c>
      <c r="B51" t="inlineStr">
        <is>
          <t>2009</t>
        </is>
      </c>
      <c r="C51" t="n">
        <v>7.8618888330338</v>
      </c>
    </row>
    <row r="52">
      <c r="A52" t="inlineStr">
        <is>
          <t>IND</t>
        </is>
      </c>
      <c r="B52" t="inlineStr">
        <is>
          <t>2010</t>
        </is>
      </c>
      <c r="C52" t="n">
        <v>8.497584701656249</v>
      </c>
    </row>
    <row r="53">
      <c r="A53" t="inlineStr">
        <is>
          <t>IND</t>
        </is>
      </c>
      <c r="B53" t="inlineStr">
        <is>
          <t>2011</t>
        </is>
      </c>
      <c r="C53" t="n">
        <v>5.24131620024293</v>
      </c>
    </row>
    <row r="54">
      <c r="A54" t="inlineStr">
        <is>
          <t>IND</t>
        </is>
      </c>
      <c r="B54" t="inlineStr">
        <is>
          <t>2012</t>
        </is>
      </c>
      <c r="C54" t="n">
        <v>5.45638755164772</v>
      </c>
    </row>
    <row r="55">
      <c r="A55" t="inlineStr">
        <is>
          <t>IND</t>
        </is>
      </c>
      <c r="B55" t="inlineStr">
        <is>
          <t>2013</t>
        </is>
      </c>
      <c r="C55" t="n">
        <v>6.38610640091713</v>
      </c>
    </row>
    <row r="56">
      <c r="A56" t="inlineStr">
        <is>
          <t>IND</t>
        </is>
      </c>
      <c r="B56" t="inlineStr">
        <is>
          <t>2014</t>
        </is>
      </c>
      <c r="C56" t="n">
        <v>7.41022760516977</v>
      </c>
    </row>
    <row r="57">
      <c r="A57" t="inlineStr">
        <is>
          <t>IND</t>
        </is>
      </c>
      <c r="B57" t="inlineStr">
        <is>
          <t>2015</t>
        </is>
      </c>
      <c r="C57" t="n">
        <v>7.99625378567987</v>
      </c>
    </row>
    <row r="58">
      <c r="A58" t="inlineStr">
        <is>
          <t>IND</t>
        </is>
      </c>
      <c r="B58" t="inlineStr">
        <is>
          <t>2016</t>
        </is>
      </c>
      <c r="C58" t="n">
        <v>8.25630550176662</v>
      </c>
    </row>
    <row r="59">
      <c r="A59" t="inlineStr">
        <is>
          <t>IND</t>
        </is>
      </c>
      <c r="B59" t="inlineStr">
        <is>
          <t>2017</t>
        </is>
      </c>
      <c r="C59" t="n">
        <v>6.79538341902422</v>
      </c>
    </row>
    <row r="60">
      <c r="A60" t="inlineStr">
        <is>
          <t>IND</t>
        </is>
      </c>
      <c r="B60" t="inlineStr">
        <is>
          <t>2018</t>
        </is>
      </c>
      <c r="C60" t="n">
        <v>6.45385134495295</v>
      </c>
    </row>
    <row r="61">
      <c r="A61" t="inlineStr">
        <is>
          <t>IND</t>
        </is>
      </c>
      <c r="B61" t="inlineStr">
        <is>
          <t>2019</t>
        </is>
      </c>
      <c r="C61" t="n">
        <v>3.87143694070524</v>
      </c>
    </row>
    <row r="62">
      <c r="A62" t="inlineStr">
        <is>
          <t>IND</t>
        </is>
      </c>
      <c r="B62" t="inlineStr">
        <is>
          <t>2020</t>
        </is>
      </c>
      <c r="C62" t="n">
        <v>-5.77772470687303</v>
      </c>
    </row>
    <row r="63">
      <c r="A63" t="inlineStr">
        <is>
          <t>IND</t>
        </is>
      </c>
      <c r="B63" t="inlineStr">
        <is>
          <t>2021</t>
        </is>
      </c>
      <c r="C63" t="n">
        <v>9.689592491917409</v>
      </c>
    </row>
    <row r="64">
      <c r="A64" t="inlineStr">
        <is>
          <t>IND</t>
        </is>
      </c>
      <c r="B64" t="inlineStr">
        <is>
          <t>2022</t>
        </is>
      </c>
      <c r="C64" t="n">
        <v>7.6093649776932</v>
      </c>
    </row>
    <row r="65">
      <c r="A65" t="inlineStr">
        <is>
          <t>IND</t>
        </is>
      </c>
      <c r="B65" t="inlineStr">
        <is>
          <t>2023</t>
        </is>
      </c>
      <c r="C65" t="n">
        <v>7.210224629335</v>
      </c>
    </row>
    <row r="66">
      <c r="A66" t="inlineStr">
        <is>
          <t>IND</t>
        </is>
      </c>
      <c r="B66" t="inlineStr">
        <is>
          <t>2024</t>
        </is>
      </c>
      <c r="C66" t="n">
        <v>7.09927893176518</v>
      </c>
    </row>
    <row r="67">
      <c r="A67" t="inlineStr">
        <is>
          <t>IND</t>
        </is>
      </c>
      <c r="B67" t="inlineStr">
        <is>
          <t>2025</t>
        </is>
      </c>
      <c r="C67" t="n">
        <v>7.56666179284244</v>
      </c>
    </row>
    <row r="68">
      <c r="A68" t="inlineStr">
        <is>
          <t>PHL</t>
        </is>
      </c>
      <c r="B68" t="inlineStr">
        <is>
          <t>1960</t>
        </is>
      </c>
    </row>
    <row r="69">
      <c r="A69" t="inlineStr">
        <is>
          <t>PHL</t>
        </is>
      </c>
      <c r="B69" t="inlineStr">
        <is>
          <t>1961</t>
        </is>
      </c>
      <c r="C69" t="n">
        <v>5.69547095029755</v>
      </c>
    </row>
    <row r="70">
      <c r="A70" t="inlineStr">
        <is>
          <t>PHL</t>
        </is>
      </c>
      <c r="B70" t="inlineStr">
        <is>
          <t>1962</t>
        </is>
      </c>
      <c r="C70" t="n">
        <v>4.84629418915898</v>
      </c>
    </row>
    <row r="71">
      <c r="A71" t="inlineStr">
        <is>
          <t>PHL</t>
        </is>
      </c>
      <c r="B71" t="inlineStr">
        <is>
          <t>1963</t>
        </is>
      </c>
      <c r="C71" t="n">
        <v>7.01626518416583</v>
      </c>
    </row>
    <row r="72">
      <c r="A72" t="inlineStr">
        <is>
          <t>PHL</t>
        </is>
      </c>
      <c r="B72" t="inlineStr">
        <is>
          <t>1964</t>
        </is>
      </c>
      <c r="C72" t="n">
        <v>3.40249443571273</v>
      </c>
    </row>
    <row r="73">
      <c r="A73" t="inlineStr">
        <is>
          <t>PHL</t>
        </is>
      </c>
      <c r="B73" t="inlineStr">
        <is>
          <t>1965</t>
        </is>
      </c>
      <c r="C73" t="n">
        <v>5.34508932932236</v>
      </c>
    </row>
    <row r="74">
      <c r="A74" t="inlineStr">
        <is>
          <t>PHL</t>
        </is>
      </c>
      <c r="B74" t="inlineStr">
        <is>
          <t>1966</t>
        </is>
      </c>
      <c r="C74" t="n">
        <v>4.4411585340256</v>
      </c>
    </row>
    <row r="75">
      <c r="A75" t="inlineStr">
        <is>
          <t>PHL</t>
        </is>
      </c>
      <c r="B75" t="inlineStr">
        <is>
          <t>1967</t>
        </is>
      </c>
      <c r="C75" t="n">
        <v>5.22268758922664</v>
      </c>
    </row>
    <row r="76">
      <c r="A76" t="inlineStr">
        <is>
          <t>PHL</t>
        </is>
      </c>
      <c r="B76" t="inlineStr">
        <is>
          <t>1968</t>
        </is>
      </c>
      <c r="C76" t="n">
        <v>5.03815939692956</v>
      </c>
    </row>
    <row r="77">
      <c r="A77" t="inlineStr">
        <is>
          <t>PHL</t>
        </is>
      </c>
      <c r="B77" t="inlineStr">
        <is>
          <t>1969</t>
        </is>
      </c>
      <c r="C77" t="n">
        <v>4.68947344100819</v>
      </c>
    </row>
    <row r="78">
      <c r="A78" t="inlineStr">
        <is>
          <t>PHL</t>
        </is>
      </c>
      <c r="B78" t="inlineStr">
        <is>
          <t>1970</t>
        </is>
      </c>
      <c r="C78" t="n">
        <v>3.69248748654796</v>
      </c>
    </row>
    <row r="79">
      <c r="A79" t="inlineStr">
        <is>
          <t>PHL</t>
        </is>
      </c>
      <c r="B79" t="inlineStr">
        <is>
          <t>1971</t>
        </is>
      </c>
      <c r="C79" t="n">
        <v>5.38900841621259</v>
      </c>
    </row>
    <row r="80">
      <c r="A80" t="inlineStr">
        <is>
          <t>PHL</t>
        </is>
      </c>
      <c r="B80" t="inlineStr">
        <is>
          <t>1972</t>
        </is>
      </c>
      <c r="C80" t="n">
        <v>5.43038749392343</v>
      </c>
    </row>
    <row r="81">
      <c r="A81" t="inlineStr">
        <is>
          <t>PHL</t>
        </is>
      </c>
      <c r="B81" t="inlineStr">
        <is>
          <t>1973</t>
        </is>
      </c>
      <c r="C81" t="n">
        <v>8.78200912237088</v>
      </c>
    </row>
    <row r="82">
      <c r="A82" t="inlineStr">
        <is>
          <t>PHL</t>
        </is>
      </c>
      <c r="B82" t="inlineStr">
        <is>
          <t>1974</t>
        </is>
      </c>
      <c r="C82" t="n">
        <v>3.39460637850206</v>
      </c>
    </row>
    <row r="83">
      <c r="A83" t="inlineStr">
        <is>
          <t>PHL</t>
        </is>
      </c>
      <c r="B83" t="inlineStr">
        <is>
          <t>1975</t>
        </is>
      </c>
      <c r="C83" t="n">
        <v>5.45110286965478</v>
      </c>
    </row>
    <row r="84">
      <c r="A84" t="inlineStr">
        <is>
          <t>PHL</t>
        </is>
      </c>
      <c r="B84" t="inlineStr">
        <is>
          <t>1976</t>
        </is>
      </c>
      <c r="C84" t="n">
        <v>8.77840333051334</v>
      </c>
    </row>
    <row r="85">
      <c r="A85" t="inlineStr">
        <is>
          <t>PHL</t>
        </is>
      </c>
      <c r="B85" t="inlineStr">
        <is>
          <t>1977</t>
        </is>
      </c>
      <c r="C85" t="n">
        <v>5.56297025151267</v>
      </c>
    </row>
    <row r="86">
      <c r="A86" t="inlineStr">
        <is>
          <t>PHL</t>
        </is>
      </c>
      <c r="B86" t="inlineStr">
        <is>
          <t>1978</t>
        </is>
      </c>
      <c r="C86" t="n">
        <v>5.19238453027808</v>
      </c>
    </row>
    <row r="87">
      <c r="A87" t="inlineStr">
        <is>
          <t>PHL</t>
        </is>
      </c>
      <c r="B87" t="inlineStr">
        <is>
          <t>1979</t>
        </is>
      </c>
      <c r="C87" t="n">
        <v>5.59557107591131</v>
      </c>
    </row>
    <row r="88">
      <c r="A88" t="inlineStr">
        <is>
          <t>PHL</t>
        </is>
      </c>
      <c r="B88" t="inlineStr">
        <is>
          <t>1980</t>
        </is>
      </c>
      <c r="C88" t="n">
        <v>5.20071107911187</v>
      </c>
    </row>
    <row r="89">
      <c r="A89" t="inlineStr">
        <is>
          <t>PHL</t>
        </is>
      </c>
      <c r="B89" t="inlineStr">
        <is>
          <t>1981</t>
        </is>
      </c>
      <c r="C89" t="n">
        <v>3.42220873753665</v>
      </c>
    </row>
    <row r="90">
      <c r="A90" t="inlineStr">
        <is>
          <t>PHL</t>
        </is>
      </c>
      <c r="B90" t="inlineStr">
        <is>
          <t>1982</t>
        </is>
      </c>
      <c r="C90" t="n">
        <v>3.69840609851109</v>
      </c>
    </row>
    <row r="91">
      <c r="A91" t="inlineStr">
        <is>
          <t>PHL</t>
        </is>
      </c>
      <c r="B91" t="inlineStr">
        <is>
          <t>1983</t>
        </is>
      </c>
      <c r="C91" t="n">
        <v>1.89695178959097</v>
      </c>
    </row>
    <row r="92">
      <c r="A92" t="inlineStr">
        <is>
          <t>PHL</t>
        </is>
      </c>
      <c r="B92" t="inlineStr">
        <is>
          <t>1984</t>
        </is>
      </c>
      <c r="C92" t="n">
        <v>-7.0393782012259</v>
      </c>
    </row>
    <row r="93">
      <c r="A93" t="inlineStr">
        <is>
          <t>PHL</t>
        </is>
      </c>
      <c r="B93" t="inlineStr">
        <is>
          <t>1985</t>
        </is>
      </c>
      <c r="C93" t="n">
        <v>-6.85837720864683</v>
      </c>
    </row>
    <row r="94">
      <c r="A94" t="inlineStr">
        <is>
          <t>PHL</t>
        </is>
      </c>
      <c r="B94" t="inlineStr">
        <is>
          <t>1986</t>
        </is>
      </c>
      <c r="C94" t="n">
        <v>3.51068403005506</v>
      </c>
    </row>
    <row r="95">
      <c r="A95" t="inlineStr">
        <is>
          <t>PHL</t>
        </is>
      </c>
      <c r="B95" t="inlineStr">
        <is>
          <t>1987</t>
        </is>
      </c>
      <c r="C95" t="n">
        <v>4.36180967277697</v>
      </c>
    </row>
    <row r="96">
      <c r="A96" t="inlineStr">
        <is>
          <t>PHL</t>
        </is>
      </c>
      <c r="B96" t="inlineStr">
        <is>
          <t>1988</t>
        </is>
      </c>
      <c r="C96" t="n">
        <v>6.69693110468185</v>
      </c>
    </row>
    <row r="97">
      <c r="A97" t="inlineStr">
        <is>
          <t>PHL</t>
        </is>
      </c>
      <c r="B97" t="inlineStr">
        <is>
          <t>1989</t>
        </is>
      </c>
      <c r="C97" t="n">
        <v>6.18391820283388</v>
      </c>
    </row>
    <row r="98">
      <c r="A98" t="inlineStr">
        <is>
          <t>PHL</t>
        </is>
      </c>
      <c r="B98" t="inlineStr">
        <is>
          <t>1990</t>
        </is>
      </c>
      <c r="C98" t="n">
        <v>3.08267252855887</v>
      </c>
    </row>
    <row r="99">
      <c r="A99" t="inlineStr">
        <is>
          <t>PHL</t>
        </is>
      </c>
      <c r="B99" t="inlineStr">
        <is>
          <t>1991</t>
        </is>
      </c>
      <c r="C99" t="n">
        <v>-0.436390080533428</v>
      </c>
    </row>
    <row r="100">
      <c r="A100" t="inlineStr">
        <is>
          <t>PHL</t>
        </is>
      </c>
      <c r="B100" t="inlineStr">
        <is>
          <t>1992</t>
        </is>
      </c>
      <c r="C100" t="n">
        <v>0.417629066097945</v>
      </c>
    </row>
    <row r="101">
      <c r="A101" t="inlineStr">
        <is>
          <t>PHL</t>
        </is>
      </c>
      <c r="B101" t="inlineStr">
        <is>
          <t>1993</t>
        </is>
      </c>
      <c r="C101" t="n">
        <v>2.181889985613</v>
      </c>
    </row>
    <row r="102">
      <c r="A102" t="inlineStr">
        <is>
          <t>PHL</t>
        </is>
      </c>
      <c r="B102" t="inlineStr">
        <is>
          <t>1994</t>
        </is>
      </c>
      <c r="C102" t="n">
        <v>4.37366591819077</v>
      </c>
    </row>
    <row r="103">
      <c r="A103" t="inlineStr">
        <is>
          <t>PHL</t>
        </is>
      </c>
      <c r="B103" t="inlineStr">
        <is>
          <t>1995</t>
        </is>
      </c>
      <c r="C103" t="n">
        <v>4.62522511739661</v>
      </c>
    </row>
    <row r="104">
      <c r="A104" t="inlineStr">
        <is>
          <t>PHL</t>
        </is>
      </c>
      <c r="B104" t="inlineStr">
        <is>
          <t>1996</t>
        </is>
      </c>
      <c r="C104" t="n">
        <v>5.8603478716379</v>
      </c>
    </row>
    <row r="105">
      <c r="A105" t="inlineStr">
        <is>
          <t>PHL</t>
        </is>
      </c>
      <c r="B105" t="inlineStr">
        <is>
          <t>1997</t>
        </is>
      </c>
      <c r="C105" t="n">
        <v>5.18641167406165</v>
      </c>
    </row>
    <row r="106">
      <c r="A106" t="inlineStr">
        <is>
          <t>PHL</t>
        </is>
      </c>
      <c r="B106" t="inlineStr">
        <is>
          <t>1998</t>
        </is>
      </c>
      <c r="C106" t="n">
        <v>-0.514090599541888</v>
      </c>
    </row>
    <row r="107">
      <c r="A107" t="inlineStr">
        <is>
          <t>PHL</t>
        </is>
      </c>
      <c r="B107" t="inlineStr">
        <is>
          <t>1999</t>
        </is>
      </c>
      <c r="C107" t="n">
        <v>3.34645118398267</v>
      </c>
    </row>
    <row r="108">
      <c r="A108" t="inlineStr">
        <is>
          <t>PHL</t>
        </is>
      </c>
      <c r="B108" t="inlineStr">
        <is>
          <t>2000</t>
        </is>
      </c>
      <c r="C108" t="n">
        <v>4.38250500083399</v>
      </c>
    </row>
    <row r="109">
      <c r="A109" t="inlineStr">
        <is>
          <t>PHL</t>
        </is>
      </c>
      <c r="B109" t="inlineStr">
        <is>
          <t>2001</t>
        </is>
      </c>
      <c r="C109" t="n">
        <v>3.04923134463486</v>
      </c>
    </row>
    <row r="110">
      <c r="A110" t="inlineStr">
        <is>
          <t>PHL</t>
        </is>
      </c>
      <c r="B110" t="inlineStr">
        <is>
          <t>2002</t>
        </is>
      </c>
      <c r="C110" t="n">
        <v>3.71625500158383</v>
      </c>
    </row>
    <row r="111">
      <c r="A111" t="inlineStr">
        <is>
          <t>PHL</t>
        </is>
      </c>
      <c r="B111" t="inlineStr">
        <is>
          <t>2003</t>
        </is>
      </c>
      <c r="C111" t="n">
        <v>5.08691113513073</v>
      </c>
    </row>
    <row r="112">
      <c r="A112" t="inlineStr">
        <is>
          <t>PHL</t>
        </is>
      </c>
      <c r="B112" t="inlineStr">
        <is>
          <t>2004</t>
        </is>
      </c>
      <c r="C112" t="n">
        <v>6.56922851180626</v>
      </c>
    </row>
    <row r="113">
      <c r="A113" t="inlineStr">
        <is>
          <t>PHL</t>
        </is>
      </c>
      <c r="B113" t="inlineStr">
        <is>
          <t>2005</t>
        </is>
      </c>
      <c r="C113" t="n">
        <v>4.94250511877678</v>
      </c>
    </row>
    <row r="114">
      <c r="A114" t="inlineStr">
        <is>
          <t>PHL</t>
        </is>
      </c>
      <c r="B114" t="inlineStr">
        <is>
          <t>2006</t>
        </is>
      </c>
      <c r="C114" t="n">
        <v>5.31641682136939</v>
      </c>
    </row>
    <row r="115">
      <c r="A115" t="inlineStr">
        <is>
          <t>PHL</t>
        </is>
      </c>
      <c r="B115" t="inlineStr">
        <is>
          <t>2007</t>
        </is>
      </c>
      <c r="C115" t="n">
        <v>6.51929155018938</v>
      </c>
    </row>
    <row r="116">
      <c r="A116" t="inlineStr">
        <is>
          <t>PHL</t>
        </is>
      </c>
      <c r="B116" t="inlineStr">
        <is>
          <t>2008</t>
        </is>
      </c>
      <c r="C116" t="n">
        <v>4.34448730509183</v>
      </c>
    </row>
    <row r="117">
      <c r="A117" t="inlineStr">
        <is>
          <t>PHL</t>
        </is>
      </c>
      <c r="B117" t="inlineStr">
        <is>
          <t>2009</t>
        </is>
      </c>
      <c r="C117" t="n">
        <v>1.44832306275669</v>
      </c>
    </row>
    <row r="118">
      <c r="A118" t="inlineStr">
        <is>
          <t>PHL</t>
        </is>
      </c>
      <c r="B118" t="inlineStr">
        <is>
          <t>2010</t>
        </is>
      </c>
      <c r="C118" t="n">
        <v>7.33449996034538</v>
      </c>
    </row>
    <row r="119">
      <c r="A119" t="inlineStr">
        <is>
          <t>PHL</t>
        </is>
      </c>
      <c r="B119" t="inlineStr">
        <is>
          <t>2011</t>
        </is>
      </c>
      <c r="C119" t="n">
        <v>3.85823282795663</v>
      </c>
    </row>
    <row r="120">
      <c r="A120" t="inlineStr">
        <is>
          <t>PHL</t>
        </is>
      </c>
      <c r="B120" t="inlineStr">
        <is>
          <t>2012</t>
        </is>
      </c>
      <c r="C120" t="n">
        <v>6.89695171050985</v>
      </c>
    </row>
    <row r="121">
      <c r="A121" t="inlineStr">
        <is>
          <t>PHL</t>
        </is>
      </c>
      <c r="B121" t="inlineStr">
        <is>
          <t>2013</t>
        </is>
      </c>
      <c r="C121" t="n">
        <v>6.75053130142255</v>
      </c>
    </row>
    <row r="122">
      <c r="A122" t="inlineStr">
        <is>
          <t>PHL</t>
        </is>
      </c>
      <c r="B122" t="inlineStr">
        <is>
          <t>2014</t>
        </is>
      </c>
      <c r="C122" t="n">
        <v>6.34798748260867</v>
      </c>
    </row>
    <row r="123">
      <c r="A123" t="inlineStr">
        <is>
          <t>PHL</t>
        </is>
      </c>
      <c r="B123" t="inlineStr">
        <is>
          <t>2015</t>
        </is>
      </c>
      <c r="C123" t="n">
        <v>6.34830971672761</v>
      </c>
    </row>
    <row r="124">
      <c r="A124" t="inlineStr">
        <is>
          <t>PHL</t>
        </is>
      </c>
      <c r="B124" t="inlineStr">
        <is>
          <t>2016</t>
        </is>
      </c>
      <c r="C124" t="n">
        <v>7.14945675000752</v>
      </c>
    </row>
    <row r="125">
      <c r="A125" t="inlineStr">
        <is>
          <t>PHL</t>
        </is>
      </c>
      <c r="B125" t="inlineStr">
        <is>
          <t>2017</t>
        </is>
      </c>
      <c r="C125" t="n">
        <v>6.9309883258402</v>
      </c>
    </row>
    <row r="126">
      <c r="A126" t="inlineStr">
        <is>
          <t>PHL</t>
        </is>
      </c>
      <c r="B126" t="inlineStr">
        <is>
          <t>2018</t>
        </is>
      </c>
      <c r="C126" t="n">
        <v>6.34148557153473</v>
      </c>
    </row>
    <row r="127">
      <c r="A127" t="inlineStr">
        <is>
          <t>PHL</t>
        </is>
      </c>
      <c r="B127" t="inlineStr">
        <is>
          <t>2019</t>
        </is>
      </c>
      <c r="C127" t="n">
        <v>6.11852566221303</v>
      </c>
    </row>
    <row r="128">
      <c r="A128" t="inlineStr">
        <is>
          <t>PHL</t>
        </is>
      </c>
      <c r="B128" t="inlineStr">
        <is>
          <t>2020</t>
        </is>
      </c>
      <c r="C128" t="n">
        <v>-9.518294740452969</v>
      </c>
    </row>
    <row r="129">
      <c r="A129" t="inlineStr">
        <is>
          <t>PHL</t>
        </is>
      </c>
      <c r="B129" t="inlineStr">
        <is>
          <t>2021</t>
        </is>
      </c>
      <c r="C129" t="n">
        <v>5.71473313185116</v>
      </c>
    </row>
    <row r="130">
      <c r="A130" t="inlineStr">
        <is>
          <t>PHL</t>
        </is>
      </c>
      <c r="B130" t="inlineStr">
        <is>
          <t>2022</t>
        </is>
      </c>
      <c r="C130" t="n">
        <v>7.58098212785563</v>
      </c>
    </row>
    <row r="131">
      <c r="A131" t="inlineStr">
        <is>
          <t>PHL</t>
        </is>
      </c>
      <c r="B131" t="inlineStr">
        <is>
          <t>2023</t>
        </is>
      </c>
      <c r="C131" t="n">
        <v>5.51894967856043</v>
      </c>
    </row>
    <row r="132">
      <c r="A132" t="inlineStr">
        <is>
          <t>PHL</t>
        </is>
      </c>
      <c r="B132" t="inlineStr">
        <is>
          <t>2024</t>
        </is>
      </c>
      <c r="C132" t="n">
        <v>5.71474526128652</v>
      </c>
    </row>
    <row r="133">
      <c r="A133" t="inlineStr">
        <is>
          <t>PHL</t>
        </is>
      </c>
      <c r="B133" t="inlineStr">
        <is>
          <t>2025</t>
        </is>
      </c>
      <c r="C133" t="n">
        <v>4.40240158710621</v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  <c r="C159" t="n">
        <v>3.80585566810947</v>
      </c>
    </row>
    <row r="160">
      <c r="A160" t="inlineStr">
        <is>
          <t>VNM</t>
        </is>
      </c>
      <c r="B160" t="inlineStr">
        <is>
          <t>1986</t>
        </is>
      </c>
      <c r="C160" t="n">
        <v>2.78929157479443</v>
      </c>
    </row>
    <row r="161">
      <c r="A161" t="inlineStr">
        <is>
          <t>VNM</t>
        </is>
      </c>
      <c r="B161" t="inlineStr">
        <is>
          <t>1987</t>
        </is>
      </c>
      <c r="C161" t="n">
        <v>3.5834696313072</v>
      </c>
    </row>
    <row r="162">
      <c r="A162" t="inlineStr">
        <is>
          <t>VNM</t>
        </is>
      </c>
      <c r="B162" t="inlineStr">
        <is>
          <t>1988</t>
        </is>
      </c>
      <c r="C162" t="n">
        <v>5.13501167157808</v>
      </c>
    </row>
    <row r="163">
      <c r="A163" t="inlineStr">
        <is>
          <t>VNM</t>
        </is>
      </c>
      <c r="B163" t="inlineStr">
        <is>
          <t>1989</t>
        </is>
      </c>
      <c r="C163" t="n">
        <v>7.36451289395819</v>
      </c>
    </row>
    <row r="164">
      <c r="A164" t="inlineStr">
        <is>
          <t>VNM</t>
        </is>
      </c>
      <c r="B164" t="inlineStr">
        <is>
          <t>1990</t>
        </is>
      </c>
      <c r="C164" t="n">
        <v>5.10091813908369</v>
      </c>
    </row>
    <row r="165">
      <c r="A165" t="inlineStr">
        <is>
          <t>VNM</t>
        </is>
      </c>
      <c r="B165" t="inlineStr">
        <is>
          <t>1991</t>
        </is>
      </c>
      <c r="C165" t="n">
        <v>5.96084393218912</v>
      </c>
    </row>
    <row r="166">
      <c r="A166" t="inlineStr">
        <is>
          <t>VNM</t>
        </is>
      </c>
      <c r="B166" t="inlineStr">
        <is>
          <t>1992</t>
        </is>
      </c>
      <c r="C166" t="n">
        <v>8.64604745934572</v>
      </c>
    </row>
    <row r="167">
      <c r="A167" t="inlineStr">
        <is>
          <t>VNM</t>
        </is>
      </c>
      <c r="B167" t="inlineStr">
        <is>
          <t>1993</t>
        </is>
      </c>
      <c r="C167" t="n">
        <v>8.07273065739605</v>
      </c>
    </row>
    <row r="168">
      <c r="A168" t="inlineStr">
        <is>
          <t>VNM</t>
        </is>
      </c>
      <c r="B168" t="inlineStr">
        <is>
          <t>1994</t>
        </is>
      </c>
      <c r="C168" t="n">
        <v>8.83898095245374</v>
      </c>
    </row>
    <row r="169">
      <c r="A169" t="inlineStr">
        <is>
          <t>VNM</t>
        </is>
      </c>
      <c r="B169" t="inlineStr">
        <is>
          <t>1995</t>
        </is>
      </c>
      <c r="C169" t="n">
        <v>9.54048017491264</v>
      </c>
    </row>
    <row r="170">
      <c r="A170" t="inlineStr">
        <is>
          <t>VNM</t>
        </is>
      </c>
      <c r="B170" t="inlineStr">
        <is>
          <t>1996</t>
        </is>
      </c>
      <c r="C170" t="n">
        <v>9.34001749939179</v>
      </c>
    </row>
    <row r="171">
      <c r="A171" t="inlineStr">
        <is>
          <t>VNM</t>
        </is>
      </c>
      <c r="B171" t="inlineStr">
        <is>
          <t>1997</t>
        </is>
      </c>
      <c r="C171" t="n">
        <v>8.1520841433542</v>
      </c>
    </row>
    <row r="172">
      <c r="A172" t="inlineStr">
        <is>
          <t>VNM</t>
        </is>
      </c>
      <c r="B172" t="inlineStr">
        <is>
          <t>1998</t>
        </is>
      </c>
      <c r="C172" t="n">
        <v>5.76445545848843</v>
      </c>
    </row>
    <row r="173">
      <c r="A173" t="inlineStr">
        <is>
          <t>VNM</t>
        </is>
      </c>
      <c r="B173" t="inlineStr">
        <is>
          <t>1999</t>
        </is>
      </c>
      <c r="C173" t="n">
        <v>4.77358688344989</v>
      </c>
    </row>
    <row r="174">
      <c r="A174" t="inlineStr">
        <is>
          <t>VNM</t>
        </is>
      </c>
      <c r="B174" t="inlineStr">
        <is>
          <t>2000</t>
        </is>
      </c>
      <c r="C174" t="n">
        <v>6.78731640463151</v>
      </c>
    </row>
    <row r="175">
      <c r="A175" t="inlineStr">
        <is>
          <t>VNM</t>
        </is>
      </c>
      <c r="B175" t="inlineStr">
        <is>
          <t>2001</t>
        </is>
      </c>
      <c r="C175" t="n">
        <v>6.19289331233377</v>
      </c>
    </row>
    <row r="176">
      <c r="A176" t="inlineStr">
        <is>
          <t>VNM</t>
        </is>
      </c>
      <c r="B176" t="inlineStr">
        <is>
          <t>2002</t>
        </is>
      </c>
      <c r="C176" t="n">
        <v>6.32082099160833</v>
      </c>
    </row>
    <row r="177">
      <c r="A177" t="inlineStr">
        <is>
          <t>VNM</t>
        </is>
      </c>
      <c r="B177" t="inlineStr">
        <is>
          <t>2003</t>
        </is>
      </c>
      <c r="C177" t="n">
        <v>6.89906349055258</v>
      </c>
    </row>
    <row r="178">
      <c r="A178" t="inlineStr">
        <is>
          <t>VNM</t>
        </is>
      </c>
      <c r="B178" t="inlineStr">
        <is>
          <t>2004</t>
        </is>
      </c>
      <c r="C178" t="n">
        <v>7.53641060890386</v>
      </c>
    </row>
    <row r="179">
      <c r="A179" t="inlineStr">
        <is>
          <t>VNM</t>
        </is>
      </c>
      <c r="B179" t="inlineStr">
        <is>
          <t>2005</t>
        </is>
      </c>
      <c r="C179" t="n">
        <v>7.54724772895918</v>
      </c>
    </row>
    <row r="180">
      <c r="A180" t="inlineStr">
        <is>
          <t>VNM</t>
        </is>
      </c>
      <c r="B180" t="inlineStr">
        <is>
          <t>2006</t>
        </is>
      </c>
      <c r="C180" t="n">
        <v>6.97795481056711</v>
      </c>
    </row>
    <row r="181">
      <c r="A181" t="inlineStr">
        <is>
          <t>VNM</t>
        </is>
      </c>
      <c r="B181" t="inlineStr">
        <is>
          <t>2007</t>
        </is>
      </c>
      <c r="C181" t="n">
        <v>7.12950448605439</v>
      </c>
    </row>
    <row r="182">
      <c r="A182" t="inlineStr">
        <is>
          <t>VNM</t>
        </is>
      </c>
      <c r="B182" t="inlineStr">
        <is>
          <t>2008</t>
        </is>
      </c>
      <c r="C182" t="n">
        <v>5.66177120891362</v>
      </c>
    </row>
    <row r="183">
      <c r="A183" t="inlineStr">
        <is>
          <t>VNM</t>
        </is>
      </c>
      <c r="B183" t="inlineStr">
        <is>
          <t>2009</t>
        </is>
      </c>
      <c r="C183" t="n">
        <v>5.39789754014181</v>
      </c>
    </row>
    <row r="184">
      <c r="A184" t="inlineStr">
        <is>
          <t>VNM</t>
        </is>
      </c>
      <c r="B184" t="inlineStr">
        <is>
          <t>2010</t>
        </is>
      </c>
      <c r="C184" t="n">
        <v>6.42324482239482</v>
      </c>
    </row>
    <row r="185">
      <c r="A185" t="inlineStr">
        <is>
          <t>VNM</t>
        </is>
      </c>
      <c r="B185" t="inlineStr">
        <is>
          <t>2011</t>
        </is>
      </c>
      <c r="C185" t="n">
        <v>6.41316889681683</v>
      </c>
    </row>
    <row r="186">
      <c r="A186" t="inlineStr">
        <is>
          <t>VNM</t>
        </is>
      </c>
      <c r="B186" t="inlineStr">
        <is>
          <t>2012</t>
        </is>
      </c>
      <c r="C186" t="n">
        <v>5.5045447041189</v>
      </c>
    </row>
    <row r="187">
      <c r="A187" t="inlineStr">
        <is>
          <t>VNM</t>
        </is>
      </c>
      <c r="B187" t="inlineStr">
        <is>
          <t>2013</t>
        </is>
      </c>
      <c r="C187" t="n">
        <v>5.55351081026072</v>
      </c>
    </row>
    <row r="188">
      <c r="A188" t="inlineStr">
        <is>
          <t>VNM</t>
        </is>
      </c>
      <c r="B188" t="inlineStr">
        <is>
          <t>2014</t>
        </is>
      </c>
      <c r="C188" t="n">
        <v>6.42224312118567</v>
      </c>
    </row>
    <row r="189">
      <c r="A189" t="inlineStr">
        <is>
          <t>VNM</t>
        </is>
      </c>
      <c r="B189" t="inlineStr">
        <is>
          <t>2015</t>
        </is>
      </c>
      <c r="C189" t="n">
        <v>6.98715430598611</v>
      </c>
    </row>
    <row r="190">
      <c r="A190" t="inlineStr">
        <is>
          <t>VNM</t>
        </is>
      </c>
      <c r="B190" t="inlineStr">
        <is>
          <t>2016</t>
        </is>
      </c>
      <c r="C190" t="n">
        <v>6.69000892660424</v>
      </c>
    </row>
    <row r="191">
      <c r="A191" t="inlineStr">
        <is>
          <t>VNM</t>
        </is>
      </c>
      <c r="B191" t="inlineStr">
        <is>
          <t>2017</t>
        </is>
      </c>
      <c r="C191" t="n">
        <v>6.94019037359206</v>
      </c>
    </row>
    <row r="192">
      <c r="A192" t="inlineStr">
        <is>
          <t>VNM</t>
        </is>
      </c>
      <c r="B192" t="inlineStr">
        <is>
          <t>2018</t>
        </is>
      </c>
      <c r="C192" t="n">
        <v>7.46500685572751</v>
      </c>
    </row>
    <row r="193">
      <c r="A193" t="inlineStr">
        <is>
          <t>VNM</t>
        </is>
      </c>
      <c r="B193" t="inlineStr">
        <is>
          <t>2019</t>
        </is>
      </c>
      <c r="C193" t="n">
        <v>7.35926270105006</v>
      </c>
    </row>
    <row r="194">
      <c r="A194" t="inlineStr">
        <is>
          <t>VNM</t>
        </is>
      </c>
      <c r="B194" t="inlineStr">
        <is>
          <t>2020</t>
        </is>
      </c>
      <c r="C194" t="n">
        <v>2.86541320912272</v>
      </c>
    </row>
    <row r="195">
      <c r="A195" t="inlineStr">
        <is>
          <t>VNM</t>
        </is>
      </c>
      <c r="B195" t="inlineStr">
        <is>
          <t>2021</t>
        </is>
      </c>
      <c r="C195" t="n">
        <v>2.55372852648131</v>
      </c>
    </row>
    <row r="196">
      <c r="A196" t="inlineStr">
        <is>
          <t>VNM</t>
        </is>
      </c>
      <c r="B196" t="inlineStr">
        <is>
          <t>2022</t>
        </is>
      </c>
      <c r="C196" t="n">
        <v>8.537500412181419</v>
      </c>
    </row>
    <row r="197">
      <c r="A197" t="inlineStr">
        <is>
          <t>VNM</t>
        </is>
      </c>
      <c r="B197" t="inlineStr">
        <is>
          <t>2023</t>
        </is>
      </c>
      <c r="C197" t="n">
        <v>4.97865959483225</v>
      </c>
    </row>
    <row r="198">
      <c r="A198" t="inlineStr">
        <is>
          <t>VNM</t>
        </is>
      </c>
      <c r="B198" t="inlineStr">
        <is>
          <t>2024</t>
        </is>
      </c>
      <c r="C198" t="n">
        <v>7.03955197123018</v>
      </c>
    </row>
    <row r="199">
      <c r="A199" t="inlineStr">
        <is>
          <t>VNM</t>
        </is>
      </c>
      <c r="B199" t="inlineStr">
        <is>
          <t>2025</t>
        </is>
      </c>
      <c r="C199" t="n">
        <v>8.01882998978245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NE.GDI.TOTL.ZS</t>
        </is>
      </c>
    </row>
    <row r="2">
      <c r="A2" t="inlineStr">
        <is>
          <t>IND</t>
        </is>
      </c>
      <c r="B2" t="inlineStr">
        <is>
          <t>1960</t>
        </is>
      </c>
      <c r="C2" t="n">
        <v>17.9313352864798</v>
      </c>
    </row>
    <row r="3">
      <c r="A3" t="inlineStr">
        <is>
          <t>IND</t>
        </is>
      </c>
      <c r="B3" t="inlineStr">
        <is>
          <t>1961</t>
        </is>
      </c>
      <c r="C3" t="n">
        <v>19.2621458307568</v>
      </c>
    </row>
    <row r="4">
      <c r="A4" t="inlineStr">
        <is>
          <t>IND</t>
        </is>
      </c>
      <c r="B4" t="inlineStr">
        <is>
          <t>1962</t>
        </is>
      </c>
      <c r="C4" t="n">
        <v>18.1075707708237</v>
      </c>
    </row>
    <row r="5">
      <c r="A5" t="inlineStr">
        <is>
          <t>IND</t>
        </is>
      </c>
      <c r="B5" t="inlineStr">
        <is>
          <t>1963</t>
        </is>
      </c>
      <c r="C5" t="n">
        <v>18.9954571074823</v>
      </c>
    </row>
    <row r="6">
      <c r="A6" t="inlineStr">
        <is>
          <t>IND</t>
        </is>
      </c>
      <c r="B6" t="inlineStr">
        <is>
          <t>1964</t>
        </is>
      </c>
      <c r="C6" t="n">
        <v>19.5298284932289</v>
      </c>
    </row>
    <row r="7">
      <c r="A7" t="inlineStr">
        <is>
          <t>IND</t>
        </is>
      </c>
      <c r="B7" t="inlineStr">
        <is>
          <t>1965</t>
        </is>
      </c>
      <c r="C7" t="n">
        <v>20.0572229945507</v>
      </c>
    </row>
    <row r="8">
      <c r="A8" t="inlineStr">
        <is>
          <t>IND</t>
        </is>
      </c>
      <c r="B8" t="inlineStr">
        <is>
          <t>1966</t>
        </is>
      </c>
      <c r="C8" t="n">
        <v>18.3580138165654</v>
      </c>
    </row>
    <row r="9">
      <c r="A9" t="inlineStr">
        <is>
          <t>IND</t>
        </is>
      </c>
      <c r="B9" t="inlineStr">
        <is>
          <t>1967</t>
        </is>
      </c>
      <c r="C9" t="n">
        <v>18.1975444704354</v>
      </c>
    </row>
    <row r="10">
      <c r="A10" t="inlineStr">
        <is>
          <t>IND</t>
        </is>
      </c>
      <c r="B10" t="inlineStr">
        <is>
          <t>1968</t>
        </is>
      </c>
      <c r="C10" t="n">
        <v>17.7422497494354</v>
      </c>
    </row>
    <row r="11">
      <c r="A11" t="inlineStr">
        <is>
          <t>IND</t>
        </is>
      </c>
      <c r="B11" t="inlineStr">
        <is>
          <t>1969</t>
        </is>
      </c>
      <c r="C11" t="n">
        <v>17.6400952349903</v>
      </c>
    </row>
    <row r="12">
      <c r="A12" t="inlineStr">
        <is>
          <t>IND</t>
        </is>
      </c>
      <c r="B12" t="inlineStr">
        <is>
          <t>1970</t>
        </is>
      </c>
      <c r="C12" t="n">
        <v>18.2114387329179</v>
      </c>
    </row>
    <row r="13">
      <c r="A13" t="inlineStr">
        <is>
          <t>IND</t>
        </is>
      </c>
      <c r="B13" t="inlineStr">
        <is>
          <t>1971</t>
        </is>
      </c>
      <c r="C13" t="n">
        <v>19.2036157433701</v>
      </c>
    </row>
    <row r="14">
      <c r="A14" t="inlineStr">
        <is>
          <t>IND</t>
        </is>
      </c>
      <c r="B14" t="inlineStr">
        <is>
          <t>1972</t>
        </is>
      </c>
      <c r="C14" t="n">
        <v>19.5484319396904</v>
      </c>
    </row>
    <row r="15">
      <c r="A15" t="inlineStr">
        <is>
          <t>IND</t>
        </is>
      </c>
      <c r="B15" t="inlineStr">
        <is>
          <t>1973</t>
        </is>
      </c>
      <c r="C15" t="n">
        <v>18.7007586479695</v>
      </c>
    </row>
    <row r="16">
      <c r="A16" t="inlineStr">
        <is>
          <t>IND</t>
        </is>
      </c>
      <c r="B16" t="inlineStr">
        <is>
          <t>1974</t>
        </is>
      </c>
      <c r="C16" t="n">
        <v>22.5115175742591</v>
      </c>
    </row>
    <row r="17">
      <c r="A17" t="inlineStr">
        <is>
          <t>IND</t>
        </is>
      </c>
      <c r="B17" t="inlineStr">
        <is>
          <t>1975</t>
        </is>
      </c>
      <c r="C17" t="n">
        <v>19.5451062648376</v>
      </c>
    </row>
    <row r="18">
      <c r="A18" t="inlineStr">
        <is>
          <t>IND</t>
        </is>
      </c>
      <c r="B18" t="inlineStr">
        <is>
          <t>1976</t>
        </is>
      </c>
      <c r="C18" t="n">
        <v>19.4192719578704</v>
      </c>
    </row>
    <row r="19">
      <c r="A19" t="inlineStr">
        <is>
          <t>IND</t>
        </is>
      </c>
      <c r="B19" t="inlineStr">
        <is>
          <t>1977</t>
        </is>
      </c>
      <c r="C19" t="n">
        <v>21.0956125472627</v>
      </c>
    </row>
    <row r="20">
      <c r="A20" t="inlineStr">
        <is>
          <t>IND</t>
        </is>
      </c>
      <c r="B20" t="inlineStr">
        <is>
          <t>1978</t>
        </is>
      </c>
      <c r="C20" t="n">
        <v>22.6507207547063</v>
      </c>
    </row>
    <row r="21">
      <c r="A21" t="inlineStr">
        <is>
          <t>IND</t>
        </is>
      </c>
      <c r="B21" t="inlineStr">
        <is>
          <t>1979</t>
        </is>
      </c>
      <c r="C21" t="n">
        <v>23.5953767441188</v>
      </c>
    </row>
    <row r="22">
      <c r="A22" t="inlineStr">
        <is>
          <t>IND</t>
        </is>
      </c>
      <c r="B22" t="inlineStr">
        <is>
          <t>1980</t>
        </is>
      </c>
      <c r="C22" t="n">
        <v>19.5550034544046</v>
      </c>
    </row>
    <row r="23">
      <c r="A23" t="inlineStr">
        <is>
          <t>IND</t>
        </is>
      </c>
      <c r="B23" t="inlineStr">
        <is>
          <t>1981</t>
        </is>
      </c>
      <c r="C23" t="n">
        <v>25.5601376265736</v>
      </c>
    </row>
    <row r="24">
      <c r="A24" t="inlineStr">
        <is>
          <t>IND</t>
        </is>
      </c>
      <c r="B24" t="inlineStr">
        <is>
          <t>1982</t>
        </is>
      </c>
      <c r="C24" t="n">
        <v>25.1341943149098</v>
      </c>
    </row>
    <row r="25">
      <c r="A25" t="inlineStr">
        <is>
          <t>IND</t>
        </is>
      </c>
      <c r="B25" t="inlineStr">
        <is>
          <t>1983</t>
        </is>
      </c>
      <c r="C25" t="n">
        <v>21.0395721185203</v>
      </c>
    </row>
    <row r="26">
      <c r="A26" t="inlineStr">
        <is>
          <t>IND</t>
        </is>
      </c>
      <c r="B26" t="inlineStr">
        <is>
          <t>1984</t>
        </is>
      </c>
      <c r="C26" t="n">
        <v>23.2914173032296</v>
      </c>
    </row>
    <row r="27">
      <c r="A27" t="inlineStr">
        <is>
          <t>IND</t>
        </is>
      </c>
      <c r="B27" t="inlineStr">
        <is>
          <t>1985</t>
        </is>
      </c>
      <c r="C27" t="n">
        <v>26.4460769030045</v>
      </c>
    </row>
    <row r="28">
      <c r="A28" t="inlineStr">
        <is>
          <t>IND</t>
        </is>
      </c>
      <c r="B28" t="inlineStr">
        <is>
          <t>1986</t>
        </is>
      </c>
      <c r="C28" t="n">
        <v>26.0656839397328</v>
      </c>
    </row>
    <row r="29">
      <c r="A29" t="inlineStr">
        <is>
          <t>IND</t>
        </is>
      </c>
      <c r="B29" t="inlineStr">
        <is>
          <t>1987</t>
        </is>
      </c>
      <c r="C29" t="n">
        <v>25.8271313054029</v>
      </c>
    </row>
    <row r="30">
      <c r="A30" t="inlineStr">
        <is>
          <t>IND</t>
        </is>
      </c>
      <c r="B30" t="inlineStr">
        <is>
          <t>1988</t>
        </is>
      </c>
      <c r="C30" t="n">
        <v>26.2826349945907</v>
      </c>
    </row>
    <row r="31">
      <c r="A31" t="inlineStr">
        <is>
          <t>IND</t>
        </is>
      </c>
      <c r="B31" t="inlineStr">
        <is>
          <t>1989</t>
        </is>
      </c>
      <c r="C31" t="n">
        <v>26.8610369133845</v>
      </c>
    </row>
    <row r="32">
      <c r="A32" t="inlineStr">
        <is>
          <t>IND</t>
        </is>
      </c>
      <c r="B32" t="inlineStr">
        <is>
          <t>1990</t>
        </is>
      </c>
      <c r="C32" t="n">
        <v>27.3361977013687</v>
      </c>
    </row>
    <row r="33">
      <c r="A33" t="inlineStr">
        <is>
          <t>IND</t>
        </is>
      </c>
      <c r="B33" t="inlineStr">
        <is>
          <t>1991</t>
        </is>
      </c>
      <c r="C33" t="n">
        <v>25.1405052782292</v>
      </c>
    </row>
    <row r="34">
      <c r="A34" t="inlineStr">
        <is>
          <t>IND</t>
        </is>
      </c>
      <c r="B34" t="inlineStr">
        <is>
          <t>1992</t>
        </is>
      </c>
      <c r="C34" t="n">
        <v>27.44020415513</v>
      </c>
    </row>
    <row r="35">
      <c r="A35" t="inlineStr">
        <is>
          <t>IND</t>
        </is>
      </c>
      <c r="B35" t="inlineStr">
        <is>
          <t>1993</t>
        </is>
      </c>
      <c r="C35" t="n">
        <v>22.716410511618</v>
      </c>
    </row>
    <row r="36">
      <c r="A36" t="inlineStr">
        <is>
          <t>IND</t>
        </is>
      </c>
      <c r="B36" t="inlineStr">
        <is>
          <t>1994</t>
        </is>
      </c>
      <c r="C36" t="n">
        <v>26.3101665553988</v>
      </c>
    </row>
    <row r="37">
      <c r="A37" t="inlineStr">
        <is>
          <t>IND</t>
        </is>
      </c>
      <c r="B37" t="inlineStr">
        <is>
          <t>1995</t>
        </is>
      </c>
      <c r="C37" t="n">
        <v>29.1523371515588</v>
      </c>
    </row>
    <row r="38">
      <c r="A38" t="inlineStr">
        <is>
          <t>IND</t>
        </is>
      </c>
      <c r="B38" t="inlineStr">
        <is>
          <t>1996</t>
        </is>
      </c>
      <c r="C38" t="n">
        <v>22.7592531809279</v>
      </c>
    </row>
    <row r="39">
      <c r="A39" t="inlineStr">
        <is>
          <t>IND</t>
        </is>
      </c>
      <c r="B39" t="inlineStr">
        <is>
          <t>1997</t>
        </is>
      </c>
      <c r="C39" t="n">
        <v>25.6927329065132</v>
      </c>
    </row>
    <row r="40">
      <c r="A40" t="inlineStr">
        <is>
          <t>IND</t>
        </is>
      </c>
      <c r="B40" t="inlineStr">
        <is>
          <t>1998</t>
        </is>
      </c>
      <c r="C40" t="n">
        <v>24.9753699423901</v>
      </c>
    </row>
    <row r="41">
      <c r="A41" t="inlineStr">
        <is>
          <t>IND</t>
        </is>
      </c>
      <c r="B41" t="inlineStr">
        <is>
          <t>1999</t>
        </is>
      </c>
      <c r="C41" t="n">
        <v>30.9580879683861</v>
      </c>
    </row>
    <row r="42">
      <c r="A42" t="inlineStr">
        <is>
          <t>IND</t>
        </is>
      </c>
      <c r="B42" t="inlineStr">
        <is>
          <t>2000</t>
        </is>
      </c>
      <c r="C42" t="n">
        <v>25.677316683955</v>
      </c>
    </row>
    <row r="43">
      <c r="A43" t="inlineStr">
        <is>
          <t>IND</t>
        </is>
      </c>
      <c r="B43" t="inlineStr">
        <is>
          <t>2001</t>
        </is>
      </c>
      <c r="C43" t="n">
        <v>29.9078889827325</v>
      </c>
    </row>
    <row r="44">
      <c r="A44" t="inlineStr">
        <is>
          <t>IND</t>
        </is>
      </c>
      <c r="B44" t="inlineStr">
        <is>
          <t>2002</t>
        </is>
      </c>
      <c r="C44" t="n">
        <v>30.2513001207186</v>
      </c>
    </row>
    <row r="45">
      <c r="A45" t="inlineStr">
        <is>
          <t>IND</t>
        </is>
      </c>
      <c r="B45" t="inlineStr">
        <is>
          <t>2003</t>
        </is>
      </c>
      <c r="C45" t="n">
        <v>30.8396999424416</v>
      </c>
    </row>
    <row r="46">
      <c r="A46" t="inlineStr">
        <is>
          <t>IND</t>
        </is>
      </c>
      <c r="B46" t="inlineStr">
        <is>
          <t>2004</t>
        </is>
      </c>
      <c r="C46" t="n">
        <v>35.0964917017773</v>
      </c>
    </row>
    <row r="47">
      <c r="A47" t="inlineStr">
        <is>
          <t>IND</t>
        </is>
      </c>
      <c r="B47" t="inlineStr">
        <is>
          <t>2005</t>
        </is>
      </c>
      <c r="C47" t="n">
        <v>37.4282640165983</v>
      </c>
    </row>
    <row r="48">
      <c r="A48" t="inlineStr">
        <is>
          <t>IND</t>
        </is>
      </c>
      <c r="B48" t="inlineStr">
        <is>
          <t>2006</t>
        </is>
      </c>
      <c r="C48" t="n">
        <v>38.9985063717532</v>
      </c>
    </row>
    <row r="49">
      <c r="A49" t="inlineStr">
        <is>
          <t>IND</t>
        </is>
      </c>
      <c r="B49" t="inlineStr">
        <is>
          <t>2007</t>
        </is>
      </c>
      <c r="C49" t="n">
        <v>41.9507982267334</v>
      </c>
    </row>
    <row r="50">
      <c r="A50" t="inlineStr">
        <is>
          <t>IND</t>
        </is>
      </c>
      <c r="B50" t="inlineStr">
        <is>
          <t>2008</t>
        </is>
      </c>
      <c r="C50" t="n">
        <v>38.4224196528192</v>
      </c>
    </row>
    <row r="51">
      <c r="A51" t="inlineStr">
        <is>
          <t>IND</t>
        </is>
      </c>
      <c r="B51" t="inlineStr">
        <is>
          <t>2009</t>
        </is>
      </c>
      <c r="C51" t="n">
        <v>39.2567917551336</v>
      </c>
    </row>
    <row r="52">
      <c r="A52" t="inlineStr">
        <is>
          <t>IND</t>
        </is>
      </c>
      <c r="B52" t="inlineStr">
        <is>
          <t>2010</t>
        </is>
      </c>
      <c r="C52" t="n">
        <v>39.7856241847736</v>
      </c>
    </row>
    <row r="53">
      <c r="A53" t="inlineStr">
        <is>
          <t>IND</t>
        </is>
      </c>
      <c r="B53" t="inlineStr">
        <is>
          <t>2011</t>
        </is>
      </c>
      <c r="C53" t="n">
        <v>39.590421855219</v>
      </c>
    </row>
    <row r="54">
      <c r="A54" t="inlineStr">
        <is>
          <t>IND</t>
        </is>
      </c>
      <c r="B54" t="inlineStr">
        <is>
          <t>2012</t>
        </is>
      </c>
      <c r="C54" t="n">
        <v>38.3474156730403</v>
      </c>
    </row>
    <row r="55">
      <c r="A55" t="inlineStr">
        <is>
          <t>IND</t>
        </is>
      </c>
      <c r="B55" t="inlineStr">
        <is>
          <t>2013</t>
        </is>
      </c>
      <c r="C55" t="n">
        <v>34.0231978997548</v>
      </c>
    </row>
    <row r="56">
      <c r="A56" t="inlineStr">
        <is>
          <t>IND</t>
        </is>
      </c>
      <c r="B56" t="inlineStr">
        <is>
          <t>2014</t>
        </is>
      </c>
      <c r="C56" t="n">
        <v>34.2678056268836</v>
      </c>
    </row>
    <row r="57">
      <c r="A57" t="inlineStr">
        <is>
          <t>IND</t>
        </is>
      </c>
      <c r="B57" t="inlineStr">
        <is>
          <t>2015</t>
        </is>
      </c>
      <c r="C57" t="n">
        <v>32.1167301358276</v>
      </c>
    </row>
    <row r="58">
      <c r="A58" t="inlineStr">
        <is>
          <t>IND</t>
        </is>
      </c>
      <c r="B58" t="inlineStr">
        <is>
          <t>2016</t>
        </is>
      </c>
      <c r="C58" t="n">
        <v>30.172690580036</v>
      </c>
    </row>
    <row r="59">
      <c r="A59" t="inlineStr">
        <is>
          <t>IND</t>
        </is>
      </c>
      <c r="B59" t="inlineStr">
        <is>
          <t>2017</t>
        </is>
      </c>
      <c r="C59" t="n">
        <v>30.9821728344733</v>
      </c>
    </row>
    <row r="60">
      <c r="A60" t="inlineStr">
        <is>
          <t>IND</t>
        </is>
      </c>
      <c r="B60" t="inlineStr">
        <is>
          <t>2018</t>
        </is>
      </c>
      <c r="C60" t="n">
        <v>32.3432182154485</v>
      </c>
    </row>
    <row r="61">
      <c r="A61" t="inlineStr">
        <is>
          <t>IND</t>
        </is>
      </c>
      <c r="B61" t="inlineStr">
        <is>
          <t>2019</t>
        </is>
      </c>
      <c r="C61" t="n">
        <v>30.0961975685688</v>
      </c>
    </row>
    <row r="62">
      <c r="A62" t="inlineStr">
        <is>
          <t>IND</t>
        </is>
      </c>
      <c r="B62" t="inlineStr">
        <is>
          <t>2020</t>
        </is>
      </c>
      <c r="C62" t="n">
        <v>28.9223840080659</v>
      </c>
    </row>
    <row r="63">
      <c r="A63" t="inlineStr">
        <is>
          <t>IND</t>
        </is>
      </c>
      <c r="B63" t="inlineStr">
        <is>
          <t>2021</t>
        </is>
      </c>
      <c r="C63" t="n">
        <v>32.1158221755014</v>
      </c>
    </row>
    <row r="64">
      <c r="A64" t="inlineStr">
        <is>
          <t>IND</t>
        </is>
      </c>
      <c r="B64" t="inlineStr">
        <is>
          <t>2022</t>
        </is>
      </c>
      <c r="C64" t="n">
        <v>34.4117962357355</v>
      </c>
    </row>
    <row r="65">
      <c r="A65" t="inlineStr">
        <is>
          <t>IND</t>
        </is>
      </c>
      <c r="B65" t="inlineStr">
        <is>
          <t>2023</t>
        </is>
      </c>
      <c r="C65" t="n">
        <v>34.504684353812</v>
      </c>
    </row>
    <row r="66">
      <c r="A66" t="inlineStr">
        <is>
          <t>IND</t>
        </is>
      </c>
      <c r="B66" t="inlineStr">
        <is>
          <t>2024</t>
        </is>
      </c>
      <c r="C66" t="n">
        <v>34.3459060404746</v>
      </c>
    </row>
    <row r="67">
      <c r="A67" t="inlineStr">
        <is>
          <t>IND</t>
        </is>
      </c>
      <c r="B67" t="inlineStr">
        <is>
          <t>2025</t>
        </is>
      </c>
      <c r="C67" t="n">
        <v>34.6030048968457</v>
      </c>
    </row>
    <row r="68">
      <c r="A68" t="inlineStr">
        <is>
          <t>PHL</t>
        </is>
      </c>
      <c r="B68" t="inlineStr">
        <is>
          <t>1960</t>
        </is>
      </c>
    </row>
    <row r="69">
      <c r="A69" t="inlineStr">
        <is>
          <t>PHL</t>
        </is>
      </c>
      <c r="B69" t="inlineStr">
        <is>
          <t>1961</t>
        </is>
      </c>
    </row>
    <row r="70">
      <c r="A70" t="inlineStr">
        <is>
          <t>PHL</t>
        </is>
      </c>
      <c r="B70" t="inlineStr">
        <is>
          <t>1962</t>
        </is>
      </c>
    </row>
    <row r="71">
      <c r="A71" t="inlineStr">
        <is>
          <t>PHL</t>
        </is>
      </c>
      <c r="B71" t="inlineStr">
        <is>
          <t>1963</t>
        </is>
      </c>
    </row>
    <row r="72">
      <c r="A72" t="inlineStr">
        <is>
          <t>PHL</t>
        </is>
      </c>
      <c r="B72" t="inlineStr">
        <is>
          <t>1964</t>
        </is>
      </c>
    </row>
    <row r="73">
      <c r="A73" t="inlineStr">
        <is>
          <t>PHL</t>
        </is>
      </c>
      <c r="B73" t="inlineStr">
        <is>
          <t>1965</t>
        </is>
      </c>
    </row>
    <row r="74">
      <c r="A74" t="inlineStr">
        <is>
          <t>PHL</t>
        </is>
      </c>
      <c r="B74" t="inlineStr">
        <is>
          <t>1966</t>
        </is>
      </c>
    </row>
    <row r="75">
      <c r="A75" t="inlineStr">
        <is>
          <t>PHL</t>
        </is>
      </c>
      <c r="B75" t="inlineStr">
        <is>
          <t>1967</t>
        </is>
      </c>
    </row>
    <row r="76">
      <c r="A76" t="inlineStr">
        <is>
          <t>PHL</t>
        </is>
      </c>
      <c r="B76" t="inlineStr">
        <is>
          <t>1968</t>
        </is>
      </c>
    </row>
    <row r="77">
      <c r="A77" t="inlineStr">
        <is>
          <t>PHL</t>
        </is>
      </c>
      <c r="B77" t="inlineStr">
        <is>
          <t>1969</t>
        </is>
      </c>
    </row>
    <row r="78">
      <c r="A78" t="inlineStr">
        <is>
          <t>PHL</t>
        </is>
      </c>
      <c r="B78" t="inlineStr">
        <is>
          <t>1970</t>
        </is>
      </c>
    </row>
    <row r="79">
      <c r="A79" t="inlineStr">
        <is>
          <t>PHL</t>
        </is>
      </c>
      <c r="B79" t="inlineStr">
        <is>
          <t>1971</t>
        </is>
      </c>
    </row>
    <row r="80">
      <c r="A80" t="inlineStr">
        <is>
          <t>PHL</t>
        </is>
      </c>
      <c r="B80" t="inlineStr">
        <is>
          <t>1972</t>
        </is>
      </c>
    </row>
    <row r="81">
      <c r="A81" t="inlineStr">
        <is>
          <t>PHL</t>
        </is>
      </c>
      <c r="B81" t="inlineStr">
        <is>
          <t>1973</t>
        </is>
      </c>
    </row>
    <row r="82">
      <c r="A82" t="inlineStr">
        <is>
          <t>PHL</t>
        </is>
      </c>
      <c r="B82" t="inlineStr">
        <is>
          <t>1974</t>
        </is>
      </c>
    </row>
    <row r="83">
      <c r="A83" t="inlineStr">
        <is>
          <t>PHL</t>
        </is>
      </c>
      <c r="B83" t="inlineStr">
        <is>
          <t>1975</t>
        </is>
      </c>
    </row>
    <row r="84">
      <c r="A84" t="inlineStr">
        <is>
          <t>PHL</t>
        </is>
      </c>
      <c r="B84" t="inlineStr">
        <is>
          <t>1976</t>
        </is>
      </c>
    </row>
    <row r="85">
      <c r="A85" t="inlineStr">
        <is>
          <t>PHL</t>
        </is>
      </c>
      <c r="B85" t="inlineStr">
        <is>
          <t>1977</t>
        </is>
      </c>
    </row>
    <row r="86">
      <c r="A86" t="inlineStr">
        <is>
          <t>PHL</t>
        </is>
      </c>
      <c r="B86" t="inlineStr">
        <is>
          <t>1978</t>
        </is>
      </c>
    </row>
    <row r="87">
      <c r="A87" t="inlineStr">
        <is>
          <t>PHL</t>
        </is>
      </c>
      <c r="B87" t="inlineStr">
        <is>
          <t>1979</t>
        </is>
      </c>
    </row>
    <row r="88">
      <c r="A88" t="inlineStr">
        <is>
          <t>PHL</t>
        </is>
      </c>
      <c r="B88" t="inlineStr">
        <is>
          <t>1980</t>
        </is>
      </c>
    </row>
    <row r="89">
      <c r="A89" t="inlineStr">
        <is>
          <t>PHL</t>
        </is>
      </c>
      <c r="B89" t="inlineStr">
        <is>
          <t>1981</t>
        </is>
      </c>
      <c r="C89" t="n">
        <v>26.4011130956707</v>
      </c>
    </row>
    <row r="90">
      <c r="A90" t="inlineStr">
        <is>
          <t>PHL</t>
        </is>
      </c>
      <c r="B90" t="inlineStr">
        <is>
          <t>1982</t>
        </is>
      </c>
      <c r="C90" t="n">
        <v>26.6861789864717</v>
      </c>
    </row>
    <row r="91">
      <c r="A91" t="inlineStr">
        <is>
          <t>PHL</t>
        </is>
      </c>
      <c r="B91" t="inlineStr">
        <is>
          <t>1983</t>
        </is>
      </c>
      <c r="C91" t="n">
        <v>28.2326345302981</v>
      </c>
    </row>
    <row r="92">
      <c r="A92" t="inlineStr">
        <is>
          <t>PHL</t>
        </is>
      </c>
      <c r="B92" t="inlineStr">
        <is>
          <t>1984</t>
        </is>
      </c>
      <c r="C92" t="n">
        <v>19.8310631674001</v>
      </c>
    </row>
    <row r="93">
      <c r="A93" t="inlineStr">
        <is>
          <t>PHL</t>
        </is>
      </c>
      <c r="B93" t="inlineStr">
        <is>
          <t>1985</t>
        </is>
      </c>
      <c r="C93" t="n">
        <v>14.1658438395527</v>
      </c>
    </row>
    <row r="94">
      <c r="A94" t="inlineStr">
        <is>
          <t>PHL</t>
        </is>
      </c>
      <c r="B94" t="inlineStr">
        <is>
          <t>1986</t>
        </is>
      </c>
      <c r="C94" t="n">
        <v>15.052368593471</v>
      </c>
    </row>
    <row r="95">
      <c r="A95" t="inlineStr">
        <is>
          <t>PHL</t>
        </is>
      </c>
      <c r="B95" t="inlineStr">
        <is>
          <t>1987</t>
        </is>
      </c>
      <c r="C95" t="n">
        <v>17.1600296634357</v>
      </c>
    </row>
    <row r="96">
      <c r="A96" t="inlineStr">
        <is>
          <t>PHL</t>
        </is>
      </c>
      <c r="B96" t="inlineStr">
        <is>
          <t>1988</t>
        </is>
      </c>
      <c r="C96" t="n">
        <v>18.3004943503436</v>
      </c>
    </row>
    <row r="97">
      <c r="A97" t="inlineStr">
        <is>
          <t>PHL</t>
        </is>
      </c>
      <c r="B97" t="inlineStr">
        <is>
          <t>1989</t>
        </is>
      </c>
      <c r="C97" t="n">
        <v>21.0095892110108</v>
      </c>
    </row>
    <row r="98">
      <c r="A98" t="inlineStr">
        <is>
          <t>PHL</t>
        </is>
      </c>
      <c r="B98" t="inlineStr">
        <is>
          <t>1990</t>
        </is>
      </c>
      <c r="C98" t="n">
        <v>23.3317105849887</v>
      </c>
    </row>
    <row r="99">
      <c r="A99" t="inlineStr">
        <is>
          <t>PHL</t>
        </is>
      </c>
      <c r="B99" t="inlineStr">
        <is>
          <t>1991</t>
        </is>
      </c>
      <c r="C99" t="n">
        <v>19.7170925076743</v>
      </c>
    </row>
    <row r="100">
      <c r="A100" t="inlineStr">
        <is>
          <t>PHL</t>
        </is>
      </c>
      <c r="B100" t="inlineStr">
        <is>
          <t>1992</t>
        </is>
      </c>
      <c r="C100" t="n">
        <v>20.7483312409355</v>
      </c>
    </row>
    <row r="101">
      <c r="A101" t="inlineStr">
        <is>
          <t>PHL</t>
        </is>
      </c>
      <c r="B101" t="inlineStr">
        <is>
          <t>1993</t>
        </is>
      </c>
      <c r="C101" t="n">
        <v>23.1855368033691</v>
      </c>
    </row>
    <row r="102">
      <c r="A102" t="inlineStr">
        <is>
          <t>PHL</t>
        </is>
      </c>
      <c r="B102" t="inlineStr">
        <is>
          <t>1994</t>
        </is>
      </c>
      <c r="C102" t="n">
        <v>23.3114526483211</v>
      </c>
    </row>
    <row r="103">
      <c r="A103" t="inlineStr">
        <is>
          <t>PHL</t>
        </is>
      </c>
      <c r="B103" t="inlineStr">
        <is>
          <t>1995</t>
        </is>
      </c>
      <c r="C103" t="n">
        <v>21.7942950820214</v>
      </c>
    </row>
    <row r="104">
      <c r="A104" t="inlineStr">
        <is>
          <t>PHL</t>
        </is>
      </c>
      <c r="B104" t="inlineStr">
        <is>
          <t>1996</t>
        </is>
      </c>
      <c r="C104" t="n">
        <v>23.2823367017063</v>
      </c>
    </row>
    <row r="105">
      <c r="A105" t="inlineStr">
        <is>
          <t>PHL</t>
        </is>
      </c>
      <c r="B105" t="inlineStr">
        <is>
          <t>1997</t>
        </is>
      </c>
      <c r="C105" t="n">
        <v>24.0644880296074</v>
      </c>
    </row>
    <row r="106">
      <c r="A106" t="inlineStr">
        <is>
          <t>PHL</t>
        </is>
      </c>
      <c r="B106" t="inlineStr">
        <is>
          <t>1998</t>
        </is>
      </c>
      <c r="C106" t="n">
        <v>19.9889156434332</v>
      </c>
    </row>
    <row r="107">
      <c r="A107" t="inlineStr">
        <is>
          <t>PHL</t>
        </is>
      </c>
      <c r="B107" t="inlineStr">
        <is>
          <t>1999</t>
        </is>
      </c>
      <c r="C107" t="n">
        <v>16.2006540383433</v>
      </c>
    </row>
    <row r="108">
      <c r="A108" t="inlineStr">
        <is>
          <t>PHL</t>
        </is>
      </c>
      <c r="B108" t="inlineStr">
        <is>
          <t>2000</t>
        </is>
      </c>
      <c r="C108" t="n">
        <v>15.684364157955</v>
      </c>
    </row>
    <row r="109">
      <c r="A109" t="inlineStr">
        <is>
          <t>PHL</t>
        </is>
      </c>
      <c r="B109" t="inlineStr">
        <is>
          <t>2001</t>
        </is>
      </c>
      <c r="C109" t="n">
        <v>18.9451758766766</v>
      </c>
    </row>
    <row r="110">
      <c r="A110" t="inlineStr">
        <is>
          <t>PHL</t>
        </is>
      </c>
      <c r="B110" t="inlineStr">
        <is>
          <t>2002</t>
        </is>
      </c>
      <c r="C110" t="n">
        <v>20.4591371369749</v>
      </c>
    </row>
    <row r="111">
      <c r="A111" t="inlineStr">
        <is>
          <t>PHL</t>
        </is>
      </c>
      <c r="B111" t="inlineStr">
        <is>
          <t>2003</t>
        </is>
      </c>
      <c r="C111" t="n">
        <v>19.5287356084063</v>
      </c>
    </row>
    <row r="112">
      <c r="A112" t="inlineStr">
        <is>
          <t>PHL</t>
        </is>
      </c>
      <c r="B112" t="inlineStr">
        <is>
          <t>2004</t>
        </is>
      </c>
      <c r="C112" t="n">
        <v>20.731007446127</v>
      </c>
    </row>
    <row r="113">
      <c r="A113" t="inlineStr">
        <is>
          <t>PHL</t>
        </is>
      </c>
      <c r="B113" t="inlineStr">
        <is>
          <t>2005</t>
        </is>
      </c>
      <c r="C113" t="n">
        <v>18.5665300720434</v>
      </c>
    </row>
    <row r="114">
      <c r="A114" t="inlineStr">
        <is>
          <t>PHL</t>
        </is>
      </c>
      <c r="B114" t="inlineStr">
        <is>
          <t>2006</t>
        </is>
      </c>
      <c r="C114" t="n">
        <v>16.0153377703844</v>
      </c>
    </row>
    <row r="115">
      <c r="A115" t="inlineStr">
        <is>
          <t>PHL</t>
        </is>
      </c>
      <c r="B115" t="inlineStr">
        <is>
          <t>2007</t>
        </is>
      </c>
      <c r="C115" t="n">
        <v>16.1286471132386</v>
      </c>
    </row>
    <row r="116">
      <c r="A116" t="inlineStr">
        <is>
          <t>PHL</t>
        </is>
      </c>
      <c r="B116" t="inlineStr">
        <is>
          <t>2008</t>
        </is>
      </c>
      <c r="C116" t="n">
        <v>18.9671469154789</v>
      </c>
    </row>
    <row r="117">
      <c r="A117" t="inlineStr">
        <is>
          <t>PHL</t>
        </is>
      </c>
      <c r="B117" t="inlineStr">
        <is>
          <t>2009</t>
        </is>
      </c>
      <c r="C117" t="n">
        <v>17.4317211991991</v>
      </c>
    </row>
    <row r="118">
      <c r="A118" t="inlineStr">
        <is>
          <t>PHL</t>
        </is>
      </c>
      <c r="B118" t="inlineStr">
        <is>
          <t>2010</t>
        </is>
      </c>
      <c r="C118" t="n">
        <v>20.4417711390659</v>
      </c>
    </row>
    <row r="119">
      <c r="A119" t="inlineStr">
        <is>
          <t>PHL</t>
        </is>
      </c>
      <c r="B119" t="inlineStr">
        <is>
          <t>2011</t>
        </is>
      </c>
      <c r="C119" t="n">
        <v>20.7399365678349</v>
      </c>
    </row>
    <row r="120">
      <c r="A120" t="inlineStr">
        <is>
          <t>PHL</t>
        </is>
      </c>
      <c r="B120" t="inlineStr">
        <is>
          <t>2012</t>
        </is>
      </c>
      <c r="C120" t="n">
        <v>19.5607279687897</v>
      </c>
    </row>
    <row r="121">
      <c r="A121" t="inlineStr">
        <is>
          <t>PHL</t>
        </is>
      </c>
      <c r="B121" t="inlineStr">
        <is>
          <t>2013</t>
        </is>
      </c>
      <c r="C121" t="n">
        <v>20.642224107669</v>
      </c>
    </row>
    <row r="122">
      <c r="A122" t="inlineStr">
        <is>
          <t>PHL</t>
        </is>
      </c>
      <c r="B122" t="inlineStr">
        <is>
          <t>2014</t>
        </is>
      </c>
      <c r="C122" t="n">
        <v>20.9239704373705</v>
      </c>
    </row>
    <row r="123">
      <c r="A123" t="inlineStr">
        <is>
          <t>PHL</t>
        </is>
      </c>
      <c r="B123" t="inlineStr">
        <is>
          <t>2015</t>
        </is>
      </c>
      <c r="C123" t="n">
        <v>21.3409478711064</v>
      </c>
    </row>
    <row r="124">
      <c r="A124" t="inlineStr">
        <is>
          <t>PHL</t>
        </is>
      </c>
      <c r="B124" t="inlineStr">
        <is>
          <t>2016</t>
        </is>
      </c>
      <c r="C124" t="n">
        <v>24.618503101685</v>
      </c>
    </row>
    <row r="125">
      <c r="A125" t="inlineStr">
        <is>
          <t>PHL</t>
        </is>
      </c>
      <c r="B125" t="inlineStr">
        <is>
          <t>2017</t>
        </is>
      </c>
      <c r="C125" t="n">
        <v>25.5587738639602</v>
      </c>
    </row>
    <row r="126">
      <c r="A126" t="inlineStr">
        <is>
          <t>PHL</t>
        </is>
      </c>
      <c r="B126" t="inlineStr">
        <is>
          <t>2018</t>
        </is>
      </c>
      <c r="C126" t="n">
        <v>27.1505820415621</v>
      </c>
    </row>
    <row r="127">
      <c r="A127" t="inlineStr">
        <is>
          <t>PHL</t>
        </is>
      </c>
      <c r="B127" t="inlineStr">
        <is>
          <t>2019</t>
        </is>
      </c>
      <c r="C127" t="n">
        <v>26.4018084647284</v>
      </c>
    </row>
    <row r="128">
      <c r="A128" t="inlineStr">
        <is>
          <t>PHL</t>
        </is>
      </c>
      <c r="B128" t="inlineStr">
        <is>
          <t>2020</t>
        </is>
      </c>
      <c r="C128" t="n">
        <v>17.4333790282876</v>
      </c>
    </row>
    <row r="129">
      <c r="A129" t="inlineStr">
        <is>
          <t>PHL</t>
        </is>
      </c>
      <c r="B129" t="inlineStr">
        <is>
          <t>2021</t>
        </is>
      </c>
      <c r="C129" t="n">
        <v>21.1407371483135</v>
      </c>
    </row>
    <row r="130">
      <c r="A130" t="inlineStr">
        <is>
          <t>PHL</t>
        </is>
      </c>
      <c r="B130" t="inlineStr">
        <is>
          <t>2022</t>
        </is>
      </c>
      <c r="C130" t="n">
        <v>24.6858616763102</v>
      </c>
    </row>
    <row r="131">
      <c r="A131" t="inlineStr">
        <is>
          <t>PHL</t>
        </is>
      </c>
      <c r="B131" t="inlineStr">
        <is>
          <t>2023</t>
        </is>
      </c>
      <c r="C131" t="n">
        <v>23.4061516161597</v>
      </c>
    </row>
    <row r="132">
      <c r="A132" t="inlineStr">
        <is>
          <t>PHL</t>
        </is>
      </c>
      <c r="B132" t="inlineStr">
        <is>
          <t>2024</t>
        </is>
      </c>
      <c r="C132" t="n">
        <v>23.6782004674363</v>
      </c>
    </row>
    <row r="133">
      <c r="A133" t="inlineStr">
        <is>
          <t>PHL</t>
        </is>
      </c>
      <c r="B133" t="inlineStr">
        <is>
          <t>2025</t>
        </is>
      </c>
      <c r="C133" t="n">
        <v>22.1409469966766</v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</row>
    <row r="160">
      <c r="A160" t="inlineStr">
        <is>
          <t>VNM</t>
        </is>
      </c>
      <c r="B160" t="inlineStr">
        <is>
          <t>1986</t>
        </is>
      </c>
    </row>
    <row r="161">
      <c r="A161" t="inlineStr">
        <is>
          <t>VNM</t>
        </is>
      </c>
      <c r="B161" t="inlineStr">
        <is>
          <t>1987</t>
        </is>
      </c>
    </row>
    <row r="162">
      <c r="A162" t="inlineStr">
        <is>
          <t>VNM</t>
        </is>
      </c>
      <c r="B162" t="inlineStr">
        <is>
          <t>1988</t>
        </is>
      </c>
    </row>
    <row r="163">
      <c r="A163" t="inlineStr">
        <is>
          <t>VNM</t>
        </is>
      </c>
      <c r="B163" t="inlineStr">
        <is>
          <t>1989</t>
        </is>
      </c>
    </row>
    <row r="164">
      <c r="A164" t="inlineStr">
        <is>
          <t>VNM</t>
        </is>
      </c>
      <c r="B164" t="inlineStr">
        <is>
          <t>1990</t>
        </is>
      </c>
    </row>
    <row r="165">
      <c r="A165" t="inlineStr">
        <is>
          <t>VNM</t>
        </is>
      </c>
      <c r="B165" t="inlineStr">
        <is>
          <t>1991</t>
        </is>
      </c>
    </row>
    <row r="166">
      <c r="A166" t="inlineStr">
        <is>
          <t>VNM</t>
        </is>
      </c>
      <c r="B166" t="inlineStr">
        <is>
          <t>1992</t>
        </is>
      </c>
    </row>
    <row r="167">
      <c r="A167" t="inlineStr">
        <is>
          <t>VNM</t>
        </is>
      </c>
      <c r="B167" t="inlineStr">
        <is>
          <t>1993</t>
        </is>
      </c>
    </row>
    <row r="168">
      <c r="A168" t="inlineStr">
        <is>
          <t>VNM</t>
        </is>
      </c>
      <c r="B168" t="inlineStr">
        <is>
          <t>1994</t>
        </is>
      </c>
    </row>
    <row r="169">
      <c r="A169" t="inlineStr">
        <is>
          <t>VNM</t>
        </is>
      </c>
      <c r="B169" t="inlineStr">
        <is>
          <t>1995</t>
        </is>
      </c>
      <c r="C169" t="n">
        <v>27.1442426996138</v>
      </c>
    </row>
    <row r="170">
      <c r="A170" t="inlineStr">
        <is>
          <t>VNM</t>
        </is>
      </c>
      <c r="B170" t="inlineStr">
        <is>
          <t>1996</t>
        </is>
      </c>
      <c r="C170" t="n">
        <v>28.1028981458336</v>
      </c>
    </row>
    <row r="171">
      <c r="A171" t="inlineStr">
        <is>
          <t>VNM</t>
        </is>
      </c>
      <c r="B171" t="inlineStr">
        <is>
          <t>1997</t>
        </is>
      </c>
      <c r="C171" t="n">
        <v>28.2995826198971</v>
      </c>
    </row>
    <row r="172">
      <c r="A172" t="inlineStr">
        <is>
          <t>VNM</t>
        </is>
      </c>
      <c r="B172" t="inlineStr">
        <is>
          <t>1998</t>
        </is>
      </c>
      <c r="C172" t="n">
        <v>29.0498785375758</v>
      </c>
    </row>
    <row r="173">
      <c r="A173" t="inlineStr">
        <is>
          <t>VNM</t>
        </is>
      </c>
      <c r="B173" t="inlineStr">
        <is>
          <t>1999</t>
        </is>
      </c>
      <c r="C173" t="n">
        <v>27.6297563146656</v>
      </c>
    </row>
    <row r="174">
      <c r="A174" t="inlineStr">
        <is>
          <t>VNM</t>
        </is>
      </c>
      <c r="B174" t="inlineStr">
        <is>
          <t>2000</t>
        </is>
      </c>
      <c r="C174" t="n">
        <v>29.6099138223826</v>
      </c>
    </row>
    <row r="175">
      <c r="A175" t="inlineStr">
        <is>
          <t>VNM</t>
        </is>
      </c>
      <c r="B175" t="inlineStr">
        <is>
          <t>2001</t>
        </is>
      </c>
      <c r="C175" t="n">
        <v>31.1727734549497</v>
      </c>
    </row>
    <row r="176">
      <c r="A176" t="inlineStr">
        <is>
          <t>VNM</t>
        </is>
      </c>
      <c r="B176" t="inlineStr">
        <is>
          <t>2002</t>
        </is>
      </c>
      <c r="C176" t="n">
        <v>33.2205344910613</v>
      </c>
    </row>
    <row r="177">
      <c r="A177" t="inlineStr">
        <is>
          <t>VNM</t>
        </is>
      </c>
      <c r="B177" t="inlineStr">
        <is>
          <t>2003</t>
        </is>
      </c>
      <c r="C177" t="n">
        <v>35.444857957463</v>
      </c>
    </row>
    <row r="178">
      <c r="A178" t="inlineStr">
        <is>
          <t>VNM</t>
        </is>
      </c>
      <c r="B178" t="inlineStr">
        <is>
          <t>2004</t>
        </is>
      </c>
      <c r="C178" t="n">
        <v>35.46533166878</v>
      </c>
    </row>
    <row r="179">
      <c r="A179" t="inlineStr">
        <is>
          <t>VNM</t>
        </is>
      </c>
      <c r="B179" t="inlineStr">
        <is>
          <t>2005</t>
        </is>
      </c>
      <c r="C179" t="n">
        <v>33.7574028912441</v>
      </c>
    </row>
    <row r="180">
      <c r="A180" t="inlineStr">
        <is>
          <t>VNM</t>
        </is>
      </c>
      <c r="B180" t="inlineStr">
        <is>
          <t>2006</t>
        </is>
      </c>
      <c r="C180" t="n">
        <v>34.5366510764767</v>
      </c>
    </row>
    <row r="181">
      <c r="A181" t="inlineStr">
        <is>
          <t>VNM</t>
        </is>
      </c>
      <c r="B181" t="inlineStr">
        <is>
          <t>2007</t>
        </is>
      </c>
      <c r="C181" t="n">
        <v>39.5662708970146</v>
      </c>
    </row>
    <row r="182">
      <c r="A182" t="inlineStr">
        <is>
          <t>VNM</t>
        </is>
      </c>
      <c r="B182" t="inlineStr">
        <is>
          <t>2008</t>
        </is>
      </c>
      <c r="C182" t="n">
        <v>36.4931217965814</v>
      </c>
    </row>
    <row r="183">
      <c r="A183" t="inlineStr">
        <is>
          <t>VNM</t>
        </is>
      </c>
      <c r="B183" t="inlineStr">
        <is>
          <t>2009</t>
        </is>
      </c>
      <c r="C183" t="n">
        <v>37.1625554335215</v>
      </c>
    </row>
    <row r="184">
      <c r="A184" t="inlineStr">
        <is>
          <t>VNM</t>
        </is>
      </c>
      <c r="B184" t="inlineStr">
        <is>
          <t>2010</t>
        </is>
      </c>
      <c r="C184" t="n">
        <v>37.0990761715168</v>
      </c>
    </row>
    <row r="185">
      <c r="A185" t="inlineStr">
        <is>
          <t>VNM</t>
        </is>
      </c>
      <c r="B185" t="inlineStr">
        <is>
          <t>2011</t>
        </is>
      </c>
      <c r="C185" t="n">
        <v>32.3711434429224</v>
      </c>
    </row>
    <row r="186">
      <c r="A186" t="inlineStr">
        <is>
          <t>VNM</t>
        </is>
      </c>
      <c r="B186" t="inlineStr">
        <is>
          <t>2012</t>
        </is>
      </c>
      <c r="C186" t="n">
        <v>30.5592897696566</v>
      </c>
    </row>
    <row r="187">
      <c r="A187" t="inlineStr">
        <is>
          <t>VNM</t>
        </is>
      </c>
      <c r="B187" t="inlineStr">
        <is>
          <t>2013</t>
        </is>
      </c>
      <c r="C187" t="n">
        <v>30.2129034609593</v>
      </c>
    </row>
    <row r="188">
      <c r="A188" t="inlineStr">
        <is>
          <t>VNM</t>
        </is>
      </c>
      <c r="B188" t="inlineStr">
        <is>
          <t>2014</t>
        </is>
      </c>
      <c r="C188" t="n">
        <v>30.2890267860991</v>
      </c>
    </row>
    <row r="189">
      <c r="A189" t="inlineStr">
        <is>
          <t>VNM</t>
        </is>
      </c>
      <c r="B189" t="inlineStr">
        <is>
          <t>2015</t>
        </is>
      </c>
      <c r="C189" t="n">
        <v>32.1089158178217</v>
      </c>
    </row>
    <row r="190">
      <c r="A190" t="inlineStr">
        <is>
          <t>VNM</t>
        </is>
      </c>
      <c r="B190" t="inlineStr">
        <is>
          <t>2016</t>
        </is>
      </c>
      <c r="C190" t="n">
        <v>31.7245390951042</v>
      </c>
    </row>
    <row r="191">
      <c r="A191" t="inlineStr">
        <is>
          <t>VNM</t>
        </is>
      </c>
      <c r="B191" t="inlineStr">
        <is>
          <t>2017</t>
        </is>
      </c>
      <c r="C191" t="n">
        <v>32.305300920099</v>
      </c>
    </row>
    <row r="192">
      <c r="A192" t="inlineStr">
        <is>
          <t>VNM</t>
        </is>
      </c>
      <c r="B192" t="inlineStr">
        <is>
          <t>2018</t>
        </is>
      </c>
      <c r="C192" t="n">
        <v>32.019502902433</v>
      </c>
    </row>
    <row r="193">
      <c r="A193" t="inlineStr">
        <is>
          <t>VNM</t>
        </is>
      </c>
      <c r="B193" t="inlineStr">
        <is>
          <t>2019</t>
        </is>
      </c>
      <c r="C193" t="n">
        <v>31.9799606565797</v>
      </c>
    </row>
    <row r="194">
      <c r="A194" t="inlineStr">
        <is>
          <t>VNM</t>
        </is>
      </c>
      <c r="B194" t="inlineStr">
        <is>
          <t>2020</t>
        </is>
      </c>
      <c r="C194" t="n">
        <v>31.915688393806</v>
      </c>
    </row>
    <row r="195">
      <c r="A195" t="inlineStr">
        <is>
          <t>VNM</t>
        </is>
      </c>
      <c r="B195" t="inlineStr">
        <is>
          <t>2021</t>
        </is>
      </c>
      <c r="C195" t="n">
        <v>32.8956023366901</v>
      </c>
    </row>
    <row r="196">
      <c r="A196" t="inlineStr">
        <is>
          <t>VNM</t>
        </is>
      </c>
      <c r="B196" t="inlineStr">
        <is>
          <t>2022</t>
        </is>
      </c>
      <c r="C196" t="n">
        <v>32.3404994444961</v>
      </c>
    </row>
    <row r="197">
      <c r="A197" t="inlineStr">
        <is>
          <t>VNM</t>
        </is>
      </c>
      <c r="B197" t="inlineStr">
        <is>
          <t>2023</t>
        </is>
      </c>
      <c r="C197" t="n">
        <v>31.6683495522758</v>
      </c>
    </row>
    <row r="198">
      <c r="A198" t="inlineStr">
        <is>
          <t>VNM</t>
        </is>
      </c>
      <c r="B198" t="inlineStr">
        <is>
          <t>2024</t>
        </is>
      </c>
      <c r="C198" t="n">
        <v>30.5847264337631</v>
      </c>
    </row>
    <row r="199">
      <c r="A199" t="inlineStr">
        <is>
          <t>VNM</t>
        </is>
      </c>
      <c r="B199" t="inlineStr">
        <is>
          <t>2025</t>
        </is>
      </c>
      <c r="C199" t="n">
        <v>30.7951346149846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NE.EXP.GNFS.CD</t>
        </is>
      </c>
    </row>
    <row r="2">
      <c r="A2" t="inlineStr">
        <is>
          <t>IND</t>
        </is>
      </c>
      <c r="B2" t="inlineStr">
        <is>
          <t>1960</t>
        </is>
      </c>
      <c r="C2" t="n">
        <v>1652701652.70165</v>
      </c>
    </row>
    <row r="3">
      <c r="A3" t="inlineStr">
        <is>
          <t>IND</t>
        </is>
      </c>
      <c r="B3" t="inlineStr">
        <is>
          <t>1961</t>
        </is>
      </c>
      <c r="C3" t="n">
        <v>1688401688.40169</v>
      </c>
    </row>
    <row r="4">
      <c r="A4" t="inlineStr">
        <is>
          <t>IND</t>
        </is>
      </c>
      <c r="B4" t="inlineStr">
        <is>
          <t>1962</t>
        </is>
      </c>
      <c r="C4" t="n">
        <v>1757701757.70176</v>
      </c>
    </row>
    <row r="5">
      <c r="A5" t="inlineStr">
        <is>
          <t>IND</t>
        </is>
      </c>
      <c r="B5" t="inlineStr">
        <is>
          <t>1963</t>
        </is>
      </c>
      <c r="C5" t="n">
        <v>2072702072.70207</v>
      </c>
    </row>
    <row r="6">
      <c r="A6" t="inlineStr">
        <is>
          <t>IND</t>
        </is>
      </c>
      <c r="B6" t="inlineStr">
        <is>
          <t>1964</t>
        </is>
      </c>
      <c r="C6" t="n">
        <v>2104202104.2021</v>
      </c>
    </row>
    <row r="7">
      <c r="A7" t="inlineStr">
        <is>
          <t>IND</t>
        </is>
      </c>
      <c r="B7" t="inlineStr">
        <is>
          <t>1965</t>
        </is>
      </c>
      <c r="C7" t="n">
        <v>1969801969.80197</v>
      </c>
    </row>
    <row r="8">
      <c r="A8" t="inlineStr">
        <is>
          <t>IND</t>
        </is>
      </c>
      <c r="B8" t="inlineStr">
        <is>
          <t>1966</t>
        </is>
      </c>
      <c r="C8" t="n">
        <v>1888225564.87049</v>
      </c>
    </row>
    <row r="9">
      <c r="A9" t="inlineStr">
        <is>
          <t>IND</t>
        </is>
      </c>
      <c r="B9" t="inlineStr">
        <is>
          <t>1967</t>
        </is>
      </c>
      <c r="C9" t="n">
        <v>2022666666.66667</v>
      </c>
    </row>
    <row r="10">
      <c r="A10" t="inlineStr">
        <is>
          <t>IND</t>
        </is>
      </c>
      <c r="B10" t="inlineStr">
        <is>
          <t>1968</t>
        </is>
      </c>
      <c r="C10" t="n">
        <v>2144000000</v>
      </c>
    </row>
    <row r="11">
      <c r="A11" t="inlineStr">
        <is>
          <t>IND</t>
        </is>
      </c>
      <c r="B11" t="inlineStr">
        <is>
          <t>1969</t>
        </is>
      </c>
      <c r="C11" t="n">
        <v>2170666666.66667</v>
      </c>
    </row>
    <row r="12">
      <c r="A12" t="inlineStr">
        <is>
          <t>IND</t>
        </is>
      </c>
      <c r="B12" t="inlineStr">
        <is>
          <t>1970</t>
        </is>
      </c>
      <c r="C12" t="n">
        <v>2361333333.33333</v>
      </c>
    </row>
    <row r="13">
      <c r="A13" t="inlineStr">
        <is>
          <t>IND</t>
        </is>
      </c>
      <c r="B13" t="inlineStr">
        <is>
          <t>1971</t>
        </is>
      </c>
      <c r="C13" t="n">
        <v>2469914214.15473</v>
      </c>
    </row>
    <row r="14">
      <c r="A14" t="inlineStr">
        <is>
          <t>IND</t>
        </is>
      </c>
      <c r="B14" t="inlineStr">
        <is>
          <t>1972</t>
        </is>
      </c>
      <c r="C14" t="n">
        <v>2878233145.16372</v>
      </c>
    </row>
    <row r="15">
      <c r="A15" t="inlineStr">
        <is>
          <t>IND</t>
        </is>
      </c>
      <c r="B15" t="inlineStr">
        <is>
          <t>1973</t>
        </is>
      </c>
      <c r="C15" t="n">
        <v>3599236351.42232</v>
      </c>
    </row>
    <row r="16">
      <c r="A16" t="inlineStr">
        <is>
          <t>IND</t>
        </is>
      </c>
      <c r="B16" t="inlineStr">
        <is>
          <t>1974</t>
        </is>
      </c>
      <c r="C16" t="n">
        <v>4808449429.90723</v>
      </c>
    </row>
    <row r="17">
      <c r="A17" t="inlineStr">
        <is>
          <t>IND</t>
        </is>
      </c>
      <c r="B17" t="inlineStr">
        <is>
          <t>1975</t>
        </is>
      </c>
      <c r="C17" t="n">
        <v>5560878503.24078</v>
      </c>
    </row>
    <row r="18">
      <c r="A18" t="inlineStr">
        <is>
          <t>IND</t>
        </is>
      </c>
      <c r="B18" t="inlineStr">
        <is>
          <t>1976</t>
        </is>
      </c>
      <c r="C18" t="n">
        <v>6868148772.67222</v>
      </c>
    </row>
    <row r="19">
      <c r="A19" t="inlineStr">
        <is>
          <t>IND</t>
        </is>
      </c>
      <c r="B19" t="inlineStr">
        <is>
          <t>1977</t>
        </is>
      </c>
      <c r="C19" t="n">
        <v>7754701053.93862</v>
      </c>
    </row>
    <row r="20">
      <c r="A20" t="inlineStr">
        <is>
          <t>IND</t>
        </is>
      </c>
      <c r="B20" t="inlineStr">
        <is>
          <t>1978</t>
        </is>
      </c>
      <c r="C20" t="n">
        <v>8670401540.12653</v>
      </c>
    </row>
    <row r="21">
      <c r="A21" t="inlineStr">
        <is>
          <t>IND</t>
        </is>
      </c>
      <c r="B21" t="inlineStr">
        <is>
          <t>1979</t>
        </is>
      </c>
      <c r="C21" t="n">
        <v>10326638765.7562</v>
      </c>
    </row>
    <row r="22">
      <c r="A22" t="inlineStr">
        <is>
          <t>IND</t>
        </is>
      </c>
      <c r="B22" t="inlineStr">
        <is>
          <t>1980</t>
        </is>
      </c>
      <c r="C22" t="n">
        <v>11439738400.0812</v>
      </c>
    </row>
    <row r="23">
      <c r="A23" t="inlineStr">
        <is>
          <t>IND</t>
        </is>
      </c>
      <c r="B23" t="inlineStr">
        <is>
          <t>1981</t>
        </is>
      </c>
      <c r="C23" t="n">
        <v>11485699151.0595</v>
      </c>
    </row>
    <row r="24">
      <c r="A24" t="inlineStr">
        <is>
          <t>IND</t>
        </is>
      </c>
      <c r="B24" t="inlineStr">
        <is>
          <t>1982</t>
        </is>
      </c>
      <c r="C24" t="n">
        <v>12009417676.7037</v>
      </c>
    </row>
    <row r="25">
      <c r="A25" t="inlineStr">
        <is>
          <t>IND</t>
        </is>
      </c>
      <c r="B25" t="inlineStr">
        <is>
          <t>1983</t>
        </is>
      </c>
      <c r="C25" t="n">
        <v>12741335281.0764</v>
      </c>
    </row>
    <row r="26">
      <c r="A26" t="inlineStr">
        <is>
          <t>IND</t>
        </is>
      </c>
      <c r="B26" t="inlineStr">
        <is>
          <t>1984</t>
        </is>
      </c>
      <c r="C26" t="n">
        <v>13330716432.207</v>
      </c>
    </row>
    <row r="27">
      <c r="A27" t="inlineStr">
        <is>
          <t>IND</t>
        </is>
      </c>
      <c r="B27" t="inlineStr">
        <is>
          <t>1985</t>
        </is>
      </c>
      <c r="C27" t="n">
        <v>12217447521.8095</v>
      </c>
    </row>
    <row r="28">
      <c r="A28" t="inlineStr">
        <is>
          <t>IND</t>
        </is>
      </c>
      <c r="B28" t="inlineStr">
        <is>
          <t>1986</t>
        </is>
      </c>
      <c r="C28" t="n">
        <v>12937864153.5995</v>
      </c>
    </row>
    <row r="29">
      <c r="A29" t="inlineStr">
        <is>
          <t>IND</t>
        </is>
      </c>
      <c r="B29" t="inlineStr">
        <is>
          <t>1987</t>
        </is>
      </c>
      <c r="C29" t="n">
        <v>15638662913.9839</v>
      </c>
    </row>
    <row r="30">
      <c r="A30" t="inlineStr">
        <is>
          <t>IND</t>
        </is>
      </c>
      <c r="B30" t="inlineStr">
        <is>
          <t>1988</t>
        </is>
      </c>
      <c r="C30" t="n">
        <v>17899838408.9376</v>
      </c>
    </row>
    <row r="31">
      <c r="A31" t="inlineStr">
        <is>
          <t>IND</t>
        </is>
      </c>
      <c r="B31" t="inlineStr">
        <is>
          <t>1989</t>
        </is>
      </c>
      <c r="C31" t="n">
        <v>20770696112.0947</v>
      </c>
    </row>
    <row r="32">
      <c r="A32" t="inlineStr">
        <is>
          <t>IND</t>
        </is>
      </c>
      <c r="B32" t="inlineStr">
        <is>
          <t>1990</t>
        </is>
      </c>
      <c r="C32" t="n">
        <v>22639774911.5525</v>
      </c>
    </row>
    <row r="33">
      <c r="A33" t="inlineStr">
        <is>
          <t>IND</t>
        </is>
      </c>
      <c r="B33" t="inlineStr">
        <is>
          <t>1991</t>
        </is>
      </c>
      <c r="C33" t="n">
        <v>22943398073.2995</v>
      </c>
    </row>
    <row r="34">
      <c r="A34" t="inlineStr">
        <is>
          <t>IND</t>
        </is>
      </c>
      <c r="B34" t="inlineStr">
        <is>
          <t>1992</t>
        </is>
      </c>
      <c r="C34" t="n">
        <v>25486029046.6975</v>
      </c>
    </row>
    <row r="35">
      <c r="A35" t="inlineStr">
        <is>
          <t>IND</t>
        </is>
      </c>
      <c r="B35" t="inlineStr">
        <is>
          <t>1993</t>
        </is>
      </c>
      <c r="C35" t="n">
        <v>27466541462.9135</v>
      </c>
    </row>
    <row r="36">
      <c r="A36" t="inlineStr">
        <is>
          <t>IND</t>
        </is>
      </c>
      <c r="B36" t="inlineStr">
        <is>
          <t>1994</t>
        </is>
      </c>
      <c r="C36" t="n">
        <v>32361214431.4321</v>
      </c>
    </row>
    <row r="37">
      <c r="A37" t="inlineStr">
        <is>
          <t>IND</t>
        </is>
      </c>
      <c r="B37" t="inlineStr">
        <is>
          <t>1995</t>
        </is>
      </c>
      <c r="C37" t="n">
        <v>39068855117.8518</v>
      </c>
    </row>
    <row r="38">
      <c r="A38" t="inlineStr">
        <is>
          <t>IND</t>
        </is>
      </c>
      <c r="B38" t="inlineStr">
        <is>
          <t>1996</t>
        </is>
      </c>
      <c r="C38" t="n">
        <v>40803004618.1754</v>
      </c>
    </row>
    <row r="39">
      <c r="A39" t="inlineStr">
        <is>
          <t>IND</t>
        </is>
      </c>
      <c r="B39" t="inlineStr">
        <is>
          <t>1997</t>
        </is>
      </c>
      <c r="C39" t="n">
        <v>44459225642.5392</v>
      </c>
    </row>
    <row r="40">
      <c r="A40" t="inlineStr">
        <is>
          <t>IND</t>
        </is>
      </c>
      <c r="B40" t="inlineStr">
        <is>
          <t>1998</t>
        </is>
      </c>
      <c r="C40" t="n">
        <v>46426465025.0477</v>
      </c>
    </row>
    <row r="41">
      <c r="A41" t="inlineStr">
        <is>
          <t>IND</t>
        </is>
      </c>
      <c r="B41" t="inlineStr">
        <is>
          <t>1999</t>
        </is>
      </c>
      <c r="C41" t="n">
        <v>52544483402.6936</v>
      </c>
    </row>
    <row r="42">
      <c r="A42" t="inlineStr">
        <is>
          <t>IND</t>
        </is>
      </c>
      <c r="B42" t="inlineStr">
        <is>
          <t>2000</t>
        </is>
      </c>
      <c r="C42" t="n">
        <v>60878472821.2004</v>
      </c>
    </row>
    <row r="43">
      <c r="A43" t="inlineStr">
        <is>
          <t>IND</t>
        </is>
      </c>
      <c r="B43" t="inlineStr">
        <is>
          <t>2001</t>
        </is>
      </c>
      <c r="C43" t="n">
        <v>60963415576.6447</v>
      </c>
    </row>
    <row r="44">
      <c r="A44" t="inlineStr">
        <is>
          <t>IND</t>
        </is>
      </c>
      <c r="B44" t="inlineStr">
        <is>
          <t>2002</t>
        </is>
      </c>
      <c r="C44" t="n">
        <v>73452895951.6331</v>
      </c>
    </row>
    <row r="45">
      <c r="A45" t="inlineStr">
        <is>
          <t>IND</t>
        </is>
      </c>
      <c r="B45" t="inlineStr">
        <is>
          <t>2003</t>
        </is>
      </c>
      <c r="C45" t="n">
        <v>90838575243.7621</v>
      </c>
    </row>
    <row r="46">
      <c r="A46" t="inlineStr">
        <is>
          <t>IND</t>
        </is>
      </c>
      <c r="B46" t="inlineStr">
        <is>
          <t>2004</t>
        </is>
      </c>
      <c r="C46" t="n">
        <v>126648472020.752</v>
      </c>
    </row>
    <row r="47">
      <c r="A47" t="inlineStr">
        <is>
          <t>IND</t>
        </is>
      </c>
      <c r="B47" t="inlineStr">
        <is>
          <t>2005</t>
        </is>
      </c>
      <c r="C47" t="n">
        <v>160838260680.778</v>
      </c>
    </row>
    <row r="48">
      <c r="A48" t="inlineStr">
        <is>
          <t>IND</t>
        </is>
      </c>
      <c r="B48" t="inlineStr">
        <is>
          <t>2006</t>
        </is>
      </c>
      <c r="C48" t="n">
        <v>199973922363.783</v>
      </c>
    </row>
    <row r="49">
      <c r="A49" t="inlineStr">
        <is>
          <t>IND</t>
        </is>
      </c>
      <c r="B49" t="inlineStr">
        <is>
          <t>2007</t>
        </is>
      </c>
      <c r="C49" t="n">
        <v>253077526013.168</v>
      </c>
    </row>
    <row r="50">
      <c r="A50" t="inlineStr">
        <is>
          <t>IND</t>
        </is>
      </c>
      <c r="B50" t="inlineStr">
        <is>
          <t>2008</t>
        </is>
      </c>
      <c r="C50" t="n">
        <v>288902044820.698</v>
      </c>
    </row>
    <row r="51">
      <c r="A51" t="inlineStr">
        <is>
          <t>IND</t>
        </is>
      </c>
      <c r="B51" t="inlineStr">
        <is>
          <t>2009</t>
        </is>
      </c>
      <c r="C51" t="n">
        <v>273752124889.211</v>
      </c>
    </row>
    <row r="52">
      <c r="A52" t="inlineStr">
        <is>
          <t>IND</t>
        </is>
      </c>
      <c r="B52" t="inlineStr">
        <is>
          <t>2010</t>
        </is>
      </c>
      <c r="C52" t="n">
        <v>375353514026.267</v>
      </c>
    </row>
    <row r="53">
      <c r="A53" t="inlineStr">
        <is>
          <t>IND</t>
        </is>
      </c>
      <c r="B53" t="inlineStr">
        <is>
          <t>2011</t>
        </is>
      </c>
      <c r="C53" t="n">
        <v>447384417625.093</v>
      </c>
    </row>
    <row r="54">
      <c r="A54" t="inlineStr">
        <is>
          <t>IND</t>
        </is>
      </c>
      <c r="B54" t="inlineStr">
        <is>
          <t>2012</t>
        </is>
      </c>
      <c r="C54" t="n">
        <v>448400477361.254</v>
      </c>
    </row>
    <row r="55">
      <c r="A55" t="inlineStr">
        <is>
          <t>IND</t>
        </is>
      </c>
      <c r="B55" t="inlineStr">
        <is>
          <t>2013</t>
        </is>
      </c>
      <c r="C55" t="n">
        <v>472180271340.149</v>
      </c>
    </row>
    <row r="56">
      <c r="A56" t="inlineStr">
        <is>
          <t>IND</t>
        </is>
      </c>
      <c r="B56" t="inlineStr">
        <is>
          <t>2014</t>
        </is>
      </c>
      <c r="C56" t="n">
        <v>468345815420.933</v>
      </c>
    </row>
    <row r="57">
      <c r="A57" t="inlineStr">
        <is>
          <t>IND</t>
        </is>
      </c>
      <c r="B57" t="inlineStr">
        <is>
          <t>2015</t>
        </is>
      </c>
      <c r="C57" t="n">
        <v>416787940847.812</v>
      </c>
    </row>
    <row r="58">
      <c r="A58" t="inlineStr">
        <is>
          <t>IND</t>
        </is>
      </c>
      <c r="B58" t="inlineStr">
        <is>
          <t>2016</t>
        </is>
      </c>
      <c r="C58" t="n">
        <v>439642578076.358</v>
      </c>
    </row>
    <row r="59">
      <c r="A59" t="inlineStr">
        <is>
          <t>IND</t>
        </is>
      </c>
      <c r="B59" t="inlineStr">
        <is>
          <t>2017</t>
        </is>
      </c>
      <c r="C59" t="n">
        <v>498258808231.521</v>
      </c>
    </row>
    <row r="60">
      <c r="A60" t="inlineStr">
        <is>
          <t>IND</t>
        </is>
      </c>
      <c r="B60" t="inlineStr">
        <is>
          <t>2018</t>
        </is>
      </c>
      <c r="C60" t="n">
        <v>538635186135.438</v>
      </c>
    </row>
    <row r="61">
      <c r="A61" t="inlineStr">
        <is>
          <t>IND</t>
        </is>
      </c>
      <c r="B61" t="inlineStr">
        <is>
          <t>2019</t>
        </is>
      </c>
      <c r="C61" t="n">
        <v>529245063167.215</v>
      </c>
    </row>
    <row r="62">
      <c r="A62" t="inlineStr">
        <is>
          <t>IND</t>
        </is>
      </c>
      <c r="B62" t="inlineStr">
        <is>
          <t>2020</t>
        </is>
      </c>
      <c r="C62" t="n">
        <v>499728529072.629</v>
      </c>
    </row>
    <row r="63">
      <c r="A63" t="inlineStr">
        <is>
          <t>IND</t>
        </is>
      </c>
      <c r="B63" t="inlineStr">
        <is>
          <t>2021</t>
        </is>
      </c>
      <c r="C63" t="n">
        <v>677769255428.552</v>
      </c>
    </row>
    <row r="64">
      <c r="A64" t="inlineStr">
        <is>
          <t>IND</t>
        </is>
      </c>
      <c r="B64" t="inlineStr">
        <is>
          <t>2022</t>
        </is>
      </c>
      <c r="C64" t="n">
        <v>781290791563.827</v>
      </c>
    </row>
    <row r="65">
      <c r="A65" t="inlineStr">
        <is>
          <t>IND</t>
        </is>
      </c>
      <c r="B65" t="inlineStr">
        <is>
          <t>2023</t>
        </is>
      </c>
      <c r="C65" t="n">
        <v>782620610192.051</v>
      </c>
    </row>
    <row r="66">
      <c r="A66" t="inlineStr">
        <is>
          <t>IND</t>
        </is>
      </c>
      <c r="B66" t="inlineStr">
        <is>
          <t>2024</t>
        </is>
      </c>
      <c r="C66" t="n">
        <v>829785193474.459</v>
      </c>
    </row>
    <row r="67">
      <c r="A67" t="inlineStr">
        <is>
          <t>IND</t>
        </is>
      </c>
      <c r="B67" t="inlineStr">
        <is>
          <t>2025</t>
        </is>
      </c>
      <c r="C67" t="n">
        <v>880740846621.545</v>
      </c>
    </row>
    <row r="68">
      <c r="A68" t="inlineStr">
        <is>
          <t>PHL</t>
        </is>
      </c>
      <c r="B68" t="inlineStr">
        <is>
          <t>1960</t>
        </is>
      </c>
    </row>
    <row r="69">
      <c r="A69" t="inlineStr">
        <is>
          <t>PHL</t>
        </is>
      </c>
      <c r="B69" t="inlineStr">
        <is>
          <t>1961</t>
        </is>
      </c>
    </row>
    <row r="70">
      <c r="A70" t="inlineStr">
        <is>
          <t>PHL</t>
        </is>
      </c>
      <c r="B70" t="inlineStr">
        <is>
          <t>1962</t>
        </is>
      </c>
    </row>
    <row r="71">
      <c r="A71" t="inlineStr">
        <is>
          <t>PHL</t>
        </is>
      </c>
      <c r="B71" t="inlineStr">
        <is>
          <t>1963</t>
        </is>
      </c>
    </row>
    <row r="72">
      <c r="A72" t="inlineStr">
        <is>
          <t>PHL</t>
        </is>
      </c>
      <c r="B72" t="inlineStr">
        <is>
          <t>1964</t>
        </is>
      </c>
    </row>
    <row r="73">
      <c r="A73" t="inlineStr">
        <is>
          <t>PHL</t>
        </is>
      </c>
      <c r="B73" t="inlineStr">
        <is>
          <t>1965</t>
        </is>
      </c>
    </row>
    <row r="74">
      <c r="A74" t="inlineStr">
        <is>
          <t>PHL</t>
        </is>
      </c>
      <c r="B74" t="inlineStr">
        <is>
          <t>1966</t>
        </is>
      </c>
    </row>
    <row r="75">
      <c r="A75" t="inlineStr">
        <is>
          <t>PHL</t>
        </is>
      </c>
      <c r="B75" t="inlineStr">
        <is>
          <t>1967</t>
        </is>
      </c>
    </row>
    <row r="76">
      <c r="A76" t="inlineStr">
        <is>
          <t>PHL</t>
        </is>
      </c>
      <c r="B76" t="inlineStr">
        <is>
          <t>1968</t>
        </is>
      </c>
    </row>
    <row r="77">
      <c r="A77" t="inlineStr">
        <is>
          <t>PHL</t>
        </is>
      </c>
      <c r="B77" t="inlineStr">
        <is>
          <t>1969</t>
        </is>
      </c>
    </row>
    <row r="78">
      <c r="A78" t="inlineStr">
        <is>
          <t>PHL</t>
        </is>
      </c>
      <c r="B78" t="inlineStr">
        <is>
          <t>1970</t>
        </is>
      </c>
    </row>
    <row r="79">
      <c r="A79" t="inlineStr">
        <is>
          <t>PHL</t>
        </is>
      </c>
      <c r="B79" t="inlineStr">
        <is>
          <t>1971</t>
        </is>
      </c>
    </row>
    <row r="80">
      <c r="A80" t="inlineStr">
        <is>
          <t>PHL</t>
        </is>
      </c>
      <c r="B80" t="inlineStr">
        <is>
          <t>1972</t>
        </is>
      </c>
    </row>
    <row r="81">
      <c r="A81" t="inlineStr">
        <is>
          <t>PHL</t>
        </is>
      </c>
      <c r="B81" t="inlineStr">
        <is>
          <t>1973</t>
        </is>
      </c>
    </row>
    <row r="82">
      <c r="A82" t="inlineStr">
        <is>
          <t>PHL</t>
        </is>
      </c>
      <c r="B82" t="inlineStr">
        <is>
          <t>1974</t>
        </is>
      </c>
    </row>
    <row r="83">
      <c r="A83" t="inlineStr">
        <is>
          <t>PHL</t>
        </is>
      </c>
      <c r="B83" t="inlineStr">
        <is>
          <t>1975</t>
        </is>
      </c>
    </row>
    <row r="84">
      <c r="A84" t="inlineStr">
        <is>
          <t>PHL</t>
        </is>
      </c>
      <c r="B84" t="inlineStr">
        <is>
          <t>1976</t>
        </is>
      </c>
    </row>
    <row r="85">
      <c r="A85" t="inlineStr">
        <is>
          <t>PHL</t>
        </is>
      </c>
      <c r="B85" t="inlineStr">
        <is>
          <t>1977</t>
        </is>
      </c>
    </row>
    <row r="86">
      <c r="A86" t="inlineStr">
        <is>
          <t>PHL</t>
        </is>
      </c>
      <c r="B86" t="inlineStr">
        <is>
          <t>1978</t>
        </is>
      </c>
    </row>
    <row r="87">
      <c r="A87" t="inlineStr">
        <is>
          <t>PHL</t>
        </is>
      </c>
      <c r="B87" t="inlineStr">
        <is>
          <t>1979</t>
        </is>
      </c>
    </row>
    <row r="88">
      <c r="A88" t="inlineStr">
        <is>
          <t>PHL</t>
        </is>
      </c>
      <c r="B88" t="inlineStr">
        <is>
          <t>1980</t>
        </is>
      </c>
    </row>
    <row r="89">
      <c r="A89" t="inlineStr">
        <is>
          <t>PHL</t>
        </is>
      </c>
      <c r="B89" t="inlineStr">
        <is>
          <t>1981</t>
        </is>
      </c>
      <c r="C89" t="n">
        <v>6543358555.12586</v>
      </c>
    </row>
    <row r="90">
      <c r="A90" t="inlineStr">
        <is>
          <t>PHL</t>
        </is>
      </c>
      <c r="B90" t="inlineStr">
        <is>
          <t>1982</t>
        </is>
      </c>
      <c r="C90" t="n">
        <v>5854443596.01874</v>
      </c>
    </row>
    <row r="91">
      <c r="A91" t="inlineStr">
        <is>
          <t>PHL</t>
        </is>
      </c>
      <c r="B91" t="inlineStr">
        <is>
          <t>1983</t>
        </is>
      </c>
      <c r="C91" t="n">
        <v>5554591564.78114</v>
      </c>
    </row>
    <row r="92">
      <c r="A92" t="inlineStr">
        <is>
          <t>PHL</t>
        </is>
      </c>
      <c r="B92" t="inlineStr">
        <is>
          <t>1984</t>
        </is>
      </c>
      <c r="C92" t="n">
        <v>6053575750.89043</v>
      </c>
    </row>
    <row r="93">
      <c r="A93" t="inlineStr">
        <is>
          <t>PHL</t>
        </is>
      </c>
      <c r="B93" t="inlineStr">
        <is>
          <t>1985</t>
        </is>
      </c>
      <c r="C93" t="n">
        <v>5951187302.3025</v>
      </c>
    </row>
    <row r="94">
      <c r="A94" t="inlineStr">
        <is>
          <t>PHL</t>
        </is>
      </c>
      <c r="B94" t="inlineStr">
        <is>
          <t>1986</t>
        </is>
      </c>
      <c r="C94" t="n">
        <v>6310106781.80368</v>
      </c>
    </row>
    <row r="95">
      <c r="A95" t="inlineStr">
        <is>
          <t>PHL</t>
        </is>
      </c>
      <c r="B95" t="inlineStr">
        <is>
          <t>1987</t>
        </is>
      </c>
      <c r="C95" t="n">
        <v>7007121196.73225</v>
      </c>
    </row>
    <row r="96">
      <c r="A96" t="inlineStr">
        <is>
          <t>PHL</t>
        </is>
      </c>
      <c r="B96" t="inlineStr">
        <is>
          <t>1988</t>
        </is>
      </c>
      <c r="C96" t="n">
        <v>8630151222.99822</v>
      </c>
    </row>
    <row r="97">
      <c r="A97" t="inlineStr">
        <is>
          <t>PHL</t>
        </is>
      </c>
      <c r="B97" t="inlineStr">
        <is>
          <t>1989</t>
        </is>
      </c>
      <c r="C97" t="n">
        <v>9576565364.64188</v>
      </c>
    </row>
    <row r="98">
      <c r="A98" t="inlineStr">
        <is>
          <t>PHL</t>
        </is>
      </c>
      <c r="B98" t="inlineStr">
        <is>
          <t>1990</t>
        </is>
      </c>
      <c r="C98" t="n">
        <v>9795179683.675779</v>
      </c>
    </row>
    <row r="99">
      <c r="A99" t="inlineStr">
        <is>
          <t>PHL</t>
        </is>
      </c>
      <c r="B99" t="inlineStr">
        <is>
          <t>1991</t>
        </is>
      </c>
      <c r="C99" t="n">
        <v>10856619093.8246</v>
      </c>
    </row>
    <row r="100">
      <c r="A100" t="inlineStr">
        <is>
          <t>PHL</t>
        </is>
      </c>
      <c r="B100" t="inlineStr">
        <is>
          <t>1992</t>
        </is>
      </c>
      <c r="C100" t="n">
        <v>12555557116.8822</v>
      </c>
    </row>
    <row r="101">
      <c r="A101" t="inlineStr">
        <is>
          <t>PHL</t>
        </is>
      </c>
      <c r="B101" t="inlineStr">
        <is>
          <t>1993</t>
        </is>
      </c>
      <c r="C101" t="n">
        <v>13836087972.0464</v>
      </c>
    </row>
    <row r="102">
      <c r="A102" t="inlineStr">
        <is>
          <t>PHL</t>
        </is>
      </c>
      <c r="B102" t="inlineStr">
        <is>
          <t>1994</t>
        </is>
      </c>
      <c r="C102" t="n">
        <v>17613597498.9294</v>
      </c>
    </row>
    <row r="103">
      <c r="A103" t="inlineStr">
        <is>
          <t>PHL</t>
        </is>
      </c>
      <c r="B103" t="inlineStr">
        <is>
          <t>1995</t>
        </is>
      </c>
      <c r="C103" t="n">
        <v>21961852796.7156</v>
      </c>
    </row>
    <row r="104">
      <c r="A104" t="inlineStr">
        <is>
          <t>PHL</t>
        </is>
      </c>
      <c r="B104" t="inlineStr">
        <is>
          <t>1996</t>
        </is>
      </c>
      <c r="C104" t="n">
        <v>27340728434.0539</v>
      </c>
    </row>
    <row r="105">
      <c r="A105" t="inlineStr">
        <is>
          <t>PHL</t>
        </is>
      </c>
      <c r="B105" t="inlineStr">
        <is>
          <t>1997</t>
        </is>
      </c>
      <c r="C105" t="n">
        <v>33018279727.5853</v>
      </c>
    </row>
    <row r="106">
      <c r="A106" t="inlineStr">
        <is>
          <t>PHL</t>
        </is>
      </c>
      <c r="B106" t="inlineStr">
        <is>
          <t>1998</t>
        </is>
      </c>
      <c r="C106" t="n">
        <v>28163249808.9529</v>
      </c>
    </row>
    <row r="107">
      <c r="A107" t="inlineStr">
        <is>
          <t>PHL</t>
        </is>
      </c>
      <c r="B107" t="inlineStr">
        <is>
          <t>1999</t>
        </is>
      </c>
      <c r="C107" t="n">
        <v>32895382041.5333</v>
      </c>
    </row>
    <row r="108">
      <c r="A108" t="inlineStr">
        <is>
          <t>PHL</t>
        </is>
      </c>
      <c r="B108" t="inlineStr">
        <is>
          <t>2000</t>
        </is>
      </c>
      <c r="C108" t="n">
        <v>36266016498.3679</v>
      </c>
    </row>
    <row r="109">
      <c r="A109" t="inlineStr">
        <is>
          <t>PHL</t>
        </is>
      </c>
      <c r="B109" t="inlineStr">
        <is>
          <t>2001</t>
        </is>
      </c>
      <c r="C109" t="n">
        <v>32480429836.8783</v>
      </c>
    </row>
    <row r="110">
      <c r="A110" t="inlineStr">
        <is>
          <t>PHL</t>
        </is>
      </c>
      <c r="B110" t="inlineStr">
        <is>
          <t>2002</t>
        </is>
      </c>
      <c r="C110" t="n">
        <v>33727726965.0759</v>
      </c>
    </row>
    <row r="111">
      <c r="A111" t="inlineStr">
        <is>
          <t>PHL</t>
        </is>
      </c>
      <c r="B111" t="inlineStr">
        <is>
          <t>2003</t>
        </is>
      </c>
      <c r="C111" t="n">
        <v>36821904272.9347</v>
      </c>
    </row>
    <row r="112">
      <c r="A112" t="inlineStr">
        <is>
          <t>PHL</t>
        </is>
      </c>
      <c r="B112" t="inlineStr">
        <is>
          <t>2004</t>
        </is>
      </c>
      <c r="C112" t="n">
        <v>39736335346.4638</v>
      </c>
    </row>
    <row r="113">
      <c r="A113" t="inlineStr">
        <is>
          <t>PHL</t>
        </is>
      </c>
      <c r="B113" t="inlineStr">
        <is>
          <t>2005</t>
        </is>
      </c>
      <c r="C113" t="n">
        <v>44289298773.9857</v>
      </c>
    </row>
    <row r="114">
      <c r="A114" t="inlineStr">
        <is>
          <t>PHL</t>
        </is>
      </c>
      <c r="B114" t="inlineStr">
        <is>
          <t>2006</t>
        </is>
      </c>
      <c r="C114" t="n">
        <v>52651035880.407</v>
      </c>
    </row>
    <row r="115">
      <c r="A115" t="inlineStr">
        <is>
          <t>PHL</t>
        </is>
      </c>
      <c r="B115" t="inlineStr">
        <is>
          <t>2007</t>
        </is>
      </c>
      <c r="C115" t="n">
        <v>59294683203.5813</v>
      </c>
    </row>
    <row r="116">
      <c r="A116" t="inlineStr">
        <is>
          <t>PHL</t>
        </is>
      </c>
      <c r="B116" t="inlineStr">
        <is>
          <t>2008</t>
        </is>
      </c>
      <c r="C116" t="n">
        <v>60584223733.5822</v>
      </c>
    </row>
    <row r="117">
      <c r="A117" t="inlineStr">
        <is>
          <t>PHL</t>
        </is>
      </c>
      <c r="B117" t="inlineStr">
        <is>
          <t>2009</t>
        </is>
      </c>
      <c r="C117" t="n">
        <v>53178736402.3859</v>
      </c>
    </row>
    <row r="118">
      <c r="A118" t="inlineStr">
        <is>
          <t>PHL</t>
        </is>
      </c>
      <c r="B118" t="inlineStr">
        <is>
          <t>2010</t>
        </is>
      </c>
      <c r="C118" t="n">
        <v>68500918811.9867</v>
      </c>
    </row>
    <row r="119">
      <c r="A119" t="inlineStr">
        <is>
          <t>PHL</t>
        </is>
      </c>
      <c r="B119" t="inlineStr">
        <is>
          <t>2011</t>
        </is>
      </c>
      <c r="C119" t="n">
        <v>68169783855.6464</v>
      </c>
    </row>
    <row r="120">
      <c r="A120" t="inlineStr">
        <is>
          <t>PHL</t>
        </is>
      </c>
      <c r="B120" t="inlineStr">
        <is>
          <t>2012</t>
        </is>
      </c>
      <c r="C120" t="n">
        <v>71941908434.7541</v>
      </c>
    </row>
    <row r="121">
      <c r="A121" t="inlineStr">
        <is>
          <t>PHL</t>
        </is>
      </c>
      <c r="B121" t="inlineStr">
        <is>
          <t>2013</t>
        </is>
      </c>
      <c r="C121" t="n">
        <v>74318435289.2963</v>
      </c>
    </row>
    <row r="122">
      <c r="A122" t="inlineStr">
        <is>
          <t>PHL</t>
        </is>
      </c>
      <c r="B122" t="inlineStr">
        <is>
          <t>2014</t>
        </is>
      </c>
      <c r="C122" t="n">
        <v>81375151612.2683</v>
      </c>
    </row>
    <row r="123">
      <c r="A123" t="inlineStr">
        <is>
          <t>PHL</t>
        </is>
      </c>
      <c r="B123" t="inlineStr">
        <is>
          <t>2015</t>
        </is>
      </c>
      <c r="C123" t="n">
        <v>83377968054.3017</v>
      </c>
    </row>
    <row r="124">
      <c r="A124" t="inlineStr">
        <is>
          <t>PHL</t>
        </is>
      </c>
      <c r="B124" t="inlineStr">
        <is>
          <t>2016</t>
        </is>
      </c>
      <c r="C124" t="n">
        <v>84987391167.9967</v>
      </c>
    </row>
    <row r="125">
      <c r="A125" t="inlineStr">
        <is>
          <t>PHL</t>
        </is>
      </c>
      <c r="B125" t="inlineStr">
        <is>
          <t>2017</t>
        </is>
      </c>
      <c r="C125" t="n">
        <v>97073582741.5119</v>
      </c>
    </row>
    <row r="126">
      <c r="A126" t="inlineStr">
        <is>
          <t>PHL</t>
        </is>
      </c>
      <c r="B126" t="inlineStr">
        <is>
          <t>2018</t>
        </is>
      </c>
      <c r="C126" t="n">
        <v>104793441904.255</v>
      </c>
    </row>
    <row r="127">
      <c r="A127" t="inlineStr">
        <is>
          <t>PHL</t>
        </is>
      </c>
      <c r="B127" t="inlineStr">
        <is>
          <t>2019</t>
        </is>
      </c>
      <c r="C127" t="n">
        <v>106953484846.44</v>
      </c>
    </row>
    <row r="128">
      <c r="A128" t="inlineStr">
        <is>
          <t>PHL</t>
        </is>
      </c>
      <c r="B128" t="inlineStr">
        <is>
          <t>2020</t>
        </is>
      </c>
      <c r="C128" t="n">
        <v>91171559890.9852</v>
      </c>
    </row>
    <row r="129">
      <c r="A129" t="inlineStr">
        <is>
          <t>PHL</t>
        </is>
      </c>
      <c r="B129" t="inlineStr">
        <is>
          <t>2021</t>
        </is>
      </c>
      <c r="C129" t="n">
        <v>101485514507.701</v>
      </c>
    </row>
    <row r="130">
      <c r="A130" t="inlineStr">
        <is>
          <t>PHL</t>
        </is>
      </c>
      <c r="B130" t="inlineStr">
        <is>
          <t>2022</t>
        </is>
      </c>
      <c r="C130" t="n">
        <v>114785414693.615</v>
      </c>
    </row>
    <row r="131">
      <c r="A131" t="inlineStr">
        <is>
          <t>PHL</t>
        </is>
      </c>
      <c r="B131" t="inlineStr">
        <is>
          <t>2023</t>
        </is>
      </c>
      <c r="C131" t="n">
        <v>116417848992.129</v>
      </c>
    </row>
    <row r="132">
      <c r="A132" t="inlineStr">
        <is>
          <t>PHL</t>
        </is>
      </c>
      <c r="B132" t="inlineStr">
        <is>
          <t>2024</t>
        </is>
      </c>
      <c r="C132" t="n">
        <v>118820216615.131</v>
      </c>
    </row>
    <row r="133">
      <c r="A133" t="inlineStr">
        <is>
          <t>PHL</t>
        </is>
      </c>
      <c r="B133" t="inlineStr">
        <is>
          <t>2025</t>
        </is>
      </c>
      <c r="C133" t="n">
        <v>129323001566.143</v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</row>
    <row r="160">
      <c r="A160" t="inlineStr">
        <is>
          <t>VNM</t>
        </is>
      </c>
      <c r="B160" t="inlineStr">
        <is>
          <t>1986</t>
        </is>
      </c>
      <c r="C160" t="n">
        <v>1744152761.16778</v>
      </c>
    </row>
    <row r="161">
      <c r="A161" t="inlineStr">
        <is>
          <t>VNM</t>
        </is>
      </c>
      <c r="B161" t="inlineStr">
        <is>
          <t>1987</t>
        </is>
      </c>
      <c r="C161" t="n">
        <v>2200010145.48288</v>
      </c>
    </row>
    <row r="162">
      <c r="A162" t="inlineStr">
        <is>
          <t>VNM</t>
        </is>
      </c>
      <c r="B162" t="inlineStr">
        <is>
          <t>1988</t>
        </is>
      </c>
      <c r="C162" t="n">
        <v>1003045229.32543</v>
      </c>
    </row>
    <row r="163">
      <c r="A163" t="inlineStr">
        <is>
          <t>VNM</t>
        </is>
      </c>
      <c r="B163" t="inlineStr">
        <is>
          <t>1989</t>
        </is>
      </c>
      <c r="C163" t="n">
        <v>1500912820.21919</v>
      </c>
    </row>
    <row r="164">
      <c r="A164" t="inlineStr">
        <is>
          <t>VNM</t>
        </is>
      </c>
      <c r="B164" t="inlineStr">
        <is>
          <t>1990</t>
        </is>
      </c>
      <c r="C164" t="n">
        <v>2332325664.6457</v>
      </c>
    </row>
    <row r="165">
      <c r="A165" t="inlineStr">
        <is>
          <t>VNM</t>
        </is>
      </c>
      <c r="B165" t="inlineStr">
        <is>
          <t>1991</t>
        </is>
      </c>
      <c r="C165" t="n">
        <v>2971976968.94483</v>
      </c>
    </row>
    <row r="166">
      <c r="A166" t="inlineStr">
        <is>
          <t>VNM</t>
        </is>
      </c>
      <c r="B166" t="inlineStr">
        <is>
          <t>1992</t>
        </is>
      </c>
      <c r="C166" t="n">
        <v>3428344546.99355</v>
      </c>
    </row>
    <row r="167">
      <c r="A167" t="inlineStr">
        <is>
          <t>VNM</t>
        </is>
      </c>
      <c r="B167" t="inlineStr">
        <is>
          <t>1993</t>
        </is>
      </c>
      <c r="C167" t="n">
        <v>3785936655.43334</v>
      </c>
    </row>
    <row r="168">
      <c r="A168" t="inlineStr">
        <is>
          <t>VNM</t>
        </is>
      </c>
      <c r="B168" t="inlineStr">
        <is>
          <t>1994</t>
        </is>
      </c>
      <c r="C168" t="n">
        <v>5539525589.2744</v>
      </c>
    </row>
    <row r="169">
      <c r="A169" t="inlineStr">
        <is>
          <t>VNM</t>
        </is>
      </c>
      <c r="B169" t="inlineStr">
        <is>
          <t>1995</t>
        </is>
      </c>
      <c r="C169" t="n">
        <v>6804127645.72674</v>
      </c>
    </row>
    <row r="170">
      <c r="A170" t="inlineStr">
        <is>
          <t>VNM</t>
        </is>
      </c>
      <c r="B170" t="inlineStr">
        <is>
          <t>1996</t>
        </is>
      </c>
      <c r="C170" t="n">
        <v>10077135261.0313</v>
      </c>
    </row>
    <row r="171">
      <c r="A171" t="inlineStr">
        <is>
          <t>VNM</t>
        </is>
      </c>
      <c r="B171" t="inlineStr">
        <is>
          <t>1997</t>
        </is>
      </c>
      <c r="C171" t="n">
        <v>11570361482.9776</v>
      </c>
    </row>
    <row r="172">
      <c r="A172" t="inlineStr">
        <is>
          <t>VNM</t>
        </is>
      </c>
      <c r="B172" t="inlineStr">
        <is>
          <t>1998</t>
        </is>
      </c>
      <c r="C172" t="n">
        <v>12203044874.8869</v>
      </c>
    </row>
    <row r="173">
      <c r="A173" t="inlineStr">
        <is>
          <t>VNM</t>
        </is>
      </c>
      <c r="B173" t="inlineStr">
        <is>
          <t>1999</t>
        </is>
      </c>
      <c r="C173" t="n">
        <v>14332147613.4295</v>
      </c>
    </row>
    <row r="174">
      <c r="A174" t="inlineStr">
        <is>
          <t>VNM</t>
        </is>
      </c>
      <c r="B174" t="inlineStr">
        <is>
          <t>2000</t>
        </is>
      </c>
      <c r="C174" t="n">
        <v>16808688578.4482</v>
      </c>
    </row>
    <row r="175">
      <c r="A175" t="inlineStr">
        <is>
          <t>VNM</t>
        </is>
      </c>
      <c r="B175" t="inlineStr">
        <is>
          <t>2001</t>
        </is>
      </c>
      <c r="C175" t="n">
        <v>17997102361.0826</v>
      </c>
    </row>
    <row r="176">
      <c r="A176" t="inlineStr">
        <is>
          <t>VNM</t>
        </is>
      </c>
      <c r="B176" t="inlineStr">
        <is>
          <t>2002</t>
        </is>
      </c>
      <c r="C176" t="n">
        <v>19193787586.6357</v>
      </c>
    </row>
    <row r="177">
      <c r="A177" t="inlineStr">
        <is>
          <t>VNM</t>
        </is>
      </c>
      <c r="B177" t="inlineStr">
        <is>
          <t>2003</t>
        </is>
      </c>
      <c r="C177" t="n">
        <v>22415697835.6912</v>
      </c>
    </row>
    <row r="178">
      <c r="A178" t="inlineStr">
        <is>
          <t>VNM</t>
        </is>
      </c>
      <c r="B178" t="inlineStr">
        <is>
          <t>2004</t>
        </is>
      </c>
      <c r="C178" t="n">
        <v>27134530700.4954</v>
      </c>
    </row>
    <row r="179">
      <c r="A179" t="inlineStr">
        <is>
          <t>VNM</t>
        </is>
      </c>
      <c r="B179" t="inlineStr">
        <is>
          <t>2005</t>
        </is>
      </c>
      <c r="C179" t="n">
        <v>36712091514.5168</v>
      </c>
    </row>
    <row r="180">
      <c r="A180" t="inlineStr">
        <is>
          <t>VNM</t>
        </is>
      </c>
      <c r="B180" t="inlineStr">
        <is>
          <t>2006</t>
        </is>
      </c>
      <c r="C180" t="n">
        <v>44944777029.2449</v>
      </c>
    </row>
    <row r="181">
      <c r="A181" t="inlineStr">
        <is>
          <t>VNM</t>
        </is>
      </c>
      <c r="B181" t="inlineStr">
        <is>
          <t>2007</t>
        </is>
      </c>
      <c r="C181" t="n">
        <v>54591007520.8979</v>
      </c>
    </row>
    <row r="182">
      <c r="A182" t="inlineStr">
        <is>
          <t>VNM</t>
        </is>
      </c>
      <c r="B182" t="inlineStr">
        <is>
          <t>2008</t>
        </is>
      </c>
      <c r="C182" t="n">
        <v>69724976613.65759</v>
      </c>
    </row>
    <row r="183">
      <c r="A183" t="inlineStr">
        <is>
          <t>VNM</t>
        </is>
      </c>
      <c r="B183" t="inlineStr">
        <is>
          <t>2009</t>
        </is>
      </c>
      <c r="C183" t="n">
        <v>66374595300.6651</v>
      </c>
    </row>
    <row r="184">
      <c r="A184" t="inlineStr">
        <is>
          <t>VNM</t>
        </is>
      </c>
      <c r="B184" t="inlineStr">
        <is>
          <t>2010</t>
        </is>
      </c>
      <c r="C184" t="n">
        <v>79747480852.5934</v>
      </c>
    </row>
    <row r="185">
      <c r="A185" t="inlineStr">
        <is>
          <t>VNM</t>
        </is>
      </c>
      <c r="B185" t="inlineStr">
        <is>
          <t>2011</t>
        </is>
      </c>
      <c r="C185" t="n">
        <v>105593919857.799</v>
      </c>
    </row>
    <row r="186">
      <c r="A186" t="inlineStr">
        <is>
          <t>VNM</t>
        </is>
      </c>
      <c r="B186" t="inlineStr">
        <is>
          <t>2012</t>
        </is>
      </c>
      <c r="C186" t="n">
        <v>124149069364.149</v>
      </c>
    </row>
    <row r="187">
      <c r="A187" t="inlineStr">
        <is>
          <t>VNM</t>
        </is>
      </c>
      <c r="B187" t="inlineStr">
        <is>
          <t>2013</t>
        </is>
      </c>
      <c r="C187" t="n">
        <v>142758439316.46</v>
      </c>
    </row>
    <row r="188">
      <c r="A188" t="inlineStr">
        <is>
          <t>VNM</t>
        </is>
      </c>
      <c r="B188" t="inlineStr">
        <is>
          <t>2014</t>
        </is>
      </c>
      <c r="C188" t="n">
        <v>162478898406.019</v>
      </c>
    </row>
    <row r="189">
      <c r="A189" t="inlineStr">
        <is>
          <t>VNM</t>
        </is>
      </c>
      <c r="B189" t="inlineStr">
        <is>
          <t>2015</t>
        </is>
      </c>
      <c r="C189" t="n">
        <v>174473996313.379</v>
      </c>
    </row>
    <row r="190">
      <c r="A190" t="inlineStr">
        <is>
          <t>VNM</t>
        </is>
      </c>
      <c r="B190" t="inlineStr">
        <is>
          <t>2016</t>
        </is>
      </c>
      <c r="C190" t="n">
        <v>190526869544.715</v>
      </c>
    </row>
    <row r="191">
      <c r="A191" t="inlineStr">
        <is>
          <t>VNM</t>
        </is>
      </c>
      <c r="B191" t="inlineStr">
        <is>
          <t>2017</t>
        </is>
      </c>
      <c r="C191" t="n">
        <v>230041803530.193</v>
      </c>
    </row>
    <row r="192">
      <c r="A192" t="inlineStr">
        <is>
          <t>VNM</t>
        </is>
      </c>
      <c r="B192" t="inlineStr">
        <is>
          <t>2018</t>
        </is>
      </c>
      <c r="C192" t="n">
        <v>261802606599.096</v>
      </c>
    </row>
    <row r="193">
      <c r="A193" t="inlineStr">
        <is>
          <t>VNM</t>
        </is>
      </c>
      <c r="B193" t="inlineStr">
        <is>
          <t>2019</t>
        </is>
      </c>
      <c r="C193" t="n">
        <v>284737397482.992</v>
      </c>
    </row>
    <row r="194">
      <c r="A194" t="inlineStr">
        <is>
          <t>VNM</t>
        </is>
      </c>
      <c r="B194" t="inlineStr">
        <is>
          <t>2020</t>
        </is>
      </c>
      <c r="C194" t="n">
        <v>292479899128.741</v>
      </c>
    </row>
    <row r="195">
      <c r="A195" t="inlineStr">
        <is>
          <t>VNM</t>
        </is>
      </c>
      <c r="B195" t="inlineStr">
        <is>
          <t>2021</t>
        </is>
      </c>
      <c r="C195" t="n">
        <v>343937314545.796</v>
      </c>
    </row>
    <row r="196">
      <c r="A196" t="inlineStr">
        <is>
          <t>VNM</t>
        </is>
      </c>
      <c r="B196" t="inlineStr">
        <is>
          <t>2022</t>
        </is>
      </c>
      <c r="C196" t="n">
        <v>386241068014.827</v>
      </c>
    </row>
    <row r="197">
      <c r="A197" t="inlineStr">
        <is>
          <t>VNM</t>
        </is>
      </c>
      <c r="B197" t="inlineStr">
        <is>
          <t>2023</t>
        </is>
      </c>
      <c r="C197" t="n">
        <v>376268017649.38</v>
      </c>
    </row>
    <row r="198">
      <c r="A198" t="inlineStr">
        <is>
          <t>VNM</t>
        </is>
      </c>
      <c r="B198" t="inlineStr">
        <is>
          <t>2024</t>
        </is>
      </c>
      <c r="C198" t="n">
        <v>429484097216.943</v>
      </c>
    </row>
    <row r="199">
      <c r="A199" t="inlineStr">
        <is>
          <t>VNM</t>
        </is>
      </c>
      <c r="B199" t="inlineStr">
        <is>
          <t>2025</t>
        </is>
      </c>
      <c r="C199" t="n">
        <v>505661231330.217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NE.EXP.GNFS.ZS</t>
        </is>
      </c>
    </row>
    <row r="2">
      <c r="A2" t="inlineStr">
        <is>
          <t>IND</t>
        </is>
      </c>
      <c r="B2" t="inlineStr">
        <is>
          <t>1960</t>
        </is>
      </c>
      <c r="C2" t="n">
        <v>4.46315645554752</v>
      </c>
    </row>
    <row r="3">
      <c r="A3" t="inlineStr">
        <is>
          <t>IND</t>
        </is>
      </c>
      <c r="B3" t="inlineStr">
        <is>
          <t>1961</t>
        </is>
      </c>
      <c r="C3" t="n">
        <v>4.30358618999823</v>
      </c>
    </row>
    <row r="4">
      <c r="A4" t="inlineStr">
        <is>
          <t>IND</t>
        </is>
      </c>
      <c r="B4" t="inlineStr">
        <is>
          <t>1962</t>
        </is>
      </c>
      <c r="C4" t="n">
        <v>4.16897528321772</v>
      </c>
    </row>
    <row r="5">
      <c r="A5" t="inlineStr">
        <is>
          <t>IND</t>
        </is>
      </c>
      <c r="B5" t="inlineStr">
        <is>
          <t>1963</t>
        </is>
      </c>
      <c r="C5" t="n">
        <v>4.28050338490125</v>
      </c>
    </row>
    <row r="6">
      <c r="A6" t="inlineStr">
        <is>
          <t>IND</t>
        </is>
      </c>
      <c r="B6" t="inlineStr">
        <is>
          <t>1964</t>
        </is>
      </c>
      <c r="C6" t="n">
        <v>3.72555117263129</v>
      </c>
    </row>
    <row r="7">
      <c r="A7" t="inlineStr">
        <is>
          <t>IND</t>
        </is>
      </c>
      <c r="B7" t="inlineStr">
        <is>
          <t>1965</t>
        </is>
      </c>
      <c r="C7" t="n">
        <v>3.30747278088062</v>
      </c>
    </row>
    <row r="8">
      <c r="A8" t="inlineStr">
        <is>
          <t>IND</t>
        </is>
      </c>
      <c r="B8" t="inlineStr">
        <is>
          <t>1966</t>
        </is>
      </c>
      <c r="C8" t="n">
        <v>4.14255065953483</v>
      </c>
    </row>
    <row r="9">
      <c r="A9" t="inlineStr">
        <is>
          <t>IND</t>
        </is>
      </c>
      <c r="B9" t="inlineStr">
        <is>
          <t>1967</t>
        </is>
      </c>
      <c r="C9" t="n">
        <v>4.03444499534157</v>
      </c>
    </row>
    <row r="10">
      <c r="A10" t="inlineStr">
        <is>
          <t>IND</t>
        </is>
      </c>
      <c r="B10" t="inlineStr">
        <is>
          <t>1968</t>
        </is>
      </c>
      <c r="C10" t="n">
        <v>4.03877100579767</v>
      </c>
    </row>
    <row r="11">
      <c r="A11" t="inlineStr">
        <is>
          <t>IND</t>
        </is>
      </c>
      <c r="B11" t="inlineStr">
        <is>
          <t>1969</t>
        </is>
      </c>
      <c r="C11" t="n">
        <v>3.71384282048158</v>
      </c>
    </row>
    <row r="12">
      <c r="A12" t="inlineStr">
        <is>
          <t>IND</t>
        </is>
      </c>
      <c r="B12" t="inlineStr">
        <is>
          <t>1970</t>
        </is>
      </c>
      <c r="C12" t="n">
        <v>3.78282506202996</v>
      </c>
    </row>
    <row r="13">
      <c r="A13" t="inlineStr">
        <is>
          <t>IND</t>
        </is>
      </c>
      <c r="B13" t="inlineStr">
        <is>
          <t>1971</t>
        </is>
      </c>
      <c r="C13" t="n">
        <v>3.66720521706169</v>
      </c>
    </row>
    <row r="14">
      <c r="A14" t="inlineStr">
        <is>
          <t>IND</t>
        </is>
      </c>
      <c r="B14" t="inlineStr">
        <is>
          <t>1972</t>
        </is>
      </c>
      <c r="C14" t="n">
        <v>4.02748926155276</v>
      </c>
    </row>
    <row r="15">
      <c r="A15" t="inlineStr">
        <is>
          <t>IND</t>
        </is>
      </c>
      <c r="B15" t="inlineStr">
        <is>
          <t>1973</t>
        </is>
      </c>
      <c r="C15" t="n">
        <v>4.20876319232872</v>
      </c>
    </row>
    <row r="16">
      <c r="A16" t="inlineStr">
        <is>
          <t>IND</t>
        </is>
      </c>
      <c r="B16" t="inlineStr">
        <is>
          <t>1974</t>
        </is>
      </c>
      <c r="C16" t="n">
        <v>4.83132100337</v>
      </c>
    </row>
    <row r="17">
      <c r="A17" t="inlineStr">
        <is>
          <t>IND</t>
        </is>
      </c>
      <c r="B17" t="inlineStr">
        <is>
          <t>1975</t>
        </is>
      </c>
      <c r="C17" t="n">
        <v>5.64706215785578</v>
      </c>
    </row>
    <row r="18">
      <c r="A18" t="inlineStr">
        <is>
          <t>IND</t>
        </is>
      </c>
      <c r="B18" t="inlineStr">
        <is>
          <t>1976</t>
        </is>
      </c>
      <c r="C18" t="n">
        <v>6.68651286166981</v>
      </c>
    </row>
    <row r="19">
      <c r="A19" t="inlineStr">
        <is>
          <t>IND</t>
        </is>
      </c>
      <c r="B19" t="inlineStr">
        <is>
          <t>1977</t>
        </is>
      </c>
      <c r="C19" t="n">
        <v>6.38317181373801</v>
      </c>
    </row>
    <row r="20">
      <c r="A20" t="inlineStr">
        <is>
          <t>IND</t>
        </is>
      </c>
      <c r="B20" t="inlineStr">
        <is>
          <t>1978</t>
        </is>
      </c>
      <c r="C20" t="n">
        <v>6.3148252345082</v>
      </c>
    </row>
    <row r="21">
      <c r="A21" t="inlineStr">
        <is>
          <t>IND</t>
        </is>
      </c>
      <c r="B21" t="inlineStr">
        <is>
          <t>1979</t>
        </is>
      </c>
      <c r="C21" t="n">
        <v>6.74963815730053</v>
      </c>
    </row>
    <row r="22">
      <c r="A22" t="inlineStr">
        <is>
          <t>IND</t>
        </is>
      </c>
      <c r="B22" t="inlineStr">
        <is>
          <t>1980</t>
        </is>
      </c>
      <c r="C22" t="n">
        <v>6.13955113216183</v>
      </c>
    </row>
    <row r="23">
      <c r="A23" t="inlineStr">
        <is>
          <t>IND</t>
        </is>
      </c>
      <c r="B23" t="inlineStr">
        <is>
          <t>1981</t>
        </is>
      </c>
      <c r="C23" t="n">
        <v>5.93602662657806</v>
      </c>
    </row>
    <row r="24">
      <c r="A24" t="inlineStr">
        <is>
          <t>IND</t>
        </is>
      </c>
      <c r="B24" t="inlineStr">
        <is>
          <t>1982</t>
        </is>
      </c>
      <c r="C24" t="n">
        <v>5.98329984863978</v>
      </c>
    </row>
    <row r="25">
      <c r="A25" t="inlineStr">
        <is>
          <t>IND</t>
        </is>
      </c>
      <c r="B25" t="inlineStr">
        <is>
          <t>1983</t>
        </is>
      </c>
      <c r="C25" t="n">
        <v>5.83762942427856</v>
      </c>
    </row>
    <row r="26">
      <c r="A26" t="inlineStr">
        <is>
          <t>IND</t>
        </is>
      </c>
      <c r="B26" t="inlineStr">
        <is>
          <t>1984</t>
        </is>
      </c>
      <c r="C26" t="n">
        <v>6.28340139288612</v>
      </c>
    </row>
    <row r="27">
      <c r="A27" t="inlineStr">
        <is>
          <t>IND</t>
        </is>
      </c>
      <c r="B27" t="inlineStr">
        <is>
          <t>1985</t>
        </is>
      </c>
      <c r="C27" t="n">
        <v>5.25455499628708</v>
      </c>
    </row>
    <row r="28">
      <c r="A28" t="inlineStr">
        <is>
          <t>IND</t>
        </is>
      </c>
      <c r="B28" t="inlineStr">
        <is>
          <t>1986</t>
        </is>
      </c>
      <c r="C28" t="n">
        <v>5.19622166035989</v>
      </c>
    </row>
    <row r="29">
      <c r="A29" t="inlineStr">
        <is>
          <t>IND</t>
        </is>
      </c>
      <c r="B29" t="inlineStr">
        <is>
          <t>1987</t>
        </is>
      </c>
      <c r="C29" t="n">
        <v>5.60458088400396</v>
      </c>
    </row>
    <row r="30">
      <c r="A30" t="inlineStr">
        <is>
          <t>IND</t>
        </is>
      </c>
      <c r="B30" t="inlineStr">
        <is>
          <t>1988</t>
        </is>
      </c>
      <c r="C30" t="n">
        <v>6.03521975491128</v>
      </c>
    </row>
    <row r="31">
      <c r="A31" t="inlineStr">
        <is>
          <t>IND</t>
        </is>
      </c>
      <c r="B31" t="inlineStr">
        <is>
          <t>1989</t>
        </is>
      </c>
      <c r="C31" t="n">
        <v>7.01613027794311</v>
      </c>
    </row>
    <row r="32">
      <c r="A32" t="inlineStr">
        <is>
          <t>IND</t>
        </is>
      </c>
      <c r="B32" t="inlineStr">
        <is>
          <t>1990</t>
        </is>
      </c>
      <c r="C32" t="n">
        <v>7.05335023414457</v>
      </c>
    </row>
    <row r="33">
      <c r="A33" t="inlineStr">
        <is>
          <t>IND</t>
        </is>
      </c>
      <c r="B33" t="inlineStr">
        <is>
          <t>1991</t>
        </is>
      </c>
      <c r="C33" t="n">
        <v>8.49424077053547</v>
      </c>
    </row>
    <row r="34">
      <c r="A34" t="inlineStr">
        <is>
          <t>IND</t>
        </is>
      </c>
      <c r="B34" t="inlineStr">
        <is>
          <t>1992</t>
        </is>
      </c>
      <c r="C34" t="n">
        <v>8.84292692502088</v>
      </c>
    </row>
    <row r="35">
      <c r="A35" t="inlineStr">
        <is>
          <t>IND</t>
        </is>
      </c>
      <c r="B35" t="inlineStr">
        <is>
          <t>1993</t>
        </is>
      </c>
      <c r="C35" t="n">
        <v>9.834217454863261</v>
      </c>
    </row>
    <row r="36">
      <c r="A36" t="inlineStr">
        <is>
          <t>IND</t>
        </is>
      </c>
      <c r="B36" t="inlineStr">
        <is>
          <t>1994</t>
        </is>
      </c>
      <c r="C36" t="n">
        <v>9.888084916445401</v>
      </c>
    </row>
    <row r="37">
      <c r="A37" t="inlineStr">
        <is>
          <t>IND</t>
        </is>
      </c>
      <c r="B37" t="inlineStr">
        <is>
          <t>1995</t>
        </is>
      </c>
      <c r="C37" t="n">
        <v>10.8439680350622</v>
      </c>
    </row>
    <row r="38">
      <c r="A38" t="inlineStr">
        <is>
          <t>IND</t>
        </is>
      </c>
      <c r="B38" t="inlineStr">
        <is>
          <t>1996</t>
        </is>
      </c>
      <c r="C38" t="n">
        <v>10.3851692716063</v>
      </c>
    </row>
    <row r="39">
      <c r="A39" t="inlineStr">
        <is>
          <t>IND</t>
        </is>
      </c>
      <c r="B39" t="inlineStr">
        <is>
          <t>1997</t>
        </is>
      </c>
      <c r="C39" t="n">
        <v>10.690717318379</v>
      </c>
    </row>
    <row r="40">
      <c r="A40" t="inlineStr">
        <is>
          <t>IND</t>
        </is>
      </c>
      <c r="B40" t="inlineStr">
        <is>
          <t>1998</t>
        </is>
      </c>
      <c r="C40" t="n">
        <v>11.0184691793102</v>
      </c>
    </row>
    <row r="41">
      <c r="A41" t="inlineStr">
        <is>
          <t>IND</t>
        </is>
      </c>
      <c r="B41" t="inlineStr">
        <is>
          <t>1999</t>
        </is>
      </c>
      <c r="C41" t="n">
        <v>11.4520646128009</v>
      </c>
    </row>
    <row r="42">
      <c r="A42" t="inlineStr">
        <is>
          <t>IND</t>
        </is>
      </c>
      <c r="B42" t="inlineStr">
        <is>
          <t>2000</t>
        </is>
      </c>
      <c r="C42" t="n">
        <v>12.9972363113479</v>
      </c>
    </row>
    <row r="43">
      <c r="A43" t="inlineStr">
        <is>
          <t>IND</t>
        </is>
      </c>
      <c r="B43" t="inlineStr">
        <is>
          <t>2001</t>
        </is>
      </c>
      <c r="C43" t="n">
        <v>12.5583796339108</v>
      </c>
    </row>
    <row r="44">
      <c r="A44" t="inlineStr">
        <is>
          <t>IND</t>
        </is>
      </c>
      <c r="B44" t="inlineStr">
        <is>
          <t>2002</t>
        </is>
      </c>
      <c r="C44" t="n">
        <v>14.2643839243147</v>
      </c>
    </row>
    <row r="45">
      <c r="A45" t="inlineStr">
        <is>
          <t>IND</t>
        </is>
      </c>
      <c r="B45" t="inlineStr">
        <is>
          <t>2003</t>
        </is>
      </c>
      <c r="C45" t="n">
        <v>14.9479138581734</v>
      </c>
    </row>
    <row r="46">
      <c r="A46" t="inlineStr">
        <is>
          <t>IND</t>
        </is>
      </c>
      <c r="B46" t="inlineStr">
        <is>
          <t>2004</t>
        </is>
      </c>
      <c r="C46" t="n">
        <v>17.8591249630479</v>
      </c>
    </row>
    <row r="47">
      <c r="A47" t="inlineStr">
        <is>
          <t>IND</t>
        </is>
      </c>
      <c r="B47" t="inlineStr">
        <is>
          <t>2005</t>
        </is>
      </c>
      <c r="C47" t="n">
        <v>19.6052466948335</v>
      </c>
    </row>
    <row r="48">
      <c r="A48" t="inlineStr">
        <is>
          <t>IND</t>
        </is>
      </c>
      <c r="B48" t="inlineStr">
        <is>
          <t>2006</t>
        </is>
      </c>
      <c r="C48" t="n">
        <v>21.2679414221966</v>
      </c>
    </row>
    <row r="49">
      <c r="A49" t="inlineStr">
        <is>
          <t>IND</t>
        </is>
      </c>
      <c r="B49" t="inlineStr">
        <is>
          <t>2007</t>
        </is>
      </c>
      <c r="C49" t="n">
        <v>20.7996997489032</v>
      </c>
    </row>
    <row r="50">
      <c r="A50" t="inlineStr">
        <is>
          <t>IND</t>
        </is>
      </c>
      <c r="B50" t="inlineStr">
        <is>
          <t>2008</t>
        </is>
      </c>
      <c r="C50" t="n">
        <v>24.0973572601391</v>
      </c>
    </row>
    <row r="51">
      <c r="A51" t="inlineStr">
        <is>
          <t>IND</t>
        </is>
      </c>
      <c r="B51" t="inlineStr">
        <is>
          <t>2009</t>
        </is>
      </c>
      <c r="C51" t="n">
        <v>20.4005193743564</v>
      </c>
    </row>
    <row r="52">
      <c r="A52" t="inlineStr">
        <is>
          <t>IND</t>
        </is>
      </c>
      <c r="B52" t="inlineStr">
        <is>
          <t>2010</t>
        </is>
      </c>
      <c r="C52" t="n">
        <v>22.4009332487945</v>
      </c>
    </row>
    <row r="53">
      <c r="A53" t="inlineStr">
        <is>
          <t>IND</t>
        </is>
      </c>
      <c r="B53" t="inlineStr">
        <is>
          <t>2011</t>
        </is>
      </c>
      <c r="C53" t="n">
        <v>24.5404113195713</v>
      </c>
    </row>
    <row r="54">
      <c r="A54" t="inlineStr">
        <is>
          <t>IND</t>
        </is>
      </c>
      <c r="B54" t="inlineStr">
        <is>
          <t>2012</t>
        </is>
      </c>
      <c r="C54" t="n">
        <v>24.534430661418</v>
      </c>
    </row>
    <row r="55">
      <c r="A55" t="inlineStr">
        <is>
          <t>IND</t>
        </is>
      </c>
      <c r="B55" t="inlineStr">
        <is>
          <t>2013</t>
        </is>
      </c>
      <c r="C55" t="n">
        <v>25.430861300519</v>
      </c>
    </row>
    <row r="56">
      <c r="A56" t="inlineStr">
        <is>
          <t>IND</t>
        </is>
      </c>
      <c r="B56" t="inlineStr">
        <is>
          <t>2014</t>
        </is>
      </c>
      <c r="C56" t="n">
        <v>22.9679630081172</v>
      </c>
    </row>
    <row r="57">
      <c r="A57" t="inlineStr">
        <is>
          <t>IND</t>
        </is>
      </c>
      <c r="B57" t="inlineStr">
        <is>
          <t>2015</t>
        </is>
      </c>
      <c r="C57" t="n">
        <v>19.8131891564045</v>
      </c>
    </row>
    <row r="58">
      <c r="A58" t="inlineStr">
        <is>
          <t>IND</t>
        </is>
      </c>
      <c r="B58" t="inlineStr">
        <is>
          <t>2016</t>
        </is>
      </c>
      <c r="C58" t="n">
        <v>19.1582349105946</v>
      </c>
    </row>
    <row r="59">
      <c r="A59" t="inlineStr">
        <is>
          <t>IND</t>
        </is>
      </c>
      <c r="B59" t="inlineStr">
        <is>
          <t>2017</t>
        </is>
      </c>
      <c r="C59" t="n">
        <v>18.7917648392982</v>
      </c>
    </row>
    <row r="60">
      <c r="A60" t="inlineStr">
        <is>
          <t>IND</t>
        </is>
      </c>
      <c r="B60" t="inlineStr">
        <is>
          <t>2018</t>
        </is>
      </c>
      <c r="C60" t="n">
        <v>19.9278285988562</v>
      </c>
    </row>
    <row r="61">
      <c r="A61" t="inlineStr">
        <is>
          <t>IND</t>
        </is>
      </c>
      <c r="B61" t="inlineStr">
        <is>
          <t>2019</t>
        </is>
      </c>
      <c r="C61" t="n">
        <v>18.664264897257</v>
      </c>
    </row>
    <row r="62">
      <c r="A62" t="inlineStr">
        <is>
          <t>IND</t>
        </is>
      </c>
      <c r="B62" t="inlineStr">
        <is>
          <t>2020</t>
        </is>
      </c>
      <c r="C62" t="n">
        <v>18.6824769296756</v>
      </c>
    </row>
    <row r="63">
      <c r="A63" t="inlineStr">
        <is>
          <t>IND</t>
        </is>
      </c>
      <c r="B63" t="inlineStr">
        <is>
          <t>2021</t>
        </is>
      </c>
      <c r="C63" t="n">
        <v>21.3991583305515</v>
      </c>
    </row>
    <row r="64">
      <c r="A64" t="inlineStr">
        <is>
          <t>IND</t>
        </is>
      </c>
      <c r="B64" t="inlineStr">
        <is>
          <t>2022</t>
        </is>
      </c>
      <c r="C64" t="n">
        <v>24.0401716365956</v>
      </c>
    </row>
    <row r="65">
      <c r="A65" t="inlineStr">
        <is>
          <t>IND</t>
        </is>
      </c>
      <c r="B65" t="inlineStr">
        <is>
          <t>2023</t>
        </is>
      </c>
      <c r="C65" t="n">
        <v>22.354801966733</v>
      </c>
    </row>
    <row r="66">
      <c r="A66" t="inlineStr">
        <is>
          <t>IND</t>
        </is>
      </c>
      <c r="B66" t="inlineStr">
        <is>
          <t>2024</t>
        </is>
      </c>
      <c r="C66" t="n">
        <v>22.0639816354399</v>
      </c>
    </row>
    <row r="67">
      <c r="A67" t="inlineStr">
        <is>
          <t>IND</t>
        </is>
      </c>
      <c r="B67" t="inlineStr">
        <is>
          <t>2025</t>
        </is>
      </c>
      <c r="C67" t="n">
        <v>22.2630410669804</v>
      </c>
    </row>
    <row r="68">
      <c r="A68" t="inlineStr">
        <is>
          <t>PHL</t>
        </is>
      </c>
      <c r="B68" t="inlineStr">
        <is>
          <t>1960</t>
        </is>
      </c>
    </row>
    <row r="69">
      <c r="A69" t="inlineStr">
        <is>
          <t>PHL</t>
        </is>
      </c>
      <c r="B69" t="inlineStr">
        <is>
          <t>1961</t>
        </is>
      </c>
    </row>
    <row r="70">
      <c r="A70" t="inlineStr">
        <is>
          <t>PHL</t>
        </is>
      </c>
      <c r="B70" t="inlineStr">
        <is>
          <t>1962</t>
        </is>
      </c>
    </row>
    <row r="71">
      <c r="A71" t="inlineStr">
        <is>
          <t>PHL</t>
        </is>
      </c>
      <c r="B71" t="inlineStr">
        <is>
          <t>1963</t>
        </is>
      </c>
    </row>
    <row r="72">
      <c r="A72" t="inlineStr">
        <is>
          <t>PHL</t>
        </is>
      </c>
      <c r="B72" t="inlineStr">
        <is>
          <t>1964</t>
        </is>
      </c>
    </row>
    <row r="73">
      <c r="A73" t="inlineStr">
        <is>
          <t>PHL</t>
        </is>
      </c>
      <c r="B73" t="inlineStr">
        <is>
          <t>1965</t>
        </is>
      </c>
    </row>
    <row r="74">
      <c r="A74" t="inlineStr">
        <is>
          <t>PHL</t>
        </is>
      </c>
      <c r="B74" t="inlineStr">
        <is>
          <t>1966</t>
        </is>
      </c>
    </row>
    <row r="75">
      <c r="A75" t="inlineStr">
        <is>
          <t>PHL</t>
        </is>
      </c>
      <c r="B75" t="inlineStr">
        <is>
          <t>1967</t>
        </is>
      </c>
    </row>
    <row r="76">
      <c r="A76" t="inlineStr">
        <is>
          <t>PHL</t>
        </is>
      </c>
      <c r="B76" t="inlineStr">
        <is>
          <t>1968</t>
        </is>
      </c>
    </row>
    <row r="77">
      <c r="A77" t="inlineStr">
        <is>
          <t>PHL</t>
        </is>
      </c>
      <c r="B77" t="inlineStr">
        <is>
          <t>1969</t>
        </is>
      </c>
    </row>
    <row r="78">
      <c r="A78" t="inlineStr">
        <is>
          <t>PHL</t>
        </is>
      </c>
      <c r="B78" t="inlineStr">
        <is>
          <t>1970</t>
        </is>
      </c>
    </row>
    <row r="79">
      <c r="A79" t="inlineStr">
        <is>
          <t>PHL</t>
        </is>
      </c>
      <c r="B79" t="inlineStr">
        <is>
          <t>1971</t>
        </is>
      </c>
    </row>
    <row r="80">
      <c r="A80" t="inlineStr">
        <is>
          <t>PHL</t>
        </is>
      </c>
      <c r="B80" t="inlineStr">
        <is>
          <t>1972</t>
        </is>
      </c>
    </row>
    <row r="81">
      <c r="A81" t="inlineStr">
        <is>
          <t>PHL</t>
        </is>
      </c>
      <c r="B81" t="inlineStr">
        <is>
          <t>1973</t>
        </is>
      </c>
    </row>
    <row r="82">
      <c r="A82" t="inlineStr">
        <is>
          <t>PHL</t>
        </is>
      </c>
      <c r="B82" t="inlineStr">
        <is>
          <t>1974</t>
        </is>
      </c>
    </row>
    <row r="83">
      <c r="A83" t="inlineStr">
        <is>
          <t>PHL</t>
        </is>
      </c>
      <c r="B83" t="inlineStr">
        <is>
          <t>1975</t>
        </is>
      </c>
    </row>
    <row r="84">
      <c r="A84" t="inlineStr">
        <is>
          <t>PHL</t>
        </is>
      </c>
      <c r="B84" t="inlineStr">
        <is>
          <t>1976</t>
        </is>
      </c>
    </row>
    <row r="85">
      <c r="A85" t="inlineStr">
        <is>
          <t>PHL</t>
        </is>
      </c>
      <c r="B85" t="inlineStr">
        <is>
          <t>1977</t>
        </is>
      </c>
    </row>
    <row r="86">
      <c r="A86" t="inlineStr">
        <is>
          <t>PHL</t>
        </is>
      </c>
      <c r="B86" t="inlineStr">
        <is>
          <t>1978</t>
        </is>
      </c>
    </row>
    <row r="87">
      <c r="A87" t="inlineStr">
        <is>
          <t>PHL</t>
        </is>
      </c>
      <c r="B87" t="inlineStr">
        <is>
          <t>1979</t>
        </is>
      </c>
    </row>
    <row r="88">
      <c r="A88" t="inlineStr">
        <is>
          <t>PHL</t>
        </is>
      </c>
      <c r="B88" t="inlineStr">
        <is>
          <t>1980</t>
        </is>
      </c>
    </row>
    <row r="89">
      <c r="A89" t="inlineStr">
        <is>
          <t>PHL</t>
        </is>
      </c>
      <c r="B89" t="inlineStr">
        <is>
          <t>1981</t>
        </is>
      </c>
      <c r="C89" t="n">
        <v>16.15668467559</v>
      </c>
    </row>
    <row r="90">
      <c r="A90" t="inlineStr">
        <is>
          <t>PHL</t>
        </is>
      </c>
      <c r="B90" t="inlineStr">
        <is>
          <t>1982</t>
        </is>
      </c>
      <c r="C90" t="n">
        <v>13.8711131877609</v>
      </c>
    </row>
    <row r="91">
      <c r="A91" t="inlineStr">
        <is>
          <t>PHL</t>
        </is>
      </c>
      <c r="B91" t="inlineStr">
        <is>
          <t>1983</t>
        </is>
      </c>
      <c r="C91" t="n">
        <v>14.7105725820752</v>
      </c>
    </row>
    <row r="92">
      <c r="A92" t="inlineStr">
        <is>
          <t>PHL</t>
        </is>
      </c>
      <c r="B92" t="inlineStr">
        <is>
          <t>1984</t>
        </is>
      </c>
      <c r="C92" t="n">
        <v>16.9424693534499</v>
      </c>
    </row>
    <row r="93">
      <c r="A93" t="inlineStr">
        <is>
          <t>PHL</t>
        </is>
      </c>
      <c r="B93" t="inlineStr">
        <is>
          <t>1985</t>
        </is>
      </c>
      <c r="C93" t="n">
        <v>17.0221232673719</v>
      </c>
    </row>
    <row r="94">
      <c r="A94" t="inlineStr">
        <is>
          <t>PHL</t>
        </is>
      </c>
      <c r="B94" t="inlineStr">
        <is>
          <t>1986</t>
        </is>
      </c>
      <c r="C94" t="n">
        <v>18.5661232093716</v>
      </c>
    </row>
    <row r="95">
      <c r="A95" t="inlineStr">
        <is>
          <t>PHL</t>
        </is>
      </c>
      <c r="B95" t="inlineStr">
        <is>
          <t>1987</t>
        </is>
      </c>
      <c r="C95" t="n">
        <v>18.5415326150478</v>
      </c>
    </row>
    <row r="96">
      <c r="A96" t="inlineStr">
        <is>
          <t>PHL</t>
        </is>
      </c>
      <c r="B96" t="inlineStr">
        <is>
          <t>1988</t>
        </is>
      </c>
      <c r="C96" t="n">
        <v>19.9993637191705</v>
      </c>
    </row>
    <row r="97">
      <c r="A97" t="inlineStr">
        <is>
          <t>PHL</t>
        </is>
      </c>
      <c r="B97" t="inlineStr">
        <is>
          <t>1989</t>
        </is>
      </c>
      <c r="C97" t="n">
        <v>19.7398895822467</v>
      </c>
    </row>
    <row r="98">
      <c r="A98" t="inlineStr">
        <is>
          <t>PHL</t>
        </is>
      </c>
      <c r="B98" t="inlineStr">
        <is>
          <t>1990</t>
        </is>
      </c>
      <c r="C98" t="n">
        <v>19.3932131437876</v>
      </c>
    </row>
    <row r="99">
      <c r="A99" t="inlineStr">
        <is>
          <t>PHL</t>
        </is>
      </c>
      <c r="B99" t="inlineStr">
        <is>
          <t>1991</t>
        </is>
      </c>
      <c r="C99" t="n">
        <v>20.9651411756089</v>
      </c>
    </row>
    <row r="100">
      <c r="A100" t="inlineStr">
        <is>
          <t>PHL</t>
        </is>
      </c>
      <c r="B100" t="inlineStr">
        <is>
          <t>1992</t>
        </is>
      </c>
      <c r="C100" t="n">
        <v>20.7796645414886</v>
      </c>
    </row>
    <row r="101">
      <c r="A101" t="inlineStr">
        <is>
          <t>PHL</t>
        </is>
      </c>
      <c r="B101" t="inlineStr">
        <is>
          <t>1993</t>
        </is>
      </c>
      <c r="C101" t="n">
        <v>22.3031303689154</v>
      </c>
    </row>
    <row r="102">
      <c r="A102" t="inlineStr">
        <is>
          <t>PHL</t>
        </is>
      </c>
      <c r="B102" t="inlineStr">
        <is>
          <t>1994</t>
        </is>
      </c>
      <c r="C102" t="n">
        <v>24.075665857016</v>
      </c>
    </row>
    <row r="103">
      <c r="A103" t="inlineStr">
        <is>
          <t>PHL</t>
        </is>
      </c>
      <c r="B103" t="inlineStr">
        <is>
          <t>1995</t>
        </is>
      </c>
      <c r="C103" t="n">
        <v>25.9460416626648</v>
      </c>
    </row>
    <row r="104">
      <c r="A104" t="inlineStr">
        <is>
          <t>PHL</t>
        </is>
      </c>
      <c r="B104" t="inlineStr">
        <is>
          <t>1996</t>
        </is>
      </c>
      <c r="C104" t="n">
        <v>28.8867213731659</v>
      </c>
    </row>
    <row r="105">
      <c r="A105" t="inlineStr">
        <is>
          <t>PHL</t>
        </is>
      </c>
      <c r="B105" t="inlineStr">
        <is>
          <t>1997</t>
        </is>
      </c>
      <c r="C105" t="n">
        <v>35.0861457359116</v>
      </c>
    </row>
    <row r="106">
      <c r="A106" t="inlineStr">
        <is>
          <t>PHL</t>
        </is>
      </c>
      <c r="B106" t="inlineStr">
        <is>
          <t>1998</t>
        </is>
      </c>
      <c r="C106" t="n">
        <v>37.8068683988215</v>
      </c>
    </row>
    <row r="107">
      <c r="A107" t="inlineStr">
        <is>
          <t>PHL</t>
        </is>
      </c>
      <c r="B107" t="inlineStr">
        <is>
          <t>1999</t>
        </is>
      </c>
      <c r="C107" t="n">
        <v>38.4111587355426</v>
      </c>
    </row>
    <row r="108">
      <c r="A108" t="inlineStr">
        <is>
          <t>PHL</t>
        </is>
      </c>
      <c r="B108" t="inlineStr">
        <is>
          <t>2000</t>
        </is>
      </c>
      <c r="C108" t="n">
        <v>43.3442192240219</v>
      </c>
    </row>
    <row r="109">
      <c r="A109" t="inlineStr">
        <is>
          <t>PHL</t>
        </is>
      </c>
      <c r="B109" t="inlineStr">
        <is>
          <t>2001</t>
        </is>
      </c>
      <c r="C109" t="n">
        <v>41.1555015074547</v>
      </c>
    </row>
    <row r="110">
      <c r="A110" t="inlineStr">
        <is>
          <t>PHL</t>
        </is>
      </c>
      <c r="B110" t="inlineStr">
        <is>
          <t>2002</t>
        </is>
      </c>
      <c r="C110" t="n">
        <v>40.0056799440289</v>
      </c>
    </row>
    <row r="111">
      <c r="A111" t="inlineStr">
        <is>
          <t>PHL</t>
        </is>
      </c>
      <c r="B111" t="inlineStr">
        <is>
          <t>2003</t>
        </is>
      </c>
      <c r="C111" t="n">
        <v>42.3050183712712</v>
      </c>
    </row>
    <row r="112">
      <c r="A112" t="inlineStr">
        <is>
          <t>PHL</t>
        </is>
      </c>
      <c r="B112" t="inlineStr">
        <is>
          <t>2004</t>
        </is>
      </c>
      <c r="C112" t="n">
        <v>41.8268409907999</v>
      </c>
    </row>
    <row r="113">
      <c r="A113" t="inlineStr">
        <is>
          <t>PHL</t>
        </is>
      </c>
      <c r="B113" t="inlineStr">
        <is>
          <t>2005</t>
        </is>
      </c>
      <c r="C113" t="n">
        <v>41.2300392158954</v>
      </c>
    </row>
    <row r="114">
      <c r="A114" t="inlineStr">
        <is>
          <t>PHL</t>
        </is>
      </c>
      <c r="B114" t="inlineStr">
        <is>
          <t>2006</t>
        </is>
      </c>
      <c r="C114" t="n">
        <v>41.2454593705084</v>
      </c>
    </row>
    <row r="115">
      <c r="A115" t="inlineStr">
        <is>
          <t>PHL</t>
        </is>
      </c>
      <c r="B115" t="inlineStr">
        <is>
          <t>2007</t>
        </is>
      </c>
      <c r="C115" t="n">
        <v>38.0141863378076</v>
      </c>
    </row>
    <row r="116">
      <c r="A116" t="inlineStr">
        <is>
          <t>PHL</t>
        </is>
      </c>
      <c r="B116" t="inlineStr">
        <is>
          <t>2008</t>
        </is>
      </c>
      <c r="C116" t="n">
        <v>33.3568332437392</v>
      </c>
    </row>
    <row r="117">
      <c r="A117" t="inlineStr">
        <is>
          <t>PHL</t>
        </is>
      </c>
      <c r="B117" t="inlineStr">
        <is>
          <t>2009</t>
        </is>
      </c>
      <c r="C117" t="n">
        <v>30.2195255995892</v>
      </c>
    </row>
    <row r="118">
      <c r="A118" t="inlineStr">
        <is>
          <t>PHL</t>
        </is>
      </c>
      <c r="B118" t="inlineStr">
        <is>
          <t>2010</t>
        </is>
      </c>
      <c r="C118" t="n">
        <v>32.8748297195678</v>
      </c>
    </row>
    <row r="119">
      <c r="A119" t="inlineStr">
        <is>
          <t>PHL</t>
        </is>
      </c>
      <c r="B119" t="inlineStr">
        <is>
          <t>2011</t>
        </is>
      </c>
      <c r="C119" t="n">
        <v>29.1054288781405</v>
      </c>
    </row>
    <row r="120">
      <c r="A120" t="inlineStr">
        <is>
          <t>PHL</t>
        </is>
      </c>
      <c r="B120" t="inlineStr">
        <is>
          <t>2012</t>
        </is>
      </c>
      <c r="C120" t="n">
        <v>27.4670738577233</v>
      </c>
    </row>
    <row r="121">
      <c r="A121" t="inlineStr">
        <is>
          <t>PHL</t>
        </is>
      </c>
      <c r="B121" t="inlineStr">
        <is>
          <t>2013</t>
        </is>
      </c>
      <c r="C121" t="n">
        <v>26.1774198090007</v>
      </c>
    </row>
    <row r="122">
      <c r="A122" t="inlineStr">
        <is>
          <t>PHL</t>
        </is>
      </c>
      <c r="B122" t="inlineStr">
        <is>
          <t>2014</t>
        </is>
      </c>
      <c r="C122" t="n">
        <v>27.3545041909285</v>
      </c>
    </row>
    <row r="123">
      <c r="A123" t="inlineStr">
        <is>
          <t>PHL</t>
        </is>
      </c>
      <c r="B123" t="inlineStr">
        <is>
          <t>2015</t>
        </is>
      </c>
      <c r="C123" t="n">
        <v>27.2080572390451</v>
      </c>
    </row>
    <row r="124">
      <c r="A124" t="inlineStr">
        <is>
          <t>PHL</t>
        </is>
      </c>
      <c r="B124" t="inlineStr">
        <is>
          <t>2016</t>
        </is>
      </c>
      <c r="C124" t="n">
        <v>26.6730033435157</v>
      </c>
    </row>
    <row r="125">
      <c r="A125" t="inlineStr">
        <is>
          <t>PHL</t>
        </is>
      </c>
      <c r="B125" t="inlineStr">
        <is>
          <t>2017</t>
        </is>
      </c>
      <c r="C125" t="n">
        <v>29.5522908546692</v>
      </c>
    </row>
    <row r="126">
      <c r="A126" t="inlineStr">
        <is>
          <t>PHL</t>
        </is>
      </c>
      <c r="B126" t="inlineStr">
        <is>
          <t>2018</t>
        </is>
      </c>
      <c r="C126" t="n">
        <v>30.2136053733275</v>
      </c>
    </row>
    <row r="127">
      <c r="A127" t="inlineStr">
        <is>
          <t>PHL</t>
        </is>
      </c>
      <c r="B127" t="inlineStr">
        <is>
          <t>2019</t>
        </is>
      </c>
      <c r="C127" t="n">
        <v>28.3829200126393</v>
      </c>
    </row>
    <row r="128">
      <c r="A128" t="inlineStr">
        <is>
          <t>PHL</t>
        </is>
      </c>
      <c r="B128" t="inlineStr">
        <is>
          <t>2020</t>
        </is>
      </c>
      <c r="C128" t="n">
        <v>25.2028393102032</v>
      </c>
    </row>
    <row r="129">
      <c r="A129" t="inlineStr">
        <is>
          <t>PHL</t>
        </is>
      </c>
      <c r="B129" t="inlineStr">
        <is>
          <t>2021</t>
        </is>
      </c>
      <c r="C129" t="n">
        <v>25.7520349160187</v>
      </c>
    </row>
    <row r="130">
      <c r="A130" t="inlineStr">
        <is>
          <t>PHL</t>
        </is>
      </c>
      <c r="B130" t="inlineStr">
        <is>
          <t>2022</t>
        </is>
      </c>
      <c r="C130" t="n">
        <v>28.3874015457939</v>
      </c>
    </row>
    <row r="131">
      <c r="A131" t="inlineStr">
        <is>
          <t>PHL</t>
        </is>
      </c>
      <c r="B131" t="inlineStr">
        <is>
          <t>2023</t>
        </is>
      </c>
      <c r="C131" t="n">
        <v>26.6368493470585</v>
      </c>
    </row>
    <row r="132">
      <c r="A132" t="inlineStr">
        <is>
          <t>PHL</t>
        </is>
      </c>
      <c r="B132" t="inlineStr">
        <is>
          <t>2024</t>
        </is>
      </c>
      <c r="C132" t="n">
        <v>25.7369806583516</v>
      </c>
    </row>
    <row r="133">
      <c r="A133" t="inlineStr">
        <is>
          <t>PHL</t>
        </is>
      </c>
      <c r="B133" t="inlineStr">
        <is>
          <t>2025</t>
        </is>
      </c>
      <c r="C133" t="n">
        <v>26.5503358170748</v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</row>
    <row r="160">
      <c r="A160" t="inlineStr">
        <is>
          <t>VNM</t>
        </is>
      </c>
      <c r="B160" t="inlineStr">
        <is>
          <t>1986</t>
        </is>
      </c>
      <c r="C160" t="n">
        <v>6.62253929883139</v>
      </c>
    </row>
    <row r="161">
      <c r="A161" t="inlineStr">
        <is>
          <t>VNM</t>
        </is>
      </c>
      <c r="B161" t="inlineStr">
        <is>
          <t>1987</t>
        </is>
      </c>
      <c r="C161" t="n">
        <v>6.0014283728223</v>
      </c>
    </row>
    <row r="162">
      <c r="A162" t="inlineStr">
        <is>
          <t>VNM</t>
        </is>
      </c>
      <c r="B162" t="inlineStr">
        <is>
          <t>1988</t>
        </is>
      </c>
      <c r="C162" t="n">
        <v>3.94529822568093</v>
      </c>
    </row>
    <row r="163">
      <c r="A163" t="inlineStr">
        <is>
          <t>VNM</t>
        </is>
      </c>
      <c r="B163" t="inlineStr">
        <is>
          <t>1989</t>
        </is>
      </c>
      <c r="C163" t="n">
        <v>23.8493577901968</v>
      </c>
    </row>
    <row r="164">
      <c r="A164" t="inlineStr">
        <is>
          <t>VNM</t>
        </is>
      </c>
      <c r="B164" t="inlineStr">
        <is>
          <t>1990</t>
        </is>
      </c>
      <c r="C164" t="n">
        <v>36.0386136391372</v>
      </c>
    </row>
    <row r="165">
      <c r="A165" t="inlineStr">
        <is>
          <t>VNM</t>
        </is>
      </c>
      <c r="B165" t="inlineStr">
        <is>
          <t>1991</t>
        </is>
      </c>
      <c r="C165" t="n">
        <v>30.9150393380004</v>
      </c>
    </row>
    <row r="166">
      <c r="A166" t="inlineStr">
        <is>
          <t>VNM</t>
        </is>
      </c>
      <c r="B166" t="inlineStr">
        <is>
          <t>1992</t>
        </is>
      </c>
      <c r="C166" t="n">
        <v>34.7455958184055</v>
      </c>
    </row>
    <row r="167">
      <c r="A167" t="inlineStr">
        <is>
          <t>VNM</t>
        </is>
      </c>
      <c r="B167" t="inlineStr">
        <is>
          <t>1993</t>
        </is>
      </c>
      <c r="C167" t="n">
        <v>28.7227826669423</v>
      </c>
    </row>
    <row r="168">
      <c r="A168" t="inlineStr">
        <is>
          <t>VNM</t>
        </is>
      </c>
      <c r="B168" t="inlineStr">
        <is>
          <t>1994</t>
        </is>
      </c>
      <c r="C168" t="n">
        <v>34.0131286444039</v>
      </c>
    </row>
    <row r="169">
      <c r="A169" t="inlineStr">
        <is>
          <t>VNM</t>
        </is>
      </c>
      <c r="B169" t="inlineStr">
        <is>
          <t>1995</t>
        </is>
      </c>
      <c r="C169" t="n">
        <v>32.8128553339566</v>
      </c>
    </row>
    <row r="170">
      <c r="A170" t="inlineStr">
        <is>
          <t>VNM</t>
        </is>
      </c>
      <c r="B170" t="inlineStr">
        <is>
          <t>1996</t>
        </is>
      </c>
      <c r="C170" t="n">
        <v>40.8684874244585</v>
      </c>
    </row>
    <row r="171">
      <c r="A171" t="inlineStr">
        <is>
          <t>VNM</t>
        </is>
      </c>
      <c r="B171" t="inlineStr">
        <is>
          <t>1997</t>
        </is>
      </c>
      <c r="C171" t="n">
        <v>43.1027067530124</v>
      </c>
    </row>
    <row r="172">
      <c r="A172" t="inlineStr">
        <is>
          <t>VNM</t>
        </is>
      </c>
      <c r="B172" t="inlineStr">
        <is>
          <t>1998</t>
        </is>
      </c>
      <c r="C172" t="n">
        <v>44.8483033762953</v>
      </c>
    </row>
    <row r="173">
      <c r="A173" t="inlineStr">
        <is>
          <t>VNM</t>
        </is>
      </c>
      <c r="B173" t="inlineStr">
        <is>
          <t>1999</t>
        </is>
      </c>
      <c r="C173" t="n">
        <v>49.9662459731661</v>
      </c>
    </row>
    <row r="174">
      <c r="A174" t="inlineStr">
        <is>
          <t>VNM</t>
        </is>
      </c>
      <c r="B174" t="inlineStr">
        <is>
          <t>2000</t>
        </is>
      </c>
      <c r="C174" t="n">
        <v>53.9214970089166</v>
      </c>
    </row>
    <row r="175">
      <c r="A175" t="inlineStr">
        <is>
          <t>VNM</t>
        </is>
      </c>
      <c r="B175" t="inlineStr">
        <is>
          <t>2001</t>
        </is>
      </c>
      <c r="C175" t="n">
        <v>55.0619332820827</v>
      </c>
    </row>
    <row r="176">
      <c r="A176" t="inlineStr">
        <is>
          <t>VNM</t>
        </is>
      </c>
      <c r="B176" t="inlineStr">
        <is>
          <t>2002</t>
        </is>
      </c>
      <c r="C176" t="n">
        <v>54.7391336880928</v>
      </c>
    </row>
    <row r="177">
      <c r="A177" t="inlineStr">
        <is>
          <t>VNM</t>
        </is>
      </c>
      <c r="B177" t="inlineStr">
        <is>
          <t>2003</t>
        </is>
      </c>
      <c r="C177" t="n">
        <v>56.6732579147533</v>
      </c>
    </row>
    <row r="178">
      <c r="A178" t="inlineStr">
        <is>
          <t>VNM</t>
        </is>
      </c>
      <c r="B178" t="inlineStr">
        <is>
          <t>2004</t>
        </is>
      </c>
      <c r="C178" t="n">
        <v>59.7310414143857</v>
      </c>
    </row>
    <row r="179">
      <c r="A179" t="inlineStr">
        <is>
          <t>VNM</t>
        </is>
      </c>
      <c r="B179" t="inlineStr">
        <is>
          <t>2005</t>
        </is>
      </c>
      <c r="C179" t="n">
        <v>63.6994926701393</v>
      </c>
    </row>
    <row r="180">
      <c r="A180" t="inlineStr">
        <is>
          <t>VNM</t>
        </is>
      </c>
      <c r="B180" t="inlineStr">
        <is>
          <t>2006</t>
        </is>
      </c>
      <c r="C180" t="n">
        <v>67.71681432601871</v>
      </c>
    </row>
    <row r="181">
      <c r="A181" t="inlineStr">
        <is>
          <t>VNM</t>
        </is>
      </c>
      <c r="B181" t="inlineStr">
        <is>
          <t>2007</t>
        </is>
      </c>
      <c r="C181" t="n">
        <v>70.517874602272</v>
      </c>
    </row>
    <row r="182">
      <c r="A182" t="inlineStr">
        <is>
          <t>VNM</t>
        </is>
      </c>
      <c r="B182" t="inlineStr">
        <is>
          <t>2008</t>
        </is>
      </c>
      <c r="C182" t="n">
        <v>70.33669194027151</v>
      </c>
    </row>
    <row r="183">
      <c r="A183" t="inlineStr">
        <is>
          <t>VNM</t>
        </is>
      </c>
      <c r="B183" t="inlineStr">
        <is>
          <t>2009</t>
        </is>
      </c>
      <c r="C183" t="n">
        <v>62.6088840664865</v>
      </c>
    </row>
    <row r="184">
      <c r="A184" t="inlineStr">
        <is>
          <t>VNM</t>
        </is>
      </c>
      <c r="B184" t="inlineStr">
        <is>
          <t>2010</t>
        </is>
      </c>
      <c r="C184" t="n">
        <v>54.1758459668515</v>
      </c>
    </row>
    <row r="185">
      <c r="A185" t="inlineStr">
        <is>
          <t>VNM</t>
        </is>
      </c>
      <c r="B185" t="inlineStr">
        <is>
          <t>2011</t>
        </is>
      </c>
      <c r="C185" t="n">
        <v>61.1801557211956</v>
      </c>
    </row>
    <row r="186">
      <c r="A186" t="inlineStr">
        <is>
          <t>VNM</t>
        </is>
      </c>
      <c r="B186" t="inlineStr">
        <is>
          <t>2012</t>
        </is>
      </c>
      <c r="C186" t="n">
        <v>63.4739249038633</v>
      </c>
    </row>
    <row r="187">
      <c r="A187" t="inlineStr">
        <is>
          <t>VNM</t>
        </is>
      </c>
      <c r="B187" t="inlineStr">
        <is>
          <t>2013</t>
        </is>
      </c>
      <c r="C187" t="n">
        <v>66.80044599191091</v>
      </c>
    </row>
    <row r="188">
      <c r="A188" t="inlineStr">
        <is>
          <t>VNM</t>
        </is>
      </c>
      <c r="B188" t="inlineStr">
        <is>
          <t>2014</t>
        </is>
      </c>
      <c r="C188" t="n">
        <v>69.5985759502054</v>
      </c>
    </row>
    <row r="189">
      <c r="A189" t="inlineStr">
        <is>
          <t>VNM</t>
        </is>
      </c>
      <c r="B189" t="inlineStr">
        <is>
          <t>2015</t>
        </is>
      </c>
      <c r="C189" t="n">
        <v>72.9228518369495</v>
      </c>
    </row>
    <row r="190">
      <c r="A190" t="inlineStr">
        <is>
          <t>VNM</t>
        </is>
      </c>
      <c r="B190" t="inlineStr">
        <is>
          <t>2016</t>
        </is>
      </c>
      <c r="C190" t="n">
        <v>74.10728625561831</v>
      </c>
    </row>
    <row r="191">
      <c r="A191" t="inlineStr">
        <is>
          <t>VNM</t>
        </is>
      </c>
      <c r="B191" t="inlineStr">
        <is>
          <t>2017</t>
        </is>
      </c>
      <c r="C191" t="n">
        <v>81.76252183556549</v>
      </c>
    </row>
    <row r="192">
      <c r="A192" t="inlineStr">
        <is>
          <t>VNM</t>
        </is>
      </c>
      <c r="B192" t="inlineStr">
        <is>
          <t>2018</t>
        </is>
      </c>
      <c r="C192" t="n">
        <v>84.4234560833365</v>
      </c>
    </row>
    <row r="193">
      <c r="A193" t="inlineStr">
        <is>
          <t>VNM</t>
        </is>
      </c>
      <c r="B193" t="inlineStr">
        <is>
          <t>2019</t>
        </is>
      </c>
      <c r="C193" t="n">
        <v>85.1575874073411</v>
      </c>
    </row>
    <row r="194">
      <c r="A194" t="inlineStr">
        <is>
          <t>VNM</t>
        </is>
      </c>
      <c r="B194" t="inlineStr">
        <is>
          <t>2020</t>
        </is>
      </c>
      <c r="C194" t="n">
        <v>84.381598008957</v>
      </c>
    </row>
    <row r="195">
      <c r="A195" t="inlineStr">
        <is>
          <t>VNM</t>
        </is>
      </c>
      <c r="B195" t="inlineStr">
        <is>
          <t>2021</t>
        </is>
      </c>
      <c r="C195" t="n">
        <v>93.8502071275575</v>
      </c>
    </row>
    <row r="196">
      <c r="A196" t="inlineStr">
        <is>
          <t>VNM</t>
        </is>
      </c>
      <c r="B196" t="inlineStr">
        <is>
          <t>2022</t>
        </is>
      </c>
      <c r="C196" t="n">
        <v>93.420129043511</v>
      </c>
    </row>
    <row r="197">
      <c r="A197" t="inlineStr">
        <is>
          <t>VNM</t>
        </is>
      </c>
      <c r="B197" t="inlineStr">
        <is>
          <t>2023</t>
        </is>
      </c>
      <c r="C197" t="n">
        <v>86.73666408752381</v>
      </c>
    </row>
    <row r="198">
      <c r="A198" t="inlineStr">
        <is>
          <t>VNM</t>
        </is>
      </c>
      <c r="B198" t="inlineStr">
        <is>
          <t>2024</t>
        </is>
      </c>
      <c r="C198" t="n">
        <v>90.1662693374998</v>
      </c>
    </row>
    <row r="199">
      <c r="A199" t="inlineStr">
        <is>
          <t>VNM</t>
        </is>
      </c>
      <c r="B199" t="inlineStr">
        <is>
          <t>2025</t>
        </is>
      </c>
      <c r="C199" t="n">
        <v>98.24440786376719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iso3</t>
        </is>
      </c>
      <c r="B1" s="3" t="inlineStr">
        <is>
          <t>year</t>
        </is>
      </c>
      <c r="C1" s="3" t="inlineStr">
        <is>
          <t>EG.USE.ELEC.KH.PC</t>
        </is>
      </c>
    </row>
    <row r="2">
      <c r="A2" t="inlineStr">
        <is>
          <t>IND</t>
        </is>
      </c>
      <c r="B2" t="inlineStr">
        <is>
          <t>1960</t>
        </is>
      </c>
    </row>
    <row r="3">
      <c r="A3" t="inlineStr">
        <is>
          <t>IND</t>
        </is>
      </c>
      <c r="B3" t="inlineStr">
        <is>
          <t>1961</t>
        </is>
      </c>
    </row>
    <row r="4">
      <c r="A4" t="inlineStr">
        <is>
          <t>IND</t>
        </is>
      </c>
      <c r="B4" t="inlineStr">
        <is>
          <t>1962</t>
        </is>
      </c>
    </row>
    <row r="5">
      <c r="A5" t="inlineStr">
        <is>
          <t>IND</t>
        </is>
      </c>
      <c r="B5" t="inlineStr">
        <is>
          <t>1963</t>
        </is>
      </c>
    </row>
    <row r="6">
      <c r="A6" t="inlineStr">
        <is>
          <t>IND</t>
        </is>
      </c>
      <c r="B6" t="inlineStr">
        <is>
          <t>1964</t>
        </is>
      </c>
    </row>
    <row r="7">
      <c r="A7" t="inlineStr">
        <is>
          <t>IND</t>
        </is>
      </c>
      <c r="B7" t="inlineStr">
        <is>
          <t>1965</t>
        </is>
      </c>
    </row>
    <row r="8">
      <c r="A8" t="inlineStr">
        <is>
          <t>IND</t>
        </is>
      </c>
      <c r="B8" t="inlineStr">
        <is>
          <t>1966</t>
        </is>
      </c>
    </row>
    <row r="9">
      <c r="A9" t="inlineStr">
        <is>
          <t>IND</t>
        </is>
      </c>
      <c r="B9" t="inlineStr">
        <is>
          <t>1967</t>
        </is>
      </c>
    </row>
    <row r="10">
      <c r="A10" t="inlineStr">
        <is>
          <t>IND</t>
        </is>
      </c>
      <c r="B10" t="inlineStr">
        <is>
          <t>1968</t>
        </is>
      </c>
    </row>
    <row r="11">
      <c r="A11" t="inlineStr">
        <is>
          <t>IND</t>
        </is>
      </c>
      <c r="B11" t="inlineStr">
        <is>
          <t>1969</t>
        </is>
      </c>
    </row>
    <row r="12">
      <c r="A12" t="inlineStr">
        <is>
          <t>IND</t>
        </is>
      </c>
      <c r="B12" t="inlineStr">
        <is>
          <t>1970</t>
        </is>
      </c>
    </row>
    <row r="13">
      <c r="A13" t="inlineStr">
        <is>
          <t>IND</t>
        </is>
      </c>
      <c r="B13" t="inlineStr">
        <is>
          <t>1971</t>
        </is>
      </c>
    </row>
    <row r="14">
      <c r="A14" t="inlineStr">
        <is>
          <t>IND</t>
        </is>
      </c>
      <c r="B14" t="inlineStr">
        <is>
          <t>1972</t>
        </is>
      </c>
    </row>
    <row r="15">
      <c r="A15" t="inlineStr">
        <is>
          <t>IND</t>
        </is>
      </c>
      <c r="B15" t="inlineStr">
        <is>
          <t>1973</t>
        </is>
      </c>
    </row>
    <row r="16">
      <c r="A16" t="inlineStr">
        <is>
          <t>IND</t>
        </is>
      </c>
      <c r="B16" t="inlineStr">
        <is>
          <t>1974</t>
        </is>
      </c>
    </row>
    <row r="17">
      <c r="A17" t="inlineStr">
        <is>
          <t>IND</t>
        </is>
      </c>
      <c r="B17" t="inlineStr">
        <is>
          <t>1975</t>
        </is>
      </c>
    </row>
    <row r="18">
      <c r="A18" t="inlineStr">
        <is>
          <t>IND</t>
        </is>
      </c>
      <c r="B18" t="inlineStr">
        <is>
          <t>1976</t>
        </is>
      </c>
    </row>
    <row r="19">
      <c r="A19" t="inlineStr">
        <is>
          <t>IND</t>
        </is>
      </c>
      <c r="B19" t="inlineStr">
        <is>
          <t>1977</t>
        </is>
      </c>
    </row>
    <row r="20">
      <c r="A20" t="inlineStr">
        <is>
          <t>IND</t>
        </is>
      </c>
      <c r="B20" t="inlineStr">
        <is>
          <t>1978</t>
        </is>
      </c>
    </row>
    <row r="21">
      <c r="A21" t="inlineStr">
        <is>
          <t>IND</t>
        </is>
      </c>
      <c r="B21" t="inlineStr">
        <is>
          <t>1979</t>
        </is>
      </c>
    </row>
    <row r="22">
      <c r="A22" t="inlineStr">
        <is>
          <t>IND</t>
        </is>
      </c>
      <c r="B22" t="inlineStr">
        <is>
          <t>1980</t>
        </is>
      </c>
    </row>
    <row r="23">
      <c r="A23" t="inlineStr">
        <is>
          <t>IND</t>
        </is>
      </c>
      <c r="B23" t="inlineStr">
        <is>
          <t>1981</t>
        </is>
      </c>
    </row>
    <row r="24">
      <c r="A24" t="inlineStr">
        <is>
          <t>IND</t>
        </is>
      </c>
      <c r="B24" t="inlineStr">
        <is>
          <t>1982</t>
        </is>
      </c>
    </row>
    <row r="25">
      <c r="A25" t="inlineStr">
        <is>
          <t>IND</t>
        </is>
      </c>
      <c r="B25" t="inlineStr">
        <is>
          <t>1983</t>
        </is>
      </c>
    </row>
    <row r="26">
      <c r="A26" t="inlineStr">
        <is>
          <t>IND</t>
        </is>
      </c>
      <c r="B26" t="inlineStr">
        <is>
          <t>1984</t>
        </is>
      </c>
    </row>
    <row r="27">
      <c r="A27" t="inlineStr">
        <is>
          <t>IND</t>
        </is>
      </c>
      <c r="B27" t="inlineStr">
        <is>
          <t>1985</t>
        </is>
      </c>
    </row>
    <row r="28">
      <c r="A28" t="inlineStr">
        <is>
          <t>IND</t>
        </is>
      </c>
      <c r="B28" t="inlineStr">
        <is>
          <t>1986</t>
        </is>
      </c>
    </row>
    <row r="29">
      <c r="A29" t="inlineStr">
        <is>
          <t>IND</t>
        </is>
      </c>
      <c r="B29" t="inlineStr">
        <is>
          <t>1987</t>
        </is>
      </c>
    </row>
    <row r="30">
      <c r="A30" t="inlineStr">
        <is>
          <t>IND</t>
        </is>
      </c>
      <c r="B30" t="inlineStr">
        <is>
          <t>1988</t>
        </is>
      </c>
    </row>
    <row r="31">
      <c r="A31" t="inlineStr">
        <is>
          <t>IND</t>
        </is>
      </c>
      <c r="B31" t="inlineStr">
        <is>
          <t>1989</t>
        </is>
      </c>
    </row>
    <row r="32">
      <c r="A32" t="inlineStr">
        <is>
          <t>IND</t>
        </is>
      </c>
      <c r="B32" t="inlineStr">
        <is>
          <t>1990</t>
        </is>
      </c>
      <c r="C32" t="n">
        <v>270.904653711417</v>
      </c>
    </row>
    <row r="33">
      <c r="A33" t="inlineStr">
        <is>
          <t>IND</t>
        </is>
      </c>
      <c r="B33" t="inlineStr">
        <is>
          <t>1991</t>
        </is>
      </c>
      <c r="C33" t="n">
        <v>289.261247188118</v>
      </c>
    </row>
    <row r="34">
      <c r="A34" t="inlineStr">
        <is>
          <t>IND</t>
        </is>
      </c>
      <c r="B34" t="inlineStr">
        <is>
          <t>1992</t>
        </is>
      </c>
      <c r="C34" t="n">
        <v>301.718663103219</v>
      </c>
    </row>
    <row r="35">
      <c r="A35" t="inlineStr">
        <is>
          <t>IND</t>
        </is>
      </c>
      <c r="B35" t="inlineStr">
        <is>
          <t>1993</t>
        </is>
      </c>
      <c r="C35" t="n">
        <v>317.599132745631</v>
      </c>
    </row>
    <row r="36">
      <c r="A36" t="inlineStr">
        <is>
          <t>IND</t>
        </is>
      </c>
      <c r="B36" t="inlineStr">
        <is>
          <t>1994</t>
        </is>
      </c>
      <c r="C36" t="n">
        <v>337.329178121665</v>
      </c>
    </row>
    <row r="37">
      <c r="A37" t="inlineStr">
        <is>
          <t>IND</t>
        </is>
      </c>
      <c r="B37" t="inlineStr">
        <is>
          <t>1995</t>
        </is>
      </c>
      <c r="C37" t="n">
        <v>354.353462516906</v>
      </c>
    </row>
    <row r="38">
      <c r="A38" t="inlineStr">
        <is>
          <t>IND</t>
        </is>
      </c>
      <c r="B38" t="inlineStr">
        <is>
          <t>1996</t>
        </is>
      </c>
      <c r="C38" t="n">
        <v>354.44588697897</v>
      </c>
    </row>
    <row r="39">
      <c r="A39" t="inlineStr">
        <is>
          <t>IND</t>
        </is>
      </c>
      <c r="B39" t="inlineStr">
        <is>
          <t>1997</t>
        </is>
      </c>
      <c r="C39" t="n">
        <v>369.396985706104</v>
      </c>
    </row>
    <row r="40">
      <c r="A40" t="inlineStr">
        <is>
          <t>IND</t>
        </is>
      </c>
      <c r="B40" t="inlineStr">
        <is>
          <t>1998</t>
        </is>
      </c>
      <c r="C40" t="n">
        <v>379.599740476036</v>
      </c>
    </row>
    <row r="41">
      <c r="A41" t="inlineStr">
        <is>
          <t>IND</t>
        </is>
      </c>
      <c r="B41" t="inlineStr">
        <is>
          <t>1999</t>
        </is>
      </c>
      <c r="C41" t="n">
        <v>383.129557354499</v>
      </c>
    </row>
    <row r="42">
      <c r="A42" t="inlineStr">
        <is>
          <t>IND</t>
        </is>
      </c>
      <c r="B42" t="inlineStr">
        <is>
          <t>2000</t>
        </is>
      </c>
      <c r="C42" t="n">
        <v>384.989363868788</v>
      </c>
    </row>
    <row r="43">
      <c r="A43" t="inlineStr">
        <is>
          <t>IND</t>
        </is>
      </c>
      <c r="B43" t="inlineStr">
        <is>
          <t>2001</t>
        </is>
      </c>
      <c r="C43" t="n">
        <v>384.818209820901</v>
      </c>
    </row>
    <row r="44">
      <c r="A44" t="inlineStr">
        <is>
          <t>IND</t>
        </is>
      </c>
      <c r="B44" t="inlineStr">
        <is>
          <t>2002</t>
        </is>
      </c>
      <c r="C44" t="n">
        <v>401.998767529581</v>
      </c>
    </row>
    <row r="45">
      <c r="A45" t="inlineStr">
        <is>
          <t>IND</t>
        </is>
      </c>
      <c r="B45" t="inlineStr">
        <is>
          <t>2003</t>
        </is>
      </c>
      <c r="C45" t="n">
        <v>419.055104155047</v>
      </c>
    </row>
    <row r="46">
      <c r="A46" t="inlineStr">
        <is>
          <t>IND</t>
        </is>
      </c>
      <c r="B46" t="inlineStr">
        <is>
          <t>2004</t>
        </is>
      </c>
      <c r="C46" t="n">
        <v>441.628299383254</v>
      </c>
    </row>
    <row r="47">
      <c r="A47" t="inlineStr">
        <is>
          <t>IND</t>
        </is>
      </c>
      <c r="B47" t="inlineStr">
        <is>
          <t>2005</t>
        </is>
      </c>
      <c r="C47" t="n">
        <v>458.878379944817</v>
      </c>
    </row>
    <row r="48">
      <c r="A48" t="inlineStr">
        <is>
          <t>IND</t>
        </is>
      </c>
      <c r="B48" t="inlineStr">
        <is>
          <t>2006</t>
        </is>
      </c>
      <c r="C48" t="n">
        <v>500.477078242921</v>
      </c>
    </row>
    <row r="49">
      <c r="A49" t="inlineStr">
        <is>
          <t>IND</t>
        </is>
      </c>
      <c r="B49" t="inlineStr">
        <is>
          <t>2007</t>
        </is>
      </c>
      <c r="C49" t="n">
        <v>532.66882746772</v>
      </c>
    </row>
    <row r="50">
      <c r="A50" t="inlineStr">
        <is>
          <t>IND</t>
        </is>
      </c>
      <c r="B50" t="inlineStr">
        <is>
          <t>2008</t>
        </is>
      </c>
      <c r="C50" t="n">
        <v>554.589641266949</v>
      </c>
    </row>
    <row r="51">
      <c r="A51" t="inlineStr">
        <is>
          <t>IND</t>
        </is>
      </c>
      <c r="B51" t="inlineStr">
        <is>
          <t>2009</t>
        </is>
      </c>
      <c r="C51" t="n">
        <v>587.752306297154</v>
      </c>
    </row>
    <row r="52">
      <c r="A52" t="inlineStr">
        <is>
          <t>IND</t>
        </is>
      </c>
      <c r="B52" t="inlineStr">
        <is>
          <t>2010</t>
        </is>
      </c>
      <c r="C52" t="n">
        <v>629.279936795267</v>
      </c>
    </row>
    <row r="53">
      <c r="A53" t="inlineStr">
        <is>
          <t>IND</t>
        </is>
      </c>
      <c r="B53" t="inlineStr">
        <is>
          <t>2011</t>
        </is>
      </c>
      <c r="C53" t="n">
        <v>677.939329766861</v>
      </c>
    </row>
    <row r="54">
      <c r="A54" t="inlineStr">
        <is>
          <t>IND</t>
        </is>
      </c>
      <c r="B54" t="inlineStr">
        <is>
          <t>2012</t>
        </is>
      </c>
      <c r="C54" t="n">
        <v>708.586898841594</v>
      </c>
    </row>
    <row r="55">
      <c r="A55" t="inlineStr">
        <is>
          <t>IND</t>
        </is>
      </c>
      <c r="B55" t="inlineStr">
        <is>
          <t>2013</t>
        </is>
      </c>
      <c r="C55" t="n">
        <v>743.069973191867</v>
      </c>
    </row>
    <row r="56">
      <c r="A56" t="inlineStr">
        <is>
          <t>IND</t>
        </is>
      </c>
      <c r="B56" t="inlineStr">
        <is>
          <t>2014</t>
        </is>
      </c>
      <c r="C56" t="n">
        <v>807.53670586354</v>
      </c>
    </row>
    <row r="57">
      <c r="A57" t="inlineStr">
        <is>
          <t>IND</t>
        </is>
      </c>
      <c r="B57" t="inlineStr">
        <is>
          <t>2015</t>
        </is>
      </c>
      <c r="C57" t="n">
        <v>840.986745110481</v>
      </c>
    </row>
    <row r="58">
      <c r="A58" t="inlineStr">
        <is>
          <t>IND</t>
        </is>
      </c>
      <c r="B58" t="inlineStr">
        <is>
          <t>2016</t>
        </is>
      </c>
      <c r="C58" t="n">
        <v>879.8318527928041</v>
      </c>
    </row>
    <row r="59">
      <c r="A59" t="inlineStr">
        <is>
          <t>IND</t>
        </is>
      </c>
      <c r="B59" t="inlineStr">
        <is>
          <t>2017</t>
        </is>
      </c>
      <c r="C59" t="n">
        <v>918.193068342069</v>
      </c>
    </row>
    <row r="60">
      <c r="A60" t="inlineStr">
        <is>
          <t>IND</t>
        </is>
      </c>
      <c r="B60" t="inlineStr">
        <is>
          <t>2018</t>
        </is>
      </c>
      <c r="C60" t="n">
        <v>970.71487392455</v>
      </c>
    </row>
    <row r="61">
      <c r="A61" t="inlineStr">
        <is>
          <t>IND</t>
        </is>
      </c>
      <c r="B61" t="inlineStr">
        <is>
          <t>2019</t>
        </is>
      </c>
      <c r="C61" t="n">
        <v>988.150501930875</v>
      </c>
    </row>
    <row r="62">
      <c r="A62" t="inlineStr">
        <is>
          <t>IND</t>
        </is>
      </c>
      <c r="B62" t="inlineStr">
        <is>
          <t>2020</t>
        </is>
      </c>
      <c r="C62" t="n">
        <v>901.368922199431</v>
      </c>
    </row>
    <row r="63">
      <c r="A63" t="inlineStr">
        <is>
          <t>IND</t>
        </is>
      </c>
      <c r="B63" t="inlineStr">
        <is>
          <t>2021</t>
        </is>
      </c>
      <c r="C63" t="n">
        <v>963.704034372141</v>
      </c>
    </row>
    <row r="64">
      <c r="A64" t="inlineStr">
        <is>
          <t>IND</t>
        </is>
      </c>
      <c r="B64" t="inlineStr">
        <is>
          <t>2022</t>
        </is>
      </c>
      <c r="C64" t="n">
        <v>1080.69518374028</v>
      </c>
    </row>
    <row r="65">
      <c r="A65" t="inlineStr">
        <is>
          <t>IND</t>
        </is>
      </c>
      <c r="B65" t="inlineStr">
        <is>
          <t>2023</t>
        </is>
      </c>
      <c r="C65" t="n">
        <v>1159.80756747742</v>
      </c>
    </row>
    <row r="66">
      <c r="A66" t="inlineStr">
        <is>
          <t>IND</t>
        </is>
      </c>
      <c r="B66" t="inlineStr">
        <is>
          <t>2024</t>
        </is>
      </c>
      <c r="C66" t="n">
        <v>1222.83150709045</v>
      </c>
    </row>
    <row r="67">
      <c r="A67" t="inlineStr">
        <is>
          <t>IND</t>
        </is>
      </c>
      <c r="B67" t="inlineStr">
        <is>
          <t>2025</t>
        </is>
      </c>
    </row>
    <row r="68">
      <c r="A68" t="inlineStr">
        <is>
          <t>PHL</t>
        </is>
      </c>
      <c r="B68" t="inlineStr">
        <is>
          <t>1960</t>
        </is>
      </c>
    </row>
    <row r="69">
      <c r="A69" t="inlineStr">
        <is>
          <t>PHL</t>
        </is>
      </c>
      <c r="B69" t="inlineStr">
        <is>
          <t>1961</t>
        </is>
      </c>
    </row>
    <row r="70">
      <c r="A70" t="inlineStr">
        <is>
          <t>PHL</t>
        </is>
      </c>
      <c r="B70" t="inlineStr">
        <is>
          <t>1962</t>
        </is>
      </c>
    </row>
    <row r="71">
      <c r="A71" t="inlineStr">
        <is>
          <t>PHL</t>
        </is>
      </c>
      <c r="B71" t="inlineStr">
        <is>
          <t>1963</t>
        </is>
      </c>
    </row>
    <row r="72">
      <c r="A72" t="inlineStr">
        <is>
          <t>PHL</t>
        </is>
      </c>
      <c r="B72" t="inlineStr">
        <is>
          <t>1964</t>
        </is>
      </c>
    </row>
    <row r="73">
      <c r="A73" t="inlineStr">
        <is>
          <t>PHL</t>
        </is>
      </c>
      <c r="B73" t="inlineStr">
        <is>
          <t>1965</t>
        </is>
      </c>
    </row>
    <row r="74">
      <c r="A74" t="inlineStr">
        <is>
          <t>PHL</t>
        </is>
      </c>
      <c r="B74" t="inlineStr">
        <is>
          <t>1966</t>
        </is>
      </c>
    </row>
    <row r="75">
      <c r="A75" t="inlineStr">
        <is>
          <t>PHL</t>
        </is>
      </c>
      <c r="B75" t="inlineStr">
        <is>
          <t>1967</t>
        </is>
      </c>
    </row>
    <row r="76">
      <c r="A76" t="inlineStr">
        <is>
          <t>PHL</t>
        </is>
      </c>
      <c r="B76" t="inlineStr">
        <is>
          <t>1968</t>
        </is>
      </c>
    </row>
    <row r="77">
      <c r="A77" t="inlineStr">
        <is>
          <t>PHL</t>
        </is>
      </c>
      <c r="B77" t="inlineStr">
        <is>
          <t>1969</t>
        </is>
      </c>
    </row>
    <row r="78">
      <c r="A78" t="inlineStr">
        <is>
          <t>PHL</t>
        </is>
      </c>
      <c r="B78" t="inlineStr">
        <is>
          <t>1970</t>
        </is>
      </c>
    </row>
    <row r="79">
      <c r="A79" t="inlineStr">
        <is>
          <t>PHL</t>
        </is>
      </c>
      <c r="B79" t="inlineStr">
        <is>
          <t>1971</t>
        </is>
      </c>
    </row>
    <row r="80">
      <c r="A80" t="inlineStr">
        <is>
          <t>PHL</t>
        </is>
      </c>
      <c r="B80" t="inlineStr">
        <is>
          <t>1972</t>
        </is>
      </c>
    </row>
    <row r="81">
      <c r="A81" t="inlineStr">
        <is>
          <t>PHL</t>
        </is>
      </c>
      <c r="B81" t="inlineStr">
        <is>
          <t>1973</t>
        </is>
      </c>
    </row>
    <row r="82">
      <c r="A82" t="inlineStr">
        <is>
          <t>PHL</t>
        </is>
      </c>
      <c r="B82" t="inlineStr">
        <is>
          <t>1974</t>
        </is>
      </c>
    </row>
    <row r="83">
      <c r="A83" t="inlineStr">
        <is>
          <t>PHL</t>
        </is>
      </c>
      <c r="B83" t="inlineStr">
        <is>
          <t>1975</t>
        </is>
      </c>
    </row>
    <row r="84">
      <c r="A84" t="inlineStr">
        <is>
          <t>PHL</t>
        </is>
      </c>
      <c r="B84" t="inlineStr">
        <is>
          <t>1976</t>
        </is>
      </c>
    </row>
    <row r="85">
      <c r="A85" t="inlineStr">
        <is>
          <t>PHL</t>
        </is>
      </c>
      <c r="B85" t="inlineStr">
        <is>
          <t>1977</t>
        </is>
      </c>
    </row>
    <row r="86">
      <c r="A86" t="inlineStr">
        <is>
          <t>PHL</t>
        </is>
      </c>
      <c r="B86" t="inlineStr">
        <is>
          <t>1978</t>
        </is>
      </c>
    </row>
    <row r="87">
      <c r="A87" t="inlineStr">
        <is>
          <t>PHL</t>
        </is>
      </c>
      <c r="B87" t="inlineStr">
        <is>
          <t>1979</t>
        </is>
      </c>
    </row>
    <row r="88">
      <c r="A88" t="inlineStr">
        <is>
          <t>PHL</t>
        </is>
      </c>
      <c r="B88" t="inlineStr">
        <is>
          <t>1980</t>
        </is>
      </c>
    </row>
    <row r="89">
      <c r="A89" t="inlineStr">
        <is>
          <t>PHL</t>
        </is>
      </c>
      <c r="B89" t="inlineStr">
        <is>
          <t>1981</t>
        </is>
      </c>
    </row>
    <row r="90">
      <c r="A90" t="inlineStr">
        <is>
          <t>PHL</t>
        </is>
      </c>
      <c r="B90" t="inlineStr">
        <is>
          <t>1982</t>
        </is>
      </c>
    </row>
    <row r="91">
      <c r="A91" t="inlineStr">
        <is>
          <t>PHL</t>
        </is>
      </c>
      <c r="B91" t="inlineStr">
        <is>
          <t>1983</t>
        </is>
      </c>
    </row>
    <row r="92">
      <c r="A92" t="inlineStr">
        <is>
          <t>PHL</t>
        </is>
      </c>
      <c r="B92" t="inlineStr">
        <is>
          <t>1984</t>
        </is>
      </c>
    </row>
    <row r="93">
      <c r="A93" t="inlineStr">
        <is>
          <t>PHL</t>
        </is>
      </c>
      <c r="B93" t="inlineStr">
        <is>
          <t>1985</t>
        </is>
      </c>
    </row>
    <row r="94">
      <c r="A94" t="inlineStr">
        <is>
          <t>PHL</t>
        </is>
      </c>
      <c r="B94" t="inlineStr">
        <is>
          <t>1986</t>
        </is>
      </c>
    </row>
    <row r="95">
      <c r="A95" t="inlineStr">
        <is>
          <t>PHL</t>
        </is>
      </c>
      <c r="B95" t="inlineStr">
        <is>
          <t>1987</t>
        </is>
      </c>
    </row>
    <row r="96">
      <c r="A96" t="inlineStr">
        <is>
          <t>PHL</t>
        </is>
      </c>
      <c r="B96" t="inlineStr">
        <is>
          <t>1988</t>
        </is>
      </c>
    </row>
    <row r="97">
      <c r="A97" t="inlineStr">
        <is>
          <t>PHL</t>
        </is>
      </c>
      <c r="B97" t="inlineStr">
        <is>
          <t>1989</t>
        </is>
      </c>
    </row>
    <row r="98">
      <c r="A98" t="inlineStr">
        <is>
          <t>PHL</t>
        </is>
      </c>
      <c r="B98" t="inlineStr">
        <is>
          <t>1990</t>
        </is>
      </c>
      <c r="C98" t="n">
        <v>355.534464219411</v>
      </c>
    </row>
    <row r="99">
      <c r="A99" t="inlineStr">
        <is>
          <t>PHL</t>
        </is>
      </c>
      <c r="B99" t="inlineStr">
        <is>
          <t>1991</t>
        </is>
      </c>
      <c r="C99" t="n">
        <v>349.055839910159</v>
      </c>
    </row>
    <row r="100">
      <c r="A100" t="inlineStr">
        <is>
          <t>PHL</t>
        </is>
      </c>
      <c r="B100" t="inlineStr">
        <is>
          <t>1992</t>
        </is>
      </c>
      <c r="C100" t="n">
        <v>330.657990288372</v>
      </c>
    </row>
    <row r="101">
      <c r="A101" t="inlineStr">
        <is>
          <t>PHL</t>
        </is>
      </c>
      <c r="B101" t="inlineStr">
        <is>
          <t>1993</t>
        </is>
      </c>
      <c r="C101" t="n">
        <v>330.827699629772</v>
      </c>
    </row>
    <row r="102">
      <c r="A102" t="inlineStr">
        <is>
          <t>PHL</t>
        </is>
      </c>
      <c r="B102" t="inlineStr">
        <is>
          <t>1994</t>
        </is>
      </c>
      <c r="C102" t="n">
        <v>372.721881480933</v>
      </c>
    </row>
    <row r="103">
      <c r="A103" t="inlineStr">
        <is>
          <t>PHL</t>
        </is>
      </c>
      <c r="B103" t="inlineStr">
        <is>
          <t>1995</t>
        </is>
      </c>
      <c r="C103" t="n">
        <v>394.337070749307</v>
      </c>
    </row>
    <row r="104">
      <c r="A104" t="inlineStr">
        <is>
          <t>PHL</t>
        </is>
      </c>
      <c r="B104" t="inlineStr">
        <is>
          <t>1996</t>
        </is>
      </c>
      <c r="C104" t="n">
        <v>423.589105020593</v>
      </c>
    </row>
    <row r="105">
      <c r="A105" t="inlineStr">
        <is>
          <t>PHL</t>
        </is>
      </c>
      <c r="B105" t="inlineStr">
        <is>
          <t>1997</t>
        </is>
      </c>
      <c r="C105" t="n">
        <v>456.779103871379</v>
      </c>
    </row>
    <row r="106">
      <c r="A106" t="inlineStr">
        <is>
          <t>PHL</t>
        </is>
      </c>
      <c r="B106" t="inlineStr">
        <is>
          <t>1998</t>
        </is>
      </c>
      <c r="C106" t="n">
        <v>471.652157648642</v>
      </c>
    </row>
    <row r="107">
      <c r="A107" t="inlineStr">
        <is>
          <t>PHL</t>
        </is>
      </c>
      <c r="B107" t="inlineStr">
        <is>
          <t>1999</t>
        </is>
      </c>
      <c r="C107" t="n">
        <v>458.861806907973</v>
      </c>
    </row>
    <row r="108">
      <c r="A108" t="inlineStr">
        <is>
          <t>PHL</t>
        </is>
      </c>
      <c r="B108" t="inlineStr">
        <is>
          <t>2000</t>
        </is>
      </c>
      <c r="C108" t="n">
        <v>489.102741930442</v>
      </c>
    </row>
    <row r="109">
      <c r="A109" t="inlineStr">
        <is>
          <t>PHL</t>
        </is>
      </c>
      <c r="B109" t="inlineStr">
        <is>
          <t>2001</t>
        </is>
      </c>
      <c r="C109" t="n">
        <v>507.926832983692</v>
      </c>
    </row>
    <row r="110">
      <c r="A110" t="inlineStr">
        <is>
          <t>PHL</t>
        </is>
      </c>
      <c r="B110" t="inlineStr">
        <is>
          <t>2002</t>
        </is>
      </c>
      <c r="C110" t="n">
        <v>511.587436783944</v>
      </c>
    </row>
    <row r="111">
      <c r="A111" t="inlineStr">
        <is>
          <t>PHL</t>
        </is>
      </c>
      <c r="B111" t="inlineStr">
        <is>
          <t>2003</t>
        </is>
      </c>
      <c r="C111" t="n">
        <v>544.423474364741</v>
      </c>
    </row>
    <row r="112">
      <c r="A112" t="inlineStr">
        <is>
          <t>PHL</t>
        </is>
      </c>
      <c r="B112" t="inlineStr">
        <is>
          <t>2004</t>
        </is>
      </c>
      <c r="C112" t="n">
        <v>564.052083683471</v>
      </c>
    </row>
    <row r="113">
      <c r="A113" t="inlineStr">
        <is>
          <t>PHL</t>
        </is>
      </c>
      <c r="B113" t="inlineStr">
        <is>
          <t>2005</t>
        </is>
      </c>
      <c r="C113" t="n">
        <v>565.23838255611</v>
      </c>
    </row>
    <row r="114">
      <c r="A114" t="inlineStr">
        <is>
          <t>PHL</t>
        </is>
      </c>
      <c r="B114" t="inlineStr">
        <is>
          <t>2006</t>
        </is>
      </c>
      <c r="C114" t="n">
        <v>557.463582483216</v>
      </c>
    </row>
    <row r="115">
      <c r="A115" t="inlineStr">
        <is>
          <t>PHL</t>
        </is>
      </c>
      <c r="B115" t="inlineStr">
        <is>
          <t>2007</t>
        </is>
      </c>
      <c r="C115" t="n">
        <v>570.9897879536539</v>
      </c>
    </row>
    <row r="116">
      <c r="A116" t="inlineStr">
        <is>
          <t>PHL</t>
        </is>
      </c>
      <c r="B116" t="inlineStr">
        <is>
          <t>2008</t>
        </is>
      </c>
      <c r="C116" t="n">
        <v>573.263417512328</v>
      </c>
    </row>
    <row r="117">
      <c r="A117" t="inlineStr">
        <is>
          <t>PHL</t>
        </is>
      </c>
      <c r="B117" t="inlineStr">
        <is>
          <t>2009</t>
        </is>
      </c>
      <c r="C117" t="n">
        <v>576.2931845090681</v>
      </c>
    </row>
    <row r="118">
      <c r="A118" t="inlineStr">
        <is>
          <t>PHL</t>
        </is>
      </c>
      <c r="B118" t="inlineStr">
        <is>
          <t>2010</t>
        </is>
      </c>
      <c r="C118" t="n">
        <v>622.210803986521</v>
      </c>
    </row>
    <row r="119">
      <c r="A119" t="inlineStr">
        <is>
          <t>PHL</t>
        </is>
      </c>
      <c r="B119" t="inlineStr">
        <is>
          <t>2011</t>
        </is>
      </c>
      <c r="C119" t="n">
        <v>625.922315809972</v>
      </c>
    </row>
    <row r="120">
      <c r="A120" t="inlineStr">
        <is>
          <t>PHL</t>
        </is>
      </c>
      <c r="B120" t="inlineStr">
        <is>
          <t>2012</t>
        </is>
      </c>
      <c r="C120" t="n">
        <v>644.478862259272</v>
      </c>
    </row>
    <row r="121">
      <c r="A121" t="inlineStr">
        <is>
          <t>PHL</t>
        </is>
      </c>
      <c r="B121" t="inlineStr">
        <is>
          <t>2013</t>
        </is>
      </c>
      <c r="C121" t="n">
        <v>661.5147314848761</v>
      </c>
    </row>
    <row r="122">
      <c r="A122" t="inlineStr">
        <is>
          <t>PHL</t>
        </is>
      </c>
      <c r="B122" t="inlineStr">
        <is>
          <t>2014</t>
        </is>
      </c>
      <c r="C122" t="n">
        <v>672.72748123611</v>
      </c>
    </row>
    <row r="123">
      <c r="A123" t="inlineStr">
        <is>
          <t>PHL</t>
        </is>
      </c>
      <c r="B123" t="inlineStr">
        <is>
          <t>2015</t>
        </is>
      </c>
      <c r="C123" t="n">
        <v>711.526646209045</v>
      </c>
    </row>
    <row r="124">
      <c r="A124" t="inlineStr">
        <is>
          <t>PHL</t>
        </is>
      </c>
      <c r="B124" t="inlineStr">
        <is>
          <t>2016</t>
        </is>
      </c>
      <c r="C124" t="n">
        <v>773.030816422382</v>
      </c>
    </row>
    <row r="125">
      <c r="A125" t="inlineStr">
        <is>
          <t>PHL</t>
        </is>
      </c>
      <c r="B125" t="inlineStr">
        <is>
          <t>2017</t>
        </is>
      </c>
      <c r="C125" t="n">
        <v>796.4321541312549</v>
      </c>
    </row>
    <row r="126">
      <c r="A126" t="inlineStr">
        <is>
          <t>PHL</t>
        </is>
      </c>
      <c r="B126" t="inlineStr">
        <is>
          <t>2018</t>
        </is>
      </c>
      <c r="C126" t="n">
        <v>829.139560927657</v>
      </c>
    </row>
    <row r="127">
      <c r="A127" t="inlineStr">
        <is>
          <t>PHL</t>
        </is>
      </c>
      <c r="B127" t="inlineStr">
        <is>
          <t>2019</t>
        </is>
      </c>
      <c r="C127" t="n">
        <v>866.885743448226</v>
      </c>
    </row>
    <row r="128">
      <c r="A128" t="inlineStr">
        <is>
          <t>PHL</t>
        </is>
      </c>
      <c r="B128" t="inlineStr">
        <is>
          <t>2020</t>
        </is>
      </c>
      <c r="C128" t="n">
        <v>821.056050902495</v>
      </c>
    </row>
    <row r="129">
      <c r="A129" t="inlineStr">
        <is>
          <t>PHL</t>
        </is>
      </c>
      <c r="B129" t="inlineStr">
        <is>
          <t>2021</t>
        </is>
      </c>
      <c r="C129" t="n">
        <v>850.196218510985</v>
      </c>
    </row>
    <row r="130">
      <c r="A130" t="inlineStr">
        <is>
          <t>PHL</t>
        </is>
      </c>
      <c r="B130" t="inlineStr">
        <is>
          <t>2022</t>
        </is>
      </c>
      <c r="C130" t="n">
        <v>884.890850679973</v>
      </c>
    </row>
    <row r="131">
      <c r="A131" t="inlineStr">
        <is>
          <t>PHL</t>
        </is>
      </c>
      <c r="B131" t="inlineStr">
        <is>
          <t>2023</t>
        </is>
      </c>
      <c r="C131" t="n">
        <v>924.6661269502461</v>
      </c>
    </row>
    <row r="132">
      <c r="A132" t="inlineStr">
        <is>
          <t>PHL</t>
        </is>
      </c>
      <c r="B132" t="inlineStr">
        <is>
          <t>2024</t>
        </is>
      </c>
      <c r="C132" t="n">
        <v>988.383741640782</v>
      </c>
    </row>
    <row r="133">
      <c r="A133" t="inlineStr">
        <is>
          <t>PHL</t>
        </is>
      </c>
      <c r="B133" t="inlineStr">
        <is>
          <t>2025</t>
        </is>
      </c>
    </row>
    <row r="134">
      <c r="A134" t="inlineStr">
        <is>
          <t>VNM</t>
        </is>
      </c>
      <c r="B134" t="inlineStr">
        <is>
          <t>1960</t>
        </is>
      </c>
    </row>
    <row r="135">
      <c r="A135" t="inlineStr">
        <is>
          <t>VNM</t>
        </is>
      </c>
      <c r="B135" t="inlineStr">
        <is>
          <t>1961</t>
        </is>
      </c>
    </row>
    <row r="136">
      <c r="A136" t="inlineStr">
        <is>
          <t>VNM</t>
        </is>
      </c>
      <c r="B136" t="inlineStr">
        <is>
          <t>1962</t>
        </is>
      </c>
    </row>
    <row r="137">
      <c r="A137" t="inlineStr">
        <is>
          <t>VNM</t>
        </is>
      </c>
      <c r="B137" t="inlineStr">
        <is>
          <t>1963</t>
        </is>
      </c>
    </row>
    <row r="138">
      <c r="A138" t="inlineStr">
        <is>
          <t>VNM</t>
        </is>
      </c>
      <c r="B138" t="inlineStr">
        <is>
          <t>1964</t>
        </is>
      </c>
    </row>
    <row r="139">
      <c r="A139" t="inlineStr">
        <is>
          <t>VNM</t>
        </is>
      </c>
      <c r="B139" t="inlineStr">
        <is>
          <t>1965</t>
        </is>
      </c>
    </row>
    <row r="140">
      <c r="A140" t="inlineStr">
        <is>
          <t>VNM</t>
        </is>
      </c>
      <c r="B140" t="inlineStr">
        <is>
          <t>1966</t>
        </is>
      </c>
    </row>
    <row r="141">
      <c r="A141" t="inlineStr">
        <is>
          <t>VNM</t>
        </is>
      </c>
      <c r="B141" t="inlineStr">
        <is>
          <t>1967</t>
        </is>
      </c>
    </row>
    <row r="142">
      <c r="A142" t="inlineStr">
        <is>
          <t>VNM</t>
        </is>
      </c>
      <c r="B142" t="inlineStr">
        <is>
          <t>1968</t>
        </is>
      </c>
    </row>
    <row r="143">
      <c r="A143" t="inlineStr">
        <is>
          <t>VNM</t>
        </is>
      </c>
      <c r="B143" t="inlineStr">
        <is>
          <t>1969</t>
        </is>
      </c>
    </row>
    <row r="144">
      <c r="A144" t="inlineStr">
        <is>
          <t>VNM</t>
        </is>
      </c>
      <c r="B144" t="inlineStr">
        <is>
          <t>1970</t>
        </is>
      </c>
    </row>
    <row r="145">
      <c r="A145" t="inlineStr">
        <is>
          <t>VNM</t>
        </is>
      </c>
      <c r="B145" t="inlineStr">
        <is>
          <t>1971</t>
        </is>
      </c>
    </row>
    <row r="146">
      <c r="A146" t="inlineStr">
        <is>
          <t>VNM</t>
        </is>
      </c>
      <c r="B146" t="inlineStr">
        <is>
          <t>1972</t>
        </is>
      </c>
    </row>
    <row r="147">
      <c r="A147" t="inlineStr">
        <is>
          <t>VNM</t>
        </is>
      </c>
      <c r="B147" t="inlineStr">
        <is>
          <t>1973</t>
        </is>
      </c>
    </row>
    <row r="148">
      <c r="A148" t="inlineStr">
        <is>
          <t>VNM</t>
        </is>
      </c>
      <c r="B148" t="inlineStr">
        <is>
          <t>1974</t>
        </is>
      </c>
    </row>
    <row r="149">
      <c r="A149" t="inlineStr">
        <is>
          <t>VNM</t>
        </is>
      </c>
      <c r="B149" t="inlineStr">
        <is>
          <t>1975</t>
        </is>
      </c>
    </row>
    <row r="150">
      <c r="A150" t="inlineStr">
        <is>
          <t>VNM</t>
        </is>
      </c>
      <c r="B150" t="inlineStr">
        <is>
          <t>1976</t>
        </is>
      </c>
    </row>
    <row r="151">
      <c r="A151" t="inlineStr">
        <is>
          <t>VNM</t>
        </is>
      </c>
      <c r="B151" t="inlineStr">
        <is>
          <t>1977</t>
        </is>
      </c>
    </row>
    <row r="152">
      <c r="A152" t="inlineStr">
        <is>
          <t>VNM</t>
        </is>
      </c>
      <c r="B152" t="inlineStr">
        <is>
          <t>1978</t>
        </is>
      </c>
    </row>
    <row r="153">
      <c r="A153" t="inlineStr">
        <is>
          <t>VNM</t>
        </is>
      </c>
      <c r="B153" t="inlineStr">
        <is>
          <t>1979</t>
        </is>
      </c>
    </row>
    <row r="154">
      <c r="A154" t="inlineStr">
        <is>
          <t>VNM</t>
        </is>
      </c>
      <c r="B154" t="inlineStr">
        <is>
          <t>1980</t>
        </is>
      </c>
    </row>
    <row r="155">
      <c r="A155" t="inlineStr">
        <is>
          <t>VNM</t>
        </is>
      </c>
      <c r="B155" t="inlineStr">
        <is>
          <t>1981</t>
        </is>
      </c>
    </row>
    <row r="156">
      <c r="A156" t="inlineStr">
        <is>
          <t>VNM</t>
        </is>
      </c>
      <c r="B156" t="inlineStr">
        <is>
          <t>1982</t>
        </is>
      </c>
    </row>
    <row r="157">
      <c r="A157" t="inlineStr">
        <is>
          <t>VNM</t>
        </is>
      </c>
      <c r="B157" t="inlineStr">
        <is>
          <t>1983</t>
        </is>
      </c>
    </row>
    <row r="158">
      <c r="A158" t="inlineStr">
        <is>
          <t>VNM</t>
        </is>
      </c>
      <c r="B158" t="inlineStr">
        <is>
          <t>1984</t>
        </is>
      </c>
    </row>
    <row r="159">
      <c r="A159" t="inlineStr">
        <is>
          <t>VNM</t>
        </is>
      </c>
      <c r="B159" t="inlineStr">
        <is>
          <t>1985</t>
        </is>
      </c>
    </row>
    <row r="160">
      <c r="A160" t="inlineStr">
        <is>
          <t>VNM</t>
        </is>
      </c>
      <c r="B160" t="inlineStr">
        <is>
          <t>1986</t>
        </is>
      </c>
    </row>
    <row r="161">
      <c r="A161" t="inlineStr">
        <is>
          <t>VNM</t>
        </is>
      </c>
      <c r="B161" t="inlineStr">
        <is>
          <t>1987</t>
        </is>
      </c>
    </row>
    <row r="162">
      <c r="A162" t="inlineStr">
        <is>
          <t>VNM</t>
        </is>
      </c>
      <c r="B162" t="inlineStr">
        <is>
          <t>1988</t>
        </is>
      </c>
    </row>
    <row r="163">
      <c r="A163" t="inlineStr">
        <is>
          <t>VNM</t>
        </is>
      </c>
      <c r="B163" t="inlineStr">
        <is>
          <t>1989</t>
        </is>
      </c>
    </row>
    <row r="164">
      <c r="A164" t="inlineStr">
        <is>
          <t>VNM</t>
        </is>
      </c>
      <c r="B164" t="inlineStr">
        <is>
          <t>1990</t>
        </is>
      </c>
      <c r="C164" t="n">
        <v>98.8633583815671</v>
      </c>
    </row>
    <row r="165">
      <c r="A165" t="inlineStr">
        <is>
          <t>VNM</t>
        </is>
      </c>
      <c r="B165" t="inlineStr">
        <is>
          <t>1991</t>
        </is>
      </c>
      <c r="C165" t="n">
        <v>102.538765042488</v>
      </c>
    </row>
    <row r="166">
      <c r="A166" t="inlineStr">
        <is>
          <t>VNM</t>
        </is>
      </c>
      <c r="B166" t="inlineStr">
        <is>
          <t>1992</t>
        </is>
      </c>
      <c r="C166" t="n">
        <v>105.75687606113</v>
      </c>
    </row>
    <row r="167">
      <c r="A167" t="inlineStr">
        <is>
          <t>VNM</t>
        </is>
      </c>
      <c r="B167" t="inlineStr">
        <is>
          <t>1993</t>
        </is>
      </c>
      <c r="C167" t="n">
        <v>116.430823593305</v>
      </c>
    </row>
    <row r="168">
      <c r="A168" t="inlineStr">
        <is>
          <t>VNM</t>
        </is>
      </c>
      <c r="B168" t="inlineStr">
        <is>
          <t>1994</t>
        </is>
      </c>
      <c r="C168" t="n">
        <v>134.416510615411</v>
      </c>
    </row>
    <row r="169">
      <c r="A169" t="inlineStr">
        <is>
          <t>VNM</t>
        </is>
      </c>
      <c r="B169" t="inlineStr">
        <is>
          <t>1995</t>
        </is>
      </c>
      <c r="C169" t="n">
        <v>159.181256778285</v>
      </c>
    </row>
    <row r="170">
      <c r="A170" t="inlineStr">
        <is>
          <t>VNM</t>
        </is>
      </c>
      <c r="B170" t="inlineStr">
        <is>
          <t>1996</t>
        </is>
      </c>
      <c r="C170" t="n">
        <v>186.996506268272</v>
      </c>
    </row>
    <row r="171">
      <c r="A171" t="inlineStr">
        <is>
          <t>VNM</t>
        </is>
      </c>
      <c r="B171" t="inlineStr">
        <is>
          <t>1997</t>
        </is>
      </c>
      <c r="C171" t="n">
        <v>210.840036688052</v>
      </c>
    </row>
    <row r="172">
      <c r="A172" t="inlineStr">
        <is>
          <t>VNM</t>
        </is>
      </c>
      <c r="B172" t="inlineStr">
        <is>
          <t>1998</t>
        </is>
      </c>
      <c r="C172" t="n">
        <v>241.67439799861</v>
      </c>
    </row>
    <row r="173">
      <c r="A173" t="inlineStr">
        <is>
          <t>VNM</t>
        </is>
      </c>
      <c r="B173" t="inlineStr">
        <is>
          <t>1999</t>
        </is>
      </c>
      <c r="C173" t="n">
        <v>262.428479063634</v>
      </c>
    </row>
    <row r="174">
      <c r="A174" t="inlineStr">
        <is>
          <t>VNM</t>
        </is>
      </c>
      <c r="B174" t="inlineStr">
        <is>
          <t>2000</t>
        </is>
      </c>
      <c r="C174" t="n">
        <v>296.860781482897</v>
      </c>
    </row>
    <row r="175">
      <c r="A175" t="inlineStr">
        <is>
          <t>VNM</t>
        </is>
      </c>
      <c r="B175" t="inlineStr">
        <is>
          <t>2001</t>
        </is>
      </c>
      <c r="C175" t="n">
        <v>338.145646723974</v>
      </c>
    </row>
    <row r="176">
      <c r="A176" t="inlineStr">
        <is>
          <t>VNM</t>
        </is>
      </c>
      <c r="B176" t="inlineStr">
        <is>
          <t>2002</t>
        </is>
      </c>
      <c r="C176" t="n">
        <v>390.797649689312</v>
      </c>
    </row>
    <row r="177">
      <c r="A177" t="inlineStr">
        <is>
          <t>VNM</t>
        </is>
      </c>
      <c r="B177" t="inlineStr">
        <is>
          <t>2003</t>
        </is>
      </c>
      <c r="C177" t="n">
        <v>448.105926394118</v>
      </c>
    </row>
    <row r="178">
      <c r="A178" t="inlineStr">
        <is>
          <t>VNM</t>
        </is>
      </c>
      <c r="B178" t="inlineStr">
        <is>
          <t>2004</t>
        </is>
      </c>
      <c r="C178" t="n">
        <v>500.367374633165</v>
      </c>
    </row>
    <row r="179">
      <c r="A179" t="inlineStr">
        <is>
          <t>VNM</t>
        </is>
      </c>
      <c r="B179" t="inlineStr">
        <is>
          <t>2005</t>
        </is>
      </c>
      <c r="C179" t="n">
        <v>589.246442949183</v>
      </c>
    </row>
    <row r="180">
      <c r="A180" t="inlineStr">
        <is>
          <t>VNM</t>
        </is>
      </c>
      <c r="B180" t="inlineStr">
        <is>
          <t>2006</t>
        </is>
      </c>
      <c r="C180" t="n">
        <v>664.444411909435</v>
      </c>
    </row>
    <row r="181">
      <c r="A181" t="inlineStr">
        <is>
          <t>VNM</t>
        </is>
      </c>
      <c r="B181" t="inlineStr">
        <is>
          <t>2007</t>
        </is>
      </c>
      <c r="C181" t="n">
        <v>743.638529474627</v>
      </c>
    </row>
    <row r="182">
      <c r="A182" t="inlineStr">
        <is>
          <t>VNM</t>
        </is>
      </c>
      <c r="B182" t="inlineStr">
        <is>
          <t>2008</t>
        </is>
      </c>
      <c r="C182" t="n">
        <v>812.6135563312901</v>
      </c>
    </row>
    <row r="183">
      <c r="A183" t="inlineStr">
        <is>
          <t>VNM</t>
        </is>
      </c>
      <c r="B183" t="inlineStr">
        <is>
          <t>2009</t>
        </is>
      </c>
      <c r="C183" t="n">
        <v>912.780286490341</v>
      </c>
    </row>
    <row r="184">
      <c r="A184" t="inlineStr">
        <is>
          <t>VNM</t>
        </is>
      </c>
      <c r="B184" t="inlineStr">
        <is>
          <t>2010</t>
        </is>
      </c>
      <c r="C184" t="n">
        <v>1028.42426024255</v>
      </c>
    </row>
    <row r="185">
      <c r="A185" t="inlineStr">
        <is>
          <t>VNM</t>
        </is>
      </c>
      <c r="B185" t="inlineStr">
        <is>
          <t>2011</t>
        </is>
      </c>
      <c r="C185" t="n">
        <v>1107.8316695399</v>
      </c>
    </row>
    <row r="186">
      <c r="A186" t="inlineStr">
        <is>
          <t>VNM</t>
        </is>
      </c>
      <c r="B186" t="inlineStr">
        <is>
          <t>2012</t>
        </is>
      </c>
      <c r="C186" t="n">
        <v>1210.23985202338</v>
      </c>
    </row>
    <row r="187">
      <c r="A187" t="inlineStr">
        <is>
          <t>VNM</t>
        </is>
      </c>
      <c r="B187" t="inlineStr">
        <is>
          <t>2013</t>
        </is>
      </c>
      <c r="C187" t="n">
        <v>1229.96778381361</v>
      </c>
    </row>
    <row r="188">
      <c r="A188" t="inlineStr">
        <is>
          <t>VNM</t>
        </is>
      </c>
      <c r="B188" t="inlineStr">
        <is>
          <t>2014</t>
        </is>
      </c>
      <c r="C188" t="n">
        <v>1384.50680913911</v>
      </c>
    </row>
    <row r="189">
      <c r="A189" t="inlineStr">
        <is>
          <t>VNM</t>
        </is>
      </c>
      <c r="B189" t="inlineStr">
        <is>
          <t>2015</t>
        </is>
      </c>
      <c r="C189" t="n">
        <v>1615.48958410788</v>
      </c>
    </row>
    <row r="190">
      <c r="A190" t="inlineStr">
        <is>
          <t>VNM</t>
        </is>
      </c>
      <c r="B190" t="inlineStr">
        <is>
          <t>2016</t>
        </is>
      </c>
      <c r="C190" t="n">
        <v>1788.72117786832</v>
      </c>
    </row>
    <row r="191">
      <c r="A191" t="inlineStr">
        <is>
          <t>VNM</t>
        </is>
      </c>
      <c r="B191" t="inlineStr">
        <is>
          <t>2017</t>
        </is>
      </c>
      <c r="C191" t="n">
        <v>1918.19498532718</v>
      </c>
    </row>
    <row r="192">
      <c r="A192" t="inlineStr">
        <is>
          <t>VNM</t>
        </is>
      </c>
      <c r="B192" t="inlineStr">
        <is>
          <t>2018</t>
        </is>
      </c>
      <c r="C192" t="n">
        <v>2115.35402394159</v>
      </c>
    </row>
    <row r="193">
      <c r="A193" t="inlineStr">
        <is>
          <t>VNM</t>
        </is>
      </c>
      <c r="B193" t="inlineStr">
        <is>
          <t>2019</t>
        </is>
      </c>
      <c r="C193" t="n">
        <v>2290.2681069016</v>
      </c>
    </row>
    <row r="194">
      <c r="A194" t="inlineStr">
        <is>
          <t>VNM</t>
        </is>
      </c>
      <c r="B194" t="inlineStr">
        <is>
          <t>2020</t>
        </is>
      </c>
      <c r="C194" t="n">
        <v>2312.25398260065</v>
      </c>
    </row>
    <row r="195">
      <c r="A195" t="inlineStr">
        <is>
          <t>VNM</t>
        </is>
      </c>
      <c r="B195" t="inlineStr">
        <is>
          <t>2021</t>
        </is>
      </c>
      <c r="C195" t="n">
        <v>2402.32237906107</v>
      </c>
    </row>
    <row r="196">
      <c r="A196" t="inlineStr">
        <is>
          <t>VNM</t>
        </is>
      </c>
      <c r="B196" t="inlineStr">
        <is>
          <t>2022</t>
        </is>
      </c>
      <c r="C196" t="n">
        <v>2490.88451515492</v>
      </c>
    </row>
    <row r="197">
      <c r="A197" t="inlineStr">
        <is>
          <t>VNM</t>
        </is>
      </c>
      <c r="B197" t="inlineStr">
        <is>
          <t>2023</t>
        </is>
      </c>
      <c r="C197" t="n">
        <v>2550.10872109301</v>
      </c>
    </row>
    <row r="198">
      <c r="A198" t="inlineStr">
        <is>
          <t>VNM</t>
        </is>
      </c>
      <c r="B198" t="inlineStr">
        <is>
          <t>2024</t>
        </is>
      </c>
      <c r="C198" t="n">
        <v>2755.87065139803</v>
      </c>
    </row>
    <row r="199">
      <c r="A199" t="inlineStr">
        <is>
          <t>VNM</t>
        </is>
      </c>
      <c r="B199" t="inlineStr">
        <is>
          <t>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3" t="inlineStr">
        <is>
          <t>REF_AREA</t>
        </is>
      </c>
      <c r="B1" s="3" t="inlineStr">
        <is>
          <t>SEX</t>
        </is>
      </c>
      <c r="C1" s="3" t="inlineStr">
        <is>
          <t>AGE</t>
        </is>
      </c>
      <c r="D1" s="3" t="inlineStr">
        <is>
          <t>TIME_PERIOD</t>
        </is>
      </c>
      <c r="E1" s="3" t="inlineStr">
        <is>
          <t>OBS_VALUE</t>
        </is>
      </c>
      <c r="F1" s="3" t="inlineStr">
        <is>
          <t>UNIT_MULT</t>
        </is>
      </c>
      <c r="G1" s="3" t="inlineStr">
        <is>
          <t>SOURCE</t>
        </is>
      </c>
    </row>
    <row r="2">
      <c r="A2" t="inlineStr">
        <is>
          <t>IND</t>
        </is>
      </c>
      <c r="B2" t="inlineStr">
        <is>
          <t>SEX_T</t>
        </is>
      </c>
      <c r="C2" t="inlineStr">
        <is>
          <t>AGE_YTHADULT_YGE15</t>
        </is>
      </c>
      <c r="D2" t="inlineStr">
        <is>
          <t>2024</t>
        </is>
      </c>
      <c r="E2" t="n">
        <v>21023.748</v>
      </c>
      <c r="F2" t="n">
        <v>3</v>
      </c>
      <c r="G2" t="inlineStr">
        <is>
          <t>LFS - Periodic Labour Force Survey</t>
        </is>
      </c>
    </row>
    <row r="3">
      <c r="A3" t="inlineStr">
        <is>
          <t>IND</t>
        </is>
      </c>
      <c r="B3" t="inlineStr">
        <is>
          <t>SEX_M</t>
        </is>
      </c>
      <c r="C3" t="inlineStr">
        <is>
          <t>AGE_YTHADULT_YGE15</t>
        </is>
      </c>
      <c r="D3" t="inlineStr">
        <is>
          <t>2024</t>
        </is>
      </c>
      <c r="E3" t="n">
        <v>14628.922</v>
      </c>
      <c r="F3" t="n">
        <v>3</v>
      </c>
      <c r="G3" t="inlineStr">
        <is>
          <t>LFS - Periodic Labour Force Survey</t>
        </is>
      </c>
    </row>
    <row r="4">
      <c r="A4" t="inlineStr">
        <is>
          <t>IND</t>
        </is>
      </c>
      <c r="B4" t="inlineStr">
        <is>
          <t>SEX_F</t>
        </is>
      </c>
      <c r="C4" t="inlineStr">
        <is>
          <t>AGE_YTHADULT_YGE15</t>
        </is>
      </c>
      <c r="D4" t="inlineStr">
        <is>
          <t>2024</t>
        </is>
      </c>
      <c r="E4" t="n">
        <v>6394.826</v>
      </c>
      <c r="F4" t="n">
        <v>3</v>
      </c>
      <c r="G4" t="inlineStr">
        <is>
          <t>LFS - Periodic Labour Force Survey</t>
        </is>
      </c>
    </row>
    <row r="5">
      <c r="A5" t="inlineStr">
        <is>
          <t>PHL</t>
        </is>
      </c>
      <c r="B5" t="inlineStr">
        <is>
          <t>SEX_T</t>
        </is>
      </c>
      <c r="C5" t="inlineStr">
        <is>
          <t>AGE_YTHADULT_YGE15</t>
        </is>
      </c>
      <c r="D5" t="inlineStr">
        <is>
          <t>2024</t>
        </is>
      </c>
      <c r="E5" t="n">
        <v>1147.686</v>
      </c>
      <c r="F5" t="n">
        <v>3</v>
      </c>
      <c r="G5" t="inlineStr">
        <is>
          <t>LFS - Labour Force Survey</t>
        </is>
      </c>
    </row>
    <row r="6">
      <c r="A6" t="inlineStr">
        <is>
          <t>PHL</t>
        </is>
      </c>
      <c r="B6" t="inlineStr">
        <is>
          <t>SEX_M</t>
        </is>
      </c>
      <c r="C6" t="inlineStr">
        <is>
          <t>AGE_YTHADULT_YGE15</t>
        </is>
      </c>
      <c r="D6" t="inlineStr">
        <is>
          <t>2024</t>
        </is>
      </c>
      <c r="E6" t="n">
        <v>626.598</v>
      </c>
      <c r="F6" t="n">
        <v>3</v>
      </c>
      <c r="G6" t="inlineStr">
        <is>
          <t>LFS - Labour Force Survey</t>
        </is>
      </c>
    </row>
    <row r="7">
      <c r="A7" t="inlineStr">
        <is>
          <t>PHL</t>
        </is>
      </c>
      <c r="B7" t="inlineStr">
        <is>
          <t>SEX_F</t>
        </is>
      </c>
      <c r="C7" t="inlineStr">
        <is>
          <t>AGE_YTHADULT_YGE15</t>
        </is>
      </c>
      <c r="D7" t="inlineStr">
        <is>
          <t>2024</t>
        </is>
      </c>
      <c r="E7" t="n">
        <v>521.088</v>
      </c>
      <c r="F7" t="n">
        <v>3</v>
      </c>
      <c r="G7" t="inlineStr">
        <is>
          <t>LFS - Labour Force Survey</t>
        </is>
      </c>
    </row>
    <row r="8">
      <c r="A8" t="inlineStr">
        <is>
          <t>VNM</t>
        </is>
      </c>
      <c r="B8" t="inlineStr">
        <is>
          <t>SEX_T</t>
        </is>
      </c>
      <c r="C8" t="inlineStr">
        <is>
          <t>AGE_YTHADULT_YGE15</t>
        </is>
      </c>
      <c r="D8" t="inlineStr">
        <is>
          <t>2024</t>
        </is>
      </c>
      <c r="E8" t="n">
        <v>858.467</v>
      </c>
      <c r="F8" t="n">
        <v>3</v>
      </c>
      <c r="G8" t="inlineStr">
        <is>
          <t>LFS - Labour Force Survey</t>
        </is>
      </c>
    </row>
    <row r="9">
      <c r="A9" t="inlineStr">
        <is>
          <t>VNM</t>
        </is>
      </c>
      <c r="B9" t="inlineStr">
        <is>
          <t>SEX_M</t>
        </is>
      </c>
      <c r="C9" t="inlineStr">
        <is>
          <t>AGE_YTHADULT_YGE15</t>
        </is>
      </c>
      <c r="D9" t="inlineStr">
        <is>
          <t>2024</t>
        </is>
      </c>
      <c r="E9" t="n">
        <v>475.379</v>
      </c>
      <c r="F9" t="n">
        <v>3</v>
      </c>
      <c r="G9" t="inlineStr">
        <is>
          <t>LFS - Labour Force Survey</t>
        </is>
      </c>
    </row>
    <row r="10">
      <c r="A10" t="inlineStr">
        <is>
          <t>VNM</t>
        </is>
      </c>
      <c r="B10" t="inlineStr">
        <is>
          <t>SEX_F</t>
        </is>
      </c>
      <c r="C10" t="inlineStr">
        <is>
          <t>AGE_YTHADULT_YGE15</t>
        </is>
      </c>
      <c r="D10" t="inlineStr">
        <is>
          <t>2024</t>
        </is>
      </c>
      <c r="E10" t="n">
        <v>383.088</v>
      </c>
      <c r="F10" t="n">
        <v>3</v>
      </c>
      <c r="G10" t="inlineStr">
        <is>
          <t>LFS - Labour Force Survey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3" t="inlineStr">
        <is>
          <t>REF_AREA</t>
        </is>
      </c>
      <c r="B1" s="3" t="inlineStr">
        <is>
          <t>SEX</t>
        </is>
      </c>
      <c r="C1" s="3" t="inlineStr">
        <is>
          <t>ECO</t>
        </is>
      </c>
      <c r="D1" s="3" t="inlineStr">
        <is>
          <t>TIME_PERIOD</t>
        </is>
      </c>
      <c r="E1" s="3" t="inlineStr">
        <is>
          <t>OBS_VALUE</t>
        </is>
      </c>
      <c r="F1" s="3" t="inlineStr">
        <is>
          <t>UNIT_MULT</t>
        </is>
      </c>
      <c r="G1" s="3" t="inlineStr">
        <is>
          <t>SOURCE</t>
        </is>
      </c>
    </row>
    <row r="2">
      <c r="A2" t="inlineStr">
        <is>
          <t>IND</t>
        </is>
      </c>
      <c r="B2" t="inlineStr">
        <is>
          <t>SEX_T</t>
        </is>
      </c>
      <c r="C2" t="inlineStr">
        <is>
          <t>ECO_SECTOR_TOTAL</t>
        </is>
      </c>
      <c r="D2" t="inlineStr">
        <is>
          <t>2024</t>
        </is>
      </c>
      <c r="E2" t="n">
        <v>482793.235</v>
      </c>
      <c r="F2" t="n">
        <v>3</v>
      </c>
      <c r="G2" t="inlineStr">
        <is>
          <t>LFS - Periodic Labour Force Survey</t>
        </is>
      </c>
    </row>
    <row r="3">
      <c r="A3" t="inlineStr">
        <is>
          <t>IND</t>
        </is>
      </c>
      <c r="B3" t="inlineStr">
        <is>
          <t>SEX_T</t>
        </is>
      </c>
      <c r="C3" t="inlineStr">
        <is>
          <t>ECO_SECTOR_AGR</t>
        </is>
      </c>
      <c r="D3" t="inlineStr">
        <is>
          <t>2024</t>
        </is>
      </c>
      <c r="E3" t="n">
        <v>204485.977</v>
      </c>
      <c r="F3" t="n">
        <v>3</v>
      </c>
      <c r="G3" t="inlineStr">
        <is>
          <t>LFS - Periodic Labour Force Survey</t>
        </is>
      </c>
    </row>
    <row r="4">
      <c r="A4" t="inlineStr">
        <is>
          <t>IND</t>
        </is>
      </c>
      <c r="B4" t="inlineStr">
        <is>
          <t>SEX_T</t>
        </is>
      </c>
      <c r="C4" t="inlineStr">
        <is>
          <t>ECO_SECTOR_NAG</t>
        </is>
      </c>
      <c r="D4" t="inlineStr">
        <is>
          <t>2024</t>
        </is>
      </c>
      <c r="E4" t="n">
        <v>278307.259</v>
      </c>
      <c r="F4" t="n">
        <v>3</v>
      </c>
      <c r="G4" t="inlineStr">
        <is>
          <t>LFS - Periodic Labour Force Survey</t>
        </is>
      </c>
    </row>
    <row r="5">
      <c r="A5" t="inlineStr">
        <is>
          <t>IND</t>
        </is>
      </c>
      <c r="B5" t="inlineStr">
        <is>
          <t>SEX_T</t>
        </is>
      </c>
      <c r="C5" t="inlineStr">
        <is>
          <t>ECO_SECTOR_IND</t>
        </is>
      </c>
      <c r="D5" t="inlineStr">
        <is>
          <t>2024</t>
        </is>
      </c>
      <c r="E5" t="n">
        <v>122489.102</v>
      </c>
      <c r="F5" t="n">
        <v>3</v>
      </c>
      <c r="G5" t="inlineStr">
        <is>
          <t>LFS - Periodic Labour Force Survey</t>
        </is>
      </c>
    </row>
    <row r="6">
      <c r="A6" t="inlineStr">
        <is>
          <t>IND</t>
        </is>
      </c>
      <c r="B6" t="inlineStr">
        <is>
          <t>SEX_T</t>
        </is>
      </c>
      <c r="C6" t="inlineStr">
        <is>
          <t>ECO_SECTOR_SER</t>
        </is>
      </c>
      <c r="D6" t="inlineStr">
        <is>
          <t>2024</t>
        </is>
      </c>
      <c r="E6" t="n">
        <v>155818.157</v>
      </c>
      <c r="F6" t="n">
        <v>3</v>
      </c>
      <c r="G6" t="inlineStr">
        <is>
          <t>LFS - Periodic Labour Force Survey</t>
        </is>
      </c>
    </row>
    <row r="7">
      <c r="A7" t="inlineStr">
        <is>
          <t>PHL</t>
        </is>
      </c>
      <c r="B7" t="inlineStr">
        <is>
          <t>SEX_T</t>
        </is>
      </c>
      <c r="C7" t="inlineStr">
        <is>
          <t>ECO_SECTOR_TOTAL</t>
        </is>
      </c>
      <c r="D7" t="inlineStr">
        <is>
          <t>2024</t>
        </is>
      </c>
      <c r="E7" t="n">
        <v>47524.318</v>
      </c>
      <c r="F7" t="n">
        <v>3</v>
      </c>
      <c r="G7" t="inlineStr">
        <is>
          <t>LFS - Labour Force Survey</t>
        </is>
      </c>
    </row>
    <row r="8">
      <c r="A8" t="inlineStr">
        <is>
          <t>PHL</t>
        </is>
      </c>
      <c r="B8" t="inlineStr">
        <is>
          <t>SEX_T</t>
        </is>
      </c>
      <c r="C8" t="inlineStr">
        <is>
          <t>ECO_SECTOR_AGR</t>
        </is>
      </c>
      <c r="D8" t="inlineStr">
        <is>
          <t>2024</t>
        </is>
      </c>
      <c r="E8" t="n">
        <v>9858.51</v>
      </c>
      <c r="F8" t="n">
        <v>3</v>
      </c>
      <c r="G8" t="inlineStr">
        <is>
          <t>LFS - Labour Force Survey</t>
        </is>
      </c>
    </row>
    <row r="9">
      <c r="A9" t="inlineStr">
        <is>
          <t>PHL</t>
        </is>
      </c>
      <c r="B9" t="inlineStr">
        <is>
          <t>SEX_T</t>
        </is>
      </c>
      <c r="C9" t="inlineStr">
        <is>
          <t>ECO_SECTOR_NAG</t>
        </is>
      </c>
      <c r="D9" t="inlineStr">
        <is>
          <t>2024</t>
        </is>
      </c>
      <c r="E9" t="n">
        <v>37665.808</v>
      </c>
      <c r="F9" t="n">
        <v>3</v>
      </c>
      <c r="G9" t="inlineStr">
        <is>
          <t>LFS - Labour Force Survey</t>
        </is>
      </c>
    </row>
    <row r="10">
      <c r="A10" t="inlineStr">
        <is>
          <t>PHL</t>
        </is>
      </c>
      <c r="B10" t="inlineStr">
        <is>
          <t>SEX_T</t>
        </is>
      </c>
      <c r="C10" t="inlineStr">
        <is>
          <t>ECO_SECTOR_IND</t>
        </is>
      </c>
      <c r="D10" t="inlineStr">
        <is>
          <t>2024</t>
        </is>
      </c>
      <c r="E10" t="n">
        <v>8649.772000000001</v>
      </c>
      <c r="F10" t="n">
        <v>3</v>
      </c>
      <c r="G10" t="inlineStr">
        <is>
          <t>LFS - Labour Force Survey</t>
        </is>
      </c>
    </row>
    <row r="11">
      <c r="A11" t="inlineStr">
        <is>
          <t>PHL</t>
        </is>
      </c>
      <c r="B11" t="inlineStr">
        <is>
          <t>SEX_T</t>
        </is>
      </c>
      <c r="C11" t="inlineStr">
        <is>
          <t>ECO_SECTOR_SER</t>
        </is>
      </c>
      <c r="D11" t="inlineStr">
        <is>
          <t>2024</t>
        </is>
      </c>
      <c r="E11" t="n">
        <v>29016.036</v>
      </c>
      <c r="F11" t="n">
        <v>3</v>
      </c>
      <c r="G11" t="inlineStr">
        <is>
          <t>LFS - Labour Force Survey</t>
        </is>
      </c>
    </row>
    <row r="12">
      <c r="A12" t="inlineStr">
        <is>
          <t>VNM</t>
        </is>
      </c>
      <c r="B12" t="inlineStr">
        <is>
          <t>SEX_T</t>
        </is>
      </c>
      <c r="C12" t="inlineStr">
        <is>
          <t>ECO_SECTOR_TOTAL</t>
        </is>
      </c>
      <c r="D12" t="inlineStr">
        <is>
          <t>2024</t>
        </is>
      </c>
      <c r="E12" t="n">
        <v>55280.158</v>
      </c>
      <c r="F12" t="n">
        <v>3</v>
      </c>
      <c r="G12" t="inlineStr">
        <is>
          <t>LFS - Labour Force Survey</t>
        </is>
      </c>
    </row>
    <row r="13">
      <c r="A13" t="inlineStr">
        <is>
          <t>VNM</t>
        </is>
      </c>
      <c r="B13" t="inlineStr">
        <is>
          <t>SEX_T</t>
        </is>
      </c>
      <c r="C13" t="inlineStr">
        <is>
          <t>ECO_SECTOR_AGR</t>
        </is>
      </c>
      <c r="D13" t="inlineStr">
        <is>
          <t>2024</t>
        </is>
      </c>
      <c r="E13" t="n">
        <v>13637.057</v>
      </c>
      <c r="F13" t="n">
        <v>3</v>
      </c>
      <c r="G13" t="inlineStr">
        <is>
          <t>LFS - Labour Force Survey</t>
        </is>
      </c>
    </row>
    <row r="14">
      <c r="A14" t="inlineStr">
        <is>
          <t>VNM</t>
        </is>
      </c>
      <c r="B14" t="inlineStr">
        <is>
          <t>SEX_T</t>
        </is>
      </c>
      <c r="C14" t="inlineStr">
        <is>
          <t>ECO_SECTOR_NAG</t>
        </is>
      </c>
      <c r="D14" t="inlineStr">
        <is>
          <t>2024</t>
        </is>
      </c>
      <c r="E14" t="n">
        <v>41643.101</v>
      </c>
      <c r="F14" t="n">
        <v>3</v>
      </c>
      <c r="G14" t="inlineStr">
        <is>
          <t>LFS - Labour Force Survey</t>
        </is>
      </c>
    </row>
    <row r="15">
      <c r="A15" t="inlineStr">
        <is>
          <t>VNM</t>
        </is>
      </c>
      <c r="B15" t="inlineStr">
        <is>
          <t>SEX_T</t>
        </is>
      </c>
      <c r="C15" t="inlineStr">
        <is>
          <t>ECO_SECTOR_IND</t>
        </is>
      </c>
      <c r="D15" t="inlineStr">
        <is>
          <t>2024</t>
        </is>
      </c>
      <c r="E15" t="n">
        <v>17131.226</v>
      </c>
      <c r="F15" t="n">
        <v>3</v>
      </c>
      <c r="G15" t="inlineStr">
        <is>
          <t>LFS - Labour Force Survey</t>
        </is>
      </c>
    </row>
    <row r="16">
      <c r="A16" t="inlineStr">
        <is>
          <t>VNM</t>
        </is>
      </c>
      <c r="B16" t="inlineStr">
        <is>
          <t>SEX_T</t>
        </is>
      </c>
      <c r="C16" t="inlineStr">
        <is>
          <t>ECO_SECTOR_SER</t>
        </is>
      </c>
      <c r="D16" t="inlineStr">
        <is>
          <t>2024</t>
        </is>
      </c>
      <c r="E16" t="n">
        <v>20666.543</v>
      </c>
      <c r="F16" t="n">
        <v>3</v>
      </c>
      <c r="G16" t="inlineStr">
        <is>
          <t>LFS - Labour Force Survey</t>
        </is>
      </c>
    </row>
    <row r="17">
      <c r="A17" t="inlineStr">
        <is>
          <t>VNM</t>
        </is>
      </c>
      <c r="B17" t="inlineStr">
        <is>
          <t>SEX_T</t>
        </is>
      </c>
      <c r="C17" t="inlineStr">
        <is>
          <t>ECO_SECTOR_X</t>
        </is>
      </c>
      <c r="D17" t="inlineStr">
        <is>
          <t>2024</t>
        </is>
      </c>
      <c r="E17" t="n">
        <v>3845.332</v>
      </c>
      <c r="F17" t="n">
        <v>3</v>
      </c>
      <c r="G17" t="inlineStr">
        <is>
          <t>LFS - Labour Force Survey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>
      <c r="A1" s="3" t="inlineStr">
        <is>
          <t>rank i</t>
        </is>
      </c>
      <c r="B1" s="3" t="inlineStr">
        <is>
          <t>ordered x (VNM CPI %)</t>
        </is>
      </c>
      <c r="C1" s="3" t="inlineStr">
        <is>
          <t>year</t>
        </is>
      </c>
      <c r="D1" s="3" t="inlineStr">
        <is>
          <t>z=(x-mean)/s</t>
        </is>
      </c>
      <c r="E1" s="3" t="inlineStr">
        <is>
          <t>F_theoretical</t>
        </is>
      </c>
      <c r="F1" s="3" t="inlineStr">
        <is>
          <t>F_emp upper i/n</t>
        </is>
      </c>
      <c r="G1" s="3" t="inlineStr">
        <is>
          <t>D+ = i/n - F</t>
        </is>
      </c>
      <c r="H1" s="3" t="inlineStr">
        <is>
          <t>D- = F-(i-1)/n</t>
        </is>
      </c>
      <c r="I1" s="3" t="n"/>
      <c r="J1" s="3" t="n"/>
      <c r="K1" s="3" t="n"/>
    </row>
    <row r="2">
      <c r="A2" t="n">
        <v>1</v>
      </c>
      <c r="B2" t="n">
        <v>-1.7103372785111</v>
      </c>
      <c r="C2" t="n">
        <v>2000</v>
      </c>
      <c r="D2">
        <f>(B2-$K$2)/$K$3</f>
        <v/>
      </c>
      <c r="E2">
        <f>NORMSDIST(D2)</f>
        <v/>
      </c>
      <c r="F2">
        <f>A2/$K$4</f>
        <v/>
      </c>
      <c r="G2">
        <f>F2-E2</f>
        <v/>
      </c>
      <c r="H2">
        <f>E2-(A2-1)/$K$4</f>
        <v/>
      </c>
      <c r="J2" t="inlineStr">
        <is>
          <t>mean</t>
        </is>
      </c>
      <c r="K2">
        <f>AVERAGE(B2:B31)</f>
        <v/>
      </c>
    </row>
    <row r="3">
      <c r="A3" t="n">
        <v>2</v>
      </c>
      <c r="B3" t="n">
        <v>-0.43154451172818</v>
      </c>
      <c r="C3" t="n">
        <v>2001</v>
      </c>
      <c r="D3">
        <f>(B3-$K$2)/$K$3</f>
        <v/>
      </c>
      <c r="E3">
        <f>NORMSDIST(D3)</f>
        <v/>
      </c>
      <c r="F3">
        <f>A3/$K$4</f>
        <v/>
      </c>
      <c r="G3">
        <f>F3-E3</f>
        <v/>
      </c>
      <c r="H3">
        <f>E3-(A3-1)/$K$4</f>
        <v/>
      </c>
      <c r="J3" t="inlineStr">
        <is>
          <t>sd (n-1)</t>
        </is>
      </c>
      <c r="K3">
        <f>STDEV(B2:B31)</f>
        <v/>
      </c>
    </row>
    <row r="4">
      <c r="A4" t="n">
        <v>3</v>
      </c>
      <c r="B4" t="n">
        <v>0.6312009051756839</v>
      </c>
      <c r="C4" t="n">
        <v>2015</v>
      </c>
      <c r="D4">
        <f>(B4-$K$2)/$K$3</f>
        <v/>
      </c>
      <c r="E4">
        <f>NORMSDIST(D4)</f>
        <v/>
      </c>
      <c r="F4">
        <f>A4/$K$4</f>
        <v/>
      </c>
      <c r="G4">
        <f>F4-E4</f>
        <v/>
      </c>
      <c r="H4">
        <f>E4-(A4-1)/$K$4</f>
        <v/>
      </c>
      <c r="J4" t="inlineStr">
        <is>
          <t>n</t>
        </is>
      </c>
      <c r="K4">
        <f>COUNT(B2:B31)</f>
        <v/>
      </c>
    </row>
    <row r="5">
      <c r="A5" t="n">
        <v>4</v>
      </c>
      <c r="B5" t="n">
        <v>1.83471554810461</v>
      </c>
      <c r="C5" t="n">
        <v>2021</v>
      </c>
      <c r="D5">
        <f>(B5-$K$2)/$K$3</f>
        <v/>
      </c>
      <c r="E5">
        <f>NORMSDIST(D5)</f>
        <v/>
      </c>
      <c r="F5">
        <f>A5/$K$4</f>
        <v/>
      </c>
      <c r="G5">
        <f>F5-E5</f>
        <v/>
      </c>
      <c r="H5">
        <f>E5-(A5-1)/$K$4</f>
        <v/>
      </c>
      <c r="J5" t="inlineStr">
        <is>
          <t>D = max(D+,D-)</t>
        </is>
      </c>
      <c r="K5">
        <f>MAX(G2:H31)</f>
        <v/>
      </c>
    </row>
    <row r="6">
      <c r="A6" t="n">
        <v>5</v>
      </c>
      <c r="B6" t="n">
        <v>2.66824816969082</v>
      </c>
      <c r="C6" t="n">
        <v>2016</v>
      </c>
      <c r="D6">
        <f>(B6-$K$2)/$K$3</f>
        <v/>
      </c>
      <c r="E6">
        <f>NORMSDIST(D6)</f>
        <v/>
      </c>
      <c r="F6">
        <f>A6/$K$4</f>
        <v/>
      </c>
      <c r="G6">
        <f>F6-E6</f>
        <v/>
      </c>
      <c r="H6">
        <f>E6-(A6-1)/$K$4</f>
        <v/>
      </c>
      <c r="J6" t="inlineStr">
        <is>
          <t>Lilliefors crit 5% (n=30)</t>
        </is>
      </c>
      <c r="K6" t="n">
        <v>0.161</v>
      </c>
    </row>
    <row r="7">
      <c r="A7" t="n">
        <v>6</v>
      </c>
      <c r="B7" t="n">
        <v>2.79582367452243</v>
      </c>
      <c r="C7" t="n">
        <v>2019</v>
      </c>
      <c r="D7">
        <f>(B7-$K$2)/$K$3</f>
        <v/>
      </c>
      <c r="E7">
        <f>NORMSDIST(D7)</f>
        <v/>
      </c>
      <c r="F7">
        <f>A7/$K$4</f>
        <v/>
      </c>
      <c r="G7">
        <f>F7-E7</f>
        <v/>
      </c>
      <c r="H7">
        <f>E7-(A7-1)/$K$4</f>
        <v/>
      </c>
      <c r="J7" t="inlineStr">
        <is>
          <t>Reject H0?</t>
        </is>
      </c>
      <c r="K7">
        <f>IF(K5&gt;K6,"REJECT normality","do not reject")</f>
        <v/>
      </c>
    </row>
    <row r="8">
      <c r="A8" t="n">
        <v>7</v>
      </c>
      <c r="B8" t="n">
        <v>3.15650749963111</v>
      </c>
      <c r="C8" t="n">
        <v>2022</v>
      </c>
      <c r="D8">
        <f>(B8-$K$2)/$K$3</f>
        <v/>
      </c>
      <c r="E8">
        <f>NORMSDIST(D8)</f>
        <v/>
      </c>
      <c r="F8">
        <f>A8/$K$4</f>
        <v/>
      </c>
      <c r="G8">
        <f>F8-E8</f>
        <v/>
      </c>
      <c r="H8">
        <f>E8-(A8-1)/$K$4</f>
        <v/>
      </c>
    </row>
    <row r="9">
      <c r="A9" t="n">
        <v>8</v>
      </c>
      <c r="B9" t="n">
        <v>3.20952606261374</v>
      </c>
      <c r="C9" t="n">
        <v>1997</v>
      </c>
      <c r="D9">
        <f>(B9-$K$2)/$K$3</f>
        <v/>
      </c>
      <c r="E9">
        <f>NORMSDIST(D9)</f>
        <v/>
      </c>
      <c r="F9">
        <f>A9/$K$4</f>
        <v/>
      </c>
      <c r="G9">
        <f>F9-E9</f>
        <v/>
      </c>
      <c r="H9">
        <f>E9-(A9-1)/$K$4</f>
        <v/>
      </c>
      <c r="J9" t="inlineStr">
        <is>
          <t>Python p (statsmodels, table)</t>
        </is>
      </c>
      <c r="K9" t="n">
        <v>0.0016886936018536</v>
      </c>
    </row>
    <row r="10">
      <c r="A10" t="n">
        <v>9</v>
      </c>
      <c r="B10" t="n">
        <v>3.22093436652514</v>
      </c>
      <c r="C10" t="n">
        <v>2020</v>
      </c>
      <c r="D10">
        <f>(B10-$K$2)/$K$3</f>
        <v/>
      </c>
      <c r="E10">
        <f>NORMSDIST(D10)</f>
        <v/>
      </c>
      <c r="F10">
        <f>A10/$K$4</f>
        <v/>
      </c>
      <c r="G10">
        <f>F10-E10</f>
        <v/>
      </c>
      <c r="H10">
        <f>E10-(A10-1)/$K$4</f>
        <v/>
      </c>
    </row>
    <row r="11">
      <c r="A11" t="n">
        <v>10</v>
      </c>
      <c r="B11" t="n">
        <v>3.23464817293925</v>
      </c>
      <c r="C11" t="n">
        <v>2003</v>
      </c>
      <c r="D11">
        <f>(B11-$K$2)/$K$3</f>
        <v/>
      </c>
      <c r="E11">
        <f>NORMSDIST(D11)</f>
        <v/>
      </c>
      <c r="F11">
        <f>A11/$K$4</f>
        <v/>
      </c>
      <c r="G11">
        <f>F11-E11</f>
        <v/>
      </c>
      <c r="H11">
        <f>E11-(A11-1)/$K$4</f>
        <v/>
      </c>
    </row>
    <row r="12">
      <c r="A12" t="n">
        <v>11</v>
      </c>
      <c r="B12" t="n">
        <v>3.25289282667662</v>
      </c>
      <c r="C12" t="n">
        <v>2023</v>
      </c>
      <c r="D12">
        <f>(B12-$K$2)/$K$3</f>
        <v/>
      </c>
      <c r="E12">
        <f>NORMSDIST(D12)</f>
        <v/>
      </c>
      <c r="F12">
        <f>A12/$K$4</f>
        <v/>
      </c>
      <c r="G12">
        <f>F12-E12</f>
        <v/>
      </c>
      <c r="H12">
        <f>E12-(A12-1)/$K$4</f>
        <v/>
      </c>
    </row>
    <row r="13">
      <c r="A13" t="n">
        <v>12</v>
      </c>
      <c r="B13" t="n">
        <v>3.30999314219739</v>
      </c>
      <c r="C13" t="n">
        <v>2025</v>
      </c>
      <c r="D13">
        <f>(B13-$K$2)/$K$3</f>
        <v/>
      </c>
      <c r="E13">
        <f>NORMSDIST(D13)</f>
        <v/>
      </c>
      <c r="F13">
        <f>A13/$K$4</f>
        <v/>
      </c>
      <c r="G13">
        <f>F13-E13</f>
        <v/>
      </c>
      <c r="H13">
        <f>E13-(A13-1)/$K$4</f>
        <v/>
      </c>
    </row>
    <row r="14">
      <c r="A14" t="n">
        <v>13</v>
      </c>
      <c r="B14" t="n">
        <v>3.52025688811617</v>
      </c>
      <c r="C14" t="n">
        <v>2017</v>
      </c>
      <c r="D14">
        <f>(B14-$K$2)/$K$3</f>
        <v/>
      </c>
      <c r="E14">
        <f>NORMSDIST(D14)</f>
        <v/>
      </c>
      <c r="F14">
        <f>A14/$K$4</f>
        <v/>
      </c>
      <c r="G14">
        <f>F14-E14</f>
        <v/>
      </c>
      <c r="H14">
        <f>E14-(A14-1)/$K$4</f>
        <v/>
      </c>
    </row>
    <row r="15">
      <c r="A15" t="n">
        <v>14</v>
      </c>
      <c r="B15" t="n">
        <v>3.53962805942641</v>
      </c>
      <c r="C15" t="n">
        <v>2018</v>
      </c>
      <c r="D15">
        <f>(B15-$K$2)/$K$3</f>
        <v/>
      </c>
      <c r="E15">
        <f>NORMSDIST(D15)</f>
        <v/>
      </c>
      <c r="F15">
        <f>A15/$K$4</f>
        <v/>
      </c>
      <c r="G15">
        <f>F15-E15</f>
        <v/>
      </c>
      <c r="H15">
        <f>E15-(A15-1)/$K$4</f>
        <v/>
      </c>
    </row>
    <row r="16">
      <c r="A16" t="n">
        <v>15</v>
      </c>
      <c r="B16" t="n">
        <v>3.62109273885843</v>
      </c>
      <c r="C16" t="n">
        <v>2024</v>
      </c>
      <c r="D16">
        <f>(B16-$K$2)/$K$3</f>
        <v/>
      </c>
      <c r="E16">
        <f>NORMSDIST(D16)</f>
        <v/>
      </c>
      <c r="F16">
        <f>A16/$K$4</f>
        <v/>
      </c>
      <c r="G16">
        <f>F16-E16</f>
        <v/>
      </c>
      <c r="H16">
        <f>E16-(A16-1)/$K$4</f>
        <v/>
      </c>
    </row>
    <row r="17">
      <c r="A17" t="n">
        <v>16</v>
      </c>
      <c r="B17" t="n">
        <v>3.83082838168467</v>
      </c>
      <c r="C17" t="n">
        <v>2002</v>
      </c>
      <c r="D17">
        <f>(B17-$K$2)/$K$3</f>
        <v/>
      </c>
      <c r="E17">
        <f>NORMSDIST(D17)</f>
        <v/>
      </c>
      <c r="F17">
        <f>A17/$K$4</f>
        <v/>
      </c>
      <c r="G17">
        <f>F17-E17</f>
        <v/>
      </c>
      <c r="H17">
        <f>E17-(A17-1)/$K$4</f>
        <v/>
      </c>
    </row>
    <row r="18">
      <c r="A18" t="n">
        <v>17</v>
      </c>
      <c r="B18" t="n">
        <v>4.08455446637624</v>
      </c>
      <c r="C18" t="n">
        <v>2014</v>
      </c>
      <c r="D18">
        <f>(B18-$K$2)/$K$3</f>
        <v/>
      </c>
      <c r="E18">
        <f>NORMSDIST(D18)</f>
        <v/>
      </c>
      <c r="F18">
        <f>A18/$K$4</f>
        <v/>
      </c>
      <c r="G18">
        <f>F18-E18</f>
        <v/>
      </c>
      <c r="H18">
        <f>E18-(A18-1)/$K$4</f>
        <v/>
      </c>
    </row>
    <row r="19">
      <c r="A19" t="n">
        <v>18</v>
      </c>
      <c r="B19" t="n">
        <v>4.11710235771735</v>
      </c>
      <c r="C19" t="n">
        <v>1999</v>
      </c>
      <c r="D19">
        <f>(B19-$K$2)/$K$3</f>
        <v/>
      </c>
      <c r="E19">
        <f>NORMSDIST(D19)</f>
        <v/>
      </c>
      <c r="F19">
        <f>A19/$K$4</f>
        <v/>
      </c>
      <c r="G19">
        <f>F19-E19</f>
        <v/>
      </c>
      <c r="H19">
        <f>E19-(A19-1)/$K$4</f>
        <v/>
      </c>
    </row>
    <row r="20">
      <c r="A20" t="n">
        <v>19</v>
      </c>
      <c r="B20" t="n">
        <v>5.67499999999991</v>
      </c>
      <c r="C20" t="n">
        <v>1996</v>
      </c>
      <c r="D20">
        <f>(B20-$K$2)/$K$3</f>
        <v/>
      </c>
      <c r="E20">
        <f>NORMSDIST(D20)</f>
        <v/>
      </c>
      <c r="F20">
        <f>A20/$K$4</f>
        <v/>
      </c>
      <c r="G20">
        <f>F20-E20</f>
        <v/>
      </c>
      <c r="H20">
        <f>E20-(A20-1)/$K$4</f>
        <v/>
      </c>
    </row>
    <row r="21">
      <c r="A21" t="n">
        <v>20</v>
      </c>
      <c r="B21" t="n">
        <v>6.59267475899192</v>
      </c>
      <c r="C21" t="n">
        <v>2013</v>
      </c>
      <c r="D21">
        <f>(B21-$K$2)/$K$3</f>
        <v/>
      </c>
      <c r="E21">
        <f>NORMSDIST(D21)</f>
        <v/>
      </c>
      <c r="F21">
        <f>A21/$K$4</f>
        <v/>
      </c>
      <c r="G21">
        <f>F21-E21</f>
        <v/>
      </c>
      <c r="H21">
        <f>E21-(A21-1)/$K$4</f>
        <v/>
      </c>
    </row>
    <row r="22">
      <c r="A22" t="n">
        <v>21</v>
      </c>
      <c r="B22" t="n">
        <v>6.71698269988631</v>
      </c>
      <c r="C22" t="n">
        <v>2009</v>
      </c>
      <c r="D22">
        <f>(B22-$K$2)/$K$3</f>
        <v/>
      </c>
      <c r="E22">
        <f>NORMSDIST(D22)</f>
        <v/>
      </c>
      <c r="F22">
        <f>A22/$K$4</f>
        <v/>
      </c>
      <c r="G22">
        <f>F22-E22</f>
        <v/>
      </c>
      <c r="H22">
        <f>E22-(A22-1)/$K$4</f>
        <v/>
      </c>
    </row>
    <row r="23">
      <c r="A23" t="n">
        <v>22</v>
      </c>
      <c r="B23" t="n">
        <v>7.26619804400963</v>
      </c>
      <c r="C23" t="n">
        <v>1998</v>
      </c>
      <c r="D23">
        <f>(B23-$K$2)/$K$3</f>
        <v/>
      </c>
      <c r="E23">
        <f>NORMSDIST(D23)</f>
        <v/>
      </c>
      <c r="F23">
        <f>A23/$K$4</f>
        <v/>
      </c>
      <c r="G23">
        <f>F23-E23</f>
        <v/>
      </c>
      <c r="H23">
        <f>E23-(A23-1)/$K$4</f>
        <v/>
      </c>
    </row>
    <row r="24">
      <c r="A24" t="n">
        <v>23</v>
      </c>
      <c r="B24" t="n">
        <v>7.41801715108469</v>
      </c>
      <c r="C24" t="n">
        <v>2006</v>
      </c>
      <c r="D24">
        <f>(B24-$K$2)/$K$3</f>
        <v/>
      </c>
      <c r="E24">
        <f>NORMSDIST(D24)</f>
        <v/>
      </c>
      <c r="F24">
        <f>A24/$K$4</f>
        <v/>
      </c>
      <c r="G24">
        <f>F24-E24</f>
        <v/>
      </c>
      <c r="H24">
        <f>E24-(A24-1)/$K$4</f>
        <v/>
      </c>
    </row>
    <row r="25">
      <c r="A25" t="n">
        <v>24</v>
      </c>
      <c r="B25" t="n">
        <v>7.75494748709606</v>
      </c>
      <c r="C25" t="n">
        <v>2004</v>
      </c>
      <c r="D25">
        <f>(B25-$K$2)/$K$3</f>
        <v/>
      </c>
      <c r="E25">
        <f>NORMSDIST(D25)</f>
        <v/>
      </c>
      <c r="F25">
        <f>A25/$K$4</f>
        <v/>
      </c>
      <c r="G25">
        <f>F25-E25</f>
        <v/>
      </c>
      <c r="H25">
        <f>E25-(A25-1)/$K$4</f>
        <v/>
      </c>
    </row>
    <row r="26">
      <c r="A26" t="n">
        <v>25</v>
      </c>
      <c r="B26" t="n">
        <v>8.284572431286669</v>
      </c>
      <c r="C26" t="n">
        <v>2005</v>
      </c>
      <c r="D26">
        <f>(B26-$K$2)/$K$3</f>
        <v/>
      </c>
      <c r="E26">
        <f>NORMSDIST(D26)</f>
        <v/>
      </c>
      <c r="F26">
        <f>A26/$K$4</f>
        <v/>
      </c>
      <c r="G26">
        <f>F26-E26</f>
        <v/>
      </c>
      <c r="H26">
        <f>E26-(A26-1)/$K$4</f>
        <v/>
      </c>
    </row>
    <row r="27">
      <c r="A27" t="n">
        <v>26</v>
      </c>
      <c r="B27" t="n">
        <v>8.344448897738459</v>
      </c>
      <c r="C27" t="n">
        <v>2007</v>
      </c>
      <c r="D27">
        <f>(B27-$K$2)/$K$3</f>
        <v/>
      </c>
      <c r="E27">
        <f>NORMSDIST(D27)</f>
        <v/>
      </c>
      <c r="F27">
        <f>A27/$K$4</f>
        <v/>
      </c>
      <c r="G27">
        <f>F27-E27</f>
        <v/>
      </c>
      <c r="H27">
        <f>E27-(A27-1)/$K$4</f>
        <v/>
      </c>
    </row>
    <row r="28">
      <c r="A28" t="n">
        <v>27</v>
      </c>
      <c r="B28" t="n">
        <v>9.094703395571919</v>
      </c>
      <c r="C28" t="n">
        <v>2012</v>
      </c>
      <c r="D28">
        <f>(B28-$K$2)/$K$3</f>
        <v/>
      </c>
      <c r="E28">
        <f>NORMSDIST(D28)</f>
        <v/>
      </c>
      <c r="F28">
        <f>A28/$K$4</f>
        <v/>
      </c>
      <c r="G28">
        <f>F28-E28</f>
        <v/>
      </c>
      <c r="H28">
        <f>E28-(A28-1)/$K$4</f>
        <v/>
      </c>
    </row>
    <row r="29">
      <c r="A29" t="n">
        <v>28</v>
      </c>
      <c r="B29" t="n">
        <v>9.207466487784121</v>
      </c>
      <c r="C29" t="n">
        <v>2010</v>
      </c>
      <c r="D29">
        <f>(B29-$K$2)/$K$3</f>
        <v/>
      </c>
      <c r="E29">
        <f>NORMSDIST(D29)</f>
        <v/>
      </c>
      <c r="F29">
        <f>A29/$K$4</f>
        <v/>
      </c>
      <c r="G29">
        <f>F29-E29</f>
        <v/>
      </c>
      <c r="H29">
        <f>E29-(A29-1)/$K$4</f>
        <v/>
      </c>
    </row>
    <row r="30">
      <c r="A30" t="n">
        <v>29</v>
      </c>
      <c r="B30" t="n">
        <v>18.6777322770706</v>
      </c>
      <c r="C30" t="n">
        <v>2011</v>
      </c>
      <c r="D30">
        <f>(B30-$K$2)/$K$3</f>
        <v/>
      </c>
      <c r="E30">
        <f>NORMSDIST(D30)</f>
        <v/>
      </c>
      <c r="F30">
        <f>A30/$K$4</f>
        <v/>
      </c>
      <c r="G30">
        <f>F30-E30</f>
        <v/>
      </c>
      <c r="H30">
        <f>E30-(A30-1)/$K$4</f>
        <v/>
      </c>
    </row>
    <row r="31">
      <c r="A31" t="n">
        <v>30</v>
      </c>
      <c r="B31" t="n">
        <v>23.1154483474477</v>
      </c>
      <c r="C31" t="n">
        <v>2008</v>
      </c>
      <c r="D31">
        <f>(B31-$K$2)/$K$3</f>
        <v/>
      </c>
      <c r="E31">
        <f>NORMSDIST(D31)</f>
        <v/>
      </c>
      <c r="F31">
        <f>A31/$K$4</f>
        <v/>
      </c>
      <c r="G31">
        <f>F31-E31</f>
        <v/>
      </c>
      <c r="H31">
        <f>E31-(A31-1)/$K$4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" t="inlineStr">
        <is>
          <t>OBSERVED (persons = thousands x 1000)</t>
        </is>
      </c>
      <c r="B1" s="2" t="inlineStr">
        <is>
          <t>Unemployed</t>
        </is>
      </c>
      <c r="C1" s="2" t="inlineStr">
        <is>
          <t>Employed</t>
        </is>
      </c>
      <c r="D1" s="2" t="inlineStr">
        <is>
          <t>Row total</t>
        </is>
      </c>
    </row>
    <row r="2">
      <c r="A2" t="inlineStr">
        <is>
          <t>Viet Nam</t>
        </is>
      </c>
      <c r="B2" t="n">
        <v>858467</v>
      </c>
      <c r="C2" t="n">
        <v>55280158</v>
      </c>
      <c r="D2">
        <f>SUM(B2:C2)</f>
        <v/>
      </c>
    </row>
    <row r="3">
      <c r="A3" t="inlineStr">
        <is>
          <t>Philippines</t>
        </is>
      </c>
      <c r="B3" t="n">
        <v>1147686</v>
      </c>
      <c r="C3" t="n">
        <v>47524318</v>
      </c>
      <c r="D3">
        <f>SUM(B3:C3)</f>
        <v/>
      </c>
    </row>
    <row r="4">
      <c r="A4" t="inlineStr">
        <is>
          <t>Col total</t>
        </is>
      </c>
      <c r="B4">
        <f>SUM(B2:B3)</f>
        <v/>
      </c>
      <c r="C4">
        <f>SUM(C2:C3)</f>
        <v/>
      </c>
      <c r="D4">
        <f>SUM(D2:D3)</f>
        <v/>
      </c>
    </row>
    <row r="6">
      <c r="A6" s="2" t="inlineStr">
        <is>
          <t>EXPECTED = row total x col total / N</t>
        </is>
      </c>
      <c r="B6" s="2" t="inlineStr">
        <is>
          <t>Unemployed</t>
        </is>
      </c>
      <c r="C6" s="2" t="inlineStr">
        <is>
          <t>Employed</t>
        </is>
      </c>
      <c r="D6" s="2" t="n"/>
    </row>
    <row r="7">
      <c r="A7" t="inlineStr">
        <is>
          <t>Viet Nam</t>
        </is>
      </c>
      <c r="B7">
        <f>$D2*B$4/$D$4</f>
        <v/>
      </c>
      <c r="C7">
        <f>$D2*C$4/$D$4</f>
        <v/>
      </c>
    </row>
    <row r="8">
      <c r="A8" t="inlineStr">
        <is>
          <t>Philippines</t>
        </is>
      </c>
      <c r="B8">
        <f>$D3*B$4/$D$4</f>
        <v/>
      </c>
      <c r="C8">
        <f>$D3*C$4/$D$4</f>
        <v/>
      </c>
    </row>
    <row r="10">
      <c r="A10" t="inlineStr">
        <is>
          <t>(O-E)^2/E</t>
        </is>
      </c>
      <c r="B10" t="inlineStr">
        <is>
          <t>Unemployed</t>
        </is>
      </c>
      <c r="C10" t="inlineStr">
        <is>
          <t>Employed</t>
        </is>
      </c>
    </row>
    <row r="11">
      <c r="A11" t="inlineStr">
        <is>
          <t>Viet Nam</t>
        </is>
      </c>
      <c r="B11">
        <f>(B2-B7)^2/B7</f>
        <v/>
      </c>
      <c r="C11">
        <f>(C2-C7)^2/C7</f>
        <v/>
      </c>
    </row>
    <row r="12">
      <c r="A12" t="inlineStr">
        <is>
          <t>Philippines</t>
        </is>
      </c>
      <c r="B12">
        <f>(B3-B8)^2/B8</f>
        <v/>
      </c>
      <c r="C12">
        <f>(C3-C8)^2/C8</f>
        <v/>
      </c>
    </row>
    <row r="14">
      <c r="A14" t="inlineStr">
        <is>
          <t>Chi-square</t>
        </is>
      </c>
      <c r="B14">
        <f>SUM(B11:C12)</f>
        <v/>
      </c>
    </row>
    <row r="15">
      <c r="A15" t="inlineStr">
        <is>
          <t>df</t>
        </is>
      </c>
      <c r="B15" t="n">
        <v>1</v>
      </c>
    </row>
    <row r="16">
      <c r="A16" t="inlineStr">
        <is>
          <t>p-value</t>
        </is>
      </c>
      <c r="B16">
        <f>CHIDIST(B14,B15)</f>
        <v/>
      </c>
    </row>
    <row r="17">
      <c r="A17" t="inlineStr">
        <is>
          <t>Cramer's V</t>
        </is>
      </c>
      <c r="B17">
        <f>SQRT(B14/(B4*0+D4*1))</f>
        <v/>
      </c>
    </row>
    <row r="19">
      <c r="A19" t="inlineStr">
        <is>
          <t>ILO weighted survey estimates, 2024, age 15+. Naive chi-square on these counts overstates significance (see report). Sensitivity with illustrative n_eff in Results sheet.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" t="inlineStr">
        <is>
          <t>OBSERVED (persons = thousands x 1000)</t>
        </is>
      </c>
      <c r="B1" s="2" t="inlineStr">
        <is>
          <t>Agriculture</t>
        </is>
      </c>
      <c r="C1" s="2" t="inlineStr">
        <is>
          <t>Industry</t>
        </is>
      </c>
      <c r="D1" s="2" t="inlineStr">
        <is>
          <t>Services</t>
        </is>
      </c>
      <c r="E1" s="2" t="inlineStr">
        <is>
          <t>Row total</t>
        </is>
      </c>
    </row>
    <row r="2">
      <c r="A2" t="inlineStr">
        <is>
          <t>Viet Nam</t>
        </is>
      </c>
      <c r="B2" t="n">
        <v>13637057</v>
      </c>
      <c r="C2" t="n">
        <v>17131226</v>
      </c>
      <c r="D2" t="n">
        <v>20666543</v>
      </c>
      <c r="E2">
        <f>SUM(B2:D2)</f>
        <v/>
      </c>
    </row>
    <row r="3">
      <c r="A3" t="inlineStr">
        <is>
          <t>Philippines</t>
        </is>
      </c>
      <c r="B3" t="n">
        <v>9858510</v>
      </c>
      <c r="C3" t="n">
        <v>8649772</v>
      </c>
      <c r="D3" t="n">
        <v>29016036</v>
      </c>
      <c r="E3">
        <f>SUM(B3:D3)</f>
        <v/>
      </c>
    </row>
    <row r="4">
      <c r="A4" t="inlineStr">
        <is>
          <t>Col total</t>
        </is>
      </c>
      <c r="B4">
        <f>SUM(B2:B3)</f>
        <v/>
      </c>
      <c r="C4">
        <f>SUM(C2:C3)</f>
        <v/>
      </c>
      <c r="D4">
        <f>SUM(D2:D3)</f>
        <v/>
      </c>
      <c r="E4">
        <f>SUM(E2:E3)</f>
        <v/>
      </c>
    </row>
    <row r="6">
      <c r="A6" s="2" t="inlineStr">
        <is>
          <t>EXPECTED = row total x col total / N</t>
        </is>
      </c>
      <c r="B6" s="2" t="inlineStr">
        <is>
          <t>Agriculture</t>
        </is>
      </c>
      <c r="C6" s="2" t="inlineStr">
        <is>
          <t>Industry</t>
        </is>
      </c>
      <c r="D6" s="2" t="inlineStr">
        <is>
          <t>Services</t>
        </is>
      </c>
      <c r="E6" s="2" t="n"/>
    </row>
    <row r="7">
      <c r="A7" t="inlineStr">
        <is>
          <t>Viet Nam</t>
        </is>
      </c>
      <c r="B7">
        <f>$E2*B$4/$E$4</f>
        <v/>
      </c>
      <c r="C7">
        <f>$E2*C$4/$E$4</f>
        <v/>
      </c>
      <c r="D7">
        <f>$E2*D$4/$E$4</f>
        <v/>
      </c>
    </row>
    <row r="8">
      <c r="A8" t="inlineStr">
        <is>
          <t>Philippines</t>
        </is>
      </c>
      <c r="B8">
        <f>$E3*B$4/$E$4</f>
        <v/>
      </c>
      <c r="C8">
        <f>$E3*C$4/$E$4</f>
        <v/>
      </c>
      <c r="D8">
        <f>$E3*D$4/$E$4</f>
        <v/>
      </c>
    </row>
    <row r="10">
      <c r="A10" t="inlineStr">
        <is>
          <t>(O-E)^2/E</t>
        </is>
      </c>
      <c r="B10" t="inlineStr">
        <is>
          <t>Agriculture</t>
        </is>
      </c>
      <c r="C10" t="inlineStr">
        <is>
          <t>Industry</t>
        </is>
      </c>
      <c r="D10" t="inlineStr">
        <is>
          <t>Services</t>
        </is>
      </c>
    </row>
    <row r="11">
      <c r="A11" t="inlineStr">
        <is>
          <t>Viet Nam</t>
        </is>
      </c>
      <c r="B11">
        <f>(B2-B7)^2/B7</f>
        <v/>
      </c>
      <c r="C11">
        <f>(C2-C7)^2/C7</f>
        <v/>
      </c>
      <c r="D11">
        <f>(D2-D7)^2/D7</f>
        <v/>
      </c>
    </row>
    <row r="12">
      <c r="A12" t="inlineStr">
        <is>
          <t>Philippines</t>
        </is>
      </c>
      <c r="B12">
        <f>(B3-B8)^2/B8</f>
        <v/>
      </c>
      <c r="C12">
        <f>(C3-C8)^2/C8</f>
        <v/>
      </c>
      <c r="D12">
        <f>(D3-D8)^2/D8</f>
        <v/>
      </c>
    </row>
    <row r="14">
      <c r="A14" t="inlineStr">
        <is>
          <t>Chi-square</t>
        </is>
      </c>
      <c r="B14">
        <f>SUM(B11:D12)</f>
        <v/>
      </c>
    </row>
    <row r="15">
      <c r="A15" t="inlineStr">
        <is>
          <t>df</t>
        </is>
      </c>
      <c r="B15" t="n">
        <v>2</v>
      </c>
    </row>
    <row r="16">
      <c r="A16" t="inlineStr">
        <is>
          <t>p-value</t>
        </is>
      </c>
      <c r="B16">
        <f>CHIDIST(B14,B15)</f>
        <v/>
      </c>
    </row>
    <row r="17">
      <c r="A17" t="inlineStr">
        <is>
          <t>Cramer's V</t>
        </is>
      </c>
      <c r="B17">
        <f>SQRT(B14/(B4*0+E4*1))</f>
        <v/>
      </c>
    </row>
    <row r="19">
      <c r="A19" t="inlineStr">
        <is>
          <t>Viet Nam: 3,845,332 workers 'not classified' (ECO_SECTOR_X) excluded; 2x4 robustness in Results sheet.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3" t="inlineStr">
        <is>
          <t>index</t>
        </is>
      </c>
      <c r="B1" s="3" t="inlineStr">
        <is>
          <t>year</t>
        </is>
      </c>
      <c r="C1" s="3" t="inlineStr">
        <is>
          <t>VNM</t>
        </is>
      </c>
      <c r="D1" s="3" t="inlineStr">
        <is>
          <t>PHL</t>
        </is>
      </c>
      <c r="E1" s="3" t="inlineStr">
        <is>
          <t>IND</t>
        </is>
      </c>
    </row>
    <row r="2">
      <c r="A2" t="n">
        <v>0</v>
      </c>
      <c r="B2" t="n">
        <v>2000</v>
      </c>
      <c r="C2" t="n">
        <v>6.78731640463151</v>
      </c>
      <c r="D2" t="n">
        <v>4.38250500083399</v>
      </c>
      <c r="E2" t="n">
        <v>3.84099115686554</v>
      </c>
    </row>
    <row r="3">
      <c r="A3" t="n">
        <v>1</v>
      </c>
      <c r="B3" t="n">
        <v>2001</v>
      </c>
      <c r="C3" t="n">
        <v>6.19289331233377</v>
      </c>
      <c r="D3" t="n">
        <v>3.04923134463486</v>
      </c>
      <c r="E3" t="n">
        <v>4.82396626397303</v>
      </c>
    </row>
    <row r="4">
      <c r="A4" t="n">
        <v>2</v>
      </c>
      <c r="B4" t="n">
        <v>2002</v>
      </c>
      <c r="C4" t="n">
        <v>6.32082099160833</v>
      </c>
      <c r="D4" t="n">
        <v>3.71625500158383</v>
      </c>
      <c r="E4" t="n">
        <v>3.80397532120038</v>
      </c>
    </row>
    <row r="5">
      <c r="A5" t="n">
        <v>3</v>
      </c>
      <c r="B5" t="n">
        <v>2003</v>
      </c>
      <c r="C5" t="n">
        <v>6.89906349055258</v>
      </c>
      <c r="D5" t="n">
        <v>5.08691113513073</v>
      </c>
      <c r="E5" t="n">
        <v>7.86038147545045</v>
      </c>
    </row>
    <row r="6">
      <c r="A6" t="n">
        <v>4</v>
      </c>
      <c r="B6" t="n">
        <v>2004</v>
      </c>
      <c r="C6" t="n">
        <v>7.53641060890386</v>
      </c>
      <c r="D6" t="n">
        <v>6.56922851180626</v>
      </c>
      <c r="E6" t="n">
        <v>7.92293661307978</v>
      </c>
    </row>
    <row r="7">
      <c r="A7" t="n">
        <v>5</v>
      </c>
      <c r="B7" t="n">
        <v>2005</v>
      </c>
      <c r="C7" t="n">
        <v>7.54724772895918</v>
      </c>
      <c r="D7" t="n">
        <v>4.94250511877678</v>
      </c>
      <c r="E7" t="n">
        <v>7.92343062131789</v>
      </c>
    </row>
    <row r="8">
      <c r="A8" t="n">
        <v>6</v>
      </c>
      <c r="B8" t="n">
        <v>2006</v>
      </c>
      <c r="C8" t="n">
        <v>6.97795481056711</v>
      </c>
      <c r="D8" t="n">
        <v>5.31641682136939</v>
      </c>
      <c r="E8" t="n">
        <v>8.06073257305057</v>
      </c>
    </row>
    <row r="9">
      <c r="A9" t="n">
        <v>7</v>
      </c>
      <c r="B9" t="n">
        <v>2007</v>
      </c>
      <c r="C9" t="n">
        <v>7.12950448605439</v>
      </c>
      <c r="D9" t="n">
        <v>6.51929155018938</v>
      </c>
      <c r="E9" t="n">
        <v>7.66081506510766</v>
      </c>
    </row>
    <row r="10">
      <c r="A10" t="n">
        <v>8</v>
      </c>
      <c r="B10" t="n">
        <v>2008</v>
      </c>
      <c r="C10" t="n">
        <v>5.66177120891362</v>
      </c>
      <c r="D10" t="n">
        <v>4.34448730509183</v>
      </c>
      <c r="E10" t="n">
        <v>3.08669805950082</v>
      </c>
    </row>
    <row r="11">
      <c r="A11" t="n">
        <v>9</v>
      </c>
      <c r="B11" t="n">
        <v>2009</v>
      </c>
      <c r="C11" t="n">
        <v>5.39789754014181</v>
      </c>
      <c r="D11" t="n">
        <v>1.44832306275669</v>
      </c>
      <c r="E11" t="n">
        <v>7.8618888330338</v>
      </c>
    </row>
    <row r="12">
      <c r="A12" t="n">
        <v>10</v>
      </c>
      <c r="B12" t="n">
        <v>2010</v>
      </c>
      <c r="C12" t="n">
        <v>6.42324482239482</v>
      </c>
      <c r="D12" t="n">
        <v>7.33449996034538</v>
      </c>
      <c r="E12" t="n">
        <v>8.497584701656249</v>
      </c>
    </row>
    <row r="13">
      <c r="A13" t="n">
        <v>11</v>
      </c>
      <c r="B13" t="n">
        <v>2011</v>
      </c>
      <c r="C13" t="n">
        <v>6.41316889681683</v>
      </c>
      <c r="D13" t="n">
        <v>3.85823282795663</v>
      </c>
      <c r="E13" t="n">
        <v>5.24131620024293</v>
      </c>
    </row>
    <row r="14">
      <c r="A14" t="n">
        <v>12</v>
      </c>
      <c r="B14" t="n">
        <v>2012</v>
      </c>
      <c r="C14" t="n">
        <v>5.5045447041189</v>
      </c>
      <c r="D14" t="n">
        <v>6.89695171050985</v>
      </c>
      <c r="E14" t="n">
        <v>5.45638755164772</v>
      </c>
    </row>
    <row r="15">
      <c r="A15" t="n">
        <v>13</v>
      </c>
      <c r="B15" t="n">
        <v>2013</v>
      </c>
      <c r="C15" t="n">
        <v>5.55351081026072</v>
      </c>
      <c r="D15" t="n">
        <v>6.75053130142255</v>
      </c>
      <c r="E15" t="n">
        <v>6.38610640091713</v>
      </c>
    </row>
    <row r="16">
      <c r="A16" t="n">
        <v>14</v>
      </c>
      <c r="B16" t="n">
        <v>2014</v>
      </c>
      <c r="C16" t="n">
        <v>6.42224312118567</v>
      </c>
      <c r="D16" t="n">
        <v>6.34798748260867</v>
      </c>
      <c r="E16" t="n">
        <v>7.41022760516977</v>
      </c>
    </row>
    <row r="17">
      <c r="A17" t="n">
        <v>15</v>
      </c>
      <c r="B17" t="n">
        <v>2015</v>
      </c>
      <c r="C17" t="n">
        <v>6.98715430598611</v>
      </c>
      <c r="D17" t="n">
        <v>6.34830971672761</v>
      </c>
      <c r="E17" t="n">
        <v>7.99625378567987</v>
      </c>
    </row>
    <row r="18">
      <c r="A18" t="n">
        <v>16</v>
      </c>
      <c r="B18" t="n">
        <v>2016</v>
      </c>
      <c r="C18" t="n">
        <v>6.69000892660424</v>
      </c>
      <c r="D18" t="n">
        <v>7.14945675000752</v>
      </c>
      <c r="E18" t="n">
        <v>8.25630550176662</v>
      </c>
    </row>
    <row r="19">
      <c r="A19" t="n">
        <v>17</v>
      </c>
      <c r="B19" t="n">
        <v>2017</v>
      </c>
      <c r="C19" t="n">
        <v>6.94019037359206</v>
      </c>
      <c r="D19" t="n">
        <v>6.9309883258402</v>
      </c>
      <c r="E19" t="n">
        <v>6.79538341902422</v>
      </c>
    </row>
    <row r="20">
      <c r="A20" t="n">
        <v>18</v>
      </c>
      <c r="B20" t="n">
        <v>2018</v>
      </c>
      <c r="C20" t="n">
        <v>7.46500685572751</v>
      </c>
      <c r="D20" t="n">
        <v>6.34148557153473</v>
      </c>
      <c r="E20" t="n">
        <v>6.45385134495295</v>
      </c>
    </row>
    <row r="21">
      <c r="A21" t="n">
        <v>19</v>
      </c>
      <c r="B21" t="n">
        <v>2019</v>
      </c>
      <c r="C21" t="n">
        <v>7.35926270105006</v>
      </c>
      <c r="D21" t="n">
        <v>6.11852566221303</v>
      </c>
      <c r="E21" t="n">
        <v>3.87143694070524</v>
      </c>
    </row>
    <row r="22">
      <c r="A22" t="n">
        <v>20</v>
      </c>
      <c r="B22" t="n">
        <v>2020</v>
      </c>
      <c r="C22" t="n">
        <v>2.86541320912272</v>
      </c>
      <c r="D22" t="n">
        <v>-9.518294740452969</v>
      </c>
      <c r="E22" t="n">
        <v>-5.77772470687303</v>
      </c>
    </row>
    <row r="23">
      <c r="A23" t="n">
        <v>21</v>
      </c>
      <c r="B23" t="n">
        <v>2021</v>
      </c>
      <c r="C23" t="n">
        <v>2.55372852648131</v>
      </c>
      <c r="D23" t="n">
        <v>5.71473313185116</v>
      </c>
      <c r="E23" t="n">
        <v>9.689592491917409</v>
      </c>
    </row>
    <row r="24">
      <c r="A24" t="n">
        <v>22</v>
      </c>
      <c r="B24" t="n">
        <v>2022</v>
      </c>
      <c r="C24" t="n">
        <v>8.537500412181419</v>
      </c>
      <c r="D24" t="n">
        <v>7.58098212785563</v>
      </c>
      <c r="E24" t="n">
        <v>7.6093649776932</v>
      </c>
    </row>
    <row r="25">
      <c r="A25" t="n">
        <v>23</v>
      </c>
      <c r="B25" t="n">
        <v>2023</v>
      </c>
      <c r="C25" t="n">
        <v>4.97865959483225</v>
      </c>
      <c r="D25" t="n">
        <v>5.51894967856043</v>
      </c>
      <c r="E25" t="n">
        <v>7.210224629335</v>
      </c>
    </row>
    <row r="26">
      <c r="A26" t="n">
        <v>24</v>
      </c>
      <c r="B26" t="n">
        <v>2024</v>
      </c>
      <c r="C26" t="n">
        <v>7.03955197123018</v>
      </c>
      <c r="D26" t="n">
        <v>5.71474526128652</v>
      </c>
      <c r="E26" t="n">
        <v>7.09927893176518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3" t="inlineStr">
        <is>
          <t>index</t>
        </is>
      </c>
      <c r="B1" s="3" t="inlineStr">
        <is>
          <t>year</t>
        </is>
      </c>
      <c r="C1" s="3" t="inlineStr">
        <is>
          <t>GDP_growth</t>
        </is>
      </c>
      <c r="D1" s="3" t="inlineStr">
        <is>
          <t>Investment_pctGDP</t>
        </is>
      </c>
      <c r="E1" s="3" t="inlineStr">
        <is>
          <t>Inflation</t>
        </is>
      </c>
    </row>
    <row r="2">
      <c r="A2" t="n">
        <v>0</v>
      </c>
      <c r="B2" t="n">
        <v>1996</v>
      </c>
      <c r="C2" t="n">
        <v>9.34001749939179</v>
      </c>
      <c r="D2" t="n">
        <v>28.1028981458336</v>
      </c>
      <c r="E2" t="n">
        <v>5.67499999999991</v>
      </c>
    </row>
    <row r="3">
      <c r="A3" t="n">
        <v>1</v>
      </c>
      <c r="B3" t="n">
        <v>1997</v>
      </c>
      <c r="C3" t="n">
        <v>8.1520841433542</v>
      </c>
      <c r="D3" t="n">
        <v>28.2995826198971</v>
      </c>
      <c r="E3" t="n">
        <v>3.20952606261374</v>
      </c>
    </row>
    <row r="4">
      <c r="A4" t="n">
        <v>2</v>
      </c>
      <c r="B4" t="n">
        <v>1998</v>
      </c>
      <c r="C4" t="n">
        <v>5.76445545848843</v>
      </c>
      <c r="D4" t="n">
        <v>29.0498785375758</v>
      </c>
      <c r="E4" t="n">
        <v>7.26619804400963</v>
      </c>
    </row>
    <row r="5">
      <c r="A5" t="n">
        <v>3</v>
      </c>
      <c r="B5" t="n">
        <v>1999</v>
      </c>
      <c r="C5" t="n">
        <v>4.77358688344989</v>
      </c>
      <c r="D5" t="n">
        <v>27.6297563146656</v>
      </c>
      <c r="E5" t="n">
        <v>4.11710235771735</v>
      </c>
    </row>
    <row r="6">
      <c r="A6" t="n">
        <v>4</v>
      </c>
      <c r="B6" t="n">
        <v>2000</v>
      </c>
      <c r="C6" t="n">
        <v>6.78731640463151</v>
      </c>
      <c r="D6" t="n">
        <v>29.6099138223826</v>
      </c>
      <c r="E6" t="n">
        <v>-1.7103372785111</v>
      </c>
    </row>
    <row r="7">
      <c r="A7" t="n">
        <v>5</v>
      </c>
      <c r="B7" t="n">
        <v>2001</v>
      </c>
      <c r="C7" t="n">
        <v>6.19289331233377</v>
      </c>
      <c r="D7" t="n">
        <v>31.1727734549497</v>
      </c>
      <c r="E7" t="n">
        <v>-0.43154451172818</v>
      </c>
    </row>
    <row r="8">
      <c r="A8" t="n">
        <v>6</v>
      </c>
      <c r="B8" t="n">
        <v>2002</v>
      </c>
      <c r="C8" t="n">
        <v>6.32082099160833</v>
      </c>
      <c r="D8" t="n">
        <v>33.2205344910613</v>
      </c>
      <c r="E8" t="n">
        <v>3.83082838168467</v>
      </c>
    </row>
    <row r="9">
      <c r="A9" t="n">
        <v>7</v>
      </c>
      <c r="B9" t="n">
        <v>2003</v>
      </c>
      <c r="C9" t="n">
        <v>6.89906349055258</v>
      </c>
      <c r="D9" t="n">
        <v>35.444857957463</v>
      </c>
      <c r="E9" t="n">
        <v>3.23464817293925</v>
      </c>
    </row>
    <row r="10">
      <c r="A10" t="n">
        <v>8</v>
      </c>
      <c r="B10" t="n">
        <v>2004</v>
      </c>
      <c r="C10" t="n">
        <v>7.53641060890386</v>
      </c>
      <c r="D10" t="n">
        <v>35.46533166878</v>
      </c>
      <c r="E10" t="n">
        <v>7.75494748709606</v>
      </c>
    </row>
    <row r="11">
      <c r="A11" t="n">
        <v>9</v>
      </c>
      <c r="B11" t="n">
        <v>2005</v>
      </c>
      <c r="C11" t="n">
        <v>7.54724772895918</v>
      </c>
      <c r="D11" t="n">
        <v>33.7574028912441</v>
      </c>
      <c r="E11" t="n">
        <v>8.284572431286669</v>
      </c>
    </row>
    <row r="12">
      <c r="A12" t="n">
        <v>10</v>
      </c>
      <c r="B12" t="n">
        <v>2006</v>
      </c>
      <c r="C12" t="n">
        <v>6.97795481056711</v>
      </c>
      <c r="D12" t="n">
        <v>34.5366510764767</v>
      </c>
      <c r="E12" t="n">
        <v>7.41801715108469</v>
      </c>
    </row>
    <row r="13">
      <c r="A13" t="n">
        <v>11</v>
      </c>
      <c r="B13" t="n">
        <v>2007</v>
      </c>
      <c r="C13" t="n">
        <v>7.12950448605439</v>
      </c>
      <c r="D13" t="n">
        <v>39.5662708970146</v>
      </c>
      <c r="E13" t="n">
        <v>8.344448897738459</v>
      </c>
    </row>
    <row r="14">
      <c r="A14" t="n">
        <v>12</v>
      </c>
      <c r="B14" t="n">
        <v>2008</v>
      </c>
      <c r="C14" t="n">
        <v>5.66177120891362</v>
      </c>
      <c r="D14" t="n">
        <v>36.4931217965814</v>
      </c>
      <c r="E14" t="n">
        <v>23.1154483474477</v>
      </c>
    </row>
    <row r="15">
      <c r="A15" t="n">
        <v>13</v>
      </c>
      <c r="B15" t="n">
        <v>2009</v>
      </c>
      <c r="C15" t="n">
        <v>5.39789754014181</v>
      </c>
      <c r="D15" t="n">
        <v>37.1625554335215</v>
      </c>
      <c r="E15" t="n">
        <v>6.71698269988631</v>
      </c>
    </row>
    <row r="16">
      <c r="A16" t="n">
        <v>14</v>
      </c>
      <c r="B16" t="n">
        <v>2010</v>
      </c>
      <c r="C16" t="n">
        <v>6.42324482239482</v>
      </c>
      <c r="D16" t="n">
        <v>37.0990761715168</v>
      </c>
      <c r="E16" t="n">
        <v>9.207466487784121</v>
      </c>
    </row>
    <row r="17">
      <c r="A17" t="n">
        <v>15</v>
      </c>
      <c r="B17" t="n">
        <v>2011</v>
      </c>
      <c r="C17" t="n">
        <v>6.41316889681683</v>
      </c>
      <c r="D17" t="n">
        <v>32.3711434429224</v>
      </c>
      <c r="E17" t="n">
        <v>18.6777322770706</v>
      </c>
    </row>
    <row r="18">
      <c r="A18" t="n">
        <v>16</v>
      </c>
      <c r="B18" t="n">
        <v>2012</v>
      </c>
      <c r="C18" t="n">
        <v>5.5045447041189</v>
      </c>
      <c r="D18" t="n">
        <v>30.5592897696566</v>
      </c>
      <c r="E18" t="n">
        <v>9.094703395571919</v>
      </c>
    </row>
    <row r="19">
      <c r="A19" t="n">
        <v>17</v>
      </c>
      <c r="B19" t="n">
        <v>2013</v>
      </c>
      <c r="C19" t="n">
        <v>5.55351081026072</v>
      </c>
      <c r="D19" t="n">
        <v>30.2129034609593</v>
      </c>
      <c r="E19" t="n">
        <v>6.59267475899192</v>
      </c>
    </row>
    <row r="20">
      <c r="A20" t="n">
        <v>18</v>
      </c>
      <c r="B20" t="n">
        <v>2014</v>
      </c>
      <c r="C20" t="n">
        <v>6.42224312118567</v>
      </c>
      <c r="D20" t="n">
        <v>30.2890267860991</v>
      </c>
      <c r="E20" t="n">
        <v>4.08455446637624</v>
      </c>
    </row>
    <row r="21">
      <c r="A21" t="n">
        <v>19</v>
      </c>
      <c r="B21" t="n">
        <v>2015</v>
      </c>
      <c r="C21" t="n">
        <v>6.98715430598611</v>
      </c>
      <c r="D21" t="n">
        <v>32.1089158178217</v>
      </c>
      <c r="E21" t="n">
        <v>0.6312009051756839</v>
      </c>
    </row>
    <row r="22">
      <c r="A22" t="n">
        <v>20</v>
      </c>
      <c r="B22" t="n">
        <v>2016</v>
      </c>
      <c r="C22" t="n">
        <v>6.69000892660424</v>
      </c>
      <c r="D22" t="n">
        <v>31.7245390951042</v>
      </c>
      <c r="E22" t="n">
        <v>2.66824816969082</v>
      </c>
    </row>
    <row r="23">
      <c r="A23" t="n">
        <v>21</v>
      </c>
      <c r="B23" t="n">
        <v>2017</v>
      </c>
      <c r="C23" t="n">
        <v>6.94019037359206</v>
      </c>
      <c r="D23" t="n">
        <v>32.305300920099</v>
      </c>
      <c r="E23" t="n">
        <v>3.52025688811617</v>
      </c>
    </row>
    <row r="24">
      <c r="A24" t="n">
        <v>22</v>
      </c>
      <c r="B24" t="n">
        <v>2018</v>
      </c>
      <c r="C24" t="n">
        <v>7.46500685572751</v>
      </c>
      <c r="D24" t="n">
        <v>32.019502902433</v>
      </c>
      <c r="E24" t="n">
        <v>3.53962805942641</v>
      </c>
    </row>
    <row r="25">
      <c r="A25" t="n">
        <v>23</v>
      </c>
      <c r="B25" t="n">
        <v>2019</v>
      </c>
      <c r="C25" t="n">
        <v>7.35926270105006</v>
      </c>
      <c r="D25" t="n">
        <v>31.9799606565797</v>
      </c>
      <c r="E25" t="n">
        <v>2.79582367452243</v>
      </c>
    </row>
    <row r="26">
      <c r="A26" t="n">
        <v>24</v>
      </c>
      <c r="B26" t="n">
        <v>2020</v>
      </c>
      <c r="C26" t="n">
        <v>2.86541320912272</v>
      </c>
      <c r="D26" t="n">
        <v>31.915688393806</v>
      </c>
      <c r="E26" t="n">
        <v>3.22093436652514</v>
      </c>
    </row>
    <row r="27">
      <c r="A27" t="n">
        <v>25</v>
      </c>
      <c r="B27" t="n">
        <v>2021</v>
      </c>
      <c r="C27" t="n">
        <v>2.55372852648131</v>
      </c>
      <c r="D27" t="n">
        <v>32.8956023366901</v>
      </c>
      <c r="E27" t="n">
        <v>1.83471554810461</v>
      </c>
    </row>
    <row r="28">
      <c r="A28" t="n">
        <v>26</v>
      </c>
      <c r="B28" t="n">
        <v>2022</v>
      </c>
      <c r="C28" t="n">
        <v>8.537500412181419</v>
      </c>
      <c r="D28" t="n">
        <v>32.3404994444961</v>
      </c>
      <c r="E28" t="n">
        <v>3.15650749963111</v>
      </c>
    </row>
    <row r="29">
      <c r="A29" t="n">
        <v>27</v>
      </c>
      <c r="B29" t="n">
        <v>2023</v>
      </c>
      <c r="C29" t="n">
        <v>4.97865959483225</v>
      </c>
      <c r="D29" t="n">
        <v>31.6683495522758</v>
      </c>
      <c r="E29" t="n">
        <v>3.25289282667662</v>
      </c>
    </row>
    <row r="30">
      <c r="A30" t="n">
        <v>28</v>
      </c>
      <c r="B30" t="n">
        <v>2024</v>
      </c>
      <c r="C30" t="n">
        <v>7.03955197123018</v>
      </c>
      <c r="D30" t="n">
        <v>30.5847264337631</v>
      </c>
      <c r="E30" t="n">
        <v>3.62109273885843</v>
      </c>
    </row>
    <row r="31">
      <c r="A31" t="n">
        <v>29</v>
      </c>
      <c r="B31" t="n">
        <v>2025</v>
      </c>
      <c r="C31" t="n">
        <v>8.01882998978245</v>
      </c>
      <c r="D31" t="n">
        <v>30.7951346149846</v>
      </c>
      <c r="E31" t="n">
        <v>3.30999314219739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3" t="inlineStr">
        <is>
          <t>index</t>
        </is>
      </c>
      <c r="B1" s="3" t="inlineStr">
        <is>
          <t>year</t>
        </is>
      </c>
      <c r="C1" s="3" t="inlineStr">
        <is>
          <t>Exports_USD_bn</t>
        </is>
      </c>
    </row>
    <row r="2">
      <c r="A2" t="n">
        <v>0</v>
      </c>
      <c r="B2" t="n">
        <v>1986</v>
      </c>
      <c r="C2" t="n">
        <v>1.74415276116778</v>
      </c>
    </row>
    <row r="3">
      <c r="A3" t="n">
        <v>1</v>
      </c>
      <c r="B3" t="n">
        <v>1987</v>
      </c>
      <c r="C3" t="n">
        <v>2.20001014548288</v>
      </c>
    </row>
    <row r="4">
      <c r="A4" t="n">
        <v>2</v>
      </c>
      <c r="B4" t="n">
        <v>1988</v>
      </c>
      <c r="C4" t="n">
        <v>1.00304522932543</v>
      </c>
    </row>
    <row r="5">
      <c r="A5" t="n">
        <v>3</v>
      </c>
      <c r="B5" t="n">
        <v>1989</v>
      </c>
      <c r="C5" t="n">
        <v>1.50091282021919</v>
      </c>
    </row>
    <row r="6">
      <c r="A6" t="n">
        <v>4</v>
      </c>
      <c r="B6" t="n">
        <v>1990</v>
      </c>
      <c r="C6" t="n">
        <v>2.3323256646457</v>
      </c>
    </row>
    <row r="7">
      <c r="A7" t="n">
        <v>5</v>
      </c>
      <c r="B7" t="n">
        <v>1991</v>
      </c>
      <c r="C7" t="n">
        <v>2.97197696894483</v>
      </c>
    </row>
    <row r="8">
      <c r="A8" t="n">
        <v>6</v>
      </c>
      <c r="B8" t="n">
        <v>1992</v>
      </c>
      <c r="C8" t="n">
        <v>3.42834454699355</v>
      </c>
    </row>
    <row r="9">
      <c r="A9" t="n">
        <v>7</v>
      </c>
      <c r="B9" t="n">
        <v>1993</v>
      </c>
      <c r="C9" t="n">
        <v>3.78593665543334</v>
      </c>
    </row>
    <row r="10">
      <c r="A10" t="n">
        <v>8</v>
      </c>
      <c r="B10" t="n">
        <v>1994</v>
      </c>
      <c r="C10" t="n">
        <v>5.5395255892744</v>
      </c>
    </row>
    <row r="11">
      <c r="A11" t="n">
        <v>9</v>
      </c>
      <c r="B11" t="n">
        <v>1995</v>
      </c>
      <c r="C11" t="n">
        <v>6.80412764572674</v>
      </c>
    </row>
    <row r="12">
      <c r="A12" t="n">
        <v>10</v>
      </c>
      <c r="B12" t="n">
        <v>1996</v>
      </c>
      <c r="C12" t="n">
        <v>10.0771352610313</v>
      </c>
    </row>
    <row r="13">
      <c r="A13" t="n">
        <v>11</v>
      </c>
      <c r="B13" t="n">
        <v>1997</v>
      </c>
      <c r="C13" t="n">
        <v>11.5703614829776</v>
      </c>
    </row>
    <row r="14">
      <c r="A14" t="n">
        <v>12</v>
      </c>
      <c r="B14" t="n">
        <v>1998</v>
      </c>
      <c r="C14" t="n">
        <v>12.2030448748869</v>
      </c>
    </row>
    <row r="15">
      <c r="A15" t="n">
        <v>13</v>
      </c>
      <c r="B15" t="n">
        <v>1999</v>
      </c>
      <c r="C15" t="n">
        <v>14.3321476134295</v>
      </c>
    </row>
    <row r="16">
      <c r="A16" t="n">
        <v>14</v>
      </c>
      <c r="B16" t="n">
        <v>2000</v>
      </c>
      <c r="C16" t="n">
        <v>16.8086885784482</v>
      </c>
    </row>
    <row r="17">
      <c r="A17" t="n">
        <v>15</v>
      </c>
      <c r="B17" t="n">
        <v>2001</v>
      </c>
      <c r="C17" t="n">
        <v>17.9971023610826</v>
      </c>
    </row>
    <row r="18">
      <c r="A18" t="n">
        <v>16</v>
      </c>
      <c r="B18" t="n">
        <v>2002</v>
      </c>
      <c r="C18" t="n">
        <v>19.1937875866357</v>
      </c>
    </row>
    <row r="19">
      <c r="A19" t="n">
        <v>17</v>
      </c>
      <c r="B19" t="n">
        <v>2003</v>
      </c>
      <c r="C19" t="n">
        <v>22.4156978356912</v>
      </c>
    </row>
    <row r="20">
      <c r="A20" t="n">
        <v>18</v>
      </c>
      <c r="B20" t="n">
        <v>2004</v>
      </c>
      <c r="C20" t="n">
        <v>27.1345307004954</v>
      </c>
    </row>
    <row r="21">
      <c r="A21" t="n">
        <v>19</v>
      </c>
      <c r="B21" t="n">
        <v>2005</v>
      </c>
      <c r="C21" t="n">
        <v>36.7120915145168</v>
      </c>
    </row>
    <row r="22">
      <c r="A22" t="n">
        <v>20</v>
      </c>
      <c r="B22" t="n">
        <v>2006</v>
      </c>
      <c r="C22" t="n">
        <v>44.9447770292449</v>
      </c>
    </row>
    <row r="23">
      <c r="A23" t="n">
        <v>21</v>
      </c>
      <c r="B23" t="n">
        <v>2007</v>
      </c>
      <c r="C23" t="n">
        <v>54.5910075208979</v>
      </c>
    </row>
    <row r="24">
      <c r="A24" t="n">
        <v>22</v>
      </c>
      <c r="B24" t="n">
        <v>2008</v>
      </c>
      <c r="C24" t="n">
        <v>69.72497661365759</v>
      </c>
    </row>
    <row r="25">
      <c r="A25" t="n">
        <v>23</v>
      </c>
      <c r="B25" t="n">
        <v>2009</v>
      </c>
      <c r="C25" t="n">
        <v>66.37459530066511</v>
      </c>
    </row>
    <row r="26">
      <c r="A26" t="n">
        <v>24</v>
      </c>
      <c r="B26" t="n">
        <v>2010</v>
      </c>
      <c r="C26" t="n">
        <v>79.7474808525934</v>
      </c>
    </row>
    <row r="27">
      <c r="A27" t="n">
        <v>25</v>
      </c>
      <c r="B27" t="n">
        <v>2011</v>
      </c>
      <c r="C27" t="n">
        <v>105.593919857799</v>
      </c>
    </row>
    <row r="28">
      <c r="A28" t="n">
        <v>26</v>
      </c>
      <c r="B28" t="n">
        <v>2012</v>
      </c>
      <c r="C28" t="n">
        <v>124.149069364149</v>
      </c>
    </row>
    <row r="29">
      <c r="A29" t="n">
        <v>27</v>
      </c>
      <c r="B29" t="n">
        <v>2013</v>
      </c>
      <c r="C29" t="n">
        <v>142.75843931646</v>
      </c>
    </row>
    <row r="30">
      <c r="A30" t="n">
        <v>28</v>
      </c>
      <c r="B30" t="n">
        <v>2014</v>
      </c>
      <c r="C30" t="n">
        <v>162.478898406019</v>
      </c>
    </row>
    <row r="31">
      <c r="A31" t="n">
        <v>29</v>
      </c>
      <c r="B31" t="n">
        <v>2015</v>
      </c>
      <c r="C31" t="n">
        <v>174.473996313379</v>
      </c>
    </row>
    <row r="32">
      <c r="A32" t="n">
        <v>30</v>
      </c>
      <c r="B32" t="n">
        <v>2016</v>
      </c>
      <c r="C32" t="n">
        <v>190.526869544715</v>
      </c>
    </row>
    <row r="33">
      <c r="A33" t="n">
        <v>31</v>
      </c>
      <c r="B33" t="n">
        <v>2017</v>
      </c>
      <c r="C33" t="n">
        <v>230.041803530193</v>
      </c>
    </row>
    <row r="34">
      <c r="A34" t="n">
        <v>32</v>
      </c>
      <c r="B34" t="n">
        <v>2018</v>
      </c>
      <c r="C34" t="n">
        <v>261.802606599096</v>
      </c>
    </row>
    <row r="35">
      <c r="A35" t="n">
        <v>33</v>
      </c>
      <c r="B35" t="n">
        <v>2019</v>
      </c>
      <c r="C35" t="n">
        <v>284.737397482992</v>
      </c>
    </row>
    <row r="36">
      <c r="A36" t="n">
        <v>34</v>
      </c>
      <c r="B36" t="n">
        <v>2020</v>
      </c>
      <c r="C36" t="n">
        <v>292.479899128741</v>
      </c>
    </row>
    <row r="37">
      <c r="A37" t="n">
        <v>35</v>
      </c>
      <c r="B37" t="n">
        <v>2021</v>
      </c>
      <c r="C37" t="n">
        <v>343.937314545796</v>
      </c>
    </row>
    <row r="38">
      <c r="A38" t="n">
        <v>36</v>
      </c>
      <c r="B38" t="n">
        <v>2022</v>
      </c>
      <c r="C38" t="n">
        <v>386.241068014827</v>
      </c>
    </row>
    <row r="39">
      <c r="A39" t="n">
        <v>37</v>
      </c>
      <c r="B39" t="n">
        <v>2023</v>
      </c>
      <c r="C39" t="n">
        <v>376.26801764938</v>
      </c>
    </row>
    <row r="40">
      <c r="A40" t="n">
        <v>38</v>
      </c>
      <c r="B40" t="n">
        <v>2024</v>
      </c>
      <c r="C40" t="n">
        <v>429.484097216943</v>
      </c>
    </row>
    <row r="41">
      <c r="A41" t="n">
        <v>39</v>
      </c>
      <c r="B41" t="n">
        <v>2025</v>
      </c>
      <c r="C41" t="n">
        <v>505.661231330217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3" t="inlineStr">
        <is>
          <t>index</t>
        </is>
      </c>
      <c r="B1" s="3" t="inlineStr">
        <is>
          <t>year</t>
        </is>
      </c>
      <c r="C1" s="3" t="inlineStr">
        <is>
          <t>actual</t>
        </is>
      </c>
      <c r="D1" s="3" t="inlineStr">
        <is>
          <t>linear_trend</t>
        </is>
      </c>
      <c r="E1" s="3" t="inlineStr">
        <is>
          <t>MA3_flat</t>
        </is>
      </c>
      <c r="F1" s="3" t="inlineStr">
        <is>
          <t>MA3_rolling_1step</t>
        </is>
      </c>
      <c r="G1" s="3" t="inlineStr">
        <is>
          <t>loglinear_trend</t>
        </is>
      </c>
      <c r="H1" s="3" t="inlineStr">
        <is>
          <t>naive_last</t>
        </is>
      </c>
      <c r="I1" s="3" t="inlineStr">
        <is>
          <t>linear_trend_last10y</t>
        </is>
      </c>
      <c r="J1" s="3" t="inlineStr">
        <is>
          <t>damped_Holt</t>
        </is>
      </c>
    </row>
    <row r="2">
      <c r="A2" t="n">
        <v>0</v>
      </c>
      <c r="B2" t="n">
        <v>2021</v>
      </c>
      <c r="C2" t="n">
        <v>343.937314545796</v>
      </c>
      <c r="D2" t="n">
        <v>210.0585354884008</v>
      </c>
      <c r="E2" t="n">
        <v>279.6733010702763</v>
      </c>
      <c r="F2" t="n">
        <v>279.6733010702763</v>
      </c>
      <c r="G2" t="n">
        <v>489.9505030085253</v>
      </c>
      <c r="H2" t="n">
        <v>292.479899128741</v>
      </c>
      <c r="I2" t="n">
        <v>317.5727744639348</v>
      </c>
      <c r="J2" t="n">
        <v>311.0800033070421</v>
      </c>
    </row>
    <row r="3">
      <c r="A3" t="n">
        <v>1</v>
      </c>
      <c r="B3" t="n">
        <v>2022</v>
      </c>
      <c r="C3" t="n">
        <v>386.241068014827</v>
      </c>
      <c r="D3" t="n">
        <v>217.7535641541103</v>
      </c>
      <c r="E3" t="n">
        <v>279.6733010702763</v>
      </c>
      <c r="F3" t="n">
        <v>307.0515370525097</v>
      </c>
      <c r="G3" t="n">
        <v>579.1853211793448</v>
      </c>
      <c r="H3" t="n">
        <v>292.479899128741</v>
      </c>
      <c r="I3" t="n">
        <v>339.5124989202222</v>
      </c>
      <c r="J3" t="n">
        <v>329.5871067015538</v>
      </c>
    </row>
    <row r="4">
      <c r="A4" t="n">
        <v>2</v>
      </c>
      <c r="B4" t="n">
        <v>2023</v>
      </c>
      <c r="C4" t="n">
        <v>376.26801764938</v>
      </c>
      <c r="D4" t="n">
        <v>225.4485928198199</v>
      </c>
      <c r="E4" t="n">
        <v>279.6733010702763</v>
      </c>
      <c r="F4" t="n">
        <v>340.8860938964547</v>
      </c>
      <c r="G4" t="n">
        <v>684.6725010174828</v>
      </c>
      <c r="H4" t="n">
        <v>292.479899128741</v>
      </c>
      <c r="I4" t="n">
        <v>361.4522233765096</v>
      </c>
      <c r="J4" t="n">
        <v>348.001674579093</v>
      </c>
    </row>
    <row r="5">
      <c r="A5" t="n">
        <v>3</v>
      </c>
      <c r="B5" t="n">
        <v>2024</v>
      </c>
      <c r="C5" t="n">
        <v>429.484097216943</v>
      </c>
      <c r="D5" t="n">
        <v>233.1436214855295</v>
      </c>
      <c r="E5" t="n">
        <v>279.6733010702763</v>
      </c>
      <c r="F5" t="n">
        <v>368.8154667366677</v>
      </c>
      <c r="G5" t="n">
        <v>809.372089567129</v>
      </c>
      <c r="H5" t="n">
        <v>292.479899128741</v>
      </c>
      <c r="I5" t="n">
        <v>383.391947832797</v>
      </c>
      <c r="J5" t="n">
        <v>366.3241696172444</v>
      </c>
    </row>
    <row r="6">
      <c r="A6" t="n">
        <v>4</v>
      </c>
      <c r="B6" t="n">
        <v>2025</v>
      </c>
      <c r="C6" t="n">
        <v>505.661231330217</v>
      </c>
      <c r="D6" t="n">
        <v>240.8386501512389</v>
      </c>
      <c r="E6" t="n">
        <v>279.6733010702763</v>
      </c>
      <c r="F6" t="n">
        <v>397.3310609603834</v>
      </c>
      <c r="G6" t="n">
        <v>956.7832480445034</v>
      </c>
      <c r="H6" t="n">
        <v>292.479899128741</v>
      </c>
      <c r="I6" t="n">
        <v>405.3316722890843</v>
      </c>
      <c r="J6" t="n">
        <v>384.5550521802051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Q7: no item-level survey data collected or downloaded. See report Section 7 for six items, validity argument and analysis protocol; script q7_reliability.py computes corrected item-total r, odd-even Spearman-Brown and Cronbach's alpha once &gt;=30 real responses (CSV) exist.</t>
        </is>
      </c>
    </row>
    <row r="2">
      <c r="A2" t="inlineStr">
        <is>
          <t>NO simulated data are included.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293"/>
  <sheetViews>
    <sheetView workbookViewId="0">
      <selection activeCell="A1" sqref="A1"/>
    </sheetView>
  </sheetViews>
  <sheetFormatPr baseColWidth="8" defaultRowHeight="15"/>
  <cols>
    <col width="50" customWidth="1" min="1" max="1"/>
    <col width="80" customWidth="1" min="2" max="2"/>
  </cols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Q1.n</t>
        </is>
      </c>
      <c r="B2" t="n">
        <v>30</v>
      </c>
    </row>
    <row r="3">
      <c r="A3" t="inlineStr">
        <is>
          <t>Q1.years</t>
        </is>
      </c>
      <c r="B3" t="inlineStr">
        <is>
          <t>[1996, 2025]</t>
        </is>
      </c>
    </row>
    <row r="4">
      <c r="A4" t="inlineStr">
        <is>
          <t>Q1.mean</t>
        </is>
      </c>
      <c r="B4" t="n">
        <v>5.53447544826616</v>
      </c>
    </row>
    <row r="5">
      <c r="A5" t="inlineStr">
        <is>
          <t>Q1.sd</t>
        </is>
      </c>
      <c r="B5" t="n">
        <v>5.01573119222564</v>
      </c>
    </row>
    <row r="6">
      <c r="A6" t="inlineStr">
        <is>
          <t>Q1.skew</t>
        </is>
      </c>
      <c r="B6" t="n">
        <v>2.03645669735858</v>
      </c>
    </row>
    <row r="7">
      <c r="A7" t="inlineStr">
        <is>
          <t>Q1.kurt_excess</t>
        </is>
      </c>
      <c r="B7" t="n">
        <v>5.444911613998228</v>
      </c>
    </row>
    <row r="8">
      <c r="A8" t="inlineStr">
        <is>
          <t>Q1.D</t>
        </is>
      </c>
      <c r="B8" t="n">
        <v>0.211252715640853</v>
      </c>
    </row>
    <row r="9">
      <c r="A9" t="inlineStr">
        <is>
          <t>Q1.D_statsmodels</t>
        </is>
      </c>
      <c r="B9" t="n">
        <v>0.211252715640853</v>
      </c>
    </row>
    <row r="10">
      <c r="A10" t="inlineStr">
        <is>
          <t>Q1.p_lilliefors</t>
        </is>
      </c>
      <c r="B10" t="n">
        <v>0.0016886936018536</v>
      </c>
    </row>
    <row r="11">
      <c r="A11" t="inlineStr">
        <is>
          <t>Q1.crit05</t>
        </is>
      </c>
      <c r="B11" t="n">
        <v>0.161</v>
      </c>
    </row>
    <row r="12">
      <c r="A12" t="inlineStr">
        <is>
          <t>Q1.reject</t>
        </is>
      </c>
      <c r="B12" t="b">
        <v>1</v>
      </c>
    </row>
    <row r="13">
      <c r="A13" t="inlineStr">
        <is>
          <t>Q1.shapiro_W</t>
        </is>
      </c>
      <c r="B13" t="n">
        <v>0.7945378088192465</v>
      </c>
    </row>
    <row r="14">
      <c r="A14" t="inlineStr">
        <is>
          <t>Q1.shapiro_p</t>
        </is>
      </c>
      <c r="B14" t="n">
        <v>5.221541918697045e-05</v>
      </c>
    </row>
    <row r="15">
      <c r="A15" t="inlineStr">
        <is>
          <t>Q1.jb</t>
        </is>
      </c>
      <c r="B15" t="n">
        <v>42.72422142196391</v>
      </c>
    </row>
    <row r="16">
      <c r="A16" t="inlineStr">
        <is>
          <t>Q1.jb_p</t>
        </is>
      </c>
      <c r="B16" t="n">
        <v>5.279018651357712e-10</v>
      </c>
    </row>
    <row r="17">
      <c r="A17" t="inlineStr">
        <is>
          <t>Q1.lag1_autocorr</t>
        </is>
      </c>
      <c r="B17" t="n">
        <v>0.4377525670336808</v>
      </c>
    </row>
    <row r="18">
      <c r="A18" t="inlineStr">
        <is>
          <t>Q1.log_D</t>
        </is>
      </c>
      <c r="B18" t="n">
        <v>0.2078042180781822</v>
      </c>
    </row>
    <row r="19">
      <c r="A19" t="inlineStr">
        <is>
          <t>Q1.log_p</t>
        </is>
      </c>
      <c r="B19" t="n">
        <v>0.002176550582297721</v>
      </c>
    </row>
    <row r="20">
      <c r="A20" t="inlineStr">
        <is>
          <t>Q1.min</t>
        </is>
      </c>
      <c r="B20" t="n">
        <v>-1.7103372785111</v>
      </c>
    </row>
    <row r="21">
      <c r="A21" t="inlineStr">
        <is>
          <t>Q1.max</t>
        </is>
      </c>
      <c r="B21" t="n">
        <v>23.1154483474477</v>
      </c>
    </row>
    <row r="22">
      <c r="A22" t="inlineStr">
        <is>
          <t>Q1.argmax_year</t>
        </is>
      </c>
      <c r="B22" t="n">
        <v>2008</v>
      </c>
    </row>
    <row r="23">
      <c r="A23" t="inlineStr">
        <is>
          <t>Q1.median</t>
        </is>
      </c>
      <c r="B23" t="n">
        <v>3.72596056027155</v>
      </c>
    </row>
    <row r="24">
      <c r="A24" t="inlineStr">
        <is>
          <t>Q2.chi2</t>
        </is>
      </c>
      <c r="B24" t="n">
        <v>95384.78614425614</v>
      </c>
    </row>
    <row r="25">
      <c r="A25" t="inlineStr">
        <is>
          <t>Q2.p</t>
        </is>
      </c>
      <c r="B25" t="n">
        <v>0</v>
      </c>
    </row>
    <row r="26">
      <c r="A26" t="inlineStr">
        <is>
          <t>Q2.dof</t>
        </is>
      </c>
      <c r="B26" t="n">
        <v>1</v>
      </c>
    </row>
    <row r="27">
      <c r="A27" t="inlineStr">
        <is>
          <t>Q2.expected</t>
        </is>
      </c>
      <c r="B27" t="inlineStr">
        <is>
          <t>[[1074534.8256580448, 55064090.174341954], [931618.1743419553, 47740385.825658046]]</t>
        </is>
      </c>
    </row>
    <row r="28">
      <c r="A28" t="inlineStr">
        <is>
          <t>Q2.observed</t>
        </is>
      </c>
      <c r="B28" t="inlineStr">
        <is>
          <t>[[858467.0, 55280158.0], [1147686.0, 47524318.0]]</t>
        </is>
      </c>
    </row>
    <row r="29">
      <c r="A29" t="inlineStr">
        <is>
          <t>Q2.cramers_v</t>
        </is>
      </c>
      <c r="B29" t="n">
        <v>0.03016733121193789</v>
      </c>
    </row>
    <row r="30">
      <c r="A30" t="inlineStr">
        <is>
          <t>Q2.min_expected</t>
        </is>
      </c>
      <c r="B30" t="n">
        <v>931618.1743419553</v>
      </c>
    </row>
    <row r="31">
      <c r="A31" t="inlineStr">
        <is>
          <t>Q2.std_resid</t>
        </is>
      </c>
      <c r="B31" t="inlineStr">
        <is>
          <t>[[-208.4394189167086, 29.1176195774973], [223.85722993327747, -31.271386644357104]]</t>
        </is>
      </c>
    </row>
    <row r="32">
      <c r="A32" t="inlineStr">
        <is>
          <t>Q2.chi2_yates</t>
        </is>
      </c>
      <c r="B32" t="n">
        <v>95384.34468715586</v>
      </c>
    </row>
    <row r="33">
      <c r="A33" t="inlineStr">
        <is>
          <t>Q2.p_yates</t>
        </is>
      </c>
      <c r="B33" t="n">
        <v>0</v>
      </c>
    </row>
    <row r="34">
      <c r="A34" t="inlineStr">
        <is>
          <t>Q2.rows</t>
        </is>
      </c>
      <c r="B34" t="inlineStr">
        <is>
          <t>["Viet Nam", "Philippines"]</t>
        </is>
      </c>
    </row>
    <row r="35">
      <c r="A35" t="inlineStr">
        <is>
          <t>Q2.cols</t>
        </is>
      </c>
      <c r="B35" t="inlineStr">
        <is>
          <t>["Unemployed", "Employed"]</t>
        </is>
      </c>
    </row>
    <row r="36">
      <c r="A36" t="inlineStr">
        <is>
          <t>Q2.N</t>
        </is>
      </c>
      <c r="B36" t="n">
        <v>104810629</v>
      </c>
    </row>
    <row r="37">
      <c r="A37" t="inlineStr">
        <is>
          <t>Q2.rates.VNM</t>
        </is>
      </c>
      <c r="B37" t="n">
        <v>0.01529191354437342</v>
      </c>
    </row>
    <row r="38">
      <c r="A38" t="inlineStr">
        <is>
          <t>Q2.rates.PHL</t>
        </is>
      </c>
      <c r="B38" t="n">
        <v>0.0235800029930964</v>
      </c>
    </row>
    <row r="39">
      <c r="A39" t="inlineStr">
        <is>
          <t>Q2.rates.IND</t>
        </is>
      </c>
      <c r="B39" t="n">
        <v>0.04172893870074245</v>
      </c>
    </row>
    <row r="40">
      <c r="A40" t="inlineStr">
        <is>
          <t>Q2.diff</t>
        </is>
      </c>
      <c r="B40" t="n">
        <v>-0.008288089448722984</v>
      </c>
    </row>
    <row r="41">
      <c r="A41" t="inlineStr">
        <is>
          <t>Q2.ci_naive</t>
        </is>
      </c>
      <c r="B41" t="inlineStr">
        <is>
          <t>[-0.00834145308510303, -0.00823472581234294]</t>
        </is>
      </c>
    </row>
    <row r="42">
      <c r="A42" t="inlineStr">
        <is>
          <t>Q2.sensitivity</t>
        </is>
      </c>
      <c r="B42" t="inlineStr">
        <is>
          <t>[{"n_eff_per_country": 2000, "chi2": 3.604349846289074, "p": 0.0576285980891942}, {"n_eff_per_country": 10000, "chi2": 18.021749231445384, "p": 2.183955274989869e-05}, {"n_eff_per_country": 50000, "chi2": 90.1087461572269, "p": 2.254230021297768e-21}, {"n_eff_per_country": 200000, "chi2": 360.4349846289076, "p": 2.2639533067803465e-80}]</t>
        </is>
      </c>
    </row>
    <row r="43">
      <c r="A43" t="inlineStr">
        <is>
          <t>Q2.year</t>
        </is>
      </c>
      <c r="B43" t="inlineStr">
        <is>
          <t>2024</t>
        </is>
      </c>
    </row>
    <row r="44">
      <c r="A44" t="inlineStr">
        <is>
          <t>Q2.employed.VNM</t>
        </is>
      </c>
      <c r="B44" t="n">
        <v>55280158</v>
      </c>
    </row>
    <row r="45">
      <c r="A45" t="inlineStr">
        <is>
          <t>Q2.employed.PHL</t>
        </is>
      </c>
      <c r="B45" t="n">
        <v>47524318</v>
      </c>
    </row>
    <row r="46">
      <c r="A46" t="inlineStr">
        <is>
          <t>Q2.employed.IND</t>
        </is>
      </c>
      <c r="B46" t="n">
        <v>482793235</v>
      </c>
    </row>
    <row r="47">
      <c r="A47" t="inlineStr">
        <is>
          <t>Q2.unemployed.VNM</t>
        </is>
      </c>
      <c r="B47" t="n">
        <v>858467</v>
      </c>
    </row>
    <row r="48">
      <c r="A48" t="inlineStr">
        <is>
          <t>Q2.unemployed.PHL</t>
        </is>
      </c>
      <c r="B48" t="n">
        <v>1147686</v>
      </c>
    </row>
    <row r="49">
      <c r="A49" t="inlineStr">
        <is>
          <t>Q2.unemployed.IND</t>
        </is>
      </c>
      <c r="B49" t="n">
        <v>21023748</v>
      </c>
    </row>
    <row r="50">
      <c r="A50" t="inlineStr">
        <is>
          <t>Q3.chi2</t>
        </is>
      </c>
      <c r="B50" t="n">
        <v>4653826.747606418</v>
      </c>
    </row>
    <row r="51">
      <c r="A51" t="inlineStr">
        <is>
          <t>Q3.p</t>
        </is>
      </c>
      <c r="B51" t="n">
        <v>0</v>
      </c>
    </row>
    <row r="52">
      <c r="A52" t="inlineStr">
        <is>
          <t>Q3.dof</t>
        </is>
      </c>
      <c r="B52" t="n">
        <v>2</v>
      </c>
    </row>
    <row r="53">
      <c r="A53" t="inlineStr">
        <is>
          <t>Q3.expected</t>
        </is>
      </c>
      <c r="B53" t="inlineStr">
        <is>
          <t>[[12212013.479182297, 13399884.969057009, 25822927.551760696], [11283553.520817703, 12381113.030942991, 23859651.448239304]]</t>
        </is>
      </c>
    </row>
    <row r="54">
      <c r="A54" t="inlineStr">
        <is>
          <t>Q3.observed</t>
        </is>
      </c>
      <c r="B54" t="inlineStr">
        <is>
          <t>[[13637057.0, 17131226.0, 20666543.0], [9858510.0, 8649772.0, 29016036.0]]</t>
        </is>
      </c>
    </row>
    <row r="55">
      <c r="A55" t="inlineStr">
        <is>
          <t>Q3.cramers_v</t>
        </is>
      </c>
      <c r="B55" t="n">
        <v>0.2168588451606546</v>
      </c>
    </row>
    <row r="56">
      <c r="A56" t="inlineStr">
        <is>
          <t>Q3.min_expected</t>
        </is>
      </c>
      <c r="B56" t="n">
        <v>11283553.5208177</v>
      </c>
    </row>
    <row r="57">
      <c r="A57" t="inlineStr">
        <is>
          <t>Q3.std_resid</t>
        </is>
      </c>
      <c r="B57" t="inlineStr">
        <is>
          <t>[[407.7880458045135, 1019.3290670901877, -1014.7114482108939], [-424.2337161536562, -1060.437554666355, 1055.6337119909786]]</t>
        </is>
      </c>
    </row>
    <row r="58">
      <c r="A58" t="inlineStr">
        <is>
          <t>Q3.chi2_yates</t>
        </is>
      </c>
      <c r="B58" t="n">
        <v/>
      </c>
    </row>
    <row r="59">
      <c r="A59" t="inlineStr">
        <is>
          <t>Q3.p_yates</t>
        </is>
      </c>
      <c r="B59" t="n">
        <v/>
      </c>
    </row>
    <row r="60">
      <c r="A60" t="inlineStr">
        <is>
          <t>Q3.rows</t>
        </is>
      </c>
      <c r="B60" t="inlineStr">
        <is>
          <t>["Viet Nam", "Philippines"]</t>
        </is>
      </c>
    </row>
    <row r="61">
      <c r="A61" t="inlineStr">
        <is>
          <t>Q3.cols</t>
        </is>
      </c>
      <c r="B61" t="inlineStr">
        <is>
          <t>["Agriculture", "Industry", "Services"]</t>
        </is>
      </c>
    </row>
    <row r="62">
      <c r="A62" t="inlineStr">
        <is>
          <t>Q3.N</t>
        </is>
      </c>
      <c r="B62" t="n">
        <v>98959144</v>
      </c>
    </row>
    <row r="63">
      <c r="A63" t="inlineStr">
        <is>
          <t>Q3.shares</t>
        </is>
      </c>
      <c r="B63" t="inlineStr">
        <is>
          <t>[[0.2651327526606195, 0.3330666657645542, 0.40180058157482634], [0.20744137769636167, 0.18200728309241598, 0.6105513392112224]]</t>
        </is>
      </c>
    </row>
    <row r="64">
      <c r="A64" t="inlineStr">
        <is>
          <t>Q3.year</t>
        </is>
      </c>
      <c r="B64" t="inlineStr">
        <is>
          <t>2024</t>
        </is>
      </c>
    </row>
    <row r="65">
      <c r="A65" t="inlineStr">
        <is>
          <t>Q3.sector_sum_check.VNM</t>
        </is>
      </c>
      <c r="B65" t="n">
        <v>0.930439200264225</v>
      </c>
    </row>
    <row r="66">
      <c r="A66" t="inlineStr">
        <is>
          <t>Q3.sector_sum_check.PHL</t>
        </is>
      </c>
      <c r="B66" t="n">
        <v>1</v>
      </c>
    </row>
    <row r="67">
      <c r="A67" t="inlineStr">
        <is>
          <t>Q3.gof_vs_philippines_shares.chi2</t>
        </is>
      </c>
      <c r="B67" t="n">
        <v>10944881.56291589</v>
      </c>
    </row>
    <row r="68">
      <c r="A68" t="inlineStr">
        <is>
          <t>Q3.gof_vs_philippines_shares.p</t>
        </is>
      </c>
      <c r="B68" t="n">
        <v>0</v>
      </c>
    </row>
    <row r="69">
      <c r="A69" t="inlineStr">
        <is>
          <t>Q3.unclassified.VNM</t>
        </is>
      </c>
      <c r="B69" t="n">
        <v>3845332</v>
      </c>
    </row>
    <row r="70">
      <c r="A70" t="inlineStr">
        <is>
          <t>Q3.unclassified.PHL</t>
        </is>
      </c>
      <c r="B70" t="n">
        <v>0</v>
      </c>
    </row>
    <row r="71">
      <c r="A71" t="inlineStr">
        <is>
          <t>Q3.robust_2x4.chi2</t>
        </is>
      </c>
      <c r="B71" t="n">
        <v>8107444.0281682</v>
      </c>
    </row>
    <row r="72">
      <c r="A72" t="inlineStr">
        <is>
          <t>Q3.robust_2x4.p</t>
        </is>
      </c>
      <c r="B72" t="n">
        <v>0</v>
      </c>
    </row>
    <row r="73">
      <c r="A73" t="inlineStr">
        <is>
          <t>Q3.robust_2x4.dof</t>
        </is>
      </c>
      <c r="B73" t="n">
        <v>3</v>
      </c>
    </row>
    <row r="74">
      <c r="A74" t="inlineStr">
        <is>
          <t>Q3.robust_2x4.cramers_v</t>
        </is>
      </c>
      <c r="B74" t="n">
        <v>0.2808251293824155</v>
      </c>
    </row>
    <row r="75">
      <c r="A75" t="inlineStr">
        <is>
          <t>Q3.robust_2x4.min_expected</t>
        </is>
      </c>
      <c r="B75" t="n">
        <v>1777615.02119398</v>
      </c>
    </row>
    <row r="76">
      <c r="A76" t="inlineStr">
        <is>
          <t>Q4.indicator</t>
        </is>
      </c>
      <c r="B76" t="inlineStr">
        <is>
          <t>NY.GDP.MKTP.KD.ZG</t>
        </is>
      </c>
    </row>
    <row r="77">
      <c r="A77" t="inlineStr">
        <is>
          <t>Q4.years</t>
        </is>
      </c>
      <c r="B77" t="inlineStr">
        <is>
          <t>[2000, 2024]</t>
        </is>
      </c>
    </row>
    <row r="78">
      <c r="A78" t="inlineStr">
        <is>
          <t>Q4.n_per_group</t>
        </is>
      </c>
      <c r="B78" t="n">
        <v>25</v>
      </c>
    </row>
    <row r="79">
      <c r="A79" t="inlineStr">
        <is>
          <t>Q4.means.VNM</t>
        </is>
      </c>
      <c r="B79" t="n">
        <v>6.327362792570037</v>
      </c>
    </row>
    <row r="80">
      <c r="A80" t="inlineStr">
        <is>
          <t>Q4.means.PHL</t>
        </is>
      </c>
      <c r="B80" t="n">
        <v>4.978529584817627</v>
      </c>
    </row>
    <row r="81">
      <c r="A81" t="inlineStr">
        <is>
          <t>Q4.means.IND</t>
        </is>
      </c>
      <c r="B81" t="n">
        <v>6.201656230327216</v>
      </c>
    </row>
    <row r="82">
      <c r="A82" t="inlineStr">
        <is>
          <t>Q4.sds.VNM</t>
        </is>
      </c>
      <c r="B82" t="n">
        <v>1.352763719024575</v>
      </c>
    </row>
    <row r="83">
      <c r="A83" t="inlineStr">
        <is>
          <t>Q4.sds.PHL</t>
        </is>
      </c>
      <c r="B83" t="n">
        <v>3.359894154761847</v>
      </c>
    </row>
    <row r="84">
      <c r="A84" t="inlineStr">
        <is>
          <t>Q4.sds.IND</t>
        </is>
      </c>
      <c r="B84" t="n">
        <v>3.034184762734212</v>
      </c>
    </row>
    <row r="85">
      <c r="A85" t="inlineStr">
        <is>
          <t>Q4.medians.VNM</t>
        </is>
      </c>
      <c r="B85" t="n">
        <v>6.69000892660424</v>
      </c>
    </row>
    <row r="86">
      <c r="A86" t="inlineStr">
        <is>
          <t>Q4.medians.PHL</t>
        </is>
      </c>
      <c r="B86" t="n">
        <v>5.71474526128652</v>
      </c>
    </row>
    <row r="87">
      <c r="A87" t="inlineStr">
        <is>
          <t>Q4.medians.IND</t>
        </is>
      </c>
      <c r="B87" t="n">
        <v>7.210224629335</v>
      </c>
    </row>
    <row r="88">
      <c r="A88" t="inlineStr">
        <is>
          <t>Q4.shapiro.VNM</t>
        </is>
      </c>
      <c r="B88" t="inlineStr">
        <is>
          <t>[0.8609835258451763, 0.0028672552212145644]</t>
        </is>
      </c>
    </row>
    <row r="89">
      <c r="A89" t="inlineStr">
        <is>
          <t>Q4.shapiro.PHL</t>
        </is>
      </c>
      <c r="B89" t="inlineStr">
        <is>
          <t>[0.5952534229203403, 3.7643123478894525e-07]</t>
        </is>
      </c>
    </row>
    <row r="90">
      <c r="A90" t="inlineStr">
        <is>
          <t>Q4.shapiro.IND</t>
        </is>
      </c>
      <c r="B90" t="inlineStr">
        <is>
          <t>[0.7205979303383419, 1.3972896693915786e-05]</t>
        </is>
      </c>
    </row>
    <row r="91">
      <c r="A91" t="inlineStr">
        <is>
          <t>Q4.levene</t>
        </is>
      </c>
      <c r="B91" t="inlineStr">
        <is>
          <t>[1.115857713413251, 0.3332329871096063]</t>
        </is>
      </c>
    </row>
    <row r="92">
      <c r="A92" t="inlineStr">
        <is>
          <t>Q4.bartlett</t>
        </is>
      </c>
      <c r="B92" t="inlineStr">
        <is>
          <t>[18.22173264290231, 0.00011045898068425008]</t>
        </is>
      </c>
    </row>
    <row r="93">
      <c r="A93" t="inlineStr">
        <is>
          <t>Q4.anova.F</t>
        </is>
      </c>
      <c r="B93" t="n">
        <v>1.865157739121589</v>
      </c>
    </row>
    <row r="94">
      <c r="A94" t="inlineStr">
        <is>
          <t>Q4.anova.p</t>
        </is>
      </c>
      <c r="B94" t="n">
        <v>0.162277494928574</v>
      </c>
    </row>
    <row r="95">
      <c r="A95" t="inlineStr">
        <is>
          <t>Q4.anova.ssb</t>
        </is>
      </c>
      <c r="B95" t="n">
        <v>27.75993294235085</v>
      </c>
    </row>
    <row r="96">
      <c r="A96" t="inlineStr">
        <is>
          <t>Q4.anova.ssw</t>
        </is>
      </c>
      <c r="B96" t="n">
        <v>535.8032540428919</v>
      </c>
    </row>
    <row r="97">
      <c r="A97" t="inlineStr">
        <is>
          <t>Q4.anova.df</t>
        </is>
      </c>
      <c r="B97" t="inlineStr">
        <is>
          <t>[2, 72]</t>
        </is>
      </c>
    </row>
    <row r="98">
      <c r="A98" t="inlineStr">
        <is>
          <t>Q4.anova.msb</t>
        </is>
      </c>
      <c r="B98" t="n">
        <v>13.87996647117543</v>
      </c>
    </row>
    <row r="99">
      <c r="A99" t="inlineStr">
        <is>
          <t>Q4.anova.msw</t>
        </is>
      </c>
      <c r="B99" t="n">
        <v>7.441711861706832</v>
      </c>
    </row>
    <row r="100">
      <c r="A100" t="inlineStr">
        <is>
          <t>Q4.anova.eta2</t>
        </is>
      </c>
      <c r="B100" t="n">
        <v>0.04925788905916909</v>
      </c>
    </row>
    <row r="101">
      <c r="A101" t="inlineStr">
        <is>
          <t>Q4.welch.F</t>
        </is>
      </c>
      <c r="B101" t="n">
        <v>1.709984406872304</v>
      </c>
    </row>
    <row r="102">
      <c r="A102" t="inlineStr">
        <is>
          <t>Q4.welch.df1</t>
        </is>
      </c>
      <c r="B102" t="n">
        <v>2</v>
      </c>
    </row>
    <row r="103">
      <c r="A103" t="inlineStr">
        <is>
          <t>Q4.welch.df2</t>
        </is>
      </c>
      <c r="B103" t="n">
        <v>40.62244920371306</v>
      </c>
    </row>
    <row r="104">
      <c r="A104" t="inlineStr">
        <is>
          <t>Q4.welch.p</t>
        </is>
      </c>
      <c r="B104" t="n">
        <v>0.1936303535900414</v>
      </c>
    </row>
    <row r="105">
      <c r="A105" t="inlineStr">
        <is>
          <t>Q4.kruskal.H</t>
        </is>
      </c>
      <c r="B105" t="n">
        <v>8.173305263157914</v>
      </c>
    </row>
    <row r="106">
      <c r="A106" t="inlineStr">
        <is>
          <t>Q4.kruskal.p</t>
        </is>
      </c>
      <c r="B106" t="n">
        <v>0.01679535982562673</v>
      </c>
    </row>
    <row r="107">
      <c r="A107" t="inlineStr">
        <is>
          <t>Q4.tukey</t>
        </is>
      </c>
      <c r="B107" t="inlineStr">
        <is>
          <t>[{"pair": "IND-PHL", "diff": -1.2231, "p_adj": 0.2585, "lo": -3.0696, "hi": 0.6234, "reject": false}, {"pair": "IND-VNM", "diff": 0.1257, "p_adj": 0.9855, "lo": -1.7208, "hi": 1.9722, "reject": false}, {"pair": "PHL-VNM", "diff": 1.3488, "p_adj": 0.1946, "lo": -0.4977, "hi": 3.1953, "reject": false}]</t>
        </is>
      </c>
    </row>
    <row r="108">
      <c r="A108" t="inlineStr">
        <is>
          <t>Q4.pairs</t>
        </is>
      </c>
      <c r="B108" t="inlineStr">
        <is>
          <t>[{"pair": "VNM-PHL", "mean_diff": 1.34883320775241, "welch_t": 1.8620023788658622, "p_raw": 0.0719304706975025, "mw_p": 0.03126242312068113, "p_holm": 0.2157914120925075}, {"pair": "VNM-IND", "mean_diff": 0.12570656224282128, "welch_t": 0.1891983092327926, "p_raw": 0.8510900504519364, "mw_p": 0.2143168580185959, "p_holm": 0.8510900504519364}, {"pair": "PHL-IND", "mean_diff": -1.2231266455095886, "welch_t": -1.3508767046232848, "p_raw": 0.18313391760010675, "mw_p": 0.013007466607958674, "p_holm": 0.3662678352002135}]</t>
        </is>
      </c>
    </row>
    <row r="109">
      <c r="A109" t="inlineStr">
        <is>
          <t>Q4.dunn</t>
        </is>
      </c>
      <c r="B109" t="inlineStr">
        <is>
          <t>[{"pair": "VNM-PHL", "mean_rank_diff": 11.480000000000004, "z": 1.8623019145811548, "p_raw": 0.06256054577019432, "p_holm": 0.12512109154038864}, {"pair": "VNM-IND", "mean_rank_diff": -5.839999999999996, "z": -0.9473730994036527, "p_raw": 0.34344869374272813, "p_holm": 0.34344869374272813}, {"pair": "PHL-IND", "mean_rank_diff": -17.32, "z": -2.8096750139848075, "p_raw": 0.0049591547974172645, "p_holm": 0.014877464392251794}]</t>
        </is>
      </c>
    </row>
    <row r="110">
      <c r="A110" t="inlineStr">
        <is>
          <t>Q4.mean_ranks.IND</t>
        </is>
      </c>
      <c r="B110" t="n">
        <v>45.72</v>
      </c>
    </row>
    <row r="111">
      <c r="A111" t="inlineStr">
        <is>
          <t>Q4.mean_ranks.PHL</t>
        </is>
      </c>
      <c r="B111" t="n">
        <v>28.4</v>
      </c>
    </row>
    <row r="112">
      <c r="A112" t="inlineStr">
        <is>
          <t>Q4.mean_ranks.VNM</t>
        </is>
      </c>
      <c r="B112" t="n">
        <v>39.88</v>
      </c>
    </row>
    <row r="113">
      <c r="A113" t="inlineStr">
        <is>
          <t>Q4.lag1_autocorr.VNM</t>
        </is>
      </c>
      <c r="B113" t="n">
        <v>0.08049681442475599</v>
      </c>
    </row>
    <row r="114">
      <c r="A114" t="inlineStr">
        <is>
          <t>Q4.lag1_autocorr.PHL</t>
        </is>
      </c>
      <c r="B114" t="n">
        <v>-0.04475073984731155</v>
      </c>
    </row>
    <row r="115">
      <c r="A115" t="inlineStr">
        <is>
          <t>Q4.lag1_autocorr.IND</t>
        </is>
      </c>
      <c r="B115" t="n">
        <v>0.03260303766708534</v>
      </c>
    </row>
    <row r="116">
      <c r="A116" t="inlineStr">
        <is>
          <t>Q4.ex_covid.F</t>
        </is>
      </c>
      <c r="B116" t="n">
        <v>4.15475166110441</v>
      </c>
    </row>
    <row r="117">
      <c r="A117" t="inlineStr">
        <is>
          <t>Q4.ex_covid.p</t>
        </is>
      </c>
      <c r="B117" t="n">
        <v>0.01997496565897242</v>
      </c>
    </row>
    <row r="118">
      <c r="A118" t="inlineStr">
        <is>
          <t>Q4.ex_covid.H</t>
        </is>
      </c>
      <c r="B118" t="n">
        <v>8.621550094518</v>
      </c>
    </row>
    <row r="119">
      <c r="A119" t="inlineStr">
        <is>
          <t>Q4.ex_covid.p_kw</t>
        </is>
      </c>
      <c r="B119" t="n">
        <v>0.01342314199216637</v>
      </c>
    </row>
    <row r="120">
      <c r="A120" t="inlineStr">
        <is>
          <t>Q4.ex_covid.means.VNM</t>
        </is>
      </c>
      <c r="B120" t="n">
        <v>6.641953394723778</v>
      </c>
    </row>
    <row r="121">
      <c r="A121" t="inlineStr">
        <is>
          <t>Q4.ex_covid.means.PHL</t>
        </is>
      </c>
      <c r="B121" t="n">
        <v>5.576817444740978</v>
      </c>
    </row>
    <row r="122">
      <c r="A122" t="inlineStr">
        <is>
          <t>Q4.ex_covid.means.IND</t>
        </is>
      </c>
      <c r="B122" t="n">
        <v>6.570849477092868</v>
      </c>
    </row>
    <row r="123">
      <c r="A123" t="inlineStr">
        <is>
          <t>Q5.n</t>
        </is>
      </c>
      <c r="B123" t="n">
        <v>30</v>
      </c>
    </row>
    <row r="124">
      <c r="A124" t="inlineStr">
        <is>
          <t>Q5.years</t>
        </is>
      </c>
      <c r="B124" t="inlineStr">
        <is>
          <t>[1996, 2025]</t>
        </is>
      </c>
    </row>
    <row r="125">
      <c r="A125" t="inlineStr">
        <is>
          <t>Q5.m1.coefs.const.b</t>
        </is>
      </c>
      <c r="B125" t="n">
        <v>7.212019722821104</v>
      </c>
    </row>
    <row r="126">
      <c r="A126" t="inlineStr">
        <is>
          <t>Q5.m1.coefs.const.se</t>
        </is>
      </c>
      <c r="B126" t="n">
        <v>3.334437385148578</v>
      </c>
    </row>
    <row r="127">
      <c r="A127" t="inlineStr">
        <is>
          <t>Q5.m1.coefs.const.t</t>
        </is>
      </c>
      <c r="B127" t="n">
        <v>2.162889534211405</v>
      </c>
    </row>
    <row r="128">
      <c r="A128" t="inlineStr">
        <is>
          <t>Q5.m1.coefs.const.p</t>
        </is>
      </c>
      <c r="B128" t="n">
        <v>0.03957042000089311</v>
      </c>
    </row>
    <row r="129">
      <c r="A129" t="inlineStr">
        <is>
          <t>Q5.m1.coefs.Investment_pctGDP.b</t>
        </is>
      </c>
      <c r="B129" t="n">
        <v>-0.0217621222408393</v>
      </c>
    </row>
    <row r="130">
      <c r="A130" t="inlineStr">
        <is>
          <t>Q5.m1.coefs.Investment_pctGDP.se</t>
        </is>
      </c>
      <c r="B130" t="n">
        <v>0.1064370334643586</v>
      </c>
    </row>
    <row r="131">
      <c r="A131" t="inlineStr">
        <is>
          <t>Q5.m1.coefs.Investment_pctGDP.t</t>
        </is>
      </c>
      <c r="B131" t="n">
        <v>-0.2044600599294845</v>
      </c>
    </row>
    <row r="132">
      <c r="A132" t="inlineStr">
        <is>
          <t>Q5.m1.coefs.Investment_pctGDP.p</t>
        </is>
      </c>
      <c r="B132" t="n">
        <v>0.8395274398209296</v>
      </c>
    </row>
    <row r="133">
      <c r="A133" t="inlineStr">
        <is>
          <t>Q5.m1.coefs.Inflation.b</t>
        </is>
      </c>
      <c r="B133" t="n">
        <v>-0.006083044678512579</v>
      </c>
    </row>
    <row r="134">
      <c r="A134" t="inlineStr">
        <is>
          <t>Q5.m1.coefs.Inflation.se</t>
        </is>
      </c>
      <c r="B134" t="n">
        <v>0.06072460087050683</v>
      </c>
    </row>
    <row r="135">
      <c r="A135" t="inlineStr">
        <is>
          <t>Q5.m1.coefs.Inflation.t</t>
        </is>
      </c>
      <c r="B135" t="n">
        <v>-0.1001743048337933</v>
      </c>
    </row>
    <row r="136">
      <c r="A136" t="inlineStr">
        <is>
          <t>Q5.m1.coefs.Inflation.p</t>
        </is>
      </c>
      <c r="B136" t="n">
        <v>0.9209460770435896</v>
      </c>
    </row>
    <row r="137">
      <c r="A137" t="inlineStr">
        <is>
          <t>Q5.m1.hac_p.const</t>
        </is>
      </c>
      <c r="B137" t="n">
        <v>0.03197263197359169</v>
      </c>
    </row>
    <row r="138">
      <c r="A138" t="inlineStr">
        <is>
          <t>Q5.m1.hac_p.Investment_pctGDP</t>
        </is>
      </c>
      <c r="B138" t="n">
        <v>0.8302903123084108</v>
      </c>
    </row>
    <row r="139">
      <c r="A139" t="inlineStr">
        <is>
          <t>Q5.m1.hac_p.Inflation</t>
        </is>
      </c>
      <c r="B139" t="n">
        <v>0.8787856426708862</v>
      </c>
    </row>
    <row r="140">
      <c r="A140" t="inlineStr">
        <is>
          <t>Q5.m1.F</t>
        </is>
      </c>
      <c r="B140" t="n">
        <v>0.04053424212949186</v>
      </c>
    </row>
    <row r="141">
      <c r="A141" t="inlineStr">
        <is>
          <t>Q5.m1.F_p</t>
        </is>
      </c>
      <c r="B141" t="n">
        <v>0.9603346025791247</v>
      </c>
    </row>
    <row r="142">
      <c r="A142" t="inlineStr">
        <is>
          <t>Q5.m1.r2</t>
        </is>
      </c>
      <c r="B142" t="n">
        <v>0.002993548216389863</v>
      </c>
    </row>
    <row r="143">
      <c r="A143" t="inlineStr">
        <is>
          <t>Q5.m1.adj_r2</t>
        </is>
      </c>
      <c r="B143" t="n">
        <v>-0.07085878154535918</v>
      </c>
    </row>
    <row r="144">
      <c r="A144" t="inlineStr">
        <is>
          <t>Q5.m1.aic</t>
        </is>
      </c>
      <c r="B144" t="n">
        <v>112.4682822688367</v>
      </c>
    </row>
    <row r="145">
      <c r="A145" t="inlineStr">
        <is>
          <t>Q5.m1.bic</t>
        </is>
      </c>
      <c r="B145" t="n">
        <v>116.6718744138232</v>
      </c>
    </row>
    <row r="146">
      <c r="A146" t="inlineStr">
        <is>
          <t>Q5.m1.rmse</t>
        </is>
      </c>
      <c r="B146" t="n">
        <v>1.504127650263561</v>
      </c>
    </row>
    <row r="147">
      <c r="A147" t="inlineStr">
        <is>
          <t>Q5.m1.dfres</t>
        </is>
      </c>
      <c r="B147" t="n">
        <v>27</v>
      </c>
    </row>
    <row r="148">
      <c r="A148" t="inlineStr">
        <is>
          <t>Q5.vif.Investment_pctGDP</t>
        </is>
      </c>
      <c r="B148" t="n">
        <v>1.189122105493237</v>
      </c>
    </row>
    <row r="149">
      <c r="A149" t="inlineStr">
        <is>
          <t>Q5.vif.Inflation</t>
        </is>
      </c>
      <c r="B149" t="n">
        <v>1.189122105493237</v>
      </c>
    </row>
    <row r="150">
      <c r="A150" t="inlineStr">
        <is>
          <t>Q5.bp</t>
        </is>
      </c>
      <c r="B150" t="inlineStr">
        <is>
          <t>[1.3321861286018244, 0.5137117007850063]</t>
        </is>
      </c>
    </row>
    <row r="151">
      <c r="A151" t="inlineStr">
        <is>
          <t>Q5.bg</t>
        </is>
      </c>
      <c r="B151" t="inlineStr">
        <is>
          <t>[0.783029896240427, 0.37621608870706524]</t>
        </is>
      </c>
    </row>
    <row r="152">
      <c r="A152" t="inlineStr">
        <is>
          <t>Q5.dw</t>
        </is>
      </c>
      <c r="B152" t="n">
        <v>1.529141297174234</v>
      </c>
    </row>
    <row r="153">
      <c r="A153" t="inlineStr">
        <is>
          <t>Q5.shapiro_resid</t>
        </is>
      </c>
      <c r="B153" t="inlineStr">
        <is>
          <t>[0.9352267848096714, 0.06769856294255723]</t>
        </is>
      </c>
    </row>
    <row r="154">
      <c r="A154" t="inlineStr">
        <is>
          <t>Q5.jb_resid</t>
        </is>
      </c>
      <c r="B154" t="inlineStr">
        <is>
          <t>[5.969238901691357, 0.050558739974440686]</t>
        </is>
      </c>
    </row>
    <row r="155">
      <c r="A155" t="inlineStr">
        <is>
          <t>Q5.corr.GDP_growth.GDP_growth</t>
        </is>
      </c>
      <c r="B155" t="n">
        <v>1</v>
      </c>
    </row>
    <row r="156">
      <c r="A156" t="inlineStr">
        <is>
          <t>Q5.corr.GDP_growth.Investment_pctGDP</t>
        </is>
      </c>
      <c r="B156" t="n">
        <v>-0.051</v>
      </c>
    </row>
    <row r="157">
      <c r="A157" t="inlineStr">
        <is>
          <t>Q5.corr.GDP_growth.Inflation</t>
        </is>
      </c>
      <c r="B157" t="n">
        <v>-0.038</v>
      </c>
    </row>
    <row r="158">
      <c r="A158" t="inlineStr">
        <is>
          <t>Q5.corr.Investment_pctGDP.GDP_growth</t>
        </is>
      </c>
      <c r="B158" t="n">
        <v>-0.051</v>
      </c>
    </row>
    <row r="159">
      <c r="A159" t="inlineStr">
        <is>
          <t>Q5.corr.Investment_pctGDP.Investment_pctGDP</t>
        </is>
      </c>
      <c r="B159" t="n">
        <v>1</v>
      </c>
    </row>
    <row r="160">
      <c r="A160" t="inlineStr">
        <is>
          <t>Q5.corr.Investment_pctGDP.Inflation</t>
        </is>
      </c>
      <c r="B160" t="n">
        <v>0.399</v>
      </c>
    </row>
    <row r="161">
      <c r="A161" t="inlineStr">
        <is>
          <t>Q5.corr.Inflation.GDP_growth</t>
        </is>
      </c>
      <c r="B161" t="n">
        <v>-0.038</v>
      </c>
    </row>
    <row r="162">
      <c r="A162" t="inlineStr">
        <is>
          <t>Q5.corr.Inflation.Investment_pctGDP</t>
        </is>
      </c>
      <c r="B162" t="n">
        <v>0.399</v>
      </c>
    </row>
    <row r="163">
      <c r="A163" t="inlineStr">
        <is>
          <t>Q5.corr.Inflation.Inflation</t>
        </is>
      </c>
      <c r="B163" t="n">
        <v>1</v>
      </c>
    </row>
    <row r="164">
      <c r="A164" t="inlineStr">
        <is>
          <t>Q5.max_cooks</t>
        </is>
      </c>
      <c r="B164" t="n">
        <v>0.1848877744169465</v>
      </c>
    </row>
    <row r="165">
      <c r="A165" t="inlineStr">
        <is>
          <t>Q5.max_cooks_year</t>
        </is>
      </c>
      <c r="B165" t="n">
        <v>1996</v>
      </c>
    </row>
    <row r="166">
      <c r="A166" t="inlineStr">
        <is>
          <t>Q5.m2.coefs.const.b</t>
        </is>
      </c>
      <c r="B166" t="n">
        <v>7.583118003064126</v>
      </c>
    </row>
    <row r="167">
      <c r="A167" t="inlineStr">
        <is>
          <t>Q5.m2.coefs.const.se</t>
        </is>
      </c>
      <c r="B167" t="n">
        <v>3.548225050174953</v>
      </c>
    </row>
    <row r="168">
      <c r="A168" t="inlineStr">
        <is>
          <t>Q5.m2.coefs.const.t</t>
        </is>
      </c>
      <c r="B168" t="n">
        <v>2.137158127185372</v>
      </c>
    </row>
    <row r="169">
      <c r="A169" t="inlineStr">
        <is>
          <t>Q5.m2.coefs.const.p</t>
        </is>
      </c>
      <c r="B169" t="n">
        <v>0.04215979966784206</v>
      </c>
    </row>
    <row r="170">
      <c r="A170" t="inlineStr">
        <is>
          <t>Q5.m2.coefs.Investment_pctGDP.b</t>
        </is>
      </c>
      <c r="B170" t="n">
        <v>-0.03085580981016513</v>
      </c>
    </row>
    <row r="171">
      <c r="A171" t="inlineStr">
        <is>
          <t>Q5.m2.coefs.Investment_pctGDP.se</t>
        </is>
      </c>
      <c r="B171" t="n">
        <v>0.1085387359682805</v>
      </c>
    </row>
    <row r="172">
      <c r="A172" t="inlineStr">
        <is>
          <t>Q5.m2.coefs.Investment_pctGDP.t</t>
        </is>
      </c>
      <c r="B172" t="n">
        <v>-0.2842838506907106</v>
      </c>
    </row>
    <row r="173">
      <c r="A173" t="inlineStr">
        <is>
          <t>Q5.m2.coefs.Investment_pctGDP.p</t>
        </is>
      </c>
      <c r="B173" t="n">
        <v>0.7784447263265224</v>
      </c>
    </row>
    <row r="174">
      <c r="A174" t="inlineStr">
        <is>
          <t>Q5.m2.coefs.Inflation_c.b</t>
        </is>
      </c>
      <c r="B174" t="n">
        <v>0.03935051254266422</v>
      </c>
    </row>
    <row r="175">
      <c r="A175" t="inlineStr">
        <is>
          <t>Q5.m2.coefs.Inflation_c.se</t>
        </is>
      </c>
      <c r="B175" t="n">
        <v>0.09362178414593562</v>
      </c>
    </row>
    <row r="176">
      <c r="A176" t="inlineStr">
        <is>
          <t>Q5.m2.coefs.Inflation_c.t</t>
        </is>
      </c>
      <c r="B176" t="n">
        <v>0.4203136364216846</v>
      </c>
    </row>
    <row r="177">
      <c r="A177" t="inlineStr">
        <is>
          <t>Q5.m2.coefs.Inflation_c.p</t>
        </is>
      </c>
      <c r="B177" t="n">
        <v>0.6777098629562963</v>
      </c>
    </row>
    <row r="178">
      <c r="A178" t="inlineStr">
        <is>
          <t>Q5.m2.coefs.Inflation_c_sq.b</t>
        </is>
      </c>
      <c r="B178" t="n">
        <v>-0.004548710106056114</v>
      </c>
    </row>
    <row r="179">
      <c r="A179" t="inlineStr">
        <is>
          <t>Q5.m2.coefs.Inflation_c_sq.se</t>
        </is>
      </c>
      <c r="B179" t="n">
        <v>0.007076313829091677</v>
      </c>
    </row>
    <row r="180">
      <c r="A180" t="inlineStr">
        <is>
          <t>Q5.m2.coefs.Inflation_c_sq.t</t>
        </is>
      </c>
      <c r="B180" t="n">
        <v>-0.6428078539077444</v>
      </c>
    </row>
    <row r="181">
      <c r="A181" t="inlineStr">
        <is>
          <t>Q5.m2.coefs.Inflation_c_sq.p</t>
        </is>
      </c>
      <c r="B181" t="n">
        <v>0.5259774929608272</v>
      </c>
    </row>
    <row r="182">
      <c r="A182" t="inlineStr">
        <is>
          <t>Q5.m2.r2</t>
        </is>
      </c>
      <c r="B182" t="n">
        <v>0.01859048334397173</v>
      </c>
    </row>
    <row r="183">
      <c r="A183" t="inlineStr">
        <is>
          <t>Q5.m2.adj_r2</t>
        </is>
      </c>
      <c r="B183" t="n">
        <v>-0.09464907627018548</v>
      </c>
    </row>
    <row r="184">
      <c r="A184" t="inlineStr">
        <is>
          <t>Q5.m2.aic</t>
        </is>
      </c>
      <c r="B184" t="n">
        <v>113.9952596535757</v>
      </c>
    </row>
    <row r="185">
      <c r="A185" t="inlineStr">
        <is>
          <t>Q5.m2.bic</t>
        </is>
      </c>
      <c r="B185" t="n">
        <v>119.6000491802243</v>
      </c>
    </row>
    <row r="186">
      <c r="A186" t="inlineStr">
        <is>
          <t>Q5.m2.F</t>
        </is>
      </c>
      <c r="B186" t="n">
        <v>0.1641695129097582</v>
      </c>
    </row>
    <row r="187">
      <c r="A187" t="inlineStr">
        <is>
          <t>Q5.m2.F_p</t>
        </is>
      </c>
      <c r="B187" t="n">
        <v>0.9195231336368359</v>
      </c>
    </row>
    <row r="188">
      <c r="A188" t="inlineStr">
        <is>
          <t>Q5.m2.nested_F</t>
        </is>
      </c>
      <c r="B188" t="n">
        <v>0.4132019370454698</v>
      </c>
    </row>
    <row r="189">
      <c r="A189" t="inlineStr">
        <is>
          <t>Q5.m2.nested_p</t>
        </is>
      </c>
      <c r="B189" t="n">
        <v>0.5259774929608324</v>
      </c>
    </row>
    <row r="190">
      <c r="A190" t="inlineStr">
        <is>
          <t>Q5.m3.coefs.const.b</t>
        </is>
      </c>
      <c r="B190" t="n">
        <v>6.390382006556685</v>
      </c>
    </row>
    <row r="191">
      <c r="A191" t="inlineStr">
        <is>
          <t>Q5.m3.coefs.const.se</t>
        </is>
      </c>
      <c r="B191" t="n">
        <v>0.472527866803403</v>
      </c>
    </row>
    <row r="192">
      <c r="A192" t="inlineStr">
        <is>
          <t>Q5.m3.coefs.const.t</t>
        </is>
      </c>
      <c r="B192" t="n">
        <v>13.52382040404704</v>
      </c>
    </row>
    <row r="193">
      <c r="A193" t="inlineStr">
        <is>
          <t>Q5.m3.coefs.const.p</t>
        </is>
      </c>
      <c r="B193" t="n">
        <v>2.835212582341137e-13</v>
      </c>
    </row>
    <row r="194">
      <c r="A194" t="inlineStr">
        <is>
          <t>Q5.m3.coefs.Inv_c.b</t>
        </is>
      </c>
      <c r="B194" t="n">
        <v>-0.04946985634768958</v>
      </c>
    </row>
    <row r="195">
      <c r="A195" t="inlineStr">
        <is>
          <t>Q5.m3.coefs.Inv_c.se</t>
        </is>
      </c>
      <c r="B195" t="n">
        <v>0.115247951793911</v>
      </c>
    </row>
    <row r="196">
      <c r="A196" t="inlineStr">
        <is>
          <t>Q5.m3.coefs.Inv_c.t</t>
        </is>
      </c>
      <c r="B196" t="n">
        <v>-0.4292471629877873</v>
      </c>
    </row>
    <row r="197">
      <c r="A197" t="inlineStr">
        <is>
          <t>Q5.m3.coefs.Inv_c.p</t>
        </is>
      </c>
      <c r="B197" t="n">
        <v>0.6712794513246905</v>
      </c>
    </row>
    <row r="198">
      <c r="A198" t="inlineStr">
        <is>
          <t>Q5.m3.coefs.Inv_c_sq.b</t>
        </is>
      </c>
      <c r="B198" t="n">
        <v>0.01857037045679888</v>
      </c>
    </row>
    <row r="199">
      <c r="A199" t="inlineStr">
        <is>
          <t>Q5.m3.coefs.Inv_c_sq.se</t>
        </is>
      </c>
      <c r="B199" t="n">
        <v>0.02776763932173444</v>
      </c>
    </row>
    <row r="200">
      <c r="A200" t="inlineStr">
        <is>
          <t>Q5.m3.coefs.Inv_c_sq.t</t>
        </is>
      </c>
      <c r="B200" t="n">
        <v>0.6687774297854473</v>
      </c>
    </row>
    <row r="201">
      <c r="A201" t="inlineStr">
        <is>
          <t>Q5.m3.coefs.Inv_c_sq.p</t>
        </is>
      </c>
      <c r="B201" t="n">
        <v>0.5095323461769874</v>
      </c>
    </row>
    <row r="202">
      <c r="A202" t="inlineStr">
        <is>
          <t>Q5.m3.coefs.Inflation.b</t>
        </is>
      </c>
      <c r="B202" t="n">
        <v>-0.01137318376933774</v>
      </c>
    </row>
    <row r="203">
      <c r="A203" t="inlineStr">
        <is>
          <t>Q5.m3.coefs.Inflation.se</t>
        </is>
      </c>
      <c r="B203" t="n">
        <v>0.06186367735139325</v>
      </c>
    </row>
    <row r="204">
      <c r="A204" t="inlineStr">
        <is>
          <t>Q5.m3.coefs.Inflation.t</t>
        </is>
      </c>
      <c r="B204" t="n">
        <v>-0.1838426724091533</v>
      </c>
    </row>
    <row r="205">
      <c r="A205" t="inlineStr">
        <is>
          <t>Q5.m3.coefs.Inflation.p</t>
        </is>
      </c>
      <c r="B205" t="n">
        <v>0.8555631712602534</v>
      </c>
    </row>
    <row r="206">
      <c r="A206" t="inlineStr">
        <is>
          <t>Q5.m3.r2</t>
        </is>
      </c>
      <c r="B206" t="n">
        <v>0.01985443632640682</v>
      </c>
    </row>
    <row r="207">
      <c r="A207" t="inlineStr">
        <is>
          <t>Q5.m3.adj_r2</t>
        </is>
      </c>
      <c r="B207" t="n">
        <v>-0.09323928255900782</v>
      </c>
    </row>
    <row r="208">
      <c r="A208" t="inlineStr">
        <is>
          <t>Q5.m3.aic</t>
        </is>
      </c>
      <c r="B208" t="n">
        <v>113.9565978845524</v>
      </c>
    </row>
    <row r="209">
      <c r="A209" t="inlineStr">
        <is>
          <t>Q5.m3.nested_F</t>
        </is>
      </c>
      <c r="B209" t="n">
        <v>0.4472632505904322</v>
      </c>
    </row>
    <row r="210">
      <c r="A210" t="inlineStr">
        <is>
          <t>Q5.m3.nested_p</t>
        </is>
      </c>
      <c r="B210" t="n">
        <v>0.5095323461769858</v>
      </c>
    </row>
    <row r="211">
      <c r="A211" t="inlineStr">
        <is>
          <t>Q5.ex_covid.coefs.const.b</t>
        </is>
      </c>
      <c r="B211" t="n">
        <v>6.675120462737279</v>
      </c>
    </row>
    <row r="212">
      <c r="A212" t="inlineStr">
        <is>
          <t>Q5.ex_covid.coefs.const.se</t>
        </is>
      </c>
      <c r="B212" t="n">
        <v>2.407737961754307</v>
      </c>
    </row>
    <row r="213">
      <c r="A213" t="inlineStr">
        <is>
          <t>Q5.ex_covid.coefs.const.t</t>
        </is>
      </c>
      <c r="B213" t="n">
        <v>2.772361680867342</v>
      </c>
    </row>
    <row r="214">
      <c r="A214" t="inlineStr">
        <is>
          <t>Q5.ex_covid.coefs.const.p</t>
        </is>
      </c>
      <c r="B214" t="n">
        <v>0.01035904104505086</v>
      </c>
    </row>
    <row r="215">
      <c r="A215" t="inlineStr">
        <is>
          <t>Q5.ex_covid.coefs.Investment_pctGDP.b</t>
        </is>
      </c>
      <c r="B215" t="n">
        <v>0.01070979010684259</v>
      </c>
    </row>
    <row r="216">
      <c r="A216" t="inlineStr">
        <is>
          <t>Q5.ex_covid.coefs.Investment_pctGDP.se</t>
        </is>
      </c>
      <c r="B216" t="n">
        <v>0.07705015177899695</v>
      </c>
    </row>
    <row r="217">
      <c r="A217" t="inlineStr">
        <is>
          <t>Q5.ex_covid.coefs.Investment_pctGDP.t</t>
        </is>
      </c>
      <c r="B217" t="n">
        <v>0.1389976510047831</v>
      </c>
    </row>
    <row r="218">
      <c r="A218" t="inlineStr">
        <is>
          <t>Q5.ex_covid.coefs.Investment_pctGDP.p</t>
        </is>
      </c>
      <c r="B218" t="n">
        <v>0.8905656595548881</v>
      </c>
    </row>
    <row r="219">
      <c r="A219" t="inlineStr">
        <is>
          <t>Q5.ex_covid.coefs.Inflation.b</t>
        </is>
      </c>
      <c r="B219" t="n">
        <v>-0.04837868999572362</v>
      </c>
    </row>
    <row r="220">
      <c r="A220" t="inlineStr">
        <is>
          <t>Q5.ex_covid.coefs.Inflation.se</t>
        </is>
      </c>
      <c r="B220" t="n">
        <v>0.04453859243095652</v>
      </c>
    </row>
    <row r="221">
      <c r="A221" t="inlineStr">
        <is>
          <t>Q5.ex_covid.coefs.Inflation.t</t>
        </is>
      </c>
      <c r="B221" t="n">
        <v>-1.086219553766096</v>
      </c>
    </row>
    <row r="222">
      <c r="A222" t="inlineStr">
        <is>
          <t>Q5.ex_covid.coefs.Inflation.p</t>
        </is>
      </c>
      <c r="B222" t="n">
        <v>0.2877448195357076</v>
      </c>
    </row>
    <row r="223">
      <c r="A223" t="inlineStr">
        <is>
          <t>Q5.ex_covid.r2</t>
        </is>
      </c>
      <c r="B223" t="n">
        <v>0.04908311344630489</v>
      </c>
    </row>
    <row r="224">
      <c r="A224" t="inlineStr">
        <is>
          <t>Q5.ex_covid.n</t>
        </is>
      </c>
      <c r="B224" t="n">
        <v>28</v>
      </c>
    </row>
    <row r="225">
      <c r="A225" t="inlineStr">
        <is>
          <t>Q5.infl_mean</t>
        </is>
      </c>
      <c r="B225" t="n">
        <v>5.53447544826616</v>
      </c>
    </row>
    <row r="226">
      <c r="A226" t="inlineStr">
        <is>
          <t>Q6.n</t>
        </is>
      </c>
      <c r="B226" t="n">
        <v>40</v>
      </c>
    </row>
    <row r="227">
      <c r="A227" t="inlineStr">
        <is>
          <t>Q6.years</t>
        </is>
      </c>
      <c r="B227" t="inlineStr">
        <is>
          <t>[1986, 2025]</t>
        </is>
      </c>
    </row>
    <row r="228">
      <c r="A228" t="inlineStr">
        <is>
          <t>Q6.holdout_years</t>
        </is>
      </c>
      <c r="B228" t="inlineStr">
        <is>
          <t>[2021, 2025]</t>
        </is>
      </c>
    </row>
    <row r="229">
      <c r="A229" t="inlineStr">
        <is>
          <t>Q6.eval.linear_trend.MAE</t>
        </is>
      </c>
      <c r="B229" t="n">
        <v>182.8697529316128</v>
      </c>
    </row>
    <row r="230">
      <c r="A230" t="inlineStr">
        <is>
          <t>Q6.eval.linear_trend.MAPE</t>
        </is>
      </c>
      <c r="B230" t="n">
        <v>44.14353094387712</v>
      </c>
    </row>
    <row r="231">
      <c r="A231" t="inlineStr">
        <is>
          <t>Q6.eval.linear_trend.RMSE</t>
        </is>
      </c>
      <c r="B231" t="n">
        <v>188.5410550823175</v>
      </c>
    </row>
    <row r="232">
      <c r="A232" t="inlineStr">
        <is>
          <t>Q6.eval.MA3_flat.MAE</t>
        </is>
      </c>
      <c r="B232" t="n">
        <v>128.6450446811563</v>
      </c>
    </row>
    <row r="233">
      <c r="A233" t="inlineStr">
        <is>
          <t>Q6.eval.MA3_flat.MAPE</t>
        </is>
      </c>
      <c r="B233" t="n">
        <v>30.30414500347994</v>
      </c>
    </row>
    <row r="234">
      <c r="A234" t="inlineStr">
        <is>
          <t>Q6.eval.MA3_flat.RMSE</t>
        </is>
      </c>
      <c r="B234" t="n">
        <v>140.2361657460708</v>
      </c>
    </row>
    <row r="235">
      <c r="A235" t="inlineStr">
        <is>
          <t>Q6.eval.MA3_rolling_1step.MAE</t>
        </is>
      </c>
      <c r="B235" t="n">
        <v>69.56685380817427</v>
      </c>
    </row>
    <row r="236">
      <c r="A236" t="inlineStr">
        <is>
          <t>Q6.eval.MA3_rolling_1step.MAPE</t>
        </is>
      </c>
      <c r="B236" t="n">
        <v>16.82804096731707</v>
      </c>
    </row>
    <row r="237">
      <c r="A237" t="inlineStr">
        <is>
          <t>Q6.eval.MA3_rolling_1step.RMSE</t>
        </is>
      </c>
      <c r="B237" t="n">
        <v>73.57830428486483</v>
      </c>
    </row>
    <row r="238">
      <c r="A238" t="inlineStr">
        <is>
          <t>Q6.eval.loglinear_trend.MAE</t>
        </is>
      </c>
      <c r="B238" t="n">
        <v>295.6743868119644</v>
      </c>
    </row>
    <row r="239">
      <c r="A239" t="inlineStr">
        <is>
          <t>Q6.eval.loglinear_trend.MAPE</t>
        </is>
      </c>
      <c r="B239" t="n">
        <v>70.40765591903062</v>
      </c>
    </row>
    <row r="240">
      <c r="A240" t="inlineStr">
        <is>
          <t>Q6.eval.loglinear_trend.RMSE</t>
        </is>
      </c>
      <c r="B240" t="n">
        <v>316.6975282795975</v>
      </c>
    </row>
    <row r="241">
      <c r="A241" t="inlineStr">
        <is>
          <t>Q6.eval.naive_last.MAE</t>
        </is>
      </c>
      <c r="B241" t="n">
        <v>115.8384466226916</v>
      </c>
    </row>
    <row r="242">
      <c r="A242" t="inlineStr">
        <is>
          <t>Q6.eval.naive_last.MAPE</t>
        </is>
      </c>
      <c r="B242" t="n">
        <v>27.11268268703527</v>
      </c>
    </row>
    <row r="243">
      <c r="A243" t="inlineStr">
        <is>
          <t>Q6.eval.naive_last.RMSE</t>
        </is>
      </c>
      <c r="B243" t="n">
        <v>128.5891923067444</v>
      </c>
    </row>
    <row r="244">
      <c r="A244" t="inlineStr">
        <is>
          <t>Q6.eval.linear_trend_last10y.MAE</t>
        </is>
      </c>
      <c r="B244" t="n">
        <v>46.86612237492302</v>
      </c>
    </row>
    <row r="245">
      <c r="A245" t="inlineStr">
        <is>
          <t>Q6.eval.linear_trend_last10y.MAPE</t>
        </is>
      </c>
      <c r="B245" t="n">
        <v>10.85492058756171</v>
      </c>
    </row>
    <row r="246">
      <c r="A246" t="inlineStr">
        <is>
          <t>Q6.eval.linear_trend_last10y.RMSE</t>
        </is>
      </c>
      <c r="B246" t="n">
        <v>55.29676763705434</v>
      </c>
    </row>
    <row r="247">
      <c r="A247" t="inlineStr">
        <is>
          <t>Q6.eval.damped_Holt.MAE</t>
        </is>
      </c>
      <c r="B247" t="n">
        <v>60.40874447440491</v>
      </c>
    </row>
    <row r="248">
      <c r="A248" t="inlineStr">
        <is>
          <t>Q6.eval.damped_Holt.MAPE</t>
        </is>
      </c>
      <c r="B248" t="n">
        <v>14.07793342233306</v>
      </c>
    </row>
    <row r="249">
      <c r="A249" t="inlineStr">
        <is>
          <t>Q6.eval.damped_Holt.RMSE</t>
        </is>
      </c>
      <c r="B249" t="n">
        <v>68.91174568621419</v>
      </c>
    </row>
    <row r="250">
      <c r="A250" t="inlineStr">
        <is>
          <t>Q6.trend_full.b0</t>
        </is>
      </c>
      <c r="B250" t="n">
        <v>-96.00939732045738</v>
      </c>
    </row>
    <row r="251">
      <c r="A251" t="inlineStr">
        <is>
          <t>Q6.trend_full.b1</t>
        </is>
      </c>
      <c r="B251" t="n">
        <v>10.7514721849647</v>
      </c>
    </row>
    <row r="252">
      <c r="A252" t="inlineStr">
        <is>
          <t>Q6.trend_full.s</t>
        </is>
      </c>
      <c r="B252" t="n">
        <v>66.7979948720686</v>
      </c>
    </row>
    <row r="253">
      <c r="A253" t="inlineStr">
        <is>
          <t>Q6.trend_full.r2</t>
        </is>
      </c>
      <c r="B253" t="n">
        <v>0.7841911286866533</v>
      </c>
    </row>
    <row r="254">
      <c r="A254" t="inlineStr">
        <is>
          <t>Q6.train_trend.b0</t>
        </is>
      </c>
      <c r="B254" t="n">
        <v>-59.26746781143344</v>
      </c>
    </row>
    <row r="255">
      <c r="A255" t="inlineStr">
        <is>
          <t>Q6.train_trend.b1</t>
        </is>
      </c>
      <c r="B255" t="n">
        <v>7.695028665709549</v>
      </c>
    </row>
    <row r="256">
      <c r="A256" t="inlineStr">
        <is>
          <t>Q6.fc_years</t>
        </is>
      </c>
      <c r="B256" t="inlineStr">
        <is>
          <t>[2026, 2027]</t>
        </is>
      </c>
    </row>
    <row r="257">
      <c r="A257" t="inlineStr">
        <is>
          <t>Q6.fc_linear</t>
        </is>
      </c>
      <c r="B257" t="inlineStr">
        <is>
          <t>[334.04949007813065, 344.80096226309536]</t>
        </is>
      </c>
    </row>
    <row r="258">
      <c r="A258" t="inlineStr">
        <is>
          <t>Q6.fc_linear_pi</t>
        </is>
      </c>
      <c r="B258" t="inlineStr">
        <is>
          <t>[[191.9760889987424, 476.1228911575189], [202.22135981373935, 487.38056471245136]]</t>
        </is>
      </c>
    </row>
    <row r="259">
      <c r="A259" t="inlineStr">
        <is>
          <t>Q6.fc_ma3</t>
        </is>
      </c>
      <c r="B259" t="n">
        <v>437.1377820655132</v>
      </c>
    </row>
    <row r="260">
      <c r="A260" t="inlineStr">
        <is>
          <t>Q6.fc_recent10</t>
        </is>
      </c>
      <c r="B260" t="inlineStr">
        <is>
          <t>[502.13805697564817, 533.4144254249861]</t>
        </is>
      </c>
    </row>
    <row r="261">
      <c r="A261" t="inlineStr">
        <is>
          <t>Q6.fc_recent10_pi</t>
        </is>
      </c>
      <c r="B261" t="inlineStr">
        <is>
          <t>[[447.1531804396349, 557.1229335116614], [475.7674681148208, 591.0613827351514]]</t>
        </is>
      </c>
    </row>
    <row r="262">
      <c r="A262" t="inlineStr">
        <is>
          <t>Q6.fc_holt</t>
        </is>
      </c>
      <c r="B262" t="inlineStr">
        <is>
          <t>[518.0998323464985, 558.2974960866882]</t>
        </is>
      </c>
    </row>
    <row r="263">
      <c r="A263" t="inlineStr">
        <is>
          <t>Q6.slope_recent10</t>
        </is>
      </c>
      <c r="B263" t="n">
        <v>31.27636844933786</v>
      </c>
    </row>
    <row r="264">
      <c r="A264" t="inlineStr">
        <is>
          <t>Q6.fc_loglin</t>
        </is>
      </c>
      <c r="B264" t="inlineStr">
        <is>
          <t>[884.6153873564622, 1036.5879712168562]</t>
        </is>
      </c>
    </row>
    <row r="265">
      <c r="A265" t="inlineStr">
        <is>
          <t>Q6.loglin_growth_pct</t>
        </is>
      </c>
      <c r="B265" t="n">
        <v>17.17950942663811</v>
      </c>
    </row>
    <row r="266">
      <c r="A266" t="inlineStr">
        <is>
          <t>Q6.mean_growth_pct</t>
        </is>
      </c>
      <c r="B266" t="n">
        <v>17.34938743559915</v>
      </c>
    </row>
    <row r="267">
      <c r="A267" t="inlineStr">
        <is>
          <t>Q6.sd_growth_pct</t>
        </is>
      </c>
      <c r="B267" t="n">
        <v>17.91280627265606</v>
      </c>
    </row>
    <row r="268">
      <c r="A268" t="inlineStr">
        <is>
          <t>Q6.dw_trend</t>
        </is>
      </c>
      <c r="B268" t="n">
        <v>0.07601494834149604</v>
      </c>
    </row>
    <row r="269">
      <c r="A269" t="inlineStr">
        <is>
          <t>Q6.last_value</t>
        </is>
      </c>
      <c r="B269" t="n">
        <v>505.661231330217</v>
      </c>
    </row>
    <row r="270">
      <c r="A270" t="inlineStr">
        <is>
          <t>Q6.last3</t>
        </is>
      </c>
      <c r="B270" t="inlineStr">
        <is>
          <t>[376.26801764938, 429.484097216943, 505.661231330217]</t>
        </is>
      </c>
    </row>
    <row r="271">
      <c r="A271" t="inlineStr">
        <is>
          <t>Q8.infl_sd_1996_2025</t>
        </is>
      </c>
      <c r="B271" t="n">
        <v>5.01573119222564</v>
      </c>
    </row>
    <row r="272">
      <c r="A272" t="inlineStr">
        <is>
          <t>Q8.infl_sd_2015_2025</t>
        </is>
      </c>
      <c r="B272" t="n">
        <v>0.9006124483001456</v>
      </c>
    </row>
    <row r="273">
      <c r="A273" t="inlineStr">
        <is>
          <t>Q8.infl_last</t>
        </is>
      </c>
      <c r="B273" t="n">
        <v>3.30999314219739</v>
      </c>
    </row>
    <row r="274">
      <c r="A274" t="inlineStr">
        <is>
          <t>Q8.infl_last_year</t>
        </is>
      </c>
      <c r="B274" t="n">
        <v>2025</v>
      </c>
    </row>
    <row r="275">
      <c r="A275" t="inlineStr">
        <is>
          <t>Q8.infl_2022</t>
        </is>
      </c>
      <c r="B275" t="n">
        <v>3.15650749963111</v>
      </c>
    </row>
    <row r="276">
      <c r="A276" t="inlineStr">
        <is>
          <t>Q8.infl_2023</t>
        </is>
      </c>
      <c r="B276" t="n">
        <v>3.25289282667662</v>
      </c>
    </row>
    <row r="277">
      <c r="A277" t="inlineStr">
        <is>
          <t>Q8.infl_2024</t>
        </is>
      </c>
      <c r="B277" t="n">
        <v>3.62109273885843</v>
      </c>
    </row>
    <row r="278">
      <c r="A278" t="inlineStr">
        <is>
          <t>Q8.g_last</t>
        </is>
      </c>
      <c r="B278" t="n">
        <v>8.01882998978245</v>
      </c>
    </row>
    <row r="279">
      <c r="A279" t="inlineStr">
        <is>
          <t>Q8.g_last_year</t>
        </is>
      </c>
      <c r="B279" t="n">
        <v>2025</v>
      </c>
    </row>
    <row r="280">
      <c r="A280" t="inlineStr">
        <is>
          <t>Q8.g_sd_2000_2024</t>
        </is>
      </c>
      <c r="B280" t="n">
        <v>1.352763719024575</v>
      </c>
    </row>
    <row r="281">
      <c r="A281" t="inlineStr">
        <is>
          <t>Q8.g_min_2000_2024</t>
        </is>
      </c>
      <c r="B281" t="n">
        <v>2.55372852648131</v>
      </c>
    </row>
    <row r="282">
      <c r="A282" t="inlineStr">
        <is>
          <t>Q8.g_min_year</t>
        </is>
      </c>
      <c r="B282" t="n">
        <v>2021</v>
      </c>
    </row>
    <row r="283">
      <c r="A283" t="inlineStr">
        <is>
          <t>Q8.g_mean_2015_2025</t>
        </is>
      </c>
      <c r="B283" t="n">
        <v>6.312300624235482</v>
      </c>
    </row>
    <row r="284">
      <c r="A284" t="inlineStr">
        <is>
          <t>Q8.g_2020</t>
        </is>
      </c>
      <c r="B284" t="n">
        <v>2.86541320912272</v>
      </c>
    </row>
    <row r="285">
      <c r="A285" t="inlineStr">
        <is>
          <t>Q8.g_2021</t>
        </is>
      </c>
      <c r="B285" t="n">
        <v>2.55372852648131</v>
      </c>
    </row>
    <row r="286">
      <c r="A286" t="inlineStr">
        <is>
          <t>Q8.elec_last</t>
        </is>
      </c>
      <c r="B286" t="n">
        <v>2755.87065139803</v>
      </c>
    </row>
    <row r="287">
      <c r="A287" t="inlineStr">
        <is>
          <t>Q8.elec_last_year</t>
        </is>
      </c>
      <c r="B287" t="n">
        <v>2024</v>
      </c>
    </row>
    <row r="288">
      <c r="A288" t="inlineStr">
        <is>
          <t>Q8.elec_cagr_2014_2024</t>
        </is>
      </c>
      <c r="B288" t="n">
        <v>7.126366147679053</v>
      </c>
    </row>
    <row r="289">
      <c r="A289" t="inlineStr">
        <is>
          <t>Q8.elec_growth_2024</t>
        </is>
      </c>
      <c r="B289" t="n">
        <v>8.068751289036324</v>
      </c>
    </row>
    <row r="290">
      <c r="A290" t="inlineStr">
        <is>
          <t>Q8.years_infl_gt4</t>
        </is>
      </c>
      <c r="B290" t="n">
        <v>14</v>
      </c>
    </row>
    <row r="291">
      <c r="A291" t="inlineStr">
        <is>
          <t>Q8.years_gt</t>
        </is>
      </c>
      <c r="B291" t="n">
        <v>30</v>
      </c>
    </row>
    <row r="292">
      <c r="A292" t="inlineStr">
        <is>
          <t>Q8.exports_pct_gdp_last</t>
        </is>
      </c>
      <c r="B292" t="n">
        <v>98.24440786376719</v>
      </c>
    </row>
    <row r="293">
      <c r="A293" t="inlineStr">
        <is>
          <t>Q8.exports_pct_gdp_last_year</t>
        </is>
      </c>
      <c r="B29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2026-10-12T18:08:57Z</dcterms:created>
  <dcterms:modified xmlns:dcterms="http://purl.org/dc/terms/" xmlns:xsi="http://www.w3.org/2001/XMLSchema-instance" xsi:type="dcterms:W3CDTF">2026-10-12T18:08:57Z</dcterms:modified>
</cp:coreProperties>
</file>