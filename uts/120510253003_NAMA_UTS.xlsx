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GDP Growth" sheetId="2" state="visible" r:id="rId2"/>
    <sheet xmlns:r="http://schemas.openxmlformats.org/officeDocument/2006/relationships" name="Q1 Normalitas" sheetId="3" state="visible" r:id="rId3"/>
    <sheet xmlns:r="http://schemas.openxmlformats.org/officeDocument/2006/relationships" name="Q2 Proporsi" sheetId="4" state="visible" r:id="rId4"/>
    <sheet xmlns:r="http://schemas.openxmlformats.org/officeDocument/2006/relationships" name="Q3 Struktur Sektor" sheetId="5" state="visible" r:id="rId5"/>
    <sheet xmlns:r="http://schemas.openxmlformats.org/officeDocument/2006/relationships" name="Q4 ANOVA" sheetId="6" state="visible" r:id="rId6"/>
    <sheet xmlns:r="http://schemas.openxmlformats.org/officeDocument/2006/relationships" name="Q5 Regresi" sheetId="7" state="visible" r:id="rId7"/>
    <sheet xmlns:r="http://schemas.openxmlformats.org/officeDocument/2006/relationships" name="Q6 Forecast" sheetId="8" state="visible" r:id="rId8"/>
    <sheet xmlns:r="http://schemas.openxmlformats.org/officeDocument/2006/relationships" name="Q7 Survei" sheetId="9" state="visible" r:id="rId9"/>
    <sheet xmlns:r="http://schemas.openxmlformats.org/officeDocument/2006/relationships" name="Q8 Memo" sheetId="10" state="visible" r:id="rId10"/>
    <sheet xmlns:r="http://schemas.openxmlformats.org/officeDocument/2006/relationships" name="Sumber" sheetId="11" state="visible" r:id="rId11"/>
    <sheet xmlns:r="http://schemas.openxmlformats.org/officeDocument/2006/relationships" name="Raw_WB_FP_CPI_TOTL_ZG" sheetId="12" state="visible" r:id="rId12"/>
    <sheet xmlns:r="http://schemas.openxmlformats.org/officeDocument/2006/relationships" name="Raw_WB_NY_GDP_MKTP_KD_ZG" sheetId="13" state="visible" r:id="rId13"/>
    <sheet xmlns:r="http://schemas.openxmlformats.org/officeDocument/2006/relationships" name="Raw_WB_NE_GDI_TOTL_ZS" sheetId="14" state="visible" r:id="rId14"/>
    <sheet xmlns:r="http://schemas.openxmlformats.org/officeDocument/2006/relationships" name="Raw_WB_NE_EXP_GNFS_CD" sheetId="15" state="visible" r:id="rId15"/>
    <sheet xmlns:r="http://schemas.openxmlformats.org/officeDocument/2006/relationships" name="Raw_WB_NE_EXP_GNFS_ZS" sheetId="16" state="visible" r:id="rId16"/>
    <sheet xmlns:r="http://schemas.openxmlformats.org/officeDocument/2006/relationships" name="Raw_WB_EG_USE_ELEC_KH_PC" sheetId="17" state="visible" r:id="rId17"/>
    <sheet xmlns:r="http://schemas.openxmlformats.org/officeDocument/2006/relationships" name="Raw_ILO_Unemployed" sheetId="18" state="visible" r:id="rId18"/>
    <sheet xmlns:r="http://schemas.openxmlformats.org/officeDocument/2006/relationships" name="Raw_ILO_EmpSector" sheetId="19" state="visible" r:id="rId19"/>
    <sheet xmlns:r="http://schemas.openxmlformats.org/officeDocument/2006/relationships" name="Q1_calc" sheetId="20" state="visible" r:id="rId20"/>
    <sheet xmlns:r="http://schemas.openxmlformats.org/officeDocument/2006/relationships" name="Q2_calc" sheetId="21" state="visible" r:id="rId21"/>
    <sheet xmlns:r="http://schemas.openxmlformats.org/officeDocument/2006/relationships" name="Q3_calc" sheetId="22" state="visible" r:id="rId22"/>
    <sheet xmlns:r="http://schemas.openxmlformats.org/officeDocument/2006/relationships" name="Q4_panel" sheetId="23" state="visible" r:id="rId23"/>
    <sheet xmlns:r="http://schemas.openxmlformats.org/officeDocument/2006/relationships" name="Q5_data" sheetId="24" state="visible" r:id="rId24"/>
    <sheet xmlns:r="http://schemas.openxmlformats.org/officeDocument/2006/relationships" name="Q6_series" sheetId="25" state="visible" r:id="rId25"/>
    <sheet xmlns:r="http://schemas.openxmlformats.org/officeDocument/2006/relationships" name="Q6_holdout" sheetId="26" state="visible" r:id="rId26"/>
    <sheet xmlns:r="http://schemas.openxmlformats.org/officeDocument/2006/relationships" name="Q7_SCR_alpha" sheetId="27" state="visible" r:id="rId27"/>
    <sheet xmlns:r="http://schemas.openxmlformats.org/officeDocument/2006/relationships" name="Raw_Zenodo_B_all18" sheetId="28" state="visible" r:id="rId28"/>
    <sheet xmlns:r="http://schemas.openxmlformats.org/officeDocument/2006/relationships" name="Q7_OR_items_dsA" sheetId="29" state="visible" r:id="rId29"/>
    <sheet xmlns:r="http://schemas.openxmlformats.org/officeDocument/2006/relationships" name="Q7_protocol" sheetId="30" state="visible" r:id="rId30"/>
    <sheet xmlns:r="http://schemas.openxmlformats.org/officeDocument/2006/relationships" name="Resul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UTS Statistical Analysis II - Basis analisis &amp; catatan data (NPM 120510253003)</t>
        </is>
      </c>
      <c r="B1" s="2" t="n"/>
    </row>
    <row r="2">
      <c r="A2" s="2" t="n"/>
      <c r="B2" s="2" t="n"/>
    </row>
    <row r="3">
      <c r="A3" s="3" t="inlineStr">
        <is>
          <t>Bagian</t>
        </is>
      </c>
      <c r="B3" s="3" t="inlineStr">
        <is>
          <t>Keterangan</t>
        </is>
      </c>
    </row>
    <row r="4">
      <c r="A4" s="2" t="inlineStr">
        <is>
          <t>Bahasa</t>
        </is>
      </c>
      <c r="B4" s="2" t="inlineStr">
        <is>
          <t>Label sheet memakai bahasa Indonesia; isi analisis dan laporan PDF dalam bahasa Inggris sesuai instruksi soal.</t>
        </is>
      </c>
    </row>
    <row r="5">
      <c r="A5" s="2" t="inlineStr">
        <is>
          <t>Negara</t>
        </is>
      </c>
      <c r="B5" s="2" t="inlineStr">
        <is>
          <t>NPM berakhiran 3 -&gt; Viet Nam (negara ke-4). Pembanding: Philippines, India.</t>
        </is>
      </c>
    </row>
    <row r="6">
      <c r="A6" s="2" t="inlineStr">
        <is>
          <t>Indikator</t>
        </is>
      </c>
      <c r="B6" s="2" t="inlineStr">
        <is>
          <t>Q1: CPI inflation (FP.CPI.TOTL.ZG) 1996-2025; Q2-Q3: ILOSTAT 2024 (pengangguran dan pekerja per sektor); Q4: GDP growth (NY.GDP.MKTP.KD.ZG) 2000-2024; Q5: GDP growth ~ investasi (NE.GDI.TOTL.ZS) + inflasi; Q6: ekspor barang &amp; jasa (NE.EXP.GNFS.CD); Q7: data survei publik Zenodo.</t>
        </is>
      </c>
    </row>
    <row r="7">
      <c r="A7" s="2" t="inlineStr">
        <is>
          <t>Tanggal ekstraksi</t>
        </is>
      </c>
      <c r="B7" s="2" t="inlineStr">
        <is>
          <t>12 Oktober 2026 (World Bank WDI, update database 2026-10-08).</t>
        </is>
      </c>
    </row>
    <row r="8">
      <c r="A8" s="2" t="inlineStr">
        <is>
          <t>Presisi data</t>
        </is>
      </c>
      <c r="B8" s="2" t="inlineStr">
        <is>
          <t>Seluruh data diunduh lewat API resmi dengan presisi penuh dan disimpan apa adanya di sheet Raw_*. Tidak ada angka yang diketik manual / dibulatkan 1 desimal.</t>
        </is>
      </c>
    </row>
    <row r="9">
      <c r="A9" s="2" t="inlineStr">
        <is>
          <t>Q2/Q3</t>
        </is>
      </c>
      <c r="B9" s="2" t="inlineStr">
        <is>
          <t>Memakai hitungan ILOSTAT (status kerja dan sektor), bukan komposisi penduduk dari WDI. Angka ILO adalah estimasi survei berbobot (ribuan orang), sehingga p-value chi-square tidak dapat dibaca sebagai bukti inferensial biasa (lihat catatan di tiap sheet).</t>
        </is>
      </c>
    </row>
    <row r="10">
      <c r="A10" s="2" t="inlineStr">
        <is>
          <t>Q7</t>
        </is>
      </c>
      <c r="B10" s="2" t="inlineStr">
        <is>
          <t>Memakai dataset survei publik asli (Zenodo 10.5281/zenodo.22057938, n=248) - bukan protokol saja; tidak ada data simulasi.</t>
        </is>
      </c>
    </row>
    <row r="11">
      <c r="A11" s="2" t="inlineStr">
        <is>
          <t>Rumus hidup</t>
        </is>
      </c>
      <c r="B11" s="2" t="inlineStr">
        <is>
          <t>Sheet Q1_calc, Q2_calc, Q3_calc, Q4 ANOVA dan Q7_SCR_alpha berisi rumus Excel yang dapat dicek ulang.</t>
        </is>
      </c>
    </row>
    <row r="12">
      <c r="A12" s="2" t="inlineStr">
        <is>
          <t>AI disclosure</t>
        </is>
      </c>
      <c r="B12" s="2" t="inlineStr">
        <is>
          <t>AI digunakan untuk menulis skrip, menjalankan analisis, dan menyusun draft. Verifikasi akhir (unduh ulang data, cek sampel nilai, baca sumber berita primer) tetap harus dilakukan mahasiswa; lihat lampiran laporan 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22" customWidth="1" min="5" max="5"/>
    <col width="100" customWidth="1" min="6" max="6"/>
  </cols>
  <sheetData>
    <row r="1">
      <c r="A1" s="4" t="inlineStr">
        <is>
          <t>GDP growth (annual %) - World Bank WDI API, presisi penuh (diunduh 2026-10-12)</t>
        </is>
      </c>
      <c r="B1" s="5" t="n"/>
      <c r="C1" s="5" t="n"/>
      <c r="D1" s="5" t="n"/>
      <c r="E1" s="5" t="n"/>
      <c r="F1" s="5" t="n"/>
    </row>
    <row r="2">
      <c r="A2" s="6" t="inlineStr">
        <is>
          <t>Year</t>
        </is>
      </c>
      <c r="B2" s="6" t="inlineStr">
        <is>
          <t>Viet Nam (VNM)</t>
        </is>
      </c>
      <c r="C2" s="6" t="inlineStr">
        <is>
          <t>Philippines (PHL)</t>
        </is>
      </c>
      <c r="D2" s="6" t="inlineStr">
        <is>
          <t>India (IND)</t>
        </is>
      </c>
      <c r="E2" s="6" t="inlineStr">
        <is>
          <t>Indicator</t>
        </is>
      </c>
      <c r="F2" s="6" t="inlineStr">
        <is>
          <t>Source API call</t>
        </is>
      </c>
    </row>
    <row r="3">
      <c r="A3" t="n">
        <v>2000</v>
      </c>
      <c r="B3" t="n">
        <v>6.78731640463151</v>
      </c>
      <c r="C3" t="n">
        <v>4.38250500083399</v>
      </c>
      <c r="D3" t="n">
        <v>3.84099115686554</v>
      </c>
      <c r="E3" t="inlineStr">
        <is>
          <t>NY.GDP.MKTP.KD.ZG</t>
        </is>
      </c>
      <c r="F3" t="inlineStr">
        <is>
          <t>https://api.worldbank.org/v2/country/VNM;PHL;IND/indicator/NY.GDP.MKTP.KD.ZG?format=json&amp;per_page=20000&amp;date=1960:2025</t>
        </is>
      </c>
    </row>
    <row r="4">
      <c r="A4" t="n">
        <v>2001</v>
      </c>
      <c r="B4" t="n">
        <v>6.19289331233377</v>
      </c>
      <c r="C4" t="n">
        <v>3.04923134463486</v>
      </c>
      <c r="D4" t="n">
        <v>4.82396626397303</v>
      </c>
      <c r="E4" t="inlineStr">
        <is>
          <t>NY.GDP.MKTP.KD.ZG</t>
        </is>
      </c>
      <c r="F4" t="inlineStr">
        <is>
          <t>https://api.worldbank.org/v2/country/VNM;PHL;IND/indicator/NY.GDP.MKTP.KD.ZG?format=json&amp;per_page=20000&amp;date=1960:2025</t>
        </is>
      </c>
    </row>
    <row r="5">
      <c r="A5" t="n">
        <v>2002</v>
      </c>
      <c r="B5" t="n">
        <v>6.32082099160833</v>
      </c>
      <c r="C5" t="n">
        <v>3.71625500158383</v>
      </c>
      <c r="D5" t="n">
        <v>3.80397532120038</v>
      </c>
      <c r="E5" t="inlineStr">
        <is>
          <t>NY.GDP.MKTP.KD.ZG</t>
        </is>
      </c>
      <c r="F5" t="inlineStr">
        <is>
          <t>https://api.worldbank.org/v2/country/VNM;PHL;IND/indicator/NY.GDP.MKTP.KD.ZG?format=json&amp;per_page=20000&amp;date=1960:2025</t>
        </is>
      </c>
    </row>
    <row r="6">
      <c r="A6" t="n">
        <v>2003</v>
      </c>
      <c r="B6" t="n">
        <v>6.89906349055258</v>
      </c>
      <c r="C6" t="n">
        <v>5.08691113513073</v>
      </c>
      <c r="D6" t="n">
        <v>7.86038147545045</v>
      </c>
      <c r="E6" t="inlineStr">
        <is>
          <t>NY.GDP.MKTP.KD.ZG</t>
        </is>
      </c>
      <c r="F6" t="inlineStr">
        <is>
          <t>https://api.worldbank.org/v2/country/VNM;PHL;IND/indicator/NY.GDP.MKTP.KD.ZG?format=json&amp;per_page=20000&amp;date=1960:2025</t>
        </is>
      </c>
    </row>
    <row r="7">
      <c r="A7" t="n">
        <v>2004</v>
      </c>
      <c r="B7" t="n">
        <v>7.53641060890386</v>
      </c>
      <c r="C7" t="n">
        <v>6.56922851180626</v>
      </c>
      <c r="D7" t="n">
        <v>7.92293661307978</v>
      </c>
      <c r="E7" t="inlineStr">
        <is>
          <t>NY.GDP.MKTP.KD.ZG</t>
        </is>
      </c>
      <c r="F7" t="inlineStr">
        <is>
          <t>https://api.worldbank.org/v2/country/VNM;PHL;IND/indicator/NY.GDP.MKTP.KD.ZG?format=json&amp;per_page=20000&amp;date=1960:2025</t>
        </is>
      </c>
    </row>
    <row r="8">
      <c r="A8" t="n">
        <v>2005</v>
      </c>
      <c r="B8" t="n">
        <v>7.54724772895918</v>
      </c>
      <c r="C8" t="n">
        <v>4.94250511877678</v>
      </c>
      <c r="D8" t="n">
        <v>7.92343062131789</v>
      </c>
      <c r="E8" t="inlineStr">
        <is>
          <t>NY.GDP.MKTP.KD.ZG</t>
        </is>
      </c>
      <c r="F8" t="inlineStr">
        <is>
          <t>https://api.worldbank.org/v2/country/VNM;PHL;IND/indicator/NY.GDP.MKTP.KD.ZG?format=json&amp;per_page=20000&amp;date=1960:2025</t>
        </is>
      </c>
    </row>
    <row r="9">
      <c r="A9" t="n">
        <v>2006</v>
      </c>
      <c r="B9" t="n">
        <v>6.97795481056711</v>
      </c>
      <c r="C9" t="n">
        <v>5.31641682136939</v>
      </c>
      <c r="D9" t="n">
        <v>8.06073257305057</v>
      </c>
      <c r="E9" t="inlineStr">
        <is>
          <t>NY.GDP.MKTP.KD.ZG</t>
        </is>
      </c>
      <c r="F9" t="inlineStr">
        <is>
          <t>https://api.worldbank.org/v2/country/VNM;PHL;IND/indicator/NY.GDP.MKTP.KD.ZG?format=json&amp;per_page=20000&amp;date=1960:2025</t>
        </is>
      </c>
    </row>
    <row r="10">
      <c r="A10" t="n">
        <v>2007</v>
      </c>
      <c r="B10" t="n">
        <v>7.12950448605439</v>
      </c>
      <c r="C10" t="n">
        <v>6.51929155018938</v>
      </c>
      <c r="D10" t="n">
        <v>7.66081506510766</v>
      </c>
      <c r="E10" t="inlineStr">
        <is>
          <t>NY.GDP.MKTP.KD.ZG</t>
        </is>
      </c>
      <c r="F10" t="inlineStr">
        <is>
          <t>https://api.worldbank.org/v2/country/VNM;PHL;IND/indicator/NY.GDP.MKTP.KD.ZG?format=json&amp;per_page=20000&amp;date=1960:2025</t>
        </is>
      </c>
    </row>
    <row r="11">
      <c r="A11" t="n">
        <v>2008</v>
      </c>
      <c r="B11" t="n">
        <v>5.66177120891362</v>
      </c>
      <c r="C11" t="n">
        <v>4.34448730509183</v>
      </c>
      <c r="D11" t="n">
        <v>3.08669805950082</v>
      </c>
      <c r="E11" t="inlineStr">
        <is>
          <t>NY.GDP.MKTP.KD.ZG</t>
        </is>
      </c>
      <c r="F11" t="inlineStr">
        <is>
          <t>https://api.worldbank.org/v2/country/VNM;PHL;IND/indicator/NY.GDP.MKTP.KD.ZG?format=json&amp;per_page=20000&amp;date=1960:2025</t>
        </is>
      </c>
    </row>
    <row r="12">
      <c r="A12" t="n">
        <v>2009</v>
      </c>
      <c r="B12" t="n">
        <v>5.39789754014181</v>
      </c>
      <c r="C12" t="n">
        <v>1.44832306275669</v>
      </c>
      <c r="D12" t="n">
        <v>7.8618888330338</v>
      </c>
      <c r="E12" t="inlineStr">
        <is>
          <t>NY.GDP.MKTP.KD.ZG</t>
        </is>
      </c>
      <c r="F12" t="inlineStr">
        <is>
          <t>https://api.worldbank.org/v2/country/VNM;PHL;IND/indicator/NY.GDP.MKTP.KD.ZG?format=json&amp;per_page=20000&amp;date=1960:2025</t>
        </is>
      </c>
    </row>
    <row r="13">
      <c r="A13" t="n">
        <v>2010</v>
      </c>
      <c r="B13" t="n">
        <v>6.42324482239482</v>
      </c>
      <c r="C13" t="n">
        <v>7.33449996034538</v>
      </c>
      <c r="D13" t="n">
        <v>8.497584701656249</v>
      </c>
      <c r="E13" t="inlineStr">
        <is>
          <t>NY.GDP.MKTP.KD.ZG</t>
        </is>
      </c>
      <c r="F13" t="inlineStr">
        <is>
          <t>https://api.worldbank.org/v2/country/VNM;PHL;IND/indicator/NY.GDP.MKTP.KD.ZG?format=json&amp;per_page=20000&amp;date=1960:2025</t>
        </is>
      </c>
    </row>
    <row r="14">
      <c r="A14" t="n">
        <v>2011</v>
      </c>
      <c r="B14" t="n">
        <v>6.41316889681683</v>
      </c>
      <c r="C14" t="n">
        <v>3.85823282795663</v>
      </c>
      <c r="D14" t="n">
        <v>5.24131620024293</v>
      </c>
      <c r="E14" t="inlineStr">
        <is>
          <t>NY.GDP.MKTP.KD.ZG</t>
        </is>
      </c>
      <c r="F14" t="inlineStr">
        <is>
          <t>https://api.worldbank.org/v2/country/VNM;PHL;IND/indicator/NY.GDP.MKTP.KD.ZG?format=json&amp;per_page=20000&amp;date=1960:2025</t>
        </is>
      </c>
    </row>
    <row r="15">
      <c r="A15" t="n">
        <v>2012</v>
      </c>
      <c r="B15" t="n">
        <v>5.5045447041189</v>
      </c>
      <c r="C15" t="n">
        <v>6.89695171050985</v>
      </c>
      <c r="D15" t="n">
        <v>5.45638755164772</v>
      </c>
      <c r="E15" t="inlineStr">
        <is>
          <t>NY.GDP.MKTP.KD.ZG</t>
        </is>
      </c>
      <c r="F15" t="inlineStr">
        <is>
          <t>https://api.worldbank.org/v2/country/VNM;PHL;IND/indicator/NY.GDP.MKTP.KD.ZG?format=json&amp;per_page=20000&amp;date=1960:2025</t>
        </is>
      </c>
    </row>
    <row r="16">
      <c r="A16" t="n">
        <v>2013</v>
      </c>
      <c r="B16" t="n">
        <v>5.55351081026072</v>
      </c>
      <c r="C16" t="n">
        <v>6.75053130142255</v>
      </c>
      <c r="D16" t="n">
        <v>6.38610640091713</v>
      </c>
      <c r="E16" t="inlineStr">
        <is>
          <t>NY.GDP.MKTP.KD.ZG</t>
        </is>
      </c>
      <c r="F16" t="inlineStr">
        <is>
          <t>https://api.worldbank.org/v2/country/VNM;PHL;IND/indicator/NY.GDP.MKTP.KD.ZG?format=json&amp;per_page=20000&amp;date=1960:2025</t>
        </is>
      </c>
    </row>
    <row r="17">
      <c r="A17" t="n">
        <v>2014</v>
      </c>
      <c r="B17" t="n">
        <v>6.42224312118567</v>
      </c>
      <c r="C17" t="n">
        <v>6.34798748260867</v>
      </c>
      <c r="D17" t="n">
        <v>7.41022760516977</v>
      </c>
      <c r="E17" t="inlineStr">
        <is>
          <t>NY.GDP.MKTP.KD.ZG</t>
        </is>
      </c>
      <c r="F17" t="inlineStr">
        <is>
          <t>https://api.worldbank.org/v2/country/VNM;PHL;IND/indicator/NY.GDP.MKTP.KD.ZG?format=json&amp;per_page=20000&amp;date=1960:2025</t>
        </is>
      </c>
    </row>
    <row r="18">
      <c r="A18" t="n">
        <v>2015</v>
      </c>
      <c r="B18" t="n">
        <v>6.98715430598611</v>
      </c>
      <c r="C18" t="n">
        <v>6.34830971672761</v>
      </c>
      <c r="D18" t="n">
        <v>7.99625378567987</v>
      </c>
      <c r="E18" t="inlineStr">
        <is>
          <t>NY.GDP.MKTP.KD.ZG</t>
        </is>
      </c>
      <c r="F18" t="inlineStr">
        <is>
          <t>https://api.worldbank.org/v2/country/VNM;PHL;IND/indicator/NY.GDP.MKTP.KD.ZG?format=json&amp;per_page=20000&amp;date=1960:2025</t>
        </is>
      </c>
    </row>
    <row r="19">
      <c r="A19" t="n">
        <v>2016</v>
      </c>
      <c r="B19" t="n">
        <v>6.69000892660424</v>
      </c>
      <c r="C19" t="n">
        <v>7.14945675000752</v>
      </c>
      <c r="D19" t="n">
        <v>8.25630550176662</v>
      </c>
      <c r="E19" t="inlineStr">
        <is>
          <t>NY.GDP.MKTP.KD.ZG</t>
        </is>
      </c>
      <c r="F19" t="inlineStr">
        <is>
          <t>https://api.worldbank.org/v2/country/VNM;PHL;IND/indicator/NY.GDP.MKTP.KD.ZG?format=json&amp;per_page=20000&amp;date=1960:2025</t>
        </is>
      </c>
    </row>
    <row r="20">
      <c r="A20" t="n">
        <v>2017</v>
      </c>
      <c r="B20" t="n">
        <v>6.94019037359206</v>
      </c>
      <c r="C20" t="n">
        <v>6.9309883258402</v>
      </c>
      <c r="D20" t="n">
        <v>6.79538341902422</v>
      </c>
      <c r="E20" t="inlineStr">
        <is>
          <t>NY.GDP.MKTP.KD.ZG</t>
        </is>
      </c>
      <c r="F20" t="inlineStr">
        <is>
          <t>https://api.worldbank.org/v2/country/VNM;PHL;IND/indicator/NY.GDP.MKTP.KD.ZG?format=json&amp;per_page=20000&amp;date=1960:2025</t>
        </is>
      </c>
    </row>
    <row r="21">
      <c r="A21" t="n">
        <v>2018</v>
      </c>
      <c r="B21" t="n">
        <v>7.46500685572751</v>
      </c>
      <c r="C21" t="n">
        <v>6.34148557153473</v>
      </c>
      <c r="D21" t="n">
        <v>6.45385134495295</v>
      </c>
      <c r="E21" t="inlineStr">
        <is>
          <t>NY.GDP.MKTP.KD.ZG</t>
        </is>
      </c>
      <c r="F21" t="inlineStr">
        <is>
          <t>https://api.worldbank.org/v2/country/VNM;PHL;IND/indicator/NY.GDP.MKTP.KD.ZG?format=json&amp;per_page=20000&amp;date=1960:2025</t>
        </is>
      </c>
    </row>
    <row r="22">
      <c r="A22" t="n">
        <v>2019</v>
      </c>
      <c r="B22" t="n">
        <v>7.35926270105006</v>
      </c>
      <c r="C22" t="n">
        <v>6.11852566221303</v>
      </c>
      <c r="D22" t="n">
        <v>3.87143694070524</v>
      </c>
      <c r="E22" t="inlineStr">
        <is>
          <t>NY.GDP.MKTP.KD.ZG</t>
        </is>
      </c>
      <c r="F22" t="inlineStr">
        <is>
          <t>https://api.worldbank.org/v2/country/VNM;PHL;IND/indicator/NY.GDP.MKTP.KD.ZG?format=json&amp;per_page=20000&amp;date=1960:2025</t>
        </is>
      </c>
    </row>
    <row r="23">
      <c r="A23" t="n">
        <v>2020</v>
      </c>
      <c r="B23" t="n">
        <v>2.86541320912272</v>
      </c>
      <c r="C23" t="n">
        <v>-9.518294740452969</v>
      </c>
      <c r="D23" t="n">
        <v>-5.77772470687303</v>
      </c>
      <c r="E23" t="inlineStr">
        <is>
          <t>NY.GDP.MKTP.KD.ZG</t>
        </is>
      </c>
      <c r="F23" t="inlineStr">
        <is>
          <t>https://api.worldbank.org/v2/country/VNM;PHL;IND/indicator/NY.GDP.MKTP.KD.ZG?format=json&amp;per_page=20000&amp;date=1960:2025</t>
        </is>
      </c>
    </row>
    <row r="24">
      <c r="A24" t="n">
        <v>2021</v>
      </c>
      <c r="B24" t="n">
        <v>2.55372852648131</v>
      </c>
      <c r="C24" t="n">
        <v>5.71473313185116</v>
      </c>
      <c r="D24" t="n">
        <v>9.689592491917409</v>
      </c>
      <c r="E24" t="inlineStr">
        <is>
          <t>NY.GDP.MKTP.KD.ZG</t>
        </is>
      </c>
      <c r="F24" t="inlineStr">
        <is>
          <t>https://api.worldbank.org/v2/country/VNM;PHL;IND/indicator/NY.GDP.MKTP.KD.ZG?format=json&amp;per_page=20000&amp;date=1960:2025</t>
        </is>
      </c>
    </row>
    <row r="25">
      <c r="A25" t="n">
        <v>2022</v>
      </c>
      <c r="B25" t="n">
        <v>8.537500412181419</v>
      </c>
      <c r="C25" t="n">
        <v>7.58098212785563</v>
      </c>
      <c r="D25" t="n">
        <v>7.6093649776932</v>
      </c>
      <c r="E25" t="inlineStr">
        <is>
          <t>NY.GDP.MKTP.KD.ZG</t>
        </is>
      </c>
      <c r="F25" t="inlineStr">
        <is>
          <t>https://api.worldbank.org/v2/country/VNM;PHL;IND/indicator/NY.GDP.MKTP.KD.ZG?format=json&amp;per_page=20000&amp;date=1960:2025</t>
        </is>
      </c>
    </row>
    <row r="26">
      <c r="A26" t="n">
        <v>2023</v>
      </c>
      <c r="B26" t="n">
        <v>4.97865959483225</v>
      </c>
      <c r="C26" t="n">
        <v>5.51894967856043</v>
      </c>
      <c r="D26" t="n">
        <v>7.210224629335</v>
      </c>
      <c r="E26" t="inlineStr">
        <is>
          <t>NY.GDP.MKTP.KD.ZG</t>
        </is>
      </c>
      <c r="F26" t="inlineStr">
        <is>
          <t>https://api.worldbank.org/v2/country/VNM;PHL;IND/indicator/NY.GDP.MKTP.KD.ZG?format=json&amp;per_page=20000&amp;date=1960:2025</t>
        </is>
      </c>
    </row>
    <row r="27">
      <c r="A27" t="n">
        <v>2024</v>
      </c>
      <c r="B27" t="n">
        <v>7.03955197123018</v>
      </c>
      <c r="C27" t="n">
        <v>5.71474526128652</v>
      </c>
      <c r="D27" t="n">
        <v>7.09927893176518</v>
      </c>
      <c r="E27" t="inlineStr">
        <is>
          <t>NY.GDP.MKTP.KD.ZG</t>
        </is>
      </c>
      <c r="F27" t="inlineStr">
        <is>
          <t>https://api.worldbank.org/v2/country/VNM;PHL;IND/indicator/NY.GDP.MKTP.KD.ZG?format=json&amp;per_page=20000&amp;date=1960:2025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Q1 - Lilliefors normality test: Viet Nam CPI inflation 1996-2025 (n = 30)</t>
        </is>
      </c>
      <c r="B1" s="2" t="n"/>
    </row>
    <row r="2">
      <c r="A2" s="3" t="inlineStr">
        <is>
          <t>Ringkasan</t>
        </is>
      </c>
      <c r="B2" s="3" t="inlineStr">
        <is>
          <t>Hasil</t>
        </is>
      </c>
    </row>
    <row r="3">
      <c r="A3" s="2" t="inlineStr">
        <is>
          <t>N observasi</t>
        </is>
      </c>
      <c r="B3" s="2">
        <f>Q1_calc!K4</f>
        <v/>
      </c>
    </row>
    <row r="4">
      <c r="A4" s="2" t="inlineStr">
        <is>
          <t>Rata-rata (%)</t>
        </is>
      </c>
      <c r="B4" s="2">
        <f>Q1_calc!K2</f>
        <v/>
      </c>
    </row>
    <row r="5">
      <c r="A5" s="2" t="inlineStr">
        <is>
          <t>Simpangan baku sampel</t>
        </is>
      </c>
      <c r="B5" s="2">
        <f>Q1_calc!K3</f>
        <v/>
      </c>
    </row>
    <row r="6">
      <c r="A6" s="2" t="inlineStr">
        <is>
          <t>Statistik D Lilliefors</t>
        </is>
      </c>
      <c r="B6" s="2">
        <f>Q1_calc!K5</f>
        <v/>
      </c>
    </row>
    <row r="7">
      <c r="A7" s="2" t="inlineStr">
        <is>
          <t>Nilai kritis 5% (n=30)</t>
        </is>
      </c>
      <c r="B7" s="2">
        <f>Q1_calc!K6</f>
        <v/>
      </c>
    </row>
    <row r="8">
      <c r="A8" s="2" t="inlineStr">
        <is>
          <t>p-value (statsmodels, tabel Lilliefors)</t>
        </is>
      </c>
      <c r="B8" s="2" t="n">
        <v>0.0016886936018536</v>
      </c>
    </row>
    <row r="9">
      <c r="A9" s="2" t="inlineStr">
        <is>
          <t>Keputusan</t>
        </is>
      </c>
      <c r="B9" s="2">
        <f>Q1_calc!K7</f>
        <v/>
      </c>
    </row>
    <row r="10">
      <c r="A10" s="2" t="n"/>
      <c r="B10" s="2" t="n"/>
    </row>
    <row r="11">
      <c r="A11" s="2" t="inlineStr">
        <is>
          <t>Cek tambahan</t>
        </is>
      </c>
      <c r="B11" s="2" t="inlineStr">
        <is>
          <t>Shapiro-Wilk W = 0.795, p = 0.00005; Jarque-Bera p &lt; 0.001; Lilliefors pada log(1+inflasi): D = 0.208, p = 0.0022; autokorelasi lag-1 = 0.44.</t>
        </is>
      </c>
    </row>
    <row r="12">
      <c r="A12" s="2" t="inlineStr">
        <is>
          <t>Interpretasi</t>
        </is>
      </c>
      <c r="B12" s="2" t="inlineStr">
        <is>
          <t>H0 normalitas ditolak. Penyebab: ekor kanan berat (lonjakan 2008 = 23.1%, 2011 = 18.7%). Karena inflasi berautokorelasi positif, observasi tidak independen sehingga p-value hanya indikatif. Implikasi: gunakan kuantil/bootstrap, bukan mean +/- 1.96 s; waspadai risiko ekor inflasi. Data terurut, F empiris dan F teoretis lengkap ada di sheet Q1_calc.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Q2 - Chi-square 2x2: pengangguran vs bekerja, Viet Nam vs Philippines, 2024 (ILOSTAT, usia 15+)</t>
        </is>
      </c>
      <c r="B1" s="2" t="n"/>
      <c r="C1" s="2" t="n"/>
      <c r="D1" s="2" t="n"/>
      <c r="E1" s="2" t="n"/>
    </row>
    <row r="2">
      <c r="A2" s="3" t="inlineStr">
        <is>
          <t>Negara</t>
        </is>
      </c>
      <c r="B2" s="3" t="inlineStr">
        <is>
          <t>Menganggur (orang)</t>
        </is>
      </c>
      <c r="C2" s="3" t="inlineStr">
        <is>
          <t>Bekerja (orang)</t>
        </is>
      </c>
      <c r="D2" s="3" t="inlineStr">
        <is>
          <t>Total</t>
        </is>
      </c>
      <c r="E2" s="3" t="inlineStr">
        <is>
          <t>Tingkat pengangguran</t>
        </is>
      </c>
    </row>
    <row r="3">
      <c r="A3" s="2" t="inlineStr">
        <is>
          <t>Viet Nam</t>
        </is>
      </c>
      <c r="B3" s="2" t="n">
        <v>858467</v>
      </c>
      <c r="C3" s="2" t="n">
        <v>55280158</v>
      </c>
      <c r="D3" s="2">
        <f>B3+C3</f>
        <v/>
      </c>
      <c r="E3" s="2">
        <f>B3/D3</f>
        <v/>
      </c>
    </row>
    <row r="4">
      <c r="A4" s="2" t="inlineStr">
        <is>
          <t>Philippines</t>
        </is>
      </c>
      <c r="B4" s="2" t="n">
        <v>1147686</v>
      </c>
      <c r="C4" s="2" t="n">
        <v>47524318</v>
      </c>
      <c r="D4" s="2">
        <f>B4+C4</f>
        <v/>
      </c>
      <c r="E4" s="2">
        <f>B4/D4</f>
        <v/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Chi-square Pearson</t>
        </is>
      </c>
      <c r="B6" s="2" t="n">
        <v>95384.78614425614</v>
      </c>
      <c r="C6" s="2" t="n"/>
      <c r="D6" s="2" t="n"/>
      <c r="E6" s="2" t="n"/>
    </row>
    <row r="7">
      <c r="A7" s="2" t="inlineStr">
        <is>
          <t>df</t>
        </is>
      </c>
      <c r="B7" s="2" t="n">
        <v>1</v>
      </c>
      <c r="C7" s="2" t="n"/>
      <c r="D7" s="2" t="n"/>
      <c r="E7" s="2" t="n"/>
    </row>
    <row r="8">
      <c r="A8" s="2" t="inlineStr">
        <is>
          <t>p-value</t>
        </is>
      </c>
      <c r="B8" s="2" t="inlineStr">
        <is>
          <t>&lt; 0.001 (underflow ke 0)</t>
        </is>
      </c>
      <c r="C8" s="2" t="n"/>
      <c r="D8" s="2" t="n"/>
      <c r="E8" s="2" t="n"/>
    </row>
    <row r="9">
      <c r="A9" s="2" t="inlineStr">
        <is>
          <t>Cramer's V</t>
        </is>
      </c>
      <c r="B9" s="2" t="n">
        <v>0.03016733121193789</v>
      </c>
      <c r="C9" s="2" t="n"/>
      <c r="D9" s="2" t="n"/>
      <c r="E9" s="2" t="n"/>
    </row>
    <row r="10">
      <c r="A10" s="2" t="inlineStr">
        <is>
          <t>Chi-square Yates</t>
        </is>
      </c>
      <c r="B10" s="2" t="n">
        <v>95384.34468715586</v>
      </c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inlineStr">
        <is>
          <t>Sensitivitas (n efektif ASUMSI, bukan data)</t>
        </is>
      </c>
      <c r="B12" s="2" t="inlineStr">
        <is>
          <t>n efektif per negara</t>
        </is>
      </c>
      <c r="C12" s="2" t="inlineStr">
        <is>
          <t>chi-square</t>
        </is>
      </c>
      <c r="D12" s="2" t="inlineStr">
        <is>
          <t>p-value</t>
        </is>
      </c>
      <c r="E12" s="2" t="n"/>
    </row>
    <row r="13">
      <c r="A13" s="2" t="inlineStr"/>
      <c r="B13" s="2" t="n">
        <v>2000</v>
      </c>
      <c r="C13" s="2" t="n">
        <v>3.604349846289074</v>
      </c>
      <c r="D13" s="2" t="n">
        <v>0.0576285980891942</v>
      </c>
      <c r="E13" s="2" t="n"/>
    </row>
    <row r="14">
      <c r="A14" s="2" t="inlineStr"/>
      <c r="B14" s="2" t="n">
        <v>10000</v>
      </c>
      <c r="C14" s="2" t="n">
        <v>18.02174923144538</v>
      </c>
      <c r="D14" s="2" t="n">
        <v>2.183955274989869e-05</v>
      </c>
      <c r="E14" s="2" t="n"/>
    </row>
    <row r="15">
      <c r="A15" s="2" t="inlineStr"/>
      <c r="B15" s="2" t="n">
        <v>50000</v>
      </c>
      <c r="C15" s="2" t="n">
        <v>90.1087461572269</v>
      </c>
      <c r="D15" s="2" t="n">
        <v>2.254230021297768e-21</v>
      </c>
      <c r="E15" s="2" t="n"/>
    </row>
    <row r="16">
      <c r="A16" s="2" t="inlineStr"/>
      <c r="B16" s="2" t="n">
        <v>200000</v>
      </c>
      <c r="C16" s="2" t="n">
        <v>360.4349846289076</v>
      </c>
      <c r="D16" s="2" t="n">
        <v>2.263953306780347e-80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inlineStr">
        <is>
          <t>Catatan</t>
        </is>
      </c>
      <c r="B18" s="2" t="inlineStr">
        <is>
          <t>Hitungan ILO adalah estimasi survei berbobot (ribuan orang x 1000), bukan jumlah responden; N = 105 juta membuat p-value selalu ~0. Arah selisih (VN lebih rendah ~0.83 poin persen) stabil, tetapi signifikansi bergantung pada n efektif yang tidak diketahui; uji yang tepat adalah Rao-Scott pada data mikro. Perhitungan dengan rumus hidup: sheet Q2_calc.</t>
        </is>
      </c>
      <c r="C18" s="2" t="n"/>
      <c r="D18" s="2" t="n"/>
      <c r="E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Q3 - Chi-square independensi 2x3: negara x sektor pekerjaan, 2024 (ILOSTAT)</t>
        </is>
      </c>
      <c r="B1" s="2" t="n"/>
      <c r="C1" s="2" t="n"/>
      <c r="D1" s="2" t="n"/>
      <c r="E1" s="2" t="n"/>
    </row>
    <row r="2">
      <c r="A2" s="3" t="inlineStr">
        <is>
          <t>Negara</t>
        </is>
      </c>
      <c r="B2" s="3" t="inlineStr">
        <is>
          <t>Pertanian</t>
        </is>
      </c>
      <c r="C2" s="3" t="inlineStr">
        <is>
          <t>Industri</t>
        </is>
      </c>
      <c r="D2" s="3" t="inlineStr">
        <is>
          <t>Jasa</t>
        </is>
      </c>
      <c r="E2" s="3" t="inlineStr">
        <is>
          <t>Total</t>
        </is>
      </c>
    </row>
    <row r="3">
      <c r="A3" s="2" t="inlineStr">
        <is>
          <t>Viet Nam</t>
        </is>
      </c>
      <c r="B3" s="2" t="n">
        <v>13637057</v>
      </c>
      <c r="C3" s="2" t="n">
        <v>17131226</v>
      </c>
      <c r="D3" s="2" t="n">
        <v>20666543</v>
      </c>
      <c r="E3" s="2">
        <f>SUM(B3:D3)</f>
        <v/>
      </c>
    </row>
    <row r="4">
      <c r="A4" s="2" t="inlineStr">
        <is>
          <t>Philippines</t>
        </is>
      </c>
      <c r="B4" s="2" t="n">
        <v>9858510</v>
      </c>
      <c r="C4" s="2" t="n">
        <v>8649772</v>
      </c>
      <c r="D4" s="2" t="n">
        <v>29016036</v>
      </c>
      <c r="E4" s="2">
        <f>SUM(B4:D4)</f>
        <v/>
      </c>
    </row>
    <row r="5">
      <c r="A5" s="2" t="n"/>
      <c r="B5" s="2" t="n"/>
      <c r="C5" s="2" t="n"/>
      <c r="D5" s="2" t="n"/>
      <c r="E5" s="2" t="n"/>
    </row>
    <row r="6">
      <c r="A6" s="2" t="inlineStr">
        <is>
          <t>Chi-square Pearson</t>
        </is>
      </c>
      <c r="B6" s="2" t="n">
        <v>4653826.747606418</v>
      </c>
      <c r="C6" s="2" t="n"/>
      <c r="D6" s="2" t="n"/>
      <c r="E6" s="2" t="n"/>
    </row>
    <row r="7">
      <c r="A7" s="2" t="inlineStr">
        <is>
          <t>df</t>
        </is>
      </c>
      <c r="B7" s="2" t="n">
        <v>2</v>
      </c>
      <c r="C7" s="2" t="n"/>
      <c r="D7" s="2" t="n"/>
      <c r="E7" s="2" t="n"/>
    </row>
    <row r="8">
      <c r="A8" s="2" t="inlineStr">
        <is>
          <t>p-value</t>
        </is>
      </c>
      <c r="B8" s="2" t="inlineStr">
        <is>
          <t>&lt; 0.001</t>
        </is>
      </c>
      <c r="C8" s="2" t="n"/>
      <c r="D8" s="2" t="n"/>
      <c r="E8" s="2" t="n"/>
    </row>
    <row r="9">
      <c r="A9" s="2" t="inlineStr">
        <is>
          <t>Cramer's V</t>
        </is>
      </c>
      <c r="B9" s="2" t="n">
        <v>0.2168588451606546</v>
      </c>
      <c r="C9" s="2" t="n"/>
      <c r="D9" s="2" t="n"/>
      <c r="E9" s="2" t="n"/>
    </row>
    <row r="10">
      <c r="A10" s="2" t="inlineStr">
        <is>
          <t>Min. expected count</t>
        </is>
      </c>
      <c r="B10" s="2" t="n">
        <v>11283553.5208177</v>
      </c>
      <c r="C10" s="2" t="n"/>
      <c r="D10" s="2" t="n"/>
      <c r="E10" s="2" t="n"/>
    </row>
    <row r="11">
      <c r="A11" s="2" t="inlineStr">
        <is>
          <t>Robustness 2x4 (+ tidak terklasifikasi VN = 3,845,332)</t>
        </is>
      </c>
      <c r="B11" s="2" t="inlineStr">
        <is>
          <t>chi-square = 8107444, df = 3, V = 0.281</t>
        </is>
      </c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inlineStr">
        <is>
          <t>Catatan</t>
        </is>
      </c>
      <c r="B13" s="2" t="inlineStr">
        <is>
          <t>Pekerja VN 'tidak terklasifikasi' (6.96%) dikeluarkan dari uji utama. Tidak ada sel kecil (E min &gt; 11 juta). p-value ~0 karena data berbobot nasional; ukuran efek V = 0.22 yang informatif. Keputusan: sourcing manufaktur di Viet Nam (industri 33.3% vs 18.2%), staffing layanan/BPO di Philippines (jasa 61.1%). Rumus hidup: sheet Q3_calc.</t>
        </is>
      </c>
      <c r="C13" s="2" t="n"/>
      <c r="D13" s="2" t="n"/>
      <c r="E1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22" customWidth="1" min="5" max="5"/>
  </cols>
  <sheetData>
    <row r="1">
      <c r="A1" s="1" t="inlineStr">
        <is>
          <t>Q4 - One-way ANOVA GDP growth 2000-2024 (rumus hidup dari sheet GDP Growth)</t>
        </is>
      </c>
      <c r="B1" s="2" t="n"/>
      <c r="C1" s="2" t="n"/>
      <c r="D1" s="2" t="n"/>
      <c r="E1" s="2" t="n"/>
    </row>
    <row r="2">
      <c r="A2" s="3" t="inlineStr">
        <is>
          <t>Negara</t>
        </is>
      </c>
      <c r="B2" s="3" t="inlineStr">
        <is>
          <t>N</t>
        </is>
      </c>
      <c r="C2" s="3" t="inlineStr">
        <is>
          <t>Rata-rata (%)</t>
        </is>
      </c>
      <c r="D2" s="3" t="inlineStr">
        <is>
          <t>SD sampel</t>
        </is>
      </c>
      <c r="E2" s="3" t="inlineStr">
        <is>
          <t>SS dalam kelompok</t>
        </is>
      </c>
    </row>
    <row r="3">
      <c r="A3" s="2" t="inlineStr">
        <is>
          <t>Viet Nam</t>
        </is>
      </c>
      <c r="B3" s="2">
        <f>COUNT('GDP Growth'!B3:B27)</f>
        <v/>
      </c>
      <c r="C3" s="2">
        <f>AVERAGE('GDP Growth'!B3:B27)</f>
        <v/>
      </c>
      <c r="D3" s="2">
        <f>STDEV('GDP Growth'!B3:B27)</f>
        <v/>
      </c>
      <c r="E3" s="2">
        <f>DEVSQ('GDP Growth'!B3:B27)</f>
        <v/>
      </c>
    </row>
    <row r="4">
      <c r="A4" s="2" t="inlineStr">
        <is>
          <t>Philippines</t>
        </is>
      </c>
      <c r="B4" s="2">
        <f>COUNT('GDP Growth'!C3:C27)</f>
        <v/>
      </c>
      <c r="C4" s="2">
        <f>AVERAGE('GDP Growth'!C3:C27)</f>
        <v/>
      </c>
      <c r="D4" s="2">
        <f>STDEV('GDP Growth'!C3:C27)</f>
        <v/>
      </c>
      <c r="E4" s="2">
        <f>DEVSQ('GDP Growth'!C3:C27)</f>
        <v/>
      </c>
    </row>
    <row r="5">
      <c r="A5" s="2" t="inlineStr">
        <is>
          <t>India</t>
        </is>
      </c>
      <c r="B5" s="2">
        <f>COUNT('GDP Growth'!D3:D27)</f>
        <v/>
      </c>
      <c r="C5" s="2">
        <f>AVERAGE('GDP Growth'!D3:D27)</f>
        <v/>
      </c>
      <c r="D5" s="2">
        <f>STDEV('GDP Growth'!D3:D27)</f>
        <v/>
      </c>
      <c r="E5" s="2">
        <f>DEVSQ('GDP Growth'!D3:D27)</f>
        <v/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Rata-rata keseluruhan</t>
        </is>
      </c>
      <c r="B7" s="2">
        <f>AVERAGE('GDP Growth'!B3:D27)</f>
        <v/>
      </c>
      <c r="C7" s="2" t="n"/>
      <c r="D7" s="2" t="n"/>
      <c r="E7" s="2" t="n"/>
    </row>
    <row r="8">
      <c r="A8" s="2" t="inlineStr">
        <is>
          <t>SS antar kelompok</t>
        </is>
      </c>
      <c r="B8" s="2">
        <f>B3*(C3-B7)^2+B4*(C4-B7)^2+B5*(C5-B7)^2</f>
        <v/>
      </c>
      <c r="C8" s="2" t="n"/>
      <c r="D8" s="2" t="n"/>
      <c r="E8" s="2" t="n"/>
    </row>
    <row r="9">
      <c r="A9" s="2" t="inlineStr">
        <is>
          <t>SS dalam kelompok</t>
        </is>
      </c>
      <c r="B9" s="2">
        <f>SUM(E3:E5)</f>
        <v/>
      </c>
      <c r="C9" s="2" t="n"/>
      <c r="D9" s="2" t="n"/>
      <c r="E9" s="2" t="n"/>
    </row>
    <row r="10">
      <c r="A10" s="2" t="inlineStr">
        <is>
          <t>F ANOVA</t>
        </is>
      </c>
      <c r="B10" s="2">
        <f>(B8/2)/(B9/72)</f>
        <v/>
      </c>
      <c r="C10" s="2" t="n"/>
      <c r="D10" s="2" t="n"/>
      <c r="E10" s="2" t="n"/>
    </row>
    <row r="11">
      <c r="A11" s="2" t="inlineStr">
        <is>
          <t>p-value ANOVA</t>
        </is>
      </c>
      <c r="B11" s="2">
        <f>FDIST(B10,2,72)</f>
        <v/>
      </c>
      <c r="C11" s="2" t="n"/>
      <c r="D11" s="2" t="n"/>
      <c r="E11" s="2" t="n"/>
    </row>
    <row r="12">
      <c r="A12" s="2" t="inlineStr">
        <is>
          <t>eta kuadrat</t>
        </is>
      </c>
      <c r="B12" s="2">
        <f>B8/(B8+B9)</f>
        <v/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inlineStr">
        <is>
          <t>Uji lain (dari skrip Python, hasil sama dalam laporan)</t>
        </is>
      </c>
      <c r="B14" s="2" t="inlineStr">
        <is>
          <t>Statistik</t>
        </is>
      </c>
      <c r="C14" s="2" t="inlineStr">
        <is>
          <t>p-value</t>
        </is>
      </c>
      <c r="D14" s="2" t="n"/>
      <c r="E14" s="2" t="n"/>
    </row>
    <row r="15">
      <c r="A15" s="2" t="inlineStr">
        <is>
          <t>Welch ANOVA</t>
        </is>
      </c>
      <c r="B15" s="2" t="n">
        <v>1.709984406872304</v>
      </c>
      <c r="C15" s="2" t="n">
        <v>0.1936303535900414</v>
      </c>
      <c r="D15" s="2" t="n"/>
      <c r="E15" s="2" t="n"/>
    </row>
    <row r="16">
      <c r="A16" s="2" t="inlineStr">
        <is>
          <t>Kruskal-Wallis (UTAMA: normalitas ditolak)</t>
        </is>
      </c>
      <c r="B16" s="2" t="n">
        <v>8.173305263157914</v>
      </c>
      <c r="C16" s="2" t="n">
        <v>0.01679535982562673</v>
      </c>
      <c r="D16" s="2" t="n"/>
      <c r="E16" s="2" t="n"/>
    </row>
    <row r="17">
      <c r="A17" s="2" t="inlineStr">
        <is>
          <t>Friedman (tahun sebagai blok)</t>
        </is>
      </c>
      <c r="B17" s="2" t="n">
        <v>10.31999999999999</v>
      </c>
      <c r="C17" s="2" t="n">
        <v>0.005741699685654225</v>
      </c>
      <c r="D17" s="2" t="n"/>
      <c r="E17" s="2" t="n"/>
    </row>
    <row r="18">
      <c r="A18" s="2" t="inlineStr">
        <is>
          <t>Levene (median)</t>
        </is>
      </c>
      <c r="B18" s="2" t="n">
        <v>1.115857713413251</v>
      </c>
      <c r="C18" s="2" t="n">
        <v>0.3332329871096063</v>
      </c>
      <c r="D18" s="2" t="n"/>
      <c r="E18" s="2" t="n"/>
    </row>
    <row r="19">
      <c r="A19" s="2" t="inlineStr">
        <is>
          <t>Bartlett</t>
        </is>
      </c>
      <c r="B19" s="2" t="n">
        <v>18.22173264290231</v>
      </c>
      <c r="C19" s="2" t="n">
        <v>0.0001104589806842501</v>
      </c>
      <c r="D19" s="2" t="n"/>
      <c r="E19" s="2" t="n"/>
    </row>
    <row r="20">
      <c r="A20" s="2" t="inlineStr">
        <is>
          <t>Post-hoc Dunn-Holm: PHL-IND</t>
        </is>
      </c>
      <c r="B20" s="2" t="n">
        <v>-2.809675013984807</v>
      </c>
      <c r="C20" s="2" t="n">
        <v>0.01487746439225179</v>
      </c>
      <c r="D20" s="2" t="n"/>
      <c r="E20" s="2" t="n"/>
    </row>
    <row r="21">
      <c r="A21" s="2" t="inlineStr">
        <is>
          <t>Post-hoc Dunn-Holm: VNM-PHL</t>
        </is>
      </c>
      <c r="B21" s="2" t="n">
        <v>1.862301914581155</v>
      </c>
      <c r="C21" s="2" t="n">
        <v>0.1251210915403886</v>
      </c>
      <c r="D21" s="2" t="n"/>
      <c r="E21" s="2" t="n"/>
    </row>
    <row r="22">
      <c r="A22" s="2" t="inlineStr">
        <is>
          <t>Post-hoc Dunn-Holm: VNM-IND</t>
        </is>
      </c>
      <c r="B22" s="2" t="n">
        <v>-0.9473730994036527</v>
      </c>
      <c r="C22" s="2" t="n">
        <v>0.3434486937427281</v>
      </c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inlineStr">
        <is>
          <t>Kesimpulan</t>
        </is>
      </c>
      <c r="B24" s="2" t="inlineStr">
        <is>
          <t>Normalitas ditolak di ketiga kelompok; ANOVA/Welch tidak signifikan (p = 0.162/0.194), tetapi Kruskal-Wallis signifikan (p = 0.017) dan Friedman p = 0.006: distribusi pertumbuhan berbeda, terutama Philippines vs India. Tanpa 2020-2021, ANOVA signifikan (p = 0.020): hasil sensitif terhadap COVID. Antar-tahun dan antar-negara tidak independen (guncangan global sama).</t>
        </is>
      </c>
      <c r="C24" s="2" t="n"/>
      <c r="D24" s="2" t="n"/>
      <c r="E2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4" customWidth="1" min="4" max="4"/>
    <col width="24" customWidth="1" min="5" max="5"/>
  </cols>
  <sheetData>
    <row r="1">
      <c r="A1" s="1" t="inlineStr">
        <is>
          <t>Q5 - Regresi GDP growth Viet Nam ~ investasi + inflasi (1996-2025, n = 30); data: sheet Q5_data</t>
        </is>
      </c>
      <c r="B1" s="2" t="n"/>
      <c r="C1" s="2" t="n"/>
      <c r="D1" s="2" t="n"/>
      <c r="E1" s="2" t="n"/>
    </row>
    <row r="2">
      <c r="A2" s="3" t="inlineStr">
        <is>
          <t>Istilah</t>
        </is>
      </c>
      <c r="B2" s="3" t="inlineStr">
        <is>
          <t>Koefisien</t>
        </is>
      </c>
      <c r="C2" s="3" t="inlineStr">
        <is>
          <t>Std. error</t>
        </is>
      </c>
      <c r="D2" s="3" t="inlineStr">
        <is>
          <t>t</t>
        </is>
      </c>
      <c r="E2" s="3" t="inlineStr">
        <is>
          <t>p-value</t>
        </is>
      </c>
    </row>
    <row r="3">
      <c r="A3" s="2" t="inlineStr">
        <is>
          <t>Intersep</t>
        </is>
      </c>
      <c r="B3" s="2" t="n">
        <v>7.212019722821104</v>
      </c>
      <c r="C3" s="2" t="n">
        <v>3.334437385148578</v>
      </c>
      <c r="D3" s="2" t="n">
        <v>2.162889534211405</v>
      </c>
      <c r="E3" s="2" t="n">
        <v>0.03957042000089311</v>
      </c>
    </row>
    <row r="4">
      <c r="A4" s="2" t="inlineStr">
        <is>
          <t>Investasi (% PDB) X1</t>
        </is>
      </c>
      <c r="B4" s="2" t="n">
        <v>-0.0217621222408393</v>
      </c>
      <c r="C4" s="2" t="n">
        <v>0.1064370334643586</v>
      </c>
      <c r="D4" s="2" t="n">
        <v>-0.2044600599294845</v>
      </c>
      <c r="E4" s="2" t="n">
        <v>0.8395274398209296</v>
      </c>
    </row>
    <row r="5">
      <c r="A5" s="2" t="inlineStr">
        <is>
          <t>Inflasi (%) X2</t>
        </is>
      </c>
      <c r="B5" s="2" t="n">
        <v>-0.006083044678512579</v>
      </c>
      <c r="C5" s="2" t="n">
        <v>0.06072460087050683</v>
      </c>
      <c r="D5" s="2" t="n">
        <v>-0.1001743048337933</v>
      </c>
      <c r="E5" s="2" t="n">
        <v>0.9209460770435896</v>
      </c>
    </row>
    <row r="6">
      <c r="A6" s="2" t="n"/>
      <c r="B6" s="2" t="n"/>
      <c r="C6" s="2" t="n"/>
      <c r="D6" s="2" t="n"/>
      <c r="E6" s="2" t="n"/>
    </row>
    <row r="7">
      <c r="A7" s="2" t="inlineStr">
        <is>
          <t>R2</t>
        </is>
      </c>
      <c r="B7" s="2" t="n">
        <v>0.002993548216389863</v>
      </c>
      <c r="C7" s="2" t="n"/>
      <c r="D7" s="2" t="n"/>
      <c r="E7" s="2" t="n"/>
    </row>
    <row r="8">
      <c r="A8" s="2" t="inlineStr">
        <is>
          <t>Adjusted R2</t>
        </is>
      </c>
      <c r="B8" s="2" t="n">
        <v>-0.07085878154535918</v>
      </c>
      <c r="C8" s="2" t="n"/>
      <c r="D8" s="2" t="n"/>
      <c r="E8" s="2" t="n"/>
    </row>
    <row r="9">
      <c r="A9" s="2" t="inlineStr">
        <is>
          <t>F model (df 2, 27)</t>
        </is>
      </c>
      <c r="B9" s="2" t="n">
        <v>0.04053424212949186</v>
      </c>
      <c r="C9" s="2" t="n"/>
      <c r="D9" s="2" t="n"/>
      <c r="E9" s="2" t="n"/>
    </row>
    <row r="10">
      <c r="A10" s="2" t="inlineStr">
        <is>
          <t>p F model</t>
        </is>
      </c>
      <c r="B10" s="2" t="n">
        <v>0.9603346025791247</v>
      </c>
      <c r="C10" s="2" t="n"/>
      <c r="D10" s="2" t="n"/>
      <c r="E10" s="2" t="n"/>
    </row>
    <row r="11">
      <c r="A11" s="2" t="inlineStr">
        <is>
          <t>VIF X1 / X2</t>
        </is>
      </c>
      <c r="B11" s="2" t="inlineStr">
        <is>
          <t>1.19 / 1.19</t>
        </is>
      </c>
      <c r="C11" s="2" t="n"/>
      <c r="D11" s="2" t="n"/>
      <c r="E11" s="2" t="n"/>
    </row>
    <row r="12">
      <c r="A12" s="2" t="inlineStr">
        <is>
          <t>Breusch-Pagan p</t>
        </is>
      </c>
      <c r="B12" s="2" t="n">
        <v>0.5137117007850063</v>
      </c>
      <c r="C12" s="2" t="n"/>
      <c r="D12" s="2" t="n"/>
      <c r="E12" s="2" t="n"/>
    </row>
    <row r="13">
      <c r="A13" s="2" t="inlineStr">
        <is>
          <t>Durbin-Watson</t>
        </is>
      </c>
      <c r="B13" s="2" t="n">
        <v>1.529141297174234</v>
      </c>
      <c r="C13" s="2" t="n"/>
      <c r="D13" s="2" t="n"/>
      <c r="E13" s="2" t="n"/>
    </row>
    <row r="14">
      <c r="A14" s="2" t="inlineStr">
        <is>
          <t>Breusch-Godfrey(1) p</t>
        </is>
      </c>
      <c r="B14" s="2" t="n">
        <v>0.3762160887070652</v>
      </c>
      <c r="C14" s="2" t="n"/>
      <c r="D14" s="2" t="n"/>
      <c r="E14" s="2" t="n"/>
    </row>
    <row r="15">
      <c r="A15" s="2" t="inlineStr">
        <is>
          <t>Shapiro-Wilk residual p</t>
        </is>
      </c>
      <c r="B15" s="2" t="n">
        <v>0.06769856294255723</v>
      </c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inlineStr">
        <is>
          <t>Model kuadratik</t>
        </is>
      </c>
      <c r="B17" s="2" t="inlineStr">
        <is>
          <t>R2</t>
        </is>
      </c>
      <c r="C17" s="2" t="inlineStr">
        <is>
          <t>Adj. R2</t>
        </is>
      </c>
      <c r="D17" s="2" t="inlineStr">
        <is>
          <t>AIC</t>
        </is>
      </c>
      <c r="E17" s="2" t="inlineStr">
        <is>
          <t>p suku kuadrat (F nested)</t>
        </is>
      </c>
    </row>
    <row r="18">
      <c r="A18" s="2" t="inlineStr">
        <is>
          <t>Linear</t>
        </is>
      </c>
      <c r="B18" s="2" t="n">
        <v>0.002993548216389863</v>
      </c>
      <c r="C18" s="2" t="n">
        <v>-0.07085878154535918</v>
      </c>
      <c r="D18" s="2" t="n">
        <v>112.4682822688367</v>
      </c>
      <c r="E18" s="2" t="inlineStr">
        <is>
          <t>-</t>
        </is>
      </c>
    </row>
    <row r="19">
      <c r="A19" s="2" t="inlineStr">
        <is>
          <t>+ Inflasi^2</t>
        </is>
      </c>
      <c r="B19" s="2" t="n">
        <v>0.01859048334397173</v>
      </c>
      <c r="C19" s="2" t="n">
        <v>-0.09464907627018548</v>
      </c>
      <c r="D19" s="2" t="n">
        <v>113.9952596535757</v>
      </c>
      <c r="E19" s="2" t="n">
        <v>0.5259774929608324</v>
      </c>
    </row>
    <row r="20">
      <c r="A20" s="2" t="inlineStr">
        <is>
          <t>+ Investasi^2</t>
        </is>
      </c>
      <c r="B20" s="2" t="n">
        <v>0.01985443632640682</v>
      </c>
      <c r="C20" s="2" t="n">
        <v>-0.09323928255900782</v>
      </c>
      <c r="D20" s="2" t="n">
        <v>113.9565978845524</v>
      </c>
      <c r="E20" s="2" t="n">
        <v>0.5095323461769858</v>
      </c>
    </row>
    <row r="21">
      <c r="A21" s="2" t="n"/>
      <c r="B21" s="2" t="n"/>
      <c r="C21" s="2" t="n"/>
      <c r="D21" s="2" t="n"/>
      <c r="E21" s="2" t="n"/>
    </row>
    <row r="22">
      <c r="A22" s="2" t="inlineStr">
        <is>
          <t>Interpretasi</t>
        </is>
      </c>
      <c r="B22" s="2" t="inlineStr">
        <is>
          <t>Tidak ada prediktor signifikan, F-test tidak menolak H0, R2 ~ 0.003; asumsi terpenuhi sehingga masalahnya adalah ketiadaan sinyal, bukan pelanggaran asumsi. Suku kuadrat tidak signifikan. Asosiasi bukan kausalitas. Rekomendasi: jangan menentukan waktu investasi/harga dari prediktor makro ini; investasi bertahap + klausul indeksasi harga.</t>
        </is>
      </c>
      <c r="C22" s="2" t="n"/>
      <c r="D22" s="2" t="n"/>
      <c r="E2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0" customWidth="1" min="4" max="4"/>
  </cols>
  <sheetData>
    <row r="1">
      <c r="A1" s="4" t="inlineStr">
        <is>
          <t>Q6 - Ekspor barang &amp; jasa Viet Nam (US$ miliar, NE.EXP.GNFS.CD), 1986-2025; holdout 2021-2025</t>
        </is>
      </c>
      <c r="B1" s="5" t="n"/>
      <c r="C1" s="5" t="n"/>
      <c r="D1" s="5" t="n"/>
    </row>
    <row r="2">
      <c r="A2" s="6" t="inlineStr">
        <is>
          <t>Tahun</t>
        </is>
      </c>
      <c r="B2" s="6" t="inlineStr">
        <is>
          <t>Ekspor (US$ bn)</t>
        </is>
      </c>
      <c r="C2" s="6" t="inlineStr">
        <is>
          <t>t</t>
        </is>
      </c>
      <c r="D2" s="6" t="inlineStr">
        <is>
          <t>MA(3) rata-rata 3 tahun sebelumnya</t>
        </is>
      </c>
    </row>
    <row r="3">
      <c r="A3" t="n">
        <v>1986</v>
      </c>
      <c r="B3" t="n">
        <v>1.74415276116778</v>
      </c>
      <c r="C3" t="n">
        <v>1</v>
      </c>
    </row>
    <row r="4">
      <c r="A4" t="n">
        <v>1987</v>
      </c>
      <c r="B4" t="n">
        <v>2.20001014548288</v>
      </c>
      <c r="C4" t="n">
        <v>2</v>
      </c>
    </row>
    <row r="5">
      <c r="A5" t="n">
        <v>1988</v>
      </c>
      <c r="B5" t="n">
        <v>1.00304522932543</v>
      </c>
      <c r="C5" t="n">
        <v>3</v>
      </c>
    </row>
    <row r="6">
      <c r="A6" t="n">
        <v>1989</v>
      </c>
      <c r="B6" t="n">
        <v>1.50091282021919</v>
      </c>
      <c r="C6" t="n">
        <v>4</v>
      </c>
      <c r="D6">
        <f>AVERAGE(B3:B5)</f>
        <v/>
      </c>
    </row>
    <row r="7">
      <c r="A7" t="n">
        <v>1990</v>
      </c>
      <c r="B7" t="n">
        <v>2.3323256646457</v>
      </c>
      <c r="C7" t="n">
        <v>5</v>
      </c>
      <c r="D7">
        <f>AVERAGE(B4:B6)</f>
        <v/>
      </c>
    </row>
    <row r="8">
      <c r="A8" t="n">
        <v>1991</v>
      </c>
      <c r="B8" t="n">
        <v>2.97197696894483</v>
      </c>
      <c r="C8" t="n">
        <v>6</v>
      </c>
      <c r="D8">
        <f>AVERAGE(B5:B7)</f>
        <v/>
      </c>
    </row>
    <row r="9">
      <c r="A9" t="n">
        <v>1992</v>
      </c>
      <c r="B9" t="n">
        <v>3.42834454699355</v>
      </c>
      <c r="C9" t="n">
        <v>7</v>
      </c>
      <c r="D9">
        <f>AVERAGE(B6:B8)</f>
        <v/>
      </c>
    </row>
    <row r="10">
      <c r="A10" t="n">
        <v>1993</v>
      </c>
      <c r="B10" t="n">
        <v>3.78593665543334</v>
      </c>
      <c r="C10" t="n">
        <v>8</v>
      </c>
      <c r="D10">
        <f>AVERAGE(B7:B9)</f>
        <v/>
      </c>
    </row>
    <row r="11">
      <c r="A11" t="n">
        <v>1994</v>
      </c>
      <c r="B11" t="n">
        <v>5.5395255892744</v>
      </c>
      <c r="C11" t="n">
        <v>9</v>
      </c>
      <c r="D11">
        <f>AVERAGE(B8:B10)</f>
        <v/>
      </c>
    </row>
    <row r="12">
      <c r="A12" t="n">
        <v>1995</v>
      </c>
      <c r="B12" t="n">
        <v>6.80412764572674</v>
      </c>
      <c r="C12" t="n">
        <v>10</v>
      </c>
      <c r="D12">
        <f>AVERAGE(B9:B11)</f>
        <v/>
      </c>
    </row>
    <row r="13">
      <c r="A13" t="n">
        <v>1996</v>
      </c>
      <c r="B13" t="n">
        <v>10.0771352610313</v>
      </c>
      <c r="C13" t="n">
        <v>11</v>
      </c>
      <c r="D13">
        <f>AVERAGE(B10:B12)</f>
        <v/>
      </c>
    </row>
    <row r="14">
      <c r="A14" t="n">
        <v>1997</v>
      </c>
      <c r="B14" t="n">
        <v>11.5703614829776</v>
      </c>
      <c r="C14" t="n">
        <v>12</v>
      </c>
      <c r="D14">
        <f>AVERAGE(B11:B13)</f>
        <v/>
      </c>
    </row>
    <row r="15">
      <c r="A15" t="n">
        <v>1998</v>
      </c>
      <c r="B15" t="n">
        <v>12.2030448748869</v>
      </c>
      <c r="C15" t="n">
        <v>13</v>
      </c>
      <c r="D15">
        <f>AVERAGE(B12:B14)</f>
        <v/>
      </c>
    </row>
    <row r="16">
      <c r="A16" t="n">
        <v>1999</v>
      </c>
      <c r="B16" t="n">
        <v>14.3321476134295</v>
      </c>
      <c r="C16" t="n">
        <v>14</v>
      </c>
      <c r="D16">
        <f>AVERAGE(B13:B15)</f>
        <v/>
      </c>
    </row>
    <row r="17">
      <c r="A17" t="n">
        <v>2000</v>
      </c>
      <c r="B17" t="n">
        <v>16.8086885784482</v>
      </c>
      <c r="C17" t="n">
        <v>15</v>
      </c>
      <c r="D17">
        <f>AVERAGE(B14:B16)</f>
        <v/>
      </c>
    </row>
    <row r="18">
      <c r="A18" t="n">
        <v>2001</v>
      </c>
      <c r="B18" t="n">
        <v>17.9971023610826</v>
      </c>
      <c r="C18" t="n">
        <v>16</v>
      </c>
      <c r="D18">
        <f>AVERAGE(B15:B17)</f>
        <v/>
      </c>
    </row>
    <row r="19">
      <c r="A19" t="n">
        <v>2002</v>
      </c>
      <c r="B19" t="n">
        <v>19.1937875866357</v>
      </c>
      <c r="C19" t="n">
        <v>17</v>
      </c>
      <c r="D19">
        <f>AVERAGE(B16:B18)</f>
        <v/>
      </c>
    </row>
    <row r="20">
      <c r="A20" t="n">
        <v>2003</v>
      </c>
      <c r="B20" t="n">
        <v>22.4156978356912</v>
      </c>
      <c r="C20" t="n">
        <v>18</v>
      </c>
      <c r="D20">
        <f>AVERAGE(B17:B19)</f>
        <v/>
      </c>
    </row>
    <row r="21">
      <c r="A21" t="n">
        <v>2004</v>
      </c>
      <c r="B21" t="n">
        <v>27.1345307004954</v>
      </c>
      <c r="C21" t="n">
        <v>19</v>
      </c>
      <c r="D21">
        <f>AVERAGE(B18:B20)</f>
        <v/>
      </c>
    </row>
    <row r="22">
      <c r="A22" t="n">
        <v>2005</v>
      </c>
      <c r="B22" t="n">
        <v>36.7120915145168</v>
      </c>
      <c r="C22" t="n">
        <v>20</v>
      </c>
      <c r="D22">
        <f>AVERAGE(B19:B21)</f>
        <v/>
      </c>
    </row>
    <row r="23">
      <c r="A23" t="n">
        <v>2006</v>
      </c>
      <c r="B23" t="n">
        <v>44.9447770292449</v>
      </c>
      <c r="C23" t="n">
        <v>21</v>
      </c>
      <c r="D23">
        <f>AVERAGE(B20:B22)</f>
        <v/>
      </c>
    </row>
    <row r="24">
      <c r="A24" t="n">
        <v>2007</v>
      </c>
      <c r="B24" t="n">
        <v>54.5910075208979</v>
      </c>
      <c r="C24" t="n">
        <v>22</v>
      </c>
      <c r="D24">
        <f>AVERAGE(B21:B23)</f>
        <v/>
      </c>
    </row>
    <row r="25">
      <c r="A25" t="n">
        <v>2008</v>
      </c>
      <c r="B25" t="n">
        <v>69.72497661365759</v>
      </c>
      <c r="C25" t="n">
        <v>23</v>
      </c>
      <c r="D25">
        <f>AVERAGE(B22:B24)</f>
        <v/>
      </c>
    </row>
    <row r="26">
      <c r="A26" t="n">
        <v>2009</v>
      </c>
      <c r="B26" t="n">
        <v>66.37459530066511</v>
      </c>
      <c r="C26" t="n">
        <v>24</v>
      </c>
      <c r="D26">
        <f>AVERAGE(B23:B25)</f>
        <v/>
      </c>
    </row>
    <row r="27">
      <c r="A27" t="n">
        <v>2010</v>
      </c>
      <c r="B27" t="n">
        <v>79.7474808525934</v>
      </c>
      <c r="C27" t="n">
        <v>25</v>
      </c>
      <c r="D27">
        <f>AVERAGE(B24:B26)</f>
        <v/>
      </c>
    </row>
    <row r="28">
      <c r="A28" t="n">
        <v>2011</v>
      </c>
      <c r="B28" t="n">
        <v>105.593919857799</v>
      </c>
      <c r="C28" t="n">
        <v>26</v>
      </c>
      <c r="D28">
        <f>AVERAGE(B25:B27)</f>
        <v/>
      </c>
    </row>
    <row r="29">
      <c r="A29" t="n">
        <v>2012</v>
      </c>
      <c r="B29" t="n">
        <v>124.149069364149</v>
      </c>
      <c r="C29" t="n">
        <v>27</v>
      </c>
      <c r="D29">
        <f>AVERAGE(B26:B28)</f>
        <v/>
      </c>
    </row>
    <row r="30">
      <c r="A30" t="n">
        <v>2013</v>
      </c>
      <c r="B30" t="n">
        <v>142.75843931646</v>
      </c>
      <c r="C30" t="n">
        <v>28</v>
      </c>
      <c r="D30">
        <f>AVERAGE(B27:B29)</f>
        <v/>
      </c>
    </row>
    <row r="31">
      <c r="A31" t="n">
        <v>2014</v>
      </c>
      <c r="B31" t="n">
        <v>162.478898406019</v>
      </c>
      <c r="C31" t="n">
        <v>29</v>
      </c>
      <c r="D31">
        <f>AVERAGE(B28:B30)</f>
        <v/>
      </c>
    </row>
    <row r="32">
      <c r="A32" t="n">
        <v>2015</v>
      </c>
      <c r="B32" t="n">
        <v>174.473996313379</v>
      </c>
      <c r="C32" t="n">
        <v>30</v>
      </c>
      <c r="D32">
        <f>AVERAGE(B29:B31)</f>
        <v/>
      </c>
    </row>
    <row r="33">
      <c r="A33" t="n">
        <v>2016</v>
      </c>
      <c r="B33" t="n">
        <v>190.526869544715</v>
      </c>
      <c r="C33" t="n">
        <v>31</v>
      </c>
      <c r="D33">
        <f>AVERAGE(B30:B32)</f>
        <v/>
      </c>
    </row>
    <row r="34">
      <c r="A34" t="n">
        <v>2017</v>
      </c>
      <c r="B34" t="n">
        <v>230.041803530193</v>
      </c>
      <c r="C34" t="n">
        <v>32</v>
      </c>
      <c r="D34">
        <f>AVERAGE(B31:B33)</f>
        <v/>
      </c>
    </row>
    <row r="35">
      <c r="A35" t="n">
        <v>2018</v>
      </c>
      <c r="B35" t="n">
        <v>261.802606599096</v>
      </c>
      <c r="C35" t="n">
        <v>33</v>
      </c>
      <c r="D35">
        <f>AVERAGE(B32:B34)</f>
        <v/>
      </c>
    </row>
    <row r="36">
      <c r="A36" t="n">
        <v>2019</v>
      </c>
      <c r="B36" t="n">
        <v>284.737397482992</v>
      </c>
      <c r="C36" t="n">
        <v>34</v>
      </c>
      <c r="D36">
        <f>AVERAGE(B33:B35)</f>
        <v/>
      </c>
    </row>
    <row r="37">
      <c r="A37" t="n">
        <v>2020</v>
      </c>
      <c r="B37" t="n">
        <v>292.479899128741</v>
      </c>
      <c r="C37" t="n">
        <v>35</v>
      </c>
      <c r="D37">
        <f>AVERAGE(B34:B36)</f>
        <v/>
      </c>
    </row>
    <row r="38">
      <c r="A38" t="n">
        <v>2021</v>
      </c>
      <c r="B38" t="n">
        <v>343.937314545796</v>
      </c>
      <c r="C38" t="n">
        <v>36</v>
      </c>
      <c r="D38">
        <f>AVERAGE(B35:B37)</f>
        <v/>
      </c>
    </row>
    <row r="39">
      <c r="A39" t="n">
        <v>2022</v>
      </c>
      <c r="B39" t="n">
        <v>386.241068014827</v>
      </c>
      <c r="C39" t="n">
        <v>37</v>
      </c>
      <c r="D39">
        <f>AVERAGE(B36:B38)</f>
        <v/>
      </c>
    </row>
    <row r="40">
      <c r="A40" t="n">
        <v>2023</v>
      </c>
      <c r="B40" t="n">
        <v>376.26801764938</v>
      </c>
      <c r="C40" t="n">
        <v>38</v>
      </c>
      <c r="D40">
        <f>AVERAGE(B37:B39)</f>
        <v/>
      </c>
    </row>
    <row r="41">
      <c r="A41" t="n">
        <v>2024</v>
      </c>
      <c r="B41" t="n">
        <v>429.484097216943</v>
      </c>
      <c r="C41" t="n">
        <v>39</v>
      </c>
      <c r="D41">
        <f>AVERAGE(B38:B40)</f>
        <v/>
      </c>
    </row>
    <row r="42">
      <c r="A42" t="n">
        <v>2025</v>
      </c>
      <c r="B42" t="n">
        <v>505.661231330217</v>
      </c>
      <c r="C42" t="n">
        <v>40</v>
      </c>
      <c r="D42">
        <f>AVERAGE(B39:B41)</f>
        <v/>
      </c>
    </row>
    <row r="44">
      <c r="A44" s="7" t="inlineStr">
        <is>
          <t>Evaluasi holdout 2021-2025 (latih 1986-2020)</t>
        </is>
      </c>
    </row>
    <row r="45">
      <c r="A45" s="7" t="inlineStr">
        <is>
          <t>Model</t>
        </is>
      </c>
      <c r="B45" s="7" t="inlineStr">
        <is>
          <t>MAE (US$ bn)</t>
        </is>
      </c>
      <c r="C45" s="7" t="inlineStr">
        <is>
          <t>MAPE (%)</t>
        </is>
      </c>
      <c r="D45" s="7" t="inlineStr">
        <is>
          <t>RMSE</t>
        </is>
      </c>
    </row>
    <row r="46">
      <c r="A46" t="inlineStr">
        <is>
          <t>linear_trend</t>
        </is>
      </c>
      <c r="B46" t="n">
        <v>182.8697529316128</v>
      </c>
      <c r="C46" t="n">
        <v>44.14353094387712</v>
      </c>
      <c r="D46" t="n">
        <v>188.5410550823175</v>
      </c>
    </row>
    <row r="47">
      <c r="A47" t="inlineStr">
        <is>
          <t>MA3_flat</t>
        </is>
      </c>
      <c r="B47" t="n">
        <v>128.6450446811563</v>
      </c>
      <c r="C47" t="n">
        <v>30.30414500347994</v>
      </c>
      <c r="D47" t="n">
        <v>140.2361657460708</v>
      </c>
    </row>
    <row r="48">
      <c r="A48" t="inlineStr">
        <is>
          <t>MA3_rolling_1step</t>
        </is>
      </c>
      <c r="B48" t="n">
        <v>69.56685380817427</v>
      </c>
      <c r="C48" t="n">
        <v>16.82804096731707</v>
      </c>
      <c r="D48" t="n">
        <v>73.57830428486483</v>
      </c>
    </row>
    <row r="49">
      <c r="A49" t="inlineStr">
        <is>
          <t>loglinear_trend</t>
        </is>
      </c>
      <c r="B49" t="n">
        <v>295.6743868119644</v>
      </c>
      <c r="C49" t="n">
        <v>70.40765591903062</v>
      </c>
      <c r="D49" t="n">
        <v>316.6975282795975</v>
      </c>
    </row>
    <row r="50">
      <c r="A50" t="inlineStr">
        <is>
          <t>naive_last</t>
        </is>
      </c>
      <c r="B50" t="n">
        <v>115.8384466226916</v>
      </c>
      <c r="C50" t="n">
        <v>27.11268268703527</v>
      </c>
      <c r="D50" t="n">
        <v>128.5891923067444</v>
      </c>
    </row>
    <row r="51">
      <c r="A51" t="inlineStr">
        <is>
          <t>linear_trend_last10y</t>
        </is>
      </c>
      <c r="B51" t="n">
        <v>46.86612237492302</v>
      </c>
      <c r="C51" t="n">
        <v>10.85492058756171</v>
      </c>
      <c r="D51" t="n">
        <v>55.29676763705434</v>
      </c>
    </row>
    <row r="52">
      <c r="A52" t="inlineStr">
        <is>
          <t>damped_Holt</t>
        </is>
      </c>
      <c r="B52" t="n">
        <v>60.40874447440491</v>
      </c>
      <c r="C52" t="n">
        <v>14.07793342233306</v>
      </c>
      <c r="D52" t="n">
        <v>68.91174568621419</v>
      </c>
    </row>
    <row r="54">
      <c r="A54" t="inlineStr">
        <is>
          <t>Forecast (US$ bn)</t>
        </is>
      </c>
      <c r="B54" t="n">
        <v>2026</v>
      </c>
      <c r="C54" t="n">
        <v>2027</v>
      </c>
      <c r="D54" t="inlineStr">
        <is>
          <t>Interval 95%</t>
        </is>
      </c>
    </row>
    <row r="55">
      <c r="A55" t="inlineStr">
        <is>
          <t>Tren linear seluruh data (TIDAK VALID: di bawah aktual 2025)</t>
        </is>
      </c>
      <c r="B55" t="n">
        <v>334.0494900781306</v>
      </c>
      <c r="C55" t="n">
        <v>344.8009622630954</v>
      </c>
      <c r="D55" t="inlineStr">
        <is>
          <t>192-476</t>
        </is>
      </c>
    </row>
    <row r="56">
      <c r="A56" t="inlineStr">
        <is>
          <t>MA(3)</t>
        </is>
      </c>
      <c r="B56" t="n">
        <v>437.1377820655132</v>
      </c>
      <c r="C56" t="n">
        <v>437.1377820655132</v>
      </c>
      <c r="D56" t="inlineStr">
        <is>
          <t>-</t>
        </is>
      </c>
    </row>
    <row r="57">
      <c r="A57" t="inlineStr">
        <is>
          <t>Tren linear 10 tahun terakhir (basis rekomendasi)</t>
        </is>
      </c>
      <c r="B57" t="n">
        <v>502.1380569756482</v>
      </c>
      <c r="C57" t="n">
        <v>533.4144254249861</v>
      </c>
      <c r="D57" t="inlineStr">
        <is>
          <t>447-557; 476-591</t>
        </is>
      </c>
    </row>
    <row r="58">
      <c r="A58" t="inlineStr">
        <is>
          <t>Damped Holt</t>
        </is>
      </c>
      <c r="B58" t="n">
        <v>518.0998323464985</v>
      </c>
      <c r="C58" t="n">
        <v>558.2974960866882</v>
      </c>
      <c r="D58" t="inlineStr">
        <is>
          <t>-</t>
        </is>
      </c>
    </row>
    <row r="60">
      <c r="A60" t="inlineStr">
        <is>
          <t>Catatan</t>
        </is>
      </c>
      <c r="B60" t="inlineStr">
        <is>
          <t>Data tahunan tidak dapat mengidentifikasi musiman dalam tahun. MA(3) mengungguli tren linear pada holdout (MAPE 30.3% vs 44.1%), namun keduanya bias ke bawah; tren 10 tahun terakhir terbaik (MAPE 10.9%) tetapi dipilih dari 5 titik holdout. Respons: rencanakan ekspor ~US$ 500-560 bn 2026-27, kapasitas bertahap, pemicu tinjau ulang di bawah ~US$ 447 bn.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30" customWidth="1" min="2" max="2"/>
  </cols>
  <sheetData>
    <row r="1">
      <c r="A1" s="1" t="inlineStr">
        <is>
          <t>Q7 - Validitas &amp; reliabilitas: enam item rancangan + analisis pada data publik asli</t>
        </is>
      </c>
      <c r="B1" s="2" t="n"/>
    </row>
    <row r="2">
      <c r="A2" s="3" t="inlineStr">
        <is>
          <t>Item</t>
        </is>
      </c>
      <c r="B2" s="3" t="inlineStr">
        <is>
          <t>Pernyataan (Likert 1-5)</t>
        </is>
      </c>
    </row>
    <row r="3">
      <c r="A3" s="2" t="inlineStr">
        <is>
          <t>SR1</t>
        </is>
      </c>
      <c r="B3" s="2" t="inlineStr">
        <is>
          <t>My firm could keep production running if energy prices stayed sharply higher for the next six months.</t>
        </is>
      </c>
    </row>
    <row r="4">
      <c r="A4" s="2" t="inlineStr">
        <is>
          <t>SR2</t>
        </is>
      </c>
      <c r="B4" s="2" t="inlineStr">
        <is>
          <t>We have qualified alternative suppliers for our most critical inputs.</t>
        </is>
      </c>
    </row>
    <row r="5">
      <c r="A5" s="2" t="inlineStr">
        <is>
          <t>SR3</t>
        </is>
      </c>
      <c r="B5" s="2" t="inlineStr">
        <is>
          <t>We could pass at least part of higher energy or transport costs to customers without losing major accounts.</t>
        </is>
      </c>
    </row>
    <row r="6">
      <c r="A6" s="2" t="inlineStr">
        <is>
          <t>SR4</t>
        </is>
      </c>
      <c r="B6" s="2" t="inlineStr">
        <is>
          <t>Our logistics network can be rerouted quickly if a key supplier or shipping route is disrupted.</t>
        </is>
      </c>
    </row>
    <row r="7">
      <c r="A7" s="2" t="inlineStr">
        <is>
          <t>SR5</t>
        </is>
      </c>
      <c r="B7" s="2" t="inlineStr">
        <is>
          <t>Our inventory buffers of critical inputs would cover at least one month of supply disruption.</t>
        </is>
      </c>
    </row>
    <row r="8">
      <c r="A8" s="2" t="inlineStr">
        <is>
          <t>SR6</t>
        </is>
      </c>
      <c r="B8" s="2" t="inlineStr">
        <is>
          <t>Management regularly monitors energy-price and supplier-risk indicators and acts on them.</t>
        </is>
      </c>
    </row>
    <row r="9">
      <c r="A9" s="2" t="n"/>
      <c r="B9" s="2" t="n"/>
    </row>
    <row r="10">
      <c r="A10" s="2" t="inlineStr">
        <is>
          <t>Data</t>
        </is>
      </c>
      <c r="B10" s="2" t="inlineStr">
        <is>
          <t>Zenodo 10.5281/zenodo.22057938 (CC-BY 4.0), file DATAUPDATE.csv, SCR1-SCR6, n = 248, Likert 1-5. Teks item asli tidak tersedia di deposit; Dataset A (Zenodo 20439760, OR1-OR5) sebagai pembanding - alpha negatif, tidak dipakai.</t>
        </is>
      </c>
    </row>
    <row r="11">
      <c r="A11" s="2" t="inlineStr">
        <is>
          <t>Cronbach alpha</t>
        </is>
      </c>
      <c r="B11" s="2">
        <f>Q7_SCR_alpha!B253</f>
        <v/>
      </c>
    </row>
    <row r="12">
      <c r="A12" s="2" t="inlineStr">
        <is>
          <t>Odd-even r (Pearson)</t>
        </is>
      </c>
      <c r="B12" s="2">
        <f>Q7_SCR_alpha!B254</f>
        <v/>
      </c>
    </row>
    <row r="13">
      <c r="A13" s="2" t="inlineStr">
        <is>
          <t>Spearman-Brown</t>
        </is>
      </c>
      <c r="B13" s="2">
        <f>Q7_SCR_alpha!B255</f>
        <v/>
      </c>
    </row>
    <row r="14">
      <c r="A14" s="2" t="inlineStr">
        <is>
          <t>Corrected item-total r (SCR1..SCR6)</t>
        </is>
      </c>
      <c r="B14" s="2" t="inlineStr">
        <is>
          <t>0.787, 0.812, 0.812, 0.806, 0.829, 0.840</t>
        </is>
      </c>
    </row>
    <row r="15">
      <c r="A15" s="2" t="inlineStr">
        <is>
          <t>CI 95% alpha (bootstrap)</t>
        </is>
      </c>
      <c r="B15" s="2" t="inlineStr">
        <is>
          <t>0.923 - 0.950</t>
        </is>
      </c>
    </row>
    <row r="16">
      <c r="A16" s="2" t="inlineStr">
        <is>
          <t>Interpretasi</t>
        </is>
      </c>
      <c r="B16" s="2" t="inlineStr">
        <is>
          <t>Konsistensi internal sangat tinggi (alpha 0.94; semua item-total r &gt;= 0.79). Mean inter-item r = 0.72 mengindikasikan redundansi. Reliabilitas bukan validitas; responden Indonesia, bukan Viet Nam; item tidak identik dengan rancangan.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Q8 - Executive decision memo (365 kata)</t>
        </is>
      </c>
    </row>
    <row r="2">
      <c r="A2" s="2" t="inlineStr">
        <is>
          <t>To: Board of Directors | Re: Viet Nam operations | 12 October 2026
Decision: REDESIGN. Proceed with a phased expansion in Viet Nam, released in tranches against energy-cost and demand triggers, rather than one full commitment.
Claim 1 (IMF, Reuters 7 Oct 2026: energy prices, record public debt and AI-investment risks threaten global growth). This is a forward-looking warning in the news, not a Viet Nam finding, and our data cannot test an energy shock directly because no energy-price series was analysed. Historically, Viet Nam's GDP growth averaged 6.3% in 2000-2024 with the lowest volatility of the three countries (SD 1.35 pp vs Philippines 3.36, India 3.03), yet it fell to 2.9% in 2020 and 2.6% in 2021. In our regression, inflation and investment explained almost none of annual growth (R² = 0.003, p = 0.96), so we found no statistical evidence that domestic price pressure alone drives growth; this is association, not causation, from 30 points. Exports equal 98% of GDP (2025), so a global slowdown is the more plausible channel, which we did not model.
Claim 2 (IEA Global EV Outlook 2026, as reported: Viet Nam's EV share of new-car sales reached about 40% in 2025, with far higher shares projected for 2035). We cannot test sales shares with our data, and the 2035 figure is a projection, not an observation. As a loose proxy only, electricity use per capita grew 7.1% a year in 2014-2024, consistent with, but not proof of, rising power demand.
Risk indicators. (1) Inflation tail risk: Viet Nam's CPI inflation failed the Lilliefors normality test (D = 0.211 &gt; 0.161) because of a 23.1% spike in 2008; it exceeded 4% in 14 of 30 years, although volatility since 2015 is low (SD 0.9 pp; 3.3% in 2025). (2) Export uncertainty: 2026 exports are forecast at US$ 502-518 bn with a 95% interval of roughly 447-557 bn.
Contingency. Stage capital in two tranches; release the second only if 2026 exports stay above US$ 447 bn and inflation below 5%; use energy-indexed supplier and customer contracts and hold 4-6 weeks of critical inputs.
Limitations. Annual data cannot capture within-year shocks; ILO labour figures are weighted survey estimates; and the news claims were assessed from published summaries, not the full Reuters and IEA texts.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9" t="inlineStr">
        <is>
          <t>Statistical Analysis II - UTS 2026/2027 - Workbook</t>
        </is>
      </c>
    </row>
    <row r="2">
      <c r="A2" t="inlineStr">
        <is>
          <t>Student ID (NPM)</t>
        </is>
      </c>
      <c r="B2" t="inlineStr">
        <is>
          <t>120510253003 (last digit 3 -&gt; 4th country)</t>
        </is>
      </c>
    </row>
    <row r="3">
      <c r="A3" t="inlineStr">
        <is>
          <t>Assigned country</t>
        </is>
      </c>
      <c r="B3" t="inlineStr">
        <is>
          <t>Viet Nam (VNM); comparators Philippines (PHL), India (IND)</t>
        </is>
      </c>
    </row>
    <row r="4">
      <c r="A4" t="inlineStr">
        <is>
          <t>Extraction date</t>
        </is>
      </c>
      <c r="B4" t="inlineStr">
        <is>
          <t>2026-10-12</t>
        </is>
      </c>
    </row>
    <row r="6">
      <c r="A6" s="7" t="inlineStr">
        <is>
          <t>Source</t>
        </is>
      </c>
      <c r="B6" s="7" t="inlineStr">
        <is>
          <t>Exact URL / API call</t>
        </is>
      </c>
      <c r="C6" s="7" t="inlineStr">
        <is>
          <t>Indicator code</t>
        </is>
      </c>
      <c r="D6" s="7" t="inlineStr">
        <is>
          <t>Unit</t>
        </is>
      </c>
      <c r="E6" s="7" t="inlineStr">
        <is>
          <t>Period used</t>
        </is>
      </c>
    </row>
    <row r="7">
      <c r="A7" t="inlineStr">
        <is>
          <t>World Bank WDI (via API)</t>
        </is>
      </c>
      <c r="B7" t="inlineStr">
        <is>
          <t>https://api.worldbank.org/v2/country/VNM;PHL;IND/indicator/FP.CPI.TOTL.ZG?format=json&amp;per_page=20000&amp;date=1960:2025</t>
        </is>
      </c>
      <c r="C7" t="inlineStr">
        <is>
          <t>FP.CPI.TOTL.ZG</t>
        </is>
      </c>
      <c r="D7" t="inlineStr">
        <is>
          <t>% y/y</t>
        </is>
      </c>
      <c r="E7" t="inlineStr">
        <is>
          <t>1996-2025 (VNM)</t>
        </is>
      </c>
    </row>
    <row r="8">
      <c r="A8" t="inlineStr">
        <is>
          <t>World Bank WDI</t>
        </is>
      </c>
      <c r="B8" t="inlineStr">
        <is>
          <t>same pattern, indicator NY.GDP.MKTP.KD.ZG</t>
        </is>
      </c>
      <c r="C8" t="inlineStr">
        <is>
          <t>NY.GDP.MKTP.KD.ZG</t>
        </is>
      </c>
      <c r="D8" t="inlineStr">
        <is>
          <t>% y/y</t>
        </is>
      </c>
      <c r="E8" t="inlineStr">
        <is>
          <t>2000-2024 (Q4), 1996-2025 (Q5)</t>
        </is>
      </c>
    </row>
    <row r="9">
      <c r="A9" t="inlineStr">
        <is>
          <t>World Bank WDI</t>
        </is>
      </c>
      <c r="B9" t="inlineStr">
        <is>
          <t>same pattern, indicator NE.GDI.TOTL.ZS</t>
        </is>
      </c>
      <c r="C9" t="inlineStr">
        <is>
          <t>NE.GDI.TOTL.ZS</t>
        </is>
      </c>
      <c r="D9" t="inlineStr">
        <is>
          <t>% of GDP</t>
        </is>
      </c>
      <c r="E9" t="inlineStr">
        <is>
          <t>1996-2025</t>
        </is>
      </c>
    </row>
    <row r="10">
      <c r="A10" t="inlineStr">
        <is>
          <t>World Bank WDI</t>
        </is>
      </c>
      <c r="B10" t="inlineStr">
        <is>
          <t>same pattern, indicator NE.EXP.GNFS.CD</t>
        </is>
      </c>
      <c r="C10" t="inlineStr">
        <is>
          <t>NE.EXP.GNFS.CD</t>
        </is>
      </c>
      <c r="D10" t="inlineStr">
        <is>
          <t>current US$ (shown in US$ bn)</t>
        </is>
      </c>
      <c r="E10" t="inlineStr">
        <is>
          <t>1986-2025</t>
        </is>
      </c>
    </row>
    <row r="11">
      <c r="A11" t="inlineStr">
        <is>
          <t>World Bank WDI</t>
        </is>
      </c>
      <c r="B11" t="inlineStr">
        <is>
          <t>same pattern, indicators NE.EXP.GNFS.ZS, EG.USE.ELEC.KH.PC (context, Q8)</t>
        </is>
      </c>
      <c r="C11" t="inlineStr">
        <is>
          <t>NE.EXP.GNFS.ZS; EG.USE.ELEC.KH.PC</t>
        </is>
      </c>
      <c r="D11" t="inlineStr">
        <is>
          <t>% GDP; kWh/capita</t>
        </is>
      </c>
      <c r="E11" t="inlineStr">
        <is>
          <t>to 2025 / 2024</t>
        </is>
      </c>
    </row>
    <row r="12">
      <c r="A12" t="inlineStr">
        <is>
          <t>ILOSTAT SDMX</t>
        </is>
      </c>
      <c r="B12" t="inlineStr">
        <is>
          <t>https://sdmx.ilo.org/rest/data/ILO,DF_UNE_TUNE_SEX_AGE_NB/VNM+PHL+IND....?format=csv&amp;startPeriod=2015</t>
        </is>
      </c>
      <c r="C12" t="inlineStr">
        <is>
          <t>UNE_TUNE_NB (age 15+)</t>
        </is>
      </c>
      <c r="D12" t="inlineStr">
        <is>
          <t>thousand persons (UNIT_MULT=3)</t>
        </is>
      </c>
      <c r="E12" t="inlineStr">
        <is>
          <t>2024</t>
        </is>
      </c>
    </row>
    <row r="13">
      <c r="A13" t="inlineStr">
        <is>
          <t>Zenodo (Q7)</t>
        </is>
      </c>
      <c r="B13" t="inlineStr">
        <is>
          <t>https://zenodo.org/records/22057938 (CC-BY 4.0, file DATAUPDATE.csv) and https://zenodo.org/records/20439760</t>
        </is>
      </c>
      <c r="C13" t="inlineStr">
        <is>
          <t>SCR1-SCR6; OR1-OR5</t>
        </is>
      </c>
      <c r="D13" t="inlineStr">
        <is>
          <t>Likert</t>
        </is>
      </c>
      <c r="E13" t="inlineStr">
        <is>
          <t>2025-26</t>
        </is>
      </c>
    </row>
    <row r="14">
      <c r="A14" t="inlineStr">
        <is>
          <t>ILOSTAT SDMX</t>
        </is>
      </c>
      <c r="B14" t="inlineStr">
        <is>
          <t>https://sdmx.ilo.org/rest/data/ILO,DF_EMP_TEMP_SEX_ECO_NB/VNM+PHL+IND....?format=csv&amp;startPeriod=2015</t>
        </is>
      </c>
      <c r="C14" t="inlineStr">
        <is>
          <t>EMP_TEMP_NB by ECO_SECTOR_*</t>
        </is>
      </c>
      <c r="D14" t="inlineStr">
        <is>
          <t>thousand persons</t>
        </is>
      </c>
      <c r="E14" t="inlineStr">
        <is>
          <t>2024</t>
        </is>
      </c>
    </row>
    <row r="16">
      <c r="A16" t="inlineStr">
        <is>
          <t>Sheets: Raw_* = downloaded data as received; Q1..Q6 = transformations/tests (Q1-Q3 contain live Excel formulas); Q7 = protocol (no data collected); Results = all statistics from analysis.py.</t>
        </is>
      </c>
    </row>
    <row r="17">
      <c r="A17" t="inlineStr">
        <is>
          <t>ILO figures are weighted labour-force-survey estimates (thousands), NOT raw respondent counts - see report Q2/Q3 caveat.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FP.CPI.TOTL.ZG</t>
        </is>
      </c>
    </row>
    <row r="2">
      <c r="A2" t="inlineStr">
        <is>
          <t>IND</t>
        </is>
      </c>
      <c r="B2" t="inlineStr">
        <is>
          <t>1960</t>
        </is>
      </c>
      <c r="C2" t="n">
        <v>1.7798778467739</v>
      </c>
    </row>
    <row r="3">
      <c r="A3" t="inlineStr">
        <is>
          <t>IND</t>
        </is>
      </c>
      <c r="B3" t="inlineStr">
        <is>
          <t>1961</t>
        </is>
      </c>
      <c r="C3" t="n">
        <v>1.69521293914432</v>
      </c>
    </row>
    <row r="4">
      <c r="A4" t="inlineStr">
        <is>
          <t>IND</t>
        </is>
      </c>
      <c r="B4" t="inlineStr">
        <is>
          <t>1962</t>
        </is>
      </c>
      <c r="C4" t="n">
        <v>3.63221497106987</v>
      </c>
    </row>
    <row r="5">
      <c r="A5" t="inlineStr">
        <is>
          <t>IND</t>
        </is>
      </c>
      <c r="B5" t="inlineStr">
        <is>
          <t>1963</t>
        </is>
      </c>
      <c r="C5" t="n">
        <v>2.94616135685225</v>
      </c>
    </row>
    <row r="6">
      <c r="A6" t="inlineStr">
        <is>
          <t>IND</t>
        </is>
      </c>
      <c r="B6" t="inlineStr">
        <is>
          <t>1964</t>
        </is>
      </c>
      <c r="C6" t="n">
        <v>13.3552611508153</v>
      </c>
    </row>
    <row r="7">
      <c r="A7" t="inlineStr">
        <is>
          <t>IND</t>
        </is>
      </c>
      <c r="B7" t="inlineStr">
        <is>
          <t>1965</t>
        </is>
      </c>
      <c r="C7" t="n">
        <v>9.47475859170695</v>
      </c>
    </row>
    <row r="8">
      <c r="A8" t="inlineStr">
        <is>
          <t>IND</t>
        </is>
      </c>
      <c r="B8" t="inlineStr">
        <is>
          <t>1966</t>
        </is>
      </c>
      <c r="C8" t="n">
        <v>10.801848348934</v>
      </c>
    </row>
    <row r="9">
      <c r="A9" t="inlineStr">
        <is>
          <t>IND</t>
        </is>
      </c>
      <c r="B9" t="inlineStr">
        <is>
          <t>1967</t>
        </is>
      </c>
      <c r="C9" t="n">
        <v>13.0622024777969</v>
      </c>
    </row>
    <row r="10">
      <c r="A10" t="inlineStr">
        <is>
          <t>IND</t>
        </is>
      </c>
      <c r="B10" t="inlineStr">
        <is>
          <t>1968</t>
        </is>
      </c>
      <c r="C10" t="n">
        <v>3.23741242627507</v>
      </c>
    </row>
    <row r="11">
      <c r="A11" t="inlineStr">
        <is>
          <t>IND</t>
        </is>
      </c>
      <c r="B11" t="inlineStr">
        <is>
          <t>1969</t>
        </is>
      </c>
      <c r="C11" t="n">
        <v>-0.584136610466281</v>
      </c>
    </row>
    <row r="12">
      <c r="A12" t="inlineStr">
        <is>
          <t>IND</t>
        </is>
      </c>
      <c r="B12" t="inlineStr">
        <is>
          <t>1970</t>
        </is>
      </c>
      <c r="C12" t="n">
        <v>5.09226161997544</v>
      </c>
    </row>
    <row r="13">
      <c r="A13" t="inlineStr">
        <is>
          <t>IND</t>
        </is>
      </c>
      <c r="B13" t="inlineStr">
        <is>
          <t>1971</t>
        </is>
      </c>
      <c r="C13" t="n">
        <v>3.07993868406546</v>
      </c>
    </row>
    <row r="14">
      <c r="A14" t="inlineStr">
        <is>
          <t>IND</t>
        </is>
      </c>
      <c r="B14" t="inlineStr">
        <is>
          <t>1972</t>
        </is>
      </c>
      <c r="C14" t="n">
        <v>6.44209746158234</v>
      </c>
    </row>
    <row r="15">
      <c r="A15" t="inlineStr">
        <is>
          <t>IND</t>
        </is>
      </c>
      <c r="B15" t="inlineStr">
        <is>
          <t>1973</t>
        </is>
      </c>
      <c r="C15" t="n">
        <v>16.9408159791736</v>
      </c>
    </row>
    <row r="16">
      <c r="A16" t="inlineStr">
        <is>
          <t>IND</t>
        </is>
      </c>
      <c r="B16" t="inlineStr">
        <is>
          <t>1974</t>
        </is>
      </c>
      <c r="C16" t="n">
        <v>28.5987340775089</v>
      </c>
    </row>
    <row r="17">
      <c r="A17" t="inlineStr">
        <is>
          <t>IND</t>
        </is>
      </c>
      <c r="B17" t="inlineStr">
        <is>
          <t>1975</t>
        </is>
      </c>
      <c r="C17" t="n">
        <v>5.74843029767442</v>
      </c>
    </row>
    <row r="18">
      <c r="A18" t="inlineStr">
        <is>
          <t>IND</t>
        </is>
      </c>
      <c r="B18" t="inlineStr">
        <is>
          <t>1976</t>
        </is>
      </c>
      <c r="C18" t="n">
        <v>-7.6339476339288</v>
      </c>
    </row>
    <row r="19">
      <c r="A19" t="inlineStr">
        <is>
          <t>IND</t>
        </is>
      </c>
      <c r="B19" t="inlineStr">
        <is>
          <t>1977</t>
        </is>
      </c>
      <c r="C19" t="n">
        <v>8.307470091711661</v>
      </c>
    </row>
    <row r="20">
      <c r="A20" t="inlineStr">
        <is>
          <t>IND</t>
        </is>
      </c>
      <c r="B20" t="inlineStr">
        <is>
          <t>1978</t>
        </is>
      </c>
      <c r="C20" t="n">
        <v>2.52304875695178</v>
      </c>
    </row>
    <row r="21">
      <c r="A21" t="inlineStr">
        <is>
          <t>IND</t>
        </is>
      </c>
      <c r="B21" t="inlineStr">
        <is>
          <t>1979</t>
        </is>
      </c>
      <c r="C21" t="n">
        <v>6.27568336762337</v>
      </c>
    </row>
    <row r="22">
      <c r="A22" t="inlineStr">
        <is>
          <t>IND</t>
        </is>
      </c>
      <c r="B22" t="inlineStr">
        <is>
          <t>1980</t>
        </is>
      </c>
      <c r="C22" t="n">
        <v>11.3460734795095</v>
      </c>
    </row>
    <row r="23">
      <c r="A23" t="inlineStr">
        <is>
          <t>IND</t>
        </is>
      </c>
      <c r="B23" t="inlineStr">
        <is>
          <t>1981</t>
        </is>
      </c>
      <c r="C23" t="n">
        <v>13.1125468976419</v>
      </c>
    </row>
    <row r="24">
      <c r="A24" t="inlineStr">
        <is>
          <t>IND</t>
        </is>
      </c>
      <c r="B24" t="inlineStr">
        <is>
          <t>1982</t>
        </is>
      </c>
      <c r="C24" t="n">
        <v>7.89074279377487</v>
      </c>
    </row>
    <row r="25">
      <c r="A25" t="inlineStr">
        <is>
          <t>IND</t>
        </is>
      </c>
      <c r="B25" t="inlineStr">
        <is>
          <t>1983</t>
        </is>
      </c>
      <c r="C25" t="n">
        <v>11.8680812986733</v>
      </c>
    </row>
    <row r="26">
      <c r="A26" t="inlineStr">
        <is>
          <t>IND</t>
        </is>
      </c>
      <c r="B26" t="inlineStr">
        <is>
          <t>1984</t>
        </is>
      </c>
      <c r="C26" t="n">
        <v>8.31890711860072</v>
      </c>
    </row>
    <row r="27">
      <c r="A27" t="inlineStr">
        <is>
          <t>IND</t>
        </is>
      </c>
      <c r="B27" t="inlineStr">
        <is>
          <t>1985</t>
        </is>
      </c>
      <c r="C27" t="n">
        <v>5.55642423236554</v>
      </c>
    </row>
    <row r="28">
      <c r="A28" t="inlineStr">
        <is>
          <t>IND</t>
        </is>
      </c>
      <c r="B28" t="inlineStr">
        <is>
          <t>1986</t>
        </is>
      </c>
      <c r="C28" t="n">
        <v>8.729720727025811</v>
      </c>
    </row>
    <row r="29">
      <c r="A29" t="inlineStr">
        <is>
          <t>IND</t>
        </is>
      </c>
      <c r="B29" t="inlineStr">
        <is>
          <t>1987</t>
        </is>
      </c>
      <c r="C29" t="n">
        <v>8.801125812518331</v>
      </c>
    </row>
    <row r="30">
      <c r="A30" t="inlineStr">
        <is>
          <t>IND</t>
        </is>
      </c>
      <c r="B30" t="inlineStr">
        <is>
          <t>1988</t>
        </is>
      </c>
      <c r="C30" t="n">
        <v>9.38347186185335</v>
      </c>
    </row>
    <row r="31">
      <c r="A31" t="inlineStr">
        <is>
          <t>IND</t>
        </is>
      </c>
      <c r="B31" t="inlineStr">
        <is>
          <t>1989</t>
        </is>
      </c>
      <c r="C31" t="n">
        <v>7.07428002942296</v>
      </c>
    </row>
    <row r="32">
      <c r="A32" t="inlineStr">
        <is>
          <t>IND</t>
        </is>
      </c>
      <c r="B32" t="inlineStr">
        <is>
          <t>1990</t>
        </is>
      </c>
      <c r="C32" t="n">
        <v>8.971232502732549</v>
      </c>
    </row>
    <row r="33">
      <c r="A33" t="inlineStr">
        <is>
          <t>IND</t>
        </is>
      </c>
      <c r="B33" t="inlineStr">
        <is>
          <t>1991</t>
        </is>
      </c>
      <c r="C33" t="n">
        <v>13.8702461773683</v>
      </c>
    </row>
    <row r="34">
      <c r="A34" t="inlineStr">
        <is>
          <t>IND</t>
        </is>
      </c>
      <c r="B34" t="inlineStr">
        <is>
          <t>1992</t>
        </is>
      </c>
      <c r="C34" t="n">
        <v>11.7878170418133</v>
      </c>
    </row>
    <row r="35">
      <c r="A35" t="inlineStr">
        <is>
          <t>IND</t>
        </is>
      </c>
      <c r="B35" t="inlineStr">
        <is>
          <t>1993</t>
        </is>
      </c>
      <c r="C35" t="n">
        <v>6.32689048779867</v>
      </c>
    </row>
    <row r="36">
      <c r="A36" t="inlineStr">
        <is>
          <t>IND</t>
        </is>
      </c>
      <c r="B36" t="inlineStr">
        <is>
          <t>1994</t>
        </is>
      </c>
      <c r="C36" t="n">
        <v>10.2479355556118</v>
      </c>
    </row>
    <row r="37">
      <c r="A37" t="inlineStr">
        <is>
          <t>IND</t>
        </is>
      </c>
      <c r="B37" t="inlineStr">
        <is>
          <t>1995</t>
        </is>
      </c>
      <c r="C37" t="n">
        <v>10.2248861637545</v>
      </c>
    </row>
    <row r="38">
      <c r="A38" t="inlineStr">
        <is>
          <t>IND</t>
        </is>
      </c>
      <c r="B38" t="inlineStr">
        <is>
          <t>1996</t>
        </is>
      </c>
      <c r="C38" t="n">
        <v>8.977152338264521</v>
      </c>
    </row>
    <row r="39">
      <c r="A39" t="inlineStr">
        <is>
          <t>IND</t>
        </is>
      </c>
      <c r="B39" t="inlineStr">
        <is>
          <t>1997</t>
        </is>
      </c>
      <c r="C39" t="n">
        <v>7.16425211462721</v>
      </c>
    </row>
    <row r="40">
      <c r="A40" t="inlineStr">
        <is>
          <t>IND</t>
        </is>
      </c>
      <c r="B40" t="inlineStr">
        <is>
          <t>1998</t>
        </is>
      </c>
      <c r="C40" t="n">
        <v>13.2308389767977</v>
      </c>
    </row>
    <row r="41">
      <c r="A41" t="inlineStr">
        <is>
          <t>IND</t>
        </is>
      </c>
      <c r="B41" t="inlineStr">
        <is>
          <t>1999</t>
        </is>
      </c>
      <c r="C41" t="n">
        <v>4.66982038037589</v>
      </c>
    </row>
    <row r="42">
      <c r="A42" t="inlineStr">
        <is>
          <t>IND</t>
        </is>
      </c>
      <c r="B42" t="inlineStr">
        <is>
          <t>2000</t>
        </is>
      </c>
      <c r="C42" t="n">
        <v>4.0094359104519</v>
      </c>
    </row>
    <row r="43">
      <c r="A43" t="inlineStr">
        <is>
          <t>IND</t>
        </is>
      </c>
      <c r="B43" t="inlineStr">
        <is>
          <t>2001</t>
        </is>
      </c>
      <c r="C43" t="n">
        <v>3.77929312235637</v>
      </c>
    </row>
    <row r="44">
      <c r="A44" t="inlineStr">
        <is>
          <t>IND</t>
        </is>
      </c>
      <c r="B44" t="inlineStr">
        <is>
          <t>2002</t>
        </is>
      </c>
      <c r="C44" t="n">
        <v>4.29715203929561</v>
      </c>
    </row>
    <row r="45">
      <c r="A45" t="inlineStr">
        <is>
          <t>IND</t>
        </is>
      </c>
      <c r="B45" t="inlineStr">
        <is>
          <t>2003</t>
        </is>
      </c>
      <c r="C45" t="n">
        <v>3.80585899528852</v>
      </c>
    </row>
    <row r="46">
      <c r="A46" t="inlineStr">
        <is>
          <t>IND</t>
        </is>
      </c>
      <c r="B46" t="inlineStr">
        <is>
          <t>2004</t>
        </is>
      </c>
      <c r="C46" t="n">
        <v>3.76725173477517</v>
      </c>
    </row>
    <row r="47">
      <c r="A47" t="inlineStr">
        <is>
          <t>IND</t>
        </is>
      </c>
      <c r="B47" t="inlineStr">
        <is>
          <t>2005</t>
        </is>
      </c>
      <c r="C47" t="n">
        <v>4.24634362031923</v>
      </c>
    </row>
    <row r="48">
      <c r="A48" t="inlineStr">
        <is>
          <t>IND</t>
        </is>
      </c>
      <c r="B48" t="inlineStr">
        <is>
          <t>2006</t>
        </is>
      </c>
      <c r="C48" t="n">
        <v>5.79652337561633</v>
      </c>
    </row>
    <row r="49">
      <c r="A49" t="inlineStr">
        <is>
          <t>IND</t>
        </is>
      </c>
      <c r="B49" t="inlineStr">
        <is>
          <t>2007</t>
        </is>
      </c>
      <c r="C49" t="n">
        <v>6.37288135593231</v>
      </c>
    </row>
    <row r="50">
      <c r="A50" t="inlineStr">
        <is>
          <t>IND</t>
        </is>
      </c>
      <c r="B50" t="inlineStr">
        <is>
          <t>2008</t>
        </is>
      </c>
      <c r="C50" t="n">
        <v>8.34926704907574</v>
      </c>
    </row>
    <row r="51">
      <c r="A51" t="inlineStr">
        <is>
          <t>IND</t>
        </is>
      </c>
      <c r="B51" t="inlineStr">
        <is>
          <t>2009</t>
        </is>
      </c>
      <c r="C51" t="n">
        <v>10.8823529411764</v>
      </c>
    </row>
    <row r="52">
      <c r="A52" t="inlineStr">
        <is>
          <t>IND</t>
        </is>
      </c>
      <c r="B52" t="inlineStr">
        <is>
          <t>2010</t>
        </is>
      </c>
      <c r="C52" t="n">
        <v>11.9893899204244</v>
      </c>
    </row>
    <row r="53">
      <c r="A53" t="inlineStr">
        <is>
          <t>IND</t>
        </is>
      </c>
      <c r="B53" t="inlineStr">
        <is>
          <t>2011</t>
        </is>
      </c>
      <c r="C53" t="n">
        <v>8.911793364833599</v>
      </c>
    </row>
    <row r="54">
      <c r="A54" t="inlineStr">
        <is>
          <t>IND</t>
        </is>
      </c>
      <c r="B54" t="inlineStr">
        <is>
          <t>2012</t>
        </is>
      </c>
      <c r="C54" t="n">
        <v>9.47899691419792</v>
      </c>
    </row>
    <row r="55">
      <c r="A55" t="inlineStr">
        <is>
          <t>IND</t>
        </is>
      </c>
      <c r="B55" t="inlineStr">
        <is>
          <t>2013</t>
        </is>
      </c>
      <c r="C55" t="n">
        <v>10.0178784746104</v>
      </c>
    </row>
    <row r="56">
      <c r="A56" t="inlineStr">
        <is>
          <t>IND</t>
        </is>
      </c>
      <c r="B56" t="inlineStr">
        <is>
          <t>2014</t>
        </is>
      </c>
      <c r="C56" t="n">
        <v>6.66565671867899</v>
      </c>
    </row>
    <row r="57">
      <c r="A57" t="inlineStr">
        <is>
          <t>IND</t>
        </is>
      </c>
      <c r="B57" t="inlineStr">
        <is>
          <t>2015</t>
        </is>
      </c>
      <c r="C57" t="n">
        <v>4.90697344127249</v>
      </c>
    </row>
    <row r="58">
      <c r="A58" t="inlineStr">
        <is>
          <t>IND</t>
        </is>
      </c>
      <c r="B58" t="inlineStr">
        <is>
          <t>2016</t>
        </is>
      </c>
      <c r="C58" t="n">
        <v>4.94821634062134</v>
      </c>
    </row>
    <row r="59">
      <c r="A59" t="inlineStr">
        <is>
          <t>IND</t>
        </is>
      </c>
      <c r="B59" t="inlineStr">
        <is>
          <t>2017</t>
        </is>
      </c>
      <c r="C59" t="n">
        <v>3.32817337461304</v>
      </c>
    </row>
    <row r="60">
      <c r="A60" t="inlineStr">
        <is>
          <t>IND</t>
        </is>
      </c>
      <c r="B60" t="inlineStr">
        <is>
          <t>2018</t>
        </is>
      </c>
      <c r="C60" t="n">
        <v>3.93882646691642</v>
      </c>
    </row>
    <row r="61">
      <c r="A61" t="inlineStr">
        <is>
          <t>IND</t>
        </is>
      </c>
      <c r="B61" t="inlineStr">
        <is>
          <t>2019</t>
        </is>
      </c>
      <c r="C61" t="n">
        <v>3.72950573539123</v>
      </c>
    </row>
    <row r="62">
      <c r="A62" t="inlineStr">
        <is>
          <t>IND</t>
        </is>
      </c>
      <c r="B62" t="inlineStr">
        <is>
          <t>2020</t>
        </is>
      </c>
      <c r="C62" t="n">
        <v>6.62343677628529</v>
      </c>
    </row>
    <row r="63">
      <c r="A63" t="inlineStr">
        <is>
          <t>IND</t>
        </is>
      </c>
      <c r="B63" t="inlineStr">
        <is>
          <t>2021</t>
        </is>
      </c>
      <c r="C63" t="n">
        <v>5.13140747176363</v>
      </c>
    </row>
    <row r="64">
      <c r="A64" t="inlineStr">
        <is>
          <t>IND</t>
        </is>
      </c>
      <c r="B64" t="inlineStr">
        <is>
          <t>2022</t>
        </is>
      </c>
      <c r="C64" t="n">
        <v>6.69903414079857</v>
      </c>
    </row>
    <row r="65">
      <c r="A65" t="inlineStr">
        <is>
          <t>IND</t>
        </is>
      </c>
      <c r="B65" t="inlineStr">
        <is>
          <t>2023</t>
        </is>
      </c>
      <c r="C65" t="n">
        <v>5.64914318907925</v>
      </c>
    </row>
    <row r="66">
      <c r="A66" t="inlineStr">
        <is>
          <t>IND</t>
        </is>
      </c>
      <c r="B66" t="inlineStr">
        <is>
          <t>2024</t>
        </is>
      </c>
      <c r="C66" t="n">
        <v>4.9530355097366</v>
      </c>
    </row>
    <row r="67">
      <c r="A67" t="inlineStr">
        <is>
          <t>IND</t>
        </is>
      </c>
      <c r="B67" t="inlineStr">
        <is>
          <t>2025</t>
        </is>
      </c>
      <c r="C67" t="n">
        <v>2.39884954182294</v>
      </c>
    </row>
    <row r="68">
      <c r="A68" t="inlineStr">
        <is>
          <t>PHL</t>
        </is>
      </c>
      <c r="B68" t="inlineStr">
        <is>
          <t>1960</t>
        </is>
      </c>
      <c r="C68" t="n">
        <v>4.15482177982161</v>
      </c>
    </row>
    <row r="69">
      <c r="A69" t="inlineStr">
        <is>
          <t>PHL</t>
        </is>
      </c>
      <c r="B69" t="inlineStr">
        <is>
          <t>1961</t>
        </is>
      </c>
      <c r="C69" t="n">
        <v>1.59563300452722</v>
      </c>
    </row>
    <row r="70">
      <c r="A70" t="inlineStr">
        <is>
          <t>PHL</t>
        </is>
      </c>
      <c r="B70" t="inlineStr">
        <is>
          <t>1962</t>
        </is>
      </c>
      <c r="C70" t="n">
        <v>5.79665220101376</v>
      </c>
    </row>
    <row r="71">
      <c r="A71" t="inlineStr">
        <is>
          <t>PHL</t>
        </is>
      </c>
      <c r="B71" t="inlineStr">
        <is>
          <t>1963</t>
        </is>
      </c>
      <c r="C71" t="n">
        <v>5.62554937008823</v>
      </c>
    </row>
    <row r="72">
      <c r="A72" t="inlineStr">
        <is>
          <t>PHL</t>
        </is>
      </c>
      <c r="B72" t="inlineStr">
        <is>
          <t>1964</t>
        </is>
      </c>
      <c r="C72" t="n">
        <v>8.183079057003299</v>
      </c>
    </row>
    <row r="73">
      <c r="A73" t="inlineStr">
        <is>
          <t>PHL</t>
        </is>
      </c>
      <c r="B73" t="inlineStr">
        <is>
          <t>1965</t>
        </is>
      </c>
      <c r="C73" t="n">
        <v>2.56410256428448</v>
      </c>
    </row>
    <row r="74">
      <c r="A74" t="inlineStr">
        <is>
          <t>PHL</t>
        </is>
      </c>
      <c r="B74" t="inlineStr">
        <is>
          <t>1966</t>
        </is>
      </c>
      <c r="C74" t="n">
        <v>5.39999999968074</v>
      </c>
    </row>
    <row r="75">
      <c r="A75" t="inlineStr">
        <is>
          <t>PHL</t>
        </is>
      </c>
      <c r="B75" t="inlineStr">
        <is>
          <t>1967</t>
        </is>
      </c>
      <c r="C75" t="n">
        <v>6.25395319397734</v>
      </c>
    </row>
    <row r="76">
      <c r="A76" t="inlineStr">
        <is>
          <t>PHL</t>
        </is>
      </c>
      <c r="B76" t="inlineStr">
        <is>
          <t>1968</t>
        </is>
      </c>
      <c r="C76" t="n">
        <v>2.35880645890594</v>
      </c>
    </row>
    <row r="77">
      <c r="A77" t="inlineStr">
        <is>
          <t>PHL</t>
        </is>
      </c>
      <c r="B77" t="inlineStr">
        <is>
          <t>1969</t>
        </is>
      </c>
      <c r="C77" t="n">
        <v>1.95551032285384</v>
      </c>
    </row>
    <row r="78">
      <c r="A78" t="inlineStr">
        <is>
          <t>PHL</t>
        </is>
      </c>
      <c r="B78" t="inlineStr">
        <is>
          <t>1970</t>
        </is>
      </c>
      <c r="C78" t="n">
        <v>14.3814616757328</v>
      </c>
    </row>
    <row r="79">
      <c r="A79" t="inlineStr">
        <is>
          <t>PHL</t>
        </is>
      </c>
      <c r="B79" t="inlineStr">
        <is>
          <t>1971</t>
        </is>
      </c>
      <c r="C79" t="n">
        <v>21.4033435366143</v>
      </c>
    </row>
    <row r="80">
      <c r="A80" t="inlineStr">
        <is>
          <t>PHL</t>
        </is>
      </c>
      <c r="B80" t="inlineStr">
        <is>
          <t>1972</t>
        </is>
      </c>
      <c r="C80" t="n">
        <v>8.20403413498833</v>
      </c>
    </row>
    <row r="81">
      <c r="A81" t="inlineStr">
        <is>
          <t>PHL</t>
        </is>
      </c>
      <c r="B81" t="inlineStr">
        <is>
          <t>1973</t>
        </is>
      </c>
      <c r="C81" t="n">
        <v>16.5800322638464</v>
      </c>
    </row>
    <row r="82">
      <c r="A82" t="inlineStr">
        <is>
          <t>PHL</t>
        </is>
      </c>
      <c r="B82" t="inlineStr">
        <is>
          <t>1974</t>
        </is>
      </c>
      <c r="C82" t="n">
        <v>34.1635916359164</v>
      </c>
    </row>
    <row r="83">
      <c r="A83" t="inlineStr">
        <is>
          <t>PHL</t>
        </is>
      </c>
      <c r="B83" t="inlineStr">
        <is>
          <t>1975</t>
        </is>
      </c>
      <c r="C83" t="n">
        <v>6.76140270456077</v>
      </c>
    </row>
    <row r="84">
      <c r="A84" t="inlineStr">
        <is>
          <t>PHL</t>
        </is>
      </c>
      <c r="B84" t="inlineStr">
        <is>
          <t>1976</t>
        </is>
      </c>
      <c r="C84" t="n">
        <v>9.19922713611011</v>
      </c>
    </row>
    <row r="85">
      <c r="A85" t="inlineStr">
        <is>
          <t>PHL</t>
        </is>
      </c>
      <c r="B85" t="inlineStr">
        <is>
          <t>1977</t>
        </is>
      </c>
      <c r="C85" t="n">
        <v>9.898751597365649</v>
      </c>
    </row>
    <row r="86">
      <c r="A86" t="inlineStr">
        <is>
          <t>PHL</t>
        </is>
      </c>
      <c r="B86" t="inlineStr">
        <is>
          <t>1978</t>
        </is>
      </c>
      <c r="C86" t="n">
        <v>7.33452593917692</v>
      </c>
    </row>
    <row r="87">
      <c r="A87" t="inlineStr">
        <is>
          <t>PHL</t>
        </is>
      </c>
      <c r="B87" t="inlineStr">
        <is>
          <t>1979</t>
        </is>
      </c>
      <c r="C87" t="n">
        <v>17.5333333327501</v>
      </c>
    </row>
    <row r="88">
      <c r="A88" t="inlineStr">
        <is>
          <t>PHL</t>
        </is>
      </c>
      <c r="B88" t="inlineStr">
        <is>
          <t>1980</t>
        </is>
      </c>
      <c r="C88" t="n">
        <v>18.2005104938508</v>
      </c>
    </row>
    <row r="89">
      <c r="A89" t="inlineStr">
        <is>
          <t>PHL</t>
        </is>
      </c>
      <c r="B89" t="inlineStr">
        <is>
          <t>1981</t>
        </is>
      </c>
      <c r="C89" t="n">
        <v>13.0825985241675</v>
      </c>
    </row>
    <row r="90">
      <c r="A90" t="inlineStr">
        <is>
          <t>PHL</t>
        </is>
      </c>
      <c r="B90" t="inlineStr">
        <is>
          <t>1982</t>
        </is>
      </c>
      <c r="C90" t="n">
        <v>10.2217271376891</v>
      </c>
    </row>
    <row r="91">
      <c r="A91" t="inlineStr">
        <is>
          <t>PHL</t>
        </is>
      </c>
      <c r="B91" t="inlineStr">
        <is>
          <t>1983</t>
        </is>
      </c>
      <c r="C91" t="n">
        <v>10.0293565620481</v>
      </c>
    </row>
    <row r="92">
      <c r="A92" t="inlineStr">
        <is>
          <t>PHL</t>
        </is>
      </c>
      <c r="B92" t="inlineStr">
        <is>
          <t>1984</t>
        </is>
      </c>
      <c r="C92" t="n">
        <v>50.3389756374497</v>
      </c>
    </row>
    <row r="93">
      <c r="A93" t="inlineStr">
        <is>
          <t>PHL</t>
        </is>
      </c>
      <c r="B93" t="inlineStr">
        <is>
          <t>1985</t>
        </is>
      </c>
      <c r="C93" t="n">
        <v>23.1031071803888</v>
      </c>
    </row>
    <row r="94">
      <c r="A94" t="inlineStr">
        <is>
          <t>PHL</t>
        </is>
      </c>
      <c r="B94" t="inlineStr">
        <is>
          <t>1986</t>
        </is>
      </c>
      <c r="C94" t="n">
        <v>1.14813777653338</v>
      </c>
    </row>
    <row r="95">
      <c r="A95" t="inlineStr">
        <is>
          <t>PHL</t>
        </is>
      </c>
      <c r="B95" t="inlineStr">
        <is>
          <t>1987</t>
        </is>
      </c>
      <c r="C95" t="n">
        <v>4.06976744186024</v>
      </c>
    </row>
    <row r="96">
      <c r="A96" t="inlineStr">
        <is>
          <t>PHL</t>
        </is>
      </c>
      <c r="B96" t="inlineStr">
        <is>
          <t>1988</t>
        </is>
      </c>
      <c r="C96" t="n">
        <v>13.8600691673318</v>
      </c>
    </row>
    <row r="97">
      <c r="A97" t="inlineStr">
        <is>
          <t>PHL</t>
        </is>
      </c>
      <c r="B97" t="inlineStr">
        <is>
          <t>1989</t>
        </is>
      </c>
      <c r="C97" t="n">
        <v>12.2429906542055</v>
      </c>
    </row>
    <row r="98">
      <c r="A98" t="inlineStr">
        <is>
          <t>PHL</t>
        </is>
      </c>
      <c r="B98" t="inlineStr">
        <is>
          <t>1990</t>
        </is>
      </c>
      <c r="C98" t="n">
        <v>12.1773522064946</v>
      </c>
    </row>
    <row r="99">
      <c r="A99" t="inlineStr">
        <is>
          <t>PHL</t>
        </is>
      </c>
      <c r="B99" t="inlineStr">
        <is>
          <t>1991</t>
        </is>
      </c>
      <c r="C99" t="n">
        <v>19.2614585266281</v>
      </c>
    </row>
    <row r="100">
      <c r="A100" t="inlineStr">
        <is>
          <t>PHL</t>
        </is>
      </c>
      <c r="B100" t="inlineStr">
        <is>
          <t>1992</t>
        </is>
      </c>
      <c r="C100" t="n">
        <v>8.65100357865264</v>
      </c>
    </row>
    <row r="101">
      <c r="A101" t="inlineStr">
        <is>
          <t>PHL</t>
        </is>
      </c>
      <c r="B101" t="inlineStr">
        <is>
          <t>1993</t>
        </is>
      </c>
      <c r="C101" t="n">
        <v>6.71631104109973</v>
      </c>
    </row>
    <row r="102">
      <c r="A102" t="inlineStr">
        <is>
          <t>PHL</t>
        </is>
      </c>
      <c r="B102" t="inlineStr">
        <is>
          <t>1994</t>
        </is>
      </c>
      <c r="C102" t="n">
        <v>10.3864734299517</v>
      </c>
    </row>
    <row r="103">
      <c r="A103" t="inlineStr">
        <is>
          <t>PHL</t>
        </is>
      </c>
      <c r="B103" t="inlineStr">
        <is>
          <t>1995</t>
        </is>
      </c>
      <c r="C103" t="n">
        <v>6.83199610989533</v>
      </c>
    </row>
    <row r="104">
      <c r="A104" t="inlineStr">
        <is>
          <t>PHL</t>
        </is>
      </c>
      <c r="B104" t="inlineStr">
        <is>
          <t>1996</t>
        </is>
      </c>
      <c r="C104" t="n">
        <v>7.47610377787909</v>
      </c>
    </row>
    <row r="105">
      <c r="A105" t="inlineStr">
        <is>
          <t>PHL</t>
        </is>
      </c>
      <c r="B105" t="inlineStr">
        <is>
          <t>1997</t>
        </is>
      </c>
      <c r="C105" t="n">
        <v>5.590259396506</v>
      </c>
    </row>
    <row r="106">
      <c r="A106" t="inlineStr">
        <is>
          <t>PHL</t>
        </is>
      </c>
      <c r="B106" t="inlineStr">
        <is>
          <t>1998</t>
        </is>
      </c>
      <c r="C106" t="n">
        <v>9.23493432267121</v>
      </c>
    </row>
    <row r="107">
      <c r="A107" t="inlineStr">
        <is>
          <t>PHL</t>
        </is>
      </c>
      <c r="B107" t="inlineStr">
        <is>
          <t>1999</t>
        </is>
      </c>
      <c r="C107" t="n">
        <v>5.93904901780808</v>
      </c>
    </row>
    <row r="108">
      <c r="A108" t="inlineStr">
        <is>
          <t>PHL</t>
        </is>
      </c>
      <c r="B108" t="inlineStr">
        <is>
          <t>2000</t>
        </is>
      </c>
      <c r="C108" t="n">
        <v>3.97712503249279</v>
      </c>
    </row>
    <row r="109">
      <c r="A109" t="inlineStr">
        <is>
          <t>PHL</t>
        </is>
      </c>
      <c r="B109" t="inlineStr">
        <is>
          <t>2001</t>
        </is>
      </c>
      <c r="C109" t="n">
        <v>5.34550195567141</v>
      </c>
    </row>
    <row r="110">
      <c r="A110" t="inlineStr">
        <is>
          <t>PHL</t>
        </is>
      </c>
      <c r="B110" t="inlineStr">
        <is>
          <t>2002</t>
        </is>
      </c>
      <c r="C110" t="n">
        <v>2.72277227722765</v>
      </c>
    </row>
    <row r="111">
      <c r="A111" t="inlineStr">
        <is>
          <t>PHL</t>
        </is>
      </c>
      <c r="B111" t="inlineStr">
        <is>
          <t>2003</t>
        </is>
      </c>
      <c r="C111" t="n">
        <v>2.28915662650607</v>
      </c>
    </row>
    <row r="112">
      <c r="A112" t="inlineStr">
        <is>
          <t>PHL</t>
        </is>
      </c>
      <c r="B112" t="inlineStr">
        <is>
          <t>2004</t>
        </is>
      </c>
      <c r="C112" t="n">
        <v>4.82921083627795</v>
      </c>
    </row>
    <row r="113">
      <c r="A113" t="inlineStr">
        <is>
          <t>PHL</t>
        </is>
      </c>
      <c r="B113" t="inlineStr">
        <is>
          <t>2005</t>
        </is>
      </c>
      <c r="C113" t="n">
        <v>6.51685393258433</v>
      </c>
    </row>
    <row r="114">
      <c r="A114" t="inlineStr">
        <is>
          <t>PHL</t>
        </is>
      </c>
      <c r="B114" t="inlineStr">
        <is>
          <t>2006</t>
        </is>
      </c>
      <c r="C114" t="n">
        <v>5.4852320675105</v>
      </c>
    </row>
    <row r="115">
      <c r="A115" t="inlineStr">
        <is>
          <t>PHL</t>
        </is>
      </c>
      <c r="B115" t="inlineStr">
        <is>
          <t>2007</t>
        </is>
      </c>
      <c r="C115" t="n">
        <v>2.90000000000002</v>
      </c>
    </row>
    <row r="116">
      <c r="A116" t="inlineStr">
        <is>
          <t>PHL</t>
        </is>
      </c>
      <c r="B116" t="inlineStr">
        <is>
          <t>2008</t>
        </is>
      </c>
      <c r="C116" t="n">
        <v>8.26044703595724</v>
      </c>
    </row>
    <row r="117">
      <c r="A117" t="inlineStr">
        <is>
          <t>PHL</t>
        </is>
      </c>
      <c r="B117" t="inlineStr">
        <is>
          <t>2009</t>
        </is>
      </c>
      <c r="C117" t="n">
        <v>4.21903052064628</v>
      </c>
    </row>
    <row r="118">
      <c r="A118" t="inlineStr">
        <is>
          <t>PHL</t>
        </is>
      </c>
      <c r="B118" t="inlineStr">
        <is>
          <t>2010</t>
        </is>
      </c>
      <c r="C118" t="n">
        <v>3.7898363479759</v>
      </c>
    </row>
    <row r="119">
      <c r="A119" t="inlineStr">
        <is>
          <t>PHL</t>
        </is>
      </c>
      <c r="B119" t="inlineStr">
        <is>
          <t>2011</t>
        </is>
      </c>
      <c r="C119" t="n">
        <v>4.7184170471842</v>
      </c>
    </row>
    <row r="120">
      <c r="A120" t="inlineStr">
        <is>
          <t>PHL</t>
        </is>
      </c>
      <c r="B120" t="inlineStr">
        <is>
          <t>2012</t>
        </is>
      </c>
      <c r="C120" t="n">
        <v>3.02696391124796</v>
      </c>
    </row>
    <row r="121">
      <c r="A121" t="inlineStr">
        <is>
          <t>PHL</t>
        </is>
      </c>
      <c r="B121" t="inlineStr">
        <is>
          <t>2013</t>
        </is>
      </c>
      <c r="C121" t="n">
        <v>2.58268766141794</v>
      </c>
    </row>
    <row r="122">
      <c r="A122" t="inlineStr">
        <is>
          <t>PHL</t>
        </is>
      </c>
      <c r="B122" t="inlineStr">
        <is>
          <t>2014</t>
        </is>
      </c>
      <c r="C122" t="n">
        <v>3.59782343864211</v>
      </c>
    </row>
    <row r="123">
      <c r="A123" t="inlineStr">
        <is>
          <t>PHL</t>
        </is>
      </c>
      <c r="B123" t="inlineStr">
        <is>
          <t>2015</t>
        </is>
      </c>
      <c r="C123" t="n">
        <v>0.674192536845408</v>
      </c>
    </row>
    <row r="124">
      <c r="A124" t="inlineStr">
        <is>
          <t>PHL</t>
        </is>
      </c>
      <c r="B124" t="inlineStr">
        <is>
          <t>2016</t>
        </is>
      </c>
      <c r="C124" t="n">
        <v>1.25369880080981</v>
      </c>
    </row>
    <row r="125">
      <c r="A125" t="inlineStr">
        <is>
          <t>PHL</t>
        </is>
      </c>
      <c r="B125" t="inlineStr">
        <is>
          <t>2017</t>
        </is>
      </c>
      <c r="C125" t="n">
        <v>2.85318772590947</v>
      </c>
    </row>
    <row r="126">
      <c r="A126" t="inlineStr">
        <is>
          <t>PHL</t>
        </is>
      </c>
      <c r="B126" t="inlineStr">
        <is>
          <t>2018</t>
        </is>
      </c>
      <c r="C126" t="n">
        <v>5.30934661627706</v>
      </c>
    </row>
    <row r="127">
      <c r="A127" t="inlineStr">
        <is>
          <t>PHL</t>
        </is>
      </c>
      <c r="B127" t="inlineStr">
        <is>
          <t>2019</t>
        </is>
      </c>
      <c r="C127" t="n">
        <v>2.39206534422404</v>
      </c>
    </row>
    <row r="128">
      <c r="A128" t="inlineStr">
        <is>
          <t>PHL</t>
        </is>
      </c>
      <c r="B128" t="inlineStr">
        <is>
          <t>2020</t>
        </is>
      </c>
      <c r="C128" t="n">
        <v>2.3931623931624</v>
      </c>
    </row>
    <row r="129">
      <c r="A129" t="inlineStr">
        <is>
          <t>PHL</t>
        </is>
      </c>
      <c r="B129" t="inlineStr">
        <is>
          <t>2021</t>
        </is>
      </c>
      <c r="C129" t="n">
        <v>3.92718022100332</v>
      </c>
    </row>
    <row r="130">
      <c r="A130" t="inlineStr">
        <is>
          <t>PHL</t>
        </is>
      </c>
      <c r="B130" t="inlineStr">
        <is>
          <t>2022</t>
        </is>
      </c>
      <c r="C130" t="n">
        <v>5.82115811213954</v>
      </c>
    </row>
    <row r="131">
      <c r="A131" t="inlineStr">
        <is>
          <t>PHL</t>
        </is>
      </c>
      <c r="B131" t="inlineStr">
        <is>
          <t>2023</t>
        </is>
      </c>
      <c r="C131" t="n">
        <v>5.97802515541409</v>
      </c>
    </row>
    <row r="132">
      <c r="A132" t="inlineStr">
        <is>
          <t>PHL</t>
        </is>
      </c>
      <c r="B132" t="inlineStr">
        <is>
          <t>2024</t>
        </is>
      </c>
      <c r="C132" t="n">
        <v>3.21260487006347</v>
      </c>
    </row>
    <row r="133">
      <c r="A133" t="inlineStr">
        <is>
          <t>PHL</t>
        </is>
      </c>
      <c r="B133" t="inlineStr">
        <is>
          <t>2025</t>
        </is>
      </c>
      <c r="C133" t="n">
        <v>1.6587364525509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</row>
    <row r="165">
      <c r="A165" t="inlineStr">
        <is>
          <t>VNM</t>
        </is>
      </c>
      <c r="B165" t="inlineStr">
        <is>
          <t>1991</t>
        </is>
      </c>
    </row>
    <row r="166">
      <c r="A166" t="inlineStr">
        <is>
          <t>VNM</t>
        </is>
      </c>
      <c r="B166" t="inlineStr">
        <is>
          <t>1992</t>
        </is>
      </c>
    </row>
    <row r="167">
      <c r="A167" t="inlineStr">
        <is>
          <t>VNM</t>
        </is>
      </c>
      <c r="B167" t="inlineStr">
        <is>
          <t>1993</t>
        </is>
      </c>
    </row>
    <row r="168">
      <c r="A168" t="inlineStr">
        <is>
          <t>VNM</t>
        </is>
      </c>
      <c r="B168" t="inlineStr">
        <is>
          <t>1994</t>
        </is>
      </c>
    </row>
    <row r="169">
      <c r="A169" t="inlineStr">
        <is>
          <t>VNM</t>
        </is>
      </c>
      <c r="B169" t="inlineStr">
        <is>
          <t>1995</t>
        </is>
      </c>
    </row>
    <row r="170">
      <c r="A170" t="inlineStr">
        <is>
          <t>VNM</t>
        </is>
      </c>
      <c r="B170" t="inlineStr">
        <is>
          <t>1996</t>
        </is>
      </c>
      <c r="C170" t="n">
        <v>5.67499999999991</v>
      </c>
    </row>
    <row r="171">
      <c r="A171" t="inlineStr">
        <is>
          <t>VNM</t>
        </is>
      </c>
      <c r="B171" t="inlineStr">
        <is>
          <t>1997</t>
        </is>
      </c>
      <c r="C171" t="n">
        <v>3.20952606261374</v>
      </c>
    </row>
    <row r="172">
      <c r="A172" t="inlineStr">
        <is>
          <t>VNM</t>
        </is>
      </c>
      <c r="B172" t="inlineStr">
        <is>
          <t>1998</t>
        </is>
      </c>
      <c r="C172" t="n">
        <v>7.26619804400963</v>
      </c>
    </row>
    <row r="173">
      <c r="A173" t="inlineStr">
        <is>
          <t>VNM</t>
        </is>
      </c>
      <c r="B173" t="inlineStr">
        <is>
          <t>1999</t>
        </is>
      </c>
      <c r="C173" t="n">
        <v>4.11710235771735</v>
      </c>
    </row>
    <row r="174">
      <c r="A174" t="inlineStr">
        <is>
          <t>VNM</t>
        </is>
      </c>
      <c r="B174" t="inlineStr">
        <is>
          <t>2000</t>
        </is>
      </c>
      <c r="C174" t="n">
        <v>-1.7103372785111</v>
      </c>
    </row>
    <row r="175">
      <c r="A175" t="inlineStr">
        <is>
          <t>VNM</t>
        </is>
      </c>
      <c r="B175" t="inlineStr">
        <is>
          <t>2001</t>
        </is>
      </c>
      <c r="C175" t="n">
        <v>-0.43154451172818</v>
      </c>
    </row>
    <row r="176">
      <c r="A176" t="inlineStr">
        <is>
          <t>VNM</t>
        </is>
      </c>
      <c r="B176" t="inlineStr">
        <is>
          <t>2002</t>
        </is>
      </c>
      <c r="C176" t="n">
        <v>3.83082838168467</v>
      </c>
    </row>
    <row r="177">
      <c r="A177" t="inlineStr">
        <is>
          <t>VNM</t>
        </is>
      </c>
      <c r="B177" t="inlineStr">
        <is>
          <t>2003</t>
        </is>
      </c>
      <c r="C177" t="n">
        <v>3.23464817293925</v>
      </c>
    </row>
    <row r="178">
      <c r="A178" t="inlineStr">
        <is>
          <t>VNM</t>
        </is>
      </c>
      <c r="B178" t="inlineStr">
        <is>
          <t>2004</t>
        </is>
      </c>
      <c r="C178" t="n">
        <v>7.75494748709606</v>
      </c>
    </row>
    <row r="179">
      <c r="A179" t="inlineStr">
        <is>
          <t>VNM</t>
        </is>
      </c>
      <c r="B179" t="inlineStr">
        <is>
          <t>2005</t>
        </is>
      </c>
      <c r="C179" t="n">
        <v>8.284572431286669</v>
      </c>
    </row>
    <row r="180">
      <c r="A180" t="inlineStr">
        <is>
          <t>VNM</t>
        </is>
      </c>
      <c r="B180" t="inlineStr">
        <is>
          <t>2006</t>
        </is>
      </c>
      <c r="C180" t="n">
        <v>7.41801715108469</v>
      </c>
    </row>
    <row r="181">
      <c r="A181" t="inlineStr">
        <is>
          <t>VNM</t>
        </is>
      </c>
      <c r="B181" t="inlineStr">
        <is>
          <t>2007</t>
        </is>
      </c>
      <c r="C181" t="n">
        <v>8.344448897738459</v>
      </c>
    </row>
    <row r="182">
      <c r="A182" t="inlineStr">
        <is>
          <t>VNM</t>
        </is>
      </c>
      <c r="B182" t="inlineStr">
        <is>
          <t>2008</t>
        </is>
      </c>
      <c r="C182" t="n">
        <v>23.1154483474477</v>
      </c>
    </row>
    <row r="183">
      <c r="A183" t="inlineStr">
        <is>
          <t>VNM</t>
        </is>
      </c>
      <c r="B183" t="inlineStr">
        <is>
          <t>2009</t>
        </is>
      </c>
      <c r="C183" t="n">
        <v>6.71698269988631</v>
      </c>
    </row>
    <row r="184">
      <c r="A184" t="inlineStr">
        <is>
          <t>VNM</t>
        </is>
      </c>
      <c r="B184" t="inlineStr">
        <is>
          <t>2010</t>
        </is>
      </c>
      <c r="C184" t="n">
        <v>9.207466487784121</v>
      </c>
    </row>
    <row r="185">
      <c r="A185" t="inlineStr">
        <is>
          <t>VNM</t>
        </is>
      </c>
      <c r="B185" t="inlineStr">
        <is>
          <t>2011</t>
        </is>
      </c>
      <c r="C185" t="n">
        <v>18.6777322770706</v>
      </c>
    </row>
    <row r="186">
      <c r="A186" t="inlineStr">
        <is>
          <t>VNM</t>
        </is>
      </c>
      <c r="B186" t="inlineStr">
        <is>
          <t>2012</t>
        </is>
      </c>
      <c r="C186" t="n">
        <v>9.094703395571919</v>
      </c>
    </row>
    <row r="187">
      <c r="A187" t="inlineStr">
        <is>
          <t>VNM</t>
        </is>
      </c>
      <c r="B187" t="inlineStr">
        <is>
          <t>2013</t>
        </is>
      </c>
      <c r="C187" t="n">
        <v>6.59267475899192</v>
      </c>
    </row>
    <row r="188">
      <c r="A188" t="inlineStr">
        <is>
          <t>VNM</t>
        </is>
      </c>
      <c r="B188" t="inlineStr">
        <is>
          <t>2014</t>
        </is>
      </c>
      <c r="C188" t="n">
        <v>4.08455446637624</v>
      </c>
    </row>
    <row r="189">
      <c r="A189" t="inlineStr">
        <is>
          <t>VNM</t>
        </is>
      </c>
      <c r="B189" t="inlineStr">
        <is>
          <t>2015</t>
        </is>
      </c>
      <c r="C189" t="n">
        <v>0.6312009051756839</v>
      </c>
    </row>
    <row r="190">
      <c r="A190" t="inlineStr">
        <is>
          <t>VNM</t>
        </is>
      </c>
      <c r="B190" t="inlineStr">
        <is>
          <t>2016</t>
        </is>
      </c>
      <c r="C190" t="n">
        <v>2.66824816969082</v>
      </c>
    </row>
    <row r="191">
      <c r="A191" t="inlineStr">
        <is>
          <t>VNM</t>
        </is>
      </c>
      <c r="B191" t="inlineStr">
        <is>
          <t>2017</t>
        </is>
      </c>
      <c r="C191" t="n">
        <v>3.52025688811617</v>
      </c>
    </row>
    <row r="192">
      <c r="A192" t="inlineStr">
        <is>
          <t>VNM</t>
        </is>
      </c>
      <c r="B192" t="inlineStr">
        <is>
          <t>2018</t>
        </is>
      </c>
      <c r="C192" t="n">
        <v>3.53962805942641</v>
      </c>
    </row>
    <row r="193">
      <c r="A193" t="inlineStr">
        <is>
          <t>VNM</t>
        </is>
      </c>
      <c r="B193" t="inlineStr">
        <is>
          <t>2019</t>
        </is>
      </c>
      <c r="C193" t="n">
        <v>2.79582367452243</v>
      </c>
    </row>
    <row r="194">
      <c r="A194" t="inlineStr">
        <is>
          <t>VNM</t>
        </is>
      </c>
      <c r="B194" t="inlineStr">
        <is>
          <t>2020</t>
        </is>
      </c>
      <c r="C194" t="n">
        <v>3.22093436652514</v>
      </c>
    </row>
    <row r="195">
      <c r="A195" t="inlineStr">
        <is>
          <t>VNM</t>
        </is>
      </c>
      <c r="B195" t="inlineStr">
        <is>
          <t>2021</t>
        </is>
      </c>
      <c r="C195" t="n">
        <v>1.83471554810461</v>
      </c>
    </row>
    <row r="196">
      <c r="A196" t="inlineStr">
        <is>
          <t>VNM</t>
        </is>
      </c>
      <c r="B196" t="inlineStr">
        <is>
          <t>2022</t>
        </is>
      </c>
      <c r="C196" t="n">
        <v>3.15650749963111</v>
      </c>
    </row>
    <row r="197">
      <c r="A197" t="inlineStr">
        <is>
          <t>VNM</t>
        </is>
      </c>
      <c r="B197" t="inlineStr">
        <is>
          <t>2023</t>
        </is>
      </c>
      <c r="C197" t="n">
        <v>3.25289282667662</v>
      </c>
    </row>
    <row r="198">
      <c r="A198" t="inlineStr">
        <is>
          <t>VNM</t>
        </is>
      </c>
      <c r="B198" t="inlineStr">
        <is>
          <t>2024</t>
        </is>
      </c>
      <c r="C198" t="n">
        <v>3.62109273885843</v>
      </c>
    </row>
    <row r="199">
      <c r="A199" t="inlineStr">
        <is>
          <t>VNM</t>
        </is>
      </c>
      <c r="B199" t="inlineStr">
        <is>
          <t>2025</t>
        </is>
      </c>
      <c r="C199" t="n">
        <v>3.30999314219739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NY.GDP.MKTP.KD.ZG</t>
        </is>
      </c>
    </row>
    <row r="2">
      <c r="A2" t="inlineStr">
        <is>
          <t>IND</t>
        </is>
      </c>
      <c r="B2" t="inlineStr">
        <is>
          <t>1960</t>
        </is>
      </c>
    </row>
    <row r="3">
      <c r="A3" t="inlineStr">
        <is>
          <t>IND</t>
        </is>
      </c>
      <c r="B3" t="inlineStr">
        <is>
          <t>1961</t>
        </is>
      </c>
      <c r="C3" t="n">
        <v>3.72274253269822</v>
      </c>
    </row>
    <row r="4">
      <c r="A4" t="inlineStr">
        <is>
          <t>IND</t>
        </is>
      </c>
      <c r="B4" t="inlineStr">
        <is>
          <t>1962</t>
        </is>
      </c>
      <c r="C4" t="n">
        <v>2.93112773665958</v>
      </c>
    </row>
    <row r="5">
      <c r="A5" t="inlineStr">
        <is>
          <t>IND</t>
        </is>
      </c>
      <c r="B5" t="inlineStr">
        <is>
          <t>1963</t>
        </is>
      </c>
      <c r="C5" t="n">
        <v>5.99435326095178</v>
      </c>
    </row>
    <row r="6">
      <c r="A6" t="inlineStr">
        <is>
          <t>IND</t>
        </is>
      </c>
      <c r="B6" t="inlineStr">
        <is>
          <t>1964</t>
        </is>
      </c>
      <c r="C6" t="n">
        <v>7.45295012232975</v>
      </c>
    </row>
    <row r="7">
      <c r="A7" t="inlineStr">
        <is>
          <t>IND</t>
        </is>
      </c>
      <c r="B7" t="inlineStr">
        <is>
          <t>1965</t>
        </is>
      </c>
      <c r="C7" t="n">
        <v>-2.63577010985361</v>
      </c>
    </row>
    <row r="8">
      <c r="A8" t="inlineStr">
        <is>
          <t>IND</t>
        </is>
      </c>
      <c r="B8" t="inlineStr">
        <is>
          <t>1966</t>
        </is>
      </c>
      <c r="C8" t="n">
        <v>-0.0553287698318314</v>
      </c>
    </row>
    <row r="9">
      <c r="A9" t="inlineStr">
        <is>
          <t>IND</t>
        </is>
      </c>
      <c r="B9" t="inlineStr">
        <is>
          <t>1967</t>
        </is>
      </c>
      <c r="C9" t="n">
        <v>7.82596303033105</v>
      </c>
    </row>
    <row r="10">
      <c r="A10" t="inlineStr">
        <is>
          <t>IND</t>
        </is>
      </c>
      <c r="B10" t="inlineStr">
        <is>
          <t>1968</t>
        </is>
      </c>
      <c r="C10" t="n">
        <v>3.38792917600242</v>
      </c>
    </row>
    <row r="11">
      <c r="A11" t="inlineStr">
        <is>
          <t>IND</t>
        </is>
      </c>
      <c r="B11" t="inlineStr">
        <is>
          <t>1969</t>
        </is>
      </c>
      <c r="C11" t="n">
        <v>6.53970029628042</v>
      </c>
    </row>
    <row r="12">
      <c r="A12" t="inlineStr">
        <is>
          <t>IND</t>
        </is>
      </c>
      <c r="B12" t="inlineStr">
        <is>
          <t>1970</t>
        </is>
      </c>
      <c r="C12" t="n">
        <v>5.15722973608261</v>
      </c>
    </row>
    <row r="13">
      <c r="A13" t="inlineStr">
        <is>
          <t>IND</t>
        </is>
      </c>
      <c r="B13" t="inlineStr">
        <is>
          <t>1971</t>
        </is>
      </c>
      <c r="C13" t="n">
        <v>1.64293038388766</v>
      </c>
    </row>
    <row r="14">
      <c r="A14" t="inlineStr">
        <is>
          <t>IND</t>
        </is>
      </c>
      <c r="B14" t="inlineStr">
        <is>
          <t>1972</t>
        </is>
      </c>
      <c r="C14" t="n">
        <v>-0.553301312377712</v>
      </c>
    </row>
    <row r="15">
      <c r="A15" t="inlineStr">
        <is>
          <t>IND</t>
        </is>
      </c>
      <c r="B15" t="inlineStr">
        <is>
          <t>1973</t>
        </is>
      </c>
      <c r="C15" t="n">
        <v>3.29552113522354</v>
      </c>
    </row>
    <row r="16">
      <c r="A16" t="inlineStr">
        <is>
          <t>IND</t>
        </is>
      </c>
      <c r="B16" t="inlineStr">
        <is>
          <t>1974</t>
        </is>
      </c>
      <c r="C16" t="n">
        <v>1.18533626034039</v>
      </c>
    </row>
    <row r="17">
      <c r="A17" t="inlineStr">
        <is>
          <t>IND</t>
        </is>
      </c>
      <c r="B17" t="inlineStr">
        <is>
          <t>1975</t>
        </is>
      </c>
      <c r="C17" t="n">
        <v>9.149912014805921</v>
      </c>
    </row>
    <row r="18">
      <c r="A18" t="inlineStr">
        <is>
          <t>IND</t>
        </is>
      </c>
      <c r="B18" t="inlineStr">
        <is>
          <t>1976</t>
        </is>
      </c>
      <c r="C18" t="n">
        <v>1.66310363661279</v>
      </c>
    </row>
    <row r="19">
      <c r="A19" t="inlineStr">
        <is>
          <t>IND</t>
        </is>
      </c>
      <c r="B19" t="inlineStr">
        <is>
          <t>1977</t>
        </is>
      </c>
      <c r="C19" t="n">
        <v>7.25476458583569</v>
      </c>
    </row>
    <row r="20">
      <c r="A20" t="inlineStr">
        <is>
          <t>IND</t>
        </is>
      </c>
      <c r="B20" t="inlineStr">
        <is>
          <t>1978</t>
        </is>
      </c>
      <c r="C20" t="n">
        <v>5.71253208900188</v>
      </c>
    </row>
    <row r="21">
      <c r="A21" t="inlineStr">
        <is>
          <t>IND</t>
        </is>
      </c>
      <c r="B21" t="inlineStr">
        <is>
          <t>1979</t>
        </is>
      </c>
      <c r="C21" t="n">
        <v>-5.2381827027895</v>
      </c>
    </row>
    <row r="22">
      <c r="A22" t="inlineStr">
        <is>
          <t>IND</t>
        </is>
      </c>
      <c r="B22" t="inlineStr">
        <is>
          <t>1980</t>
        </is>
      </c>
      <c r="C22" t="n">
        <v>6.7358215279985</v>
      </c>
    </row>
    <row r="23">
      <c r="A23" t="inlineStr">
        <is>
          <t>IND</t>
        </is>
      </c>
      <c r="B23" t="inlineStr">
        <is>
          <t>1981</t>
        </is>
      </c>
      <c r="C23" t="n">
        <v>6.00620362381767</v>
      </c>
    </row>
    <row r="24">
      <c r="A24" t="inlineStr">
        <is>
          <t>IND</t>
        </is>
      </c>
      <c r="B24" t="inlineStr">
        <is>
          <t>1982</t>
        </is>
      </c>
      <c r="C24" t="n">
        <v>3.47573324031237</v>
      </c>
    </row>
    <row r="25">
      <c r="A25" t="inlineStr">
        <is>
          <t>IND</t>
        </is>
      </c>
      <c r="B25" t="inlineStr">
        <is>
          <t>1983</t>
        </is>
      </c>
      <c r="C25" t="n">
        <v>7.28889290124586</v>
      </c>
    </row>
    <row r="26">
      <c r="A26" t="inlineStr">
        <is>
          <t>IND</t>
        </is>
      </c>
      <c r="B26" t="inlineStr">
        <is>
          <t>1984</t>
        </is>
      </c>
      <c r="C26" t="n">
        <v>3.8207378559735</v>
      </c>
    </row>
    <row r="27">
      <c r="A27" t="inlineStr">
        <is>
          <t>IND</t>
        </is>
      </c>
      <c r="B27" t="inlineStr">
        <is>
          <t>1985</t>
        </is>
      </c>
      <c r="C27" t="n">
        <v>5.25429922330889</v>
      </c>
    </row>
    <row r="28">
      <c r="A28" t="inlineStr">
        <is>
          <t>IND</t>
        </is>
      </c>
      <c r="B28" t="inlineStr">
        <is>
          <t>1986</t>
        </is>
      </c>
      <c r="C28" t="n">
        <v>4.77656417048946</v>
      </c>
    </row>
    <row r="29">
      <c r="A29" t="inlineStr">
        <is>
          <t>IND</t>
        </is>
      </c>
      <c r="B29" t="inlineStr">
        <is>
          <t>1987</t>
        </is>
      </c>
      <c r="C29" t="n">
        <v>3.96535563390576</v>
      </c>
    </row>
    <row r="30">
      <c r="A30" t="inlineStr">
        <is>
          <t>IND</t>
        </is>
      </c>
      <c r="B30" t="inlineStr">
        <is>
          <t>1988</t>
        </is>
      </c>
      <c r="C30" t="n">
        <v>9.62778291984834</v>
      </c>
    </row>
    <row r="31">
      <c r="A31" t="inlineStr">
        <is>
          <t>IND</t>
        </is>
      </c>
      <c r="B31" t="inlineStr">
        <is>
          <t>1989</t>
        </is>
      </c>
      <c r="C31" t="n">
        <v>5.94734332826503</v>
      </c>
    </row>
    <row r="32">
      <c r="A32" t="inlineStr">
        <is>
          <t>IND</t>
        </is>
      </c>
      <c r="B32" t="inlineStr">
        <is>
          <t>1990</t>
        </is>
      </c>
      <c r="C32" t="n">
        <v>5.53345456306495</v>
      </c>
    </row>
    <row r="33">
      <c r="A33" t="inlineStr">
        <is>
          <t>IND</t>
        </is>
      </c>
      <c r="B33" t="inlineStr">
        <is>
          <t>1991</t>
        </is>
      </c>
      <c r="C33" t="n">
        <v>1.05683143296179</v>
      </c>
    </row>
    <row r="34">
      <c r="A34" t="inlineStr">
        <is>
          <t>IND</t>
        </is>
      </c>
      <c r="B34" t="inlineStr">
        <is>
          <t>1992</t>
        </is>
      </c>
      <c r="C34" t="n">
        <v>5.48239602167003</v>
      </c>
    </row>
    <row r="35">
      <c r="A35" t="inlineStr">
        <is>
          <t>IND</t>
        </is>
      </c>
      <c r="B35" t="inlineStr">
        <is>
          <t>1993</t>
        </is>
      </c>
      <c r="C35" t="n">
        <v>4.7507762195799</v>
      </c>
    </row>
    <row r="36">
      <c r="A36" t="inlineStr">
        <is>
          <t>IND</t>
        </is>
      </c>
      <c r="B36" t="inlineStr">
        <is>
          <t>1994</t>
        </is>
      </c>
      <c r="C36" t="n">
        <v>6.65892406747307</v>
      </c>
    </row>
    <row r="37">
      <c r="A37" t="inlineStr">
        <is>
          <t>IND</t>
        </is>
      </c>
      <c r="B37" t="inlineStr">
        <is>
          <t>1995</t>
        </is>
      </c>
      <c r="C37" t="n">
        <v>7.57449184027195</v>
      </c>
    </row>
    <row r="38">
      <c r="A38" t="inlineStr">
        <is>
          <t>IND</t>
        </is>
      </c>
      <c r="B38" t="inlineStr">
        <is>
          <t>1996</t>
        </is>
      </c>
      <c r="C38" t="n">
        <v>7.54952224888829</v>
      </c>
    </row>
    <row r="39">
      <c r="A39" t="inlineStr">
        <is>
          <t>IND</t>
        </is>
      </c>
      <c r="B39" t="inlineStr">
        <is>
          <t>1997</t>
        </is>
      </c>
      <c r="C39" t="n">
        <v>4.04982084902483</v>
      </c>
    </row>
    <row r="40">
      <c r="A40" t="inlineStr">
        <is>
          <t>IND</t>
        </is>
      </c>
      <c r="B40" t="inlineStr">
        <is>
          <t>1998</t>
        </is>
      </c>
      <c r="C40" t="n">
        <v>6.18441582080355</v>
      </c>
    </row>
    <row r="41">
      <c r="A41" t="inlineStr">
        <is>
          <t>IND</t>
        </is>
      </c>
      <c r="B41" t="inlineStr">
        <is>
          <t>1999</t>
        </is>
      </c>
      <c r="C41" t="n">
        <v>8.845755561141161</v>
      </c>
    </row>
    <row r="42">
      <c r="A42" t="inlineStr">
        <is>
          <t>IND</t>
        </is>
      </c>
      <c r="B42" t="inlineStr">
        <is>
          <t>2000</t>
        </is>
      </c>
      <c r="C42" t="n">
        <v>3.84099115686554</v>
      </c>
    </row>
    <row r="43">
      <c r="A43" t="inlineStr">
        <is>
          <t>IND</t>
        </is>
      </c>
      <c r="B43" t="inlineStr">
        <is>
          <t>2001</t>
        </is>
      </c>
      <c r="C43" t="n">
        <v>4.82396626397303</v>
      </c>
    </row>
    <row r="44">
      <c r="A44" t="inlineStr">
        <is>
          <t>IND</t>
        </is>
      </c>
      <c r="B44" t="inlineStr">
        <is>
          <t>2002</t>
        </is>
      </c>
      <c r="C44" t="n">
        <v>3.80397532120038</v>
      </c>
    </row>
    <row r="45">
      <c r="A45" t="inlineStr">
        <is>
          <t>IND</t>
        </is>
      </c>
      <c r="B45" t="inlineStr">
        <is>
          <t>2003</t>
        </is>
      </c>
      <c r="C45" t="n">
        <v>7.86038147545045</v>
      </c>
    </row>
    <row r="46">
      <c r="A46" t="inlineStr">
        <is>
          <t>IND</t>
        </is>
      </c>
      <c r="B46" t="inlineStr">
        <is>
          <t>2004</t>
        </is>
      </c>
      <c r="C46" t="n">
        <v>7.92293661307978</v>
      </c>
    </row>
    <row r="47">
      <c r="A47" t="inlineStr">
        <is>
          <t>IND</t>
        </is>
      </c>
      <c r="B47" t="inlineStr">
        <is>
          <t>2005</t>
        </is>
      </c>
      <c r="C47" t="n">
        <v>7.92343062131789</v>
      </c>
    </row>
    <row r="48">
      <c r="A48" t="inlineStr">
        <is>
          <t>IND</t>
        </is>
      </c>
      <c r="B48" t="inlineStr">
        <is>
          <t>2006</t>
        </is>
      </c>
      <c r="C48" t="n">
        <v>8.06073257305057</v>
      </c>
    </row>
    <row r="49">
      <c r="A49" t="inlineStr">
        <is>
          <t>IND</t>
        </is>
      </c>
      <c r="B49" t="inlineStr">
        <is>
          <t>2007</t>
        </is>
      </c>
      <c r="C49" t="n">
        <v>7.66081506510766</v>
      </c>
    </row>
    <row r="50">
      <c r="A50" t="inlineStr">
        <is>
          <t>IND</t>
        </is>
      </c>
      <c r="B50" t="inlineStr">
        <is>
          <t>2008</t>
        </is>
      </c>
      <c r="C50" t="n">
        <v>3.08669805950082</v>
      </c>
    </row>
    <row r="51">
      <c r="A51" t="inlineStr">
        <is>
          <t>IND</t>
        </is>
      </c>
      <c r="B51" t="inlineStr">
        <is>
          <t>2009</t>
        </is>
      </c>
      <c r="C51" t="n">
        <v>7.8618888330338</v>
      </c>
    </row>
    <row r="52">
      <c r="A52" t="inlineStr">
        <is>
          <t>IND</t>
        </is>
      </c>
      <c r="B52" t="inlineStr">
        <is>
          <t>2010</t>
        </is>
      </c>
      <c r="C52" t="n">
        <v>8.497584701656249</v>
      </c>
    </row>
    <row r="53">
      <c r="A53" t="inlineStr">
        <is>
          <t>IND</t>
        </is>
      </c>
      <c r="B53" t="inlineStr">
        <is>
          <t>2011</t>
        </is>
      </c>
      <c r="C53" t="n">
        <v>5.24131620024293</v>
      </c>
    </row>
    <row r="54">
      <c r="A54" t="inlineStr">
        <is>
          <t>IND</t>
        </is>
      </c>
      <c r="B54" t="inlineStr">
        <is>
          <t>2012</t>
        </is>
      </c>
      <c r="C54" t="n">
        <v>5.45638755164772</v>
      </c>
    </row>
    <row r="55">
      <c r="A55" t="inlineStr">
        <is>
          <t>IND</t>
        </is>
      </c>
      <c r="B55" t="inlineStr">
        <is>
          <t>2013</t>
        </is>
      </c>
      <c r="C55" t="n">
        <v>6.38610640091713</v>
      </c>
    </row>
    <row r="56">
      <c r="A56" t="inlineStr">
        <is>
          <t>IND</t>
        </is>
      </c>
      <c r="B56" t="inlineStr">
        <is>
          <t>2014</t>
        </is>
      </c>
      <c r="C56" t="n">
        <v>7.41022760516977</v>
      </c>
    </row>
    <row r="57">
      <c r="A57" t="inlineStr">
        <is>
          <t>IND</t>
        </is>
      </c>
      <c r="B57" t="inlineStr">
        <is>
          <t>2015</t>
        </is>
      </c>
      <c r="C57" t="n">
        <v>7.99625378567987</v>
      </c>
    </row>
    <row r="58">
      <c r="A58" t="inlineStr">
        <is>
          <t>IND</t>
        </is>
      </c>
      <c r="B58" t="inlineStr">
        <is>
          <t>2016</t>
        </is>
      </c>
      <c r="C58" t="n">
        <v>8.25630550176662</v>
      </c>
    </row>
    <row r="59">
      <c r="A59" t="inlineStr">
        <is>
          <t>IND</t>
        </is>
      </c>
      <c r="B59" t="inlineStr">
        <is>
          <t>2017</t>
        </is>
      </c>
      <c r="C59" t="n">
        <v>6.79538341902422</v>
      </c>
    </row>
    <row r="60">
      <c r="A60" t="inlineStr">
        <is>
          <t>IND</t>
        </is>
      </c>
      <c r="B60" t="inlineStr">
        <is>
          <t>2018</t>
        </is>
      </c>
      <c r="C60" t="n">
        <v>6.45385134495295</v>
      </c>
    </row>
    <row r="61">
      <c r="A61" t="inlineStr">
        <is>
          <t>IND</t>
        </is>
      </c>
      <c r="B61" t="inlineStr">
        <is>
          <t>2019</t>
        </is>
      </c>
      <c r="C61" t="n">
        <v>3.87143694070524</v>
      </c>
    </row>
    <row r="62">
      <c r="A62" t="inlineStr">
        <is>
          <t>IND</t>
        </is>
      </c>
      <c r="B62" t="inlineStr">
        <is>
          <t>2020</t>
        </is>
      </c>
      <c r="C62" t="n">
        <v>-5.77772470687303</v>
      </c>
    </row>
    <row r="63">
      <c r="A63" t="inlineStr">
        <is>
          <t>IND</t>
        </is>
      </c>
      <c r="B63" t="inlineStr">
        <is>
          <t>2021</t>
        </is>
      </c>
      <c r="C63" t="n">
        <v>9.689592491917409</v>
      </c>
    </row>
    <row r="64">
      <c r="A64" t="inlineStr">
        <is>
          <t>IND</t>
        </is>
      </c>
      <c r="B64" t="inlineStr">
        <is>
          <t>2022</t>
        </is>
      </c>
      <c r="C64" t="n">
        <v>7.6093649776932</v>
      </c>
    </row>
    <row r="65">
      <c r="A65" t="inlineStr">
        <is>
          <t>IND</t>
        </is>
      </c>
      <c r="B65" t="inlineStr">
        <is>
          <t>2023</t>
        </is>
      </c>
      <c r="C65" t="n">
        <v>7.210224629335</v>
      </c>
    </row>
    <row r="66">
      <c r="A66" t="inlineStr">
        <is>
          <t>IND</t>
        </is>
      </c>
      <c r="B66" t="inlineStr">
        <is>
          <t>2024</t>
        </is>
      </c>
      <c r="C66" t="n">
        <v>7.09927893176518</v>
      </c>
    </row>
    <row r="67">
      <c r="A67" t="inlineStr">
        <is>
          <t>IND</t>
        </is>
      </c>
      <c r="B67" t="inlineStr">
        <is>
          <t>2025</t>
        </is>
      </c>
      <c r="C67" t="n">
        <v>7.56666179284244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  <c r="C69" t="n">
        <v>5.69547095029755</v>
      </c>
    </row>
    <row r="70">
      <c r="A70" t="inlineStr">
        <is>
          <t>PHL</t>
        </is>
      </c>
      <c r="B70" t="inlineStr">
        <is>
          <t>1962</t>
        </is>
      </c>
      <c r="C70" t="n">
        <v>4.84629418915898</v>
      </c>
    </row>
    <row r="71">
      <c r="A71" t="inlineStr">
        <is>
          <t>PHL</t>
        </is>
      </c>
      <c r="B71" t="inlineStr">
        <is>
          <t>1963</t>
        </is>
      </c>
      <c r="C71" t="n">
        <v>7.01626518416583</v>
      </c>
    </row>
    <row r="72">
      <c r="A72" t="inlineStr">
        <is>
          <t>PHL</t>
        </is>
      </c>
      <c r="B72" t="inlineStr">
        <is>
          <t>1964</t>
        </is>
      </c>
      <c r="C72" t="n">
        <v>3.40249443571273</v>
      </c>
    </row>
    <row r="73">
      <c r="A73" t="inlineStr">
        <is>
          <t>PHL</t>
        </is>
      </c>
      <c r="B73" t="inlineStr">
        <is>
          <t>1965</t>
        </is>
      </c>
      <c r="C73" t="n">
        <v>5.34508932932236</v>
      </c>
    </row>
    <row r="74">
      <c r="A74" t="inlineStr">
        <is>
          <t>PHL</t>
        </is>
      </c>
      <c r="B74" t="inlineStr">
        <is>
          <t>1966</t>
        </is>
      </c>
      <c r="C74" t="n">
        <v>4.4411585340256</v>
      </c>
    </row>
    <row r="75">
      <c r="A75" t="inlineStr">
        <is>
          <t>PHL</t>
        </is>
      </c>
      <c r="B75" t="inlineStr">
        <is>
          <t>1967</t>
        </is>
      </c>
      <c r="C75" t="n">
        <v>5.22268758922664</v>
      </c>
    </row>
    <row r="76">
      <c r="A76" t="inlineStr">
        <is>
          <t>PHL</t>
        </is>
      </c>
      <c r="B76" t="inlineStr">
        <is>
          <t>1968</t>
        </is>
      </c>
      <c r="C76" t="n">
        <v>5.03815939692956</v>
      </c>
    </row>
    <row r="77">
      <c r="A77" t="inlineStr">
        <is>
          <t>PHL</t>
        </is>
      </c>
      <c r="B77" t="inlineStr">
        <is>
          <t>1969</t>
        </is>
      </c>
      <c r="C77" t="n">
        <v>4.68947344100819</v>
      </c>
    </row>
    <row r="78">
      <c r="A78" t="inlineStr">
        <is>
          <t>PHL</t>
        </is>
      </c>
      <c r="B78" t="inlineStr">
        <is>
          <t>1970</t>
        </is>
      </c>
      <c r="C78" t="n">
        <v>3.69248748654796</v>
      </c>
    </row>
    <row r="79">
      <c r="A79" t="inlineStr">
        <is>
          <t>PHL</t>
        </is>
      </c>
      <c r="B79" t="inlineStr">
        <is>
          <t>1971</t>
        </is>
      </c>
      <c r="C79" t="n">
        <v>5.38900841621259</v>
      </c>
    </row>
    <row r="80">
      <c r="A80" t="inlineStr">
        <is>
          <t>PHL</t>
        </is>
      </c>
      <c r="B80" t="inlineStr">
        <is>
          <t>1972</t>
        </is>
      </c>
      <c r="C80" t="n">
        <v>5.43038749392343</v>
      </c>
    </row>
    <row r="81">
      <c r="A81" t="inlineStr">
        <is>
          <t>PHL</t>
        </is>
      </c>
      <c r="B81" t="inlineStr">
        <is>
          <t>1973</t>
        </is>
      </c>
      <c r="C81" t="n">
        <v>8.78200912237088</v>
      </c>
    </row>
    <row r="82">
      <c r="A82" t="inlineStr">
        <is>
          <t>PHL</t>
        </is>
      </c>
      <c r="B82" t="inlineStr">
        <is>
          <t>1974</t>
        </is>
      </c>
      <c r="C82" t="n">
        <v>3.39460637850206</v>
      </c>
    </row>
    <row r="83">
      <c r="A83" t="inlineStr">
        <is>
          <t>PHL</t>
        </is>
      </c>
      <c r="B83" t="inlineStr">
        <is>
          <t>1975</t>
        </is>
      </c>
      <c r="C83" t="n">
        <v>5.45110286965478</v>
      </c>
    </row>
    <row r="84">
      <c r="A84" t="inlineStr">
        <is>
          <t>PHL</t>
        </is>
      </c>
      <c r="B84" t="inlineStr">
        <is>
          <t>1976</t>
        </is>
      </c>
      <c r="C84" t="n">
        <v>8.77840333051334</v>
      </c>
    </row>
    <row r="85">
      <c r="A85" t="inlineStr">
        <is>
          <t>PHL</t>
        </is>
      </c>
      <c r="B85" t="inlineStr">
        <is>
          <t>1977</t>
        </is>
      </c>
      <c r="C85" t="n">
        <v>5.56297025151267</v>
      </c>
    </row>
    <row r="86">
      <c r="A86" t="inlineStr">
        <is>
          <t>PHL</t>
        </is>
      </c>
      <c r="B86" t="inlineStr">
        <is>
          <t>1978</t>
        </is>
      </c>
      <c r="C86" t="n">
        <v>5.19238453027808</v>
      </c>
    </row>
    <row r="87">
      <c r="A87" t="inlineStr">
        <is>
          <t>PHL</t>
        </is>
      </c>
      <c r="B87" t="inlineStr">
        <is>
          <t>1979</t>
        </is>
      </c>
      <c r="C87" t="n">
        <v>5.59557107591131</v>
      </c>
    </row>
    <row r="88">
      <c r="A88" t="inlineStr">
        <is>
          <t>PHL</t>
        </is>
      </c>
      <c r="B88" t="inlineStr">
        <is>
          <t>1980</t>
        </is>
      </c>
      <c r="C88" t="n">
        <v>5.20071107911187</v>
      </c>
    </row>
    <row r="89">
      <c r="A89" t="inlineStr">
        <is>
          <t>PHL</t>
        </is>
      </c>
      <c r="B89" t="inlineStr">
        <is>
          <t>1981</t>
        </is>
      </c>
      <c r="C89" t="n">
        <v>3.42220873753665</v>
      </c>
    </row>
    <row r="90">
      <c r="A90" t="inlineStr">
        <is>
          <t>PHL</t>
        </is>
      </c>
      <c r="B90" t="inlineStr">
        <is>
          <t>1982</t>
        </is>
      </c>
      <c r="C90" t="n">
        <v>3.69840609851109</v>
      </c>
    </row>
    <row r="91">
      <c r="A91" t="inlineStr">
        <is>
          <t>PHL</t>
        </is>
      </c>
      <c r="B91" t="inlineStr">
        <is>
          <t>1983</t>
        </is>
      </c>
      <c r="C91" t="n">
        <v>1.89695178959097</v>
      </c>
    </row>
    <row r="92">
      <c r="A92" t="inlineStr">
        <is>
          <t>PHL</t>
        </is>
      </c>
      <c r="B92" t="inlineStr">
        <is>
          <t>1984</t>
        </is>
      </c>
      <c r="C92" t="n">
        <v>-7.0393782012259</v>
      </c>
    </row>
    <row r="93">
      <c r="A93" t="inlineStr">
        <is>
          <t>PHL</t>
        </is>
      </c>
      <c r="B93" t="inlineStr">
        <is>
          <t>1985</t>
        </is>
      </c>
      <c r="C93" t="n">
        <v>-6.85837720864683</v>
      </c>
    </row>
    <row r="94">
      <c r="A94" t="inlineStr">
        <is>
          <t>PHL</t>
        </is>
      </c>
      <c r="B94" t="inlineStr">
        <is>
          <t>1986</t>
        </is>
      </c>
      <c r="C94" t="n">
        <v>3.51068403005506</v>
      </c>
    </row>
    <row r="95">
      <c r="A95" t="inlineStr">
        <is>
          <t>PHL</t>
        </is>
      </c>
      <c r="B95" t="inlineStr">
        <is>
          <t>1987</t>
        </is>
      </c>
      <c r="C95" t="n">
        <v>4.36180967277697</v>
      </c>
    </row>
    <row r="96">
      <c r="A96" t="inlineStr">
        <is>
          <t>PHL</t>
        </is>
      </c>
      <c r="B96" t="inlineStr">
        <is>
          <t>1988</t>
        </is>
      </c>
      <c r="C96" t="n">
        <v>6.69693110468185</v>
      </c>
    </row>
    <row r="97">
      <c r="A97" t="inlineStr">
        <is>
          <t>PHL</t>
        </is>
      </c>
      <c r="B97" t="inlineStr">
        <is>
          <t>1989</t>
        </is>
      </c>
      <c r="C97" t="n">
        <v>6.18391820283388</v>
      </c>
    </row>
    <row r="98">
      <c r="A98" t="inlineStr">
        <is>
          <t>PHL</t>
        </is>
      </c>
      <c r="B98" t="inlineStr">
        <is>
          <t>1990</t>
        </is>
      </c>
      <c r="C98" t="n">
        <v>3.08267252855887</v>
      </c>
    </row>
    <row r="99">
      <c r="A99" t="inlineStr">
        <is>
          <t>PHL</t>
        </is>
      </c>
      <c r="B99" t="inlineStr">
        <is>
          <t>1991</t>
        </is>
      </c>
      <c r="C99" t="n">
        <v>-0.436390080533428</v>
      </c>
    </row>
    <row r="100">
      <c r="A100" t="inlineStr">
        <is>
          <t>PHL</t>
        </is>
      </c>
      <c r="B100" t="inlineStr">
        <is>
          <t>1992</t>
        </is>
      </c>
      <c r="C100" t="n">
        <v>0.417629066097945</v>
      </c>
    </row>
    <row r="101">
      <c r="A101" t="inlineStr">
        <is>
          <t>PHL</t>
        </is>
      </c>
      <c r="B101" t="inlineStr">
        <is>
          <t>1993</t>
        </is>
      </c>
      <c r="C101" t="n">
        <v>2.181889985613</v>
      </c>
    </row>
    <row r="102">
      <c r="A102" t="inlineStr">
        <is>
          <t>PHL</t>
        </is>
      </c>
      <c r="B102" t="inlineStr">
        <is>
          <t>1994</t>
        </is>
      </c>
      <c r="C102" t="n">
        <v>4.37366591819077</v>
      </c>
    </row>
    <row r="103">
      <c r="A103" t="inlineStr">
        <is>
          <t>PHL</t>
        </is>
      </c>
      <c r="B103" t="inlineStr">
        <is>
          <t>1995</t>
        </is>
      </c>
      <c r="C103" t="n">
        <v>4.62522511739661</v>
      </c>
    </row>
    <row r="104">
      <c r="A104" t="inlineStr">
        <is>
          <t>PHL</t>
        </is>
      </c>
      <c r="B104" t="inlineStr">
        <is>
          <t>1996</t>
        </is>
      </c>
      <c r="C104" t="n">
        <v>5.8603478716379</v>
      </c>
    </row>
    <row r="105">
      <c r="A105" t="inlineStr">
        <is>
          <t>PHL</t>
        </is>
      </c>
      <c r="B105" t="inlineStr">
        <is>
          <t>1997</t>
        </is>
      </c>
      <c r="C105" t="n">
        <v>5.18641167406165</v>
      </c>
    </row>
    <row r="106">
      <c r="A106" t="inlineStr">
        <is>
          <t>PHL</t>
        </is>
      </c>
      <c r="B106" t="inlineStr">
        <is>
          <t>1998</t>
        </is>
      </c>
      <c r="C106" t="n">
        <v>-0.514090599541888</v>
      </c>
    </row>
    <row r="107">
      <c r="A107" t="inlineStr">
        <is>
          <t>PHL</t>
        </is>
      </c>
      <c r="B107" t="inlineStr">
        <is>
          <t>1999</t>
        </is>
      </c>
      <c r="C107" t="n">
        <v>3.34645118398267</v>
      </c>
    </row>
    <row r="108">
      <c r="A108" t="inlineStr">
        <is>
          <t>PHL</t>
        </is>
      </c>
      <c r="B108" t="inlineStr">
        <is>
          <t>2000</t>
        </is>
      </c>
      <c r="C108" t="n">
        <v>4.38250500083399</v>
      </c>
    </row>
    <row r="109">
      <c r="A109" t="inlineStr">
        <is>
          <t>PHL</t>
        </is>
      </c>
      <c r="B109" t="inlineStr">
        <is>
          <t>2001</t>
        </is>
      </c>
      <c r="C109" t="n">
        <v>3.04923134463486</v>
      </c>
    </row>
    <row r="110">
      <c r="A110" t="inlineStr">
        <is>
          <t>PHL</t>
        </is>
      </c>
      <c r="B110" t="inlineStr">
        <is>
          <t>2002</t>
        </is>
      </c>
      <c r="C110" t="n">
        <v>3.71625500158383</v>
      </c>
    </row>
    <row r="111">
      <c r="A111" t="inlineStr">
        <is>
          <t>PHL</t>
        </is>
      </c>
      <c r="B111" t="inlineStr">
        <is>
          <t>2003</t>
        </is>
      </c>
      <c r="C111" t="n">
        <v>5.08691113513073</v>
      </c>
    </row>
    <row r="112">
      <c r="A112" t="inlineStr">
        <is>
          <t>PHL</t>
        </is>
      </c>
      <c r="B112" t="inlineStr">
        <is>
          <t>2004</t>
        </is>
      </c>
      <c r="C112" t="n">
        <v>6.56922851180626</v>
      </c>
    </row>
    <row r="113">
      <c r="A113" t="inlineStr">
        <is>
          <t>PHL</t>
        </is>
      </c>
      <c r="B113" t="inlineStr">
        <is>
          <t>2005</t>
        </is>
      </c>
      <c r="C113" t="n">
        <v>4.94250511877678</v>
      </c>
    </row>
    <row r="114">
      <c r="A114" t="inlineStr">
        <is>
          <t>PHL</t>
        </is>
      </c>
      <c r="B114" t="inlineStr">
        <is>
          <t>2006</t>
        </is>
      </c>
      <c r="C114" t="n">
        <v>5.31641682136939</v>
      </c>
    </row>
    <row r="115">
      <c r="A115" t="inlineStr">
        <is>
          <t>PHL</t>
        </is>
      </c>
      <c r="B115" t="inlineStr">
        <is>
          <t>2007</t>
        </is>
      </c>
      <c r="C115" t="n">
        <v>6.51929155018938</v>
      </c>
    </row>
    <row r="116">
      <c r="A116" t="inlineStr">
        <is>
          <t>PHL</t>
        </is>
      </c>
      <c r="B116" t="inlineStr">
        <is>
          <t>2008</t>
        </is>
      </c>
      <c r="C116" t="n">
        <v>4.34448730509183</v>
      </c>
    </row>
    <row r="117">
      <c r="A117" t="inlineStr">
        <is>
          <t>PHL</t>
        </is>
      </c>
      <c r="B117" t="inlineStr">
        <is>
          <t>2009</t>
        </is>
      </c>
      <c r="C117" t="n">
        <v>1.44832306275669</v>
      </c>
    </row>
    <row r="118">
      <c r="A118" t="inlineStr">
        <is>
          <t>PHL</t>
        </is>
      </c>
      <c r="B118" t="inlineStr">
        <is>
          <t>2010</t>
        </is>
      </c>
      <c r="C118" t="n">
        <v>7.33449996034538</v>
      </c>
    </row>
    <row r="119">
      <c r="A119" t="inlineStr">
        <is>
          <t>PHL</t>
        </is>
      </c>
      <c r="B119" t="inlineStr">
        <is>
          <t>2011</t>
        </is>
      </c>
      <c r="C119" t="n">
        <v>3.85823282795663</v>
      </c>
    </row>
    <row r="120">
      <c r="A120" t="inlineStr">
        <is>
          <t>PHL</t>
        </is>
      </c>
      <c r="B120" t="inlineStr">
        <is>
          <t>2012</t>
        </is>
      </c>
      <c r="C120" t="n">
        <v>6.89695171050985</v>
      </c>
    </row>
    <row r="121">
      <c r="A121" t="inlineStr">
        <is>
          <t>PHL</t>
        </is>
      </c>
      <c r="B121" t="inlineStr">
        <is>
          <t>2013</t>
        </is>
      </c>
      <c r="C121" t="n">
        <v>6.75053130142255</v>
      </c>
    </row>
    <row r="122">
      <c r="A122" t="inlineStr">
        <is>
          <t>PHL</t>
        </is>
      </c>
      <c r="B122" t="inlineStr">
        <is>
          <t>2014</t>
        </is>
      </c>
      <c r="C122" t="n">
        <v>6.34798748260867</v>
      </c>
    </row>
    <row r="123">
      <c r="A123" t="inlineStr">
        <is>
          <t>PHL</t>
        </is>
      </c>
      <c r="B123" t="inlineStr">
        <is>
          <t>2015</t>
        </is>
      </c>
      <c r="C123" t="n">
        <v>6.34830971672761</v>
      </c>
    </row>
    <row r="124">
      <c r="A124" t="inlineStr">
        <is>
          <t>PHL</t>
        </is>
      </c>
      <c r="B124" t="inlineStr">
        <is>
          <t>2016</t>
        </is>
      </c>
      <c r="C124" t="n">
        <v>7.14945675000752</v>
      </c>
    </row>
    <row r="125">
      <c r="A125" t="inlineStr">
        <is>
          <t>PHL</t>
        </is>
      </c>
      <c r="B125" t="inlineStr">
        <is>
          <t>2017</t>
        </is>
      </c>
      <c r="C125" t="n">
        <v>6.9309883258402</v>
      </c>
    </row>
    <row r="126">
      <c r="A126" t="inlineStr">
        <is>
          <t>PHL</t>
        </is>
      </c>
      <c r="B126" t="inlineStr">
        <is>
          <t>2018</t>
        </is>
      </c>
      <c r="C126" t="n">
        <v>6.34148557153473</v>
      </c>
    </row>
    <row r="127">
      <c r="A127" t="inlineStr">
        <is>
          <t>PHL</t>
        </is>
      </c>
      <c r="B127" t="inlineStr">
        <is>
          <t>2019</t>
        </is>
      </c>
      <c r="C127" t="n">
        <v>6.11852566221303</v>
      </c>
    </row>
    <row r="128">
      <c r="A128" t="inlineStr">
        <is>
          <t>PHL</t>
        </is>
      </c>
      <c r="B128" t="inlineStr">
        <is>
          <t>2020</t>
        </is>
      </c>
      <c r="C128" t="n">
        <v>-9.518294740452969</v>
      </c>
    </row>
    <row r="129">
      <c r="A129" t="inlineStr">
        <is>
          <t>PHL</t>
        </is>
      </c>
      <c r="B129" t="inlineStr">
        <is>
          <t>2021</t>
        </is>
      </c>
      <c r="C129" t="n">
        <v>5.71473313185116</v>
      </c>
    </row>
    <row r="130">
      <c r="A130" t="inlineStr">
        <is>
          <t>PHL</t>
        </is>
      </c>
      <c r="B130" t="inlineStr">
        <is>
          <t>2022</t>
        </is>
      </c>
      <c r="C130" t="n">
        <v>7.58098212785563</v>
      </c>
    </row>
    <row r="131">
      <c r="A131" t="inlineStr">
        <is>
          <t>PHL</t>
        </is>
      </c>
      <c r="B131" t="inlineStr">
        <is>
          <t>2023</t>
        </is>
      </c>
      <c r="C131" t="n">
        <v>5.51894967856043</v>
      </c>
    </row>
    <row r="132">
      <c r="A132" t="inlineStr">
        <is>
          <t>PHL</t>
        </is>
      </c>
      <c r="B132" t="inlineStr">
        <is>
          <t>2024</t>
        </is>
      </c>
      <c r="C132" t="n">
        <v>5.71474526128652</v>
      </c>
    </row>
    <row r="133">
      <c r="A133" t="inlineStr">
        <is>
          <t>PHL</t>
        </is>
      </c>
      <c r="B133" t="inlineStr">
        <is>
          <t>2025</t>
        </is>
      </c>
      <c r="C133" t="n">
        <v>4.40240158710621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  <c r="C159" t="n">
        <v>3.80585566810947</v>
      </c>
    </row>
    <row r="160">
      <c r="A160" t="inlineStr">
        <is>
          <t>VNM</t>
        </is>
      </c>
      <c r="B160" t="inlineStr">
        <is>
          <t>1986</t>
        </is>
      </c>
      <c r="C160" t="n">
        <v>2.78929157479443</v>
      </c>
    </row>
    <row r="161">
      <c r="A161" t="inlineStr">
        <is>
          <t>VNM</t>
        </is>
      </c>
      <c r="B161" t="inlineStr">
        <is>
          <t>1987</t>
        </is>
      </c>
      <c r="C161" t="n">
        <v>3.5834696313072</v>
      </c>
    </row>
    <row r="162">
      <c r="A162" t="inlineStr">
        <is>
          <t>VNM</t>
        </is>
      </c>
      <c r="B162" t="inlineStr">
        <is>
          <t>1988</t>
        </is>
      </c>
      <c r="C162" t="n">
        <v>5.13501167157808</v>
      </c>
    </row>
    <row r="163">
      <c r="A163" t="inlineStr">
        <is>
          <t>VNM</t>
        </is>
      </c>
      <c r="B163" t="inlineStr">
        <is>
          <t>1989</t>
        </is>
      </c>
      <c r="C163" t="n">
        <v>7.36451289395819</v>
      </c>
    </row>
    <row r="164">
      <c r="A164" t="inlineStr">
        <is>
          <t>VNM</t>
        </is>
      </c>
      <c r="B164" t="inlineStr">
        <is>
          <t>1990</t>
        </is>
      </c>
      <c r="C164" t="n">
        <v>5.10091813908369</v>
      </c>
    </row>
    <row r="165">
      <c r="A165" t="inlineStr">
        <is>
          <t>VNM</t>
        </is>
      </c>
      <c r="B165" t="inlineStr">
        <is>
          <t>1991</t>
        </is>
      </c>
      <c r="C165" t="n">
        <v>5.96084393218912</v>
      </c>
    </row>
    <row r="166">
      <c r="A166" t="inlineStr">
        <is>
          <t>VNM</t>
        </is>
      </c>
      <c r="B166" t="inlineStr">
        <is>
          <t>1992</t>
        </is>
      </c>
      <c r="C166" t="n">
        <v>8.64604745934572</v>
      </c>
    </row>
    <row r="167">
      <c r="A167" t="inlineStr">
        <is>
          <t>VNM</t>
        </is>
      </c>
      <c r="B167" t="inlineStr">
        <is>
          <t>1993</t>
        </is>
      </c>
      <c r="C167" t="n">
        <v>8.07273065739605</v>
      </c>
    </row>
    <row r="168">
      <c r="A168" t="inlineStr">
        <is>
          <t>VNM</t>
        </is>
      </c>
      <c r="B168" t="inlineStr">
        <is>
          <t>1994</t>
        </is>
      </c>
      <c r="C168" t="n">
        <v>8.83898095245374</v>
      </c>
    </row>
    <row r="169">
      <c r="A169" t="inlineStr">
        <is>
          <t>VNM</t>
        </is>
      </c>
      <c r="B169" t="inlineStr">
        <is>
          <t>1995</t>
        </is>
      </c>
      <c r="C169" t="n">
        <v>9.54048017491264</v>
      </c>
    </row>
    <row r="170">
      <c r="A170" t="inlineStr">
        <is>
          <t>VNM</t>
        </is>
      </c>
      <c r="B170" t="inlineStr">
        <is>
          <t>1996</t>
        </is>
      </c>
      <c r="C170" t="n">
        <v>9.34001749939179</v>
      </c>
    </row>
    <row r="171">
      <c r="A171" t="inlineStr">
        <is>
          <t>VNM</t>
        </is>
      </c>
      <c r="B171" t="inlineStr">
        <is>
          <t>1997</t>
        </is>
      </c>
      <c r="C171" t="n">
        <v>8.1520841433542</v>
      </c>
    </row>
    <row r="172">
      <c r="A172" t="inlineStr">
        <is>
          <t>VNM</t>
        </is>
      </c>
      <c r="B172" t="inlineStr">
        <is>
          <t>1998</t>
        </is>
      </c>
      <c r="C172" t="n">
        <v>5.76445545848843</v>
      </c>
    </row>
    <row r="173">
      <c r="A173" t="inlineStr">
        <is>
          <t>VNM</t>
        </is>
      </c>
      <c r="B173" t="inlineStr">
        <is>
          <t>1999</t>
        </is>
      </c>
      <c r="C173" t="n">
        <v>4.77358688344989</v>
      </c>
    </row>
    <row r="174">
      <c r="A174" t="inlineStr">
        <is>
          <t>VNM</t>
        </is>
      </c>
      <c r="B174" t="inlineStr">
        <is>
          <t>2000</t>
        </is>
      </c>
      <c r="C174" t="n">
        <v>6.78731640463151</v>
      </c>
    </row>
    <row r="175">
      <c r="A175" t="inlineStr">
        <is>
          <t>VNM</t>
        </is>
      </c>
      <c r="B175" t="inlineStr">
        <is>
          <t>2001</t>
        </is>
      </c>
      <c r="C175" t="n">
        <v>6.19289331233377</v>
      </c>
    </row>
    <row r="176">
      <c r="A176" t="inlineStr">
        <is>
          <t>VNM</t>
        </is>
      </c>
      <c r="B176" t="inlineStr">
        <is>
          <t>2002</t>
        </is>
      </c>
      <c r="C176" t="n">
        <v>6.32082099160833</v>
      </c>
    </row>
    <row r="177">
      <c r="A177" t="inlineStr">
        <is>
          <t>VNM</t>
        </is>
      </c>
      <c r="B177" t="inlineStr">
        <is>
          <t>2003</t>
        </is>
      </c>
      <c r="C177" t="n">
        <v>6.89906349055258</v>
      </c>
    </row>
    <row r="178">
      <c r="A178" t="inlineStr">
        <is>
          <t>VNM</t>
        </is>
      </c>
      <c r="B178" t="inlineStr">
        <is>
          <t>2004</t>
        </is>
      </c>
      <c r="C178" t="n">
        <v>7.53641060890386</v>
      </c>
    </row>
    <row r="179">
      <c r="A179" t="inlineStr">
        <is>
          <t>VNM</t>
        </is>
      </c>
      <c r="B179" t="inlineStr">
        <is>
          <t>2005</t>
        </is>
      </c>
      <c r="C179" t="n">
        <v>7.54724772895918</v>
      </c>
    </row>
    <row r="180">
      <c r="A180" t="inlineStr">
        <is>
          <t>VNM</t>
        </is>
      </c>
      <c r="B180" t="inlineStr">
        <is>
          <t>2006</t>
        </is>
      </c>
      <c r="C180" t="n">
        <v>6.97795481056711</v>
      </c>
    </row>
    <row r="181">
      <c r="A181" t="inlineStr">
        <is>
          <t>VNM</t>
        </is>
      </c>
      <c r="B181" t="inlineStr">
        <is>
          <t>2007</t>
        </is>
      </c>
      <c r="C181" t="n">
        <v>7.12950448605439</v>
      </c>
    </row>
    <row r="182">
      <c r="A182" t="inlineStr">
        <is>
          <t>VNM</t>
        </is>
      </c>
      <c r="B182" t="inlineStr">
        <is>
          <t>2008</t>
        </is>
      </c>
      <c r="C182" t="n">
        <v>5.66177120891362</v>
      </c>
    </row>
    <row r="183">
      <c r="A183" t="inlineStr">
        <is>
          <t>VNM</t>
        </is>
      </c>
      <c r="B183" t="inlineStr">
        <is>
          <t>2009</t>
        </is>
      </c>
      <c r="C183" t="n">
        <v>5.39789754014181</v>
      </c>
    </row>
    <row r="184">
      <c r="A184" t="inlineStr">
        <is>
          <t>VNM</t>
        </is>
      </c>
      <c r="B184" t="inlineStr">
        <is>
          <t>2010</t>
        </is>
      </c>
      <c r="C184" t="n">
        <v>6.42324482239482</v>
      </c>
    </row>
    <row r="185">
      <c r="A185" t="inlineStr">
        <is>
          <t>VNM</t>
        </is>
      </c>
      <c r="B185" t="inlineStr">
        <is>
          <t>2011</t>
        </is>
      </c>
      <c r="C185" t="n">
        <v>6.41316889681683</v>
      </c>
    </row>
    <row r="186">
      <c r="A186" t="inlineStr">
        <is>
          <t>VNM</t>
        </is>
      </c>
      <c r="B186" t="inlineStr">
        <is>
          <t>2012</t>
        </is>
      </c>
      <c r="C186" t="n">
        <v>5.5045447041189</v>
      </c>
    </row>
    <row r="187">
      <c r="A187" t="inlineStr">
        <is>
          <t>VNM</t>
        </is>
      </c>
      <c r="B187" t="inlineStr">
        <is>
          <t>2013</t>
        </is>
      </c>
      <c r="C187" t="n">
        <v>5.55351081026072</v>
      </c>
    </row>
    <row r="188">
      <c r="A188" t="inlineStr">
        <is>
          <t>VNM</t>
        </is>
      </c>
      <c r="B188" t="inlineStr">
        <is>
          <t>2014</t>
        </is>
      </c>
      <c r="C188" t="n">
        <v>6.42224312118567</v>
      </c>
    </row>
    <row r="189">
      <c r="A189" t="inlineStr">
        <is>
          <t>VNM</t>
        </is>
      </c>
      <c r="B189" t="inlineStr">
        <is>
          <t>2015</t>
        </is>
      </c>
      <c r="C189" t="n">
        <v>6.98715430598611</v>
      </c>
    </row>
    <row r="190">
      <c r="A190" t="inlineStr">
        <is>
          <t>VNM</t>
        </is>
      </c>
      <c r="B190" t="inlineStr">
        <is>
          <t>2016</t>
        </is>
      </c>
      <c r="C190" t="n">
        <v>6.69000892660424</v>
      </c>
    </row>
    <row r="191">
      <c r="A191" t="inlineStr">
        <is>
          <t>VNM</t>
        </is>
      </c>
      <c r="B191" t="inlineStr">
        <is>
          <t>2017</t>
        </is>
      </c>
      <c r="C191" t="n">
        <v>6.94019037359206</v>
      </c>
    </row>
    <row r="192">
      <c r="A192" t="inlineStr">
        <is>
          <t>VNM</t>
        </is>
      </c>
      <c r="B192" t="inlineStr">
        <is>
          <t>2018</t>
        </is>
      </c>
      <c r="C192" t="n">
        <v>7.46500685572751</v>
      </c>
    </row>
    <row r="193">
      <c r="A193" t="inlineStr">
        <is>
          <t>VNM</t>
        </is>
      </c>
      <c r="B193" t="inlineStr">
        <is>
          <t>2019</t>
        </is>
      </c>
      <c r="C193" t="n">
        <v>7.35926270105006</v>
      </c>
    </row>
    <row r="194">
      <c r="A194" t="inlineStr">
        <is>
          <t>VNM</t>
        </is>
      </c>
      <c r="B194" t="inlineStr">
        <is>
          <t>2020</t>
        </is>
      </c>
      <c r="C194" t="n">
        <v>2.86541320912272</v>
      </c>
    </row>
    <row r="195">
      <c r="A195" t="inlineStr">
        <is>
          <t>VNM</t>
        </is>
      </c>
      <c r="B195" t="inlineStr">
        <is>
          <t>2021</t>
        </is>
      </c>
      <c r="C195" t="n">
        <v>2.55372852648131</v>
      </c>
    </row>
    <row r="196">
      <c r="A196" t="inlineStr">
        <is>
          <t>VNM</t>
        </is>
      </c>
      <c r="B196" t="inlineStr">
        <is>
          <t>2022</t>
        </is>
      </c>
      <c r="C196" t="n">
        <v>8.537500412181419</v>
      </c>
    </row>
    <row r="197">
      <c r="A197" t="inlineStr">
        <is>
          <t>VNM</t>
        </is>
      </c>
      <c r="B197" t="inlineStr">
        <is>
          <t>2023</t>
        </is>
      </c>
      <c r="C197" t="n">
        <v>4.97865959483225</v>
      </c>
    </row>
    <row r="198">
      <c r="A198" t="inlineStr">
        <is>
          <t>VNM</t>
        </is>
      </c>
      <c r="B198" t="inlineStr">
        <is>
          <t>2024</t>
        </is>
      </c>
      <c r="C198" t="n">
        <v>7.03955197123018</v>
      </c>
    </row>
    <row r="199">
      <c r="A199" t="inlineStr">
        <is>
          <t>VNM</t>
        </is>
      </c>
      <c r="B199" t="inlineStr">
        <is>
          <t>2025</t>
        </is>
      </c>
      <c r="C199" t="n">
        <v>8.01882998978245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NE.GDI.TOTL.ZS</t>
        </is>
      </c>
    </row>
    <row r="2">
      <c r="A2" t="inlineStr">
        <is>
          <t>IND</t>
        </is>
      </c>
      <c r="B2" t="inlineStr">
        <is>
          <t>1960</t>
        </is>
      </c>
      <c r="C2" t="n">
        <v>17.9313352864798</v>
      </c>
    </row>
    <row r="3">
      <c r="A3" t="inlineStr">
        <is>
          <t>IND</t>
        </is>
      </c>
      <c r="B3" t="inlineStr">
        <is>
          <t>1961</t>
        </is>
      </c>
      <c r="C3" t="n">
        <v>19.2621458307568</v>
      </c>
    </row>
    <row r="4">
      <c r="A4" t="inlineStr">
        <is>
          <t>IND</t>
        </is>
      </c>
      <c r="B4" t="inlineStr">
        <is>
          <t>1962</t>
        </is>
      </c>
      <c r="C4" t="n">
        <v>18.1075707708237</v>
      </c>
    </row>
    <row r="5">
      <c r="A5" t="inlineStr">
        <is>
          <t>IND</t>
        </is>
      </c>
      <c r="B5" t="inlineStr">
        <is>
          <t>1963</t>
        </is>
      </c>
      <c r="C5" t="n">
        <v>18.9954571074823</v>
      </c>
    </row>
    <row r="6">
      <c r="A6" t="inlineStr">
        <is>
          <t>IND</t>
        </is>
      </c>
      <c r="B6" t="inlineStr">
        <is>
          <t>1964</t>
        </is>
      </c>
      <c r="C6" t="n">
        <v>19.5298284932289</v>
      </c>
    </row>
    <row r="7">
      <c r="A7" t="inlineStr">
        <is>
          <t>IND</t>
        </is>
      </c>
      <c r="B7" t="inlineStr">
        <is>
          <t>1965</t>
        </is>
      </c>
      <c r="C7" t="n">
        <v>20.0572229945507</v>
      </c>
    </row>
    <row r="8">
      <c r="A8" t="inlineStr">
        <is>
          <t>IND</t>
        </is>
      </c>
      <c r="B8" t="inlineStr">
        <is>
          <t>1966</t>
        </is>
      </c>
      <c r="C8" t="n">
        <v>18.3580138165654</v>
      </c>
    </row>
    <row r="9">
      <c r="A9" t="inlineStr">
        <is>
          <t>IND</t>
        </is>
      </c>
      <c r="B9" t="inlineStr">
        <is>
          <t>1967</t>
        </is>
      </c>
      <c r="C9" t="n">
        <v>18.1975444704354</v>
      </c>
    </row>
    <row r="10">
      <c r="A10" t="inlineStr">
        <is>
          <t>IND</t>
        </is>
      </c>
      <c r="B10" t="inlineStr">
        <is>
          <t>1968</t>
        </is>
      </c>
      <c r="C10" t="n">
        <v>17.7422497494354</v>
      </c>
    </row>
    <row r="11">
      <c r="A11" t="inlineStr">
        <is>
          <t>IND</t>
        </is>
      </c>
      <c r="B11" t="inlineStr">
        <is>
          <t>1969</t>
        </is>
      </c>
      <c r="C11" t="n">
        <v>17.6400952349903</v>
      </c>
    </row>
    <row r="12">
      <c r="A12" t="inlineStr">
        <is>
          <t>IND</t>
        </is>
      </c>
      <c r="B12" t="inlineStr">
        <is>
          <t>1970</t>
        </is>
      </c>
      <c r="C12" t="n">
        <v>18.2114387329179</v>
      </c>
    </row>
    <row r="13">
      <c r="A13" t="inlineStr">
        <is>
          <t>IND</t>
        </is>
      </c>
      <c r="B13" t="inlineStr">
        <is>
          <t>1971</t>
        </is>
      </c>
      <c r="C13" t="n">
        <v>19.2036157433701</v>
      </c>
    </row>
    <row r="14">
      <c r="A14" t="inlineStr">
        <is>
          <t>IND</t>
        </is>
      </c>
      <c r="B14" t="inlineStr">
        <is>
          <t>1972</t>
        </is>
      </c>
      <c r="C14" t="n">
        <v>19.5484319396904</v>
      </c>
    </row>
    <row r="15">
      <c r="A15" t="inlineStr">
        <is>
          <t>IND</t>
        </is>
      </c>
      <c r="B15" t="inlineStr">
        <is>
          <t>1973</t>
        </is>
      </c>
      <c r="C15" t="n">
        <v>18.7007586479695</v>
      </c>
    </row>
    <row r="16">
      <c r="A16" t="inlineStr">
        <is>
          <t>IND</t>
        </is>
      </c>
      <c r="B16" t="inlineStr">
        <is>
          <t>1974</t>
        </is>
      </c>
      <c r="C16" t="n">
        <v>22.5115175742591</v>
      </c>
    </row>
    <row r="17">
      <c r="A17" t="inlineStr">
        <is>
          <t>IND</t>
        </is>
      </c>
      <c r="B17" t="inlineStr">
        <is>
          <t>1975</t>
        </is>
      </c>
      <c r="C17" t="n">
        <v>19.5451062648376</v>
      </c>
    </row>
    <row r="18">
      <c r="A18" t="inlineStr">
        <is>
          <t>IND</t>
        </is>
      </c>
      <c r="B18" t="inlineStr">
        <is>
          <t>1976</t>
        </is>
      </c>
      <c r="C18" t="n">
        <v>19.4192719578704</v>
      </c>
    </row>
    <row r="19">
      <c r="A19" t="inlineStr">
        <is>
          <t>IND</t>
        </is>
      </c>
      <c r="B19" t="inlineStr">
        <is>
          <t>1977</t>
        </is>
      </c>
      <c r="C19" t="n">
        <v>21.0956125472627</v>
      </c>
    </row>
    <row r="20">
      <c r="A20" t="inlineStr">
        <is>
          <t>IND</t>
        </is>
      </c>
      <c r="B20" t="inlineStr">
        <is>
          <t>1978</t>
        </is>
      </c>
      <c r="C20" t="n">
        <v>22.6507207547063</v>
      </c>
    </row>
    <row r="21">
      <c r="A21" t="inlineStr">
        <is>
          <t>IND</t>
        </is>
      </c>
      <c r="B21" t="inlineStr">
        <is>
          <t>1979</t>
        </is>
      </c>
      <c r="C21" t="n">
        <v>23.5953767441188</v>
      </c>
    </row>
    <row r="22">
      <c r="A22" t="inlineStr">
        <is>
          <t>IND</t>
        </is>
      </c>
      <c r="B22" t="inlineStr">
        <is>
          <t>1980</t>
        </is>
      </c>
      <c r="C22" t="n">
        <v>19.5550034544046</v>
      </c>
    </row>
    <row r="23">
      <c r="A23" t="inlineStr">
        <is>
          <t>IND</t>
        </is>
      </c>
      <c r="B23" t="inlineStr">
        <is>
          <t>1981</t>
        </is>
      </c>
      <c r="C23" t="n">
        <v>25.5601376265736</v>
      </c>
    </row>
    <row r="24">
      <c r="A24" t="inlineStr">
        <is>
          <t>IND</t>
        </is>
      </c>
      <c r="B24" t="inlineStr">
        <is>
          <t>1982</t>
        </is>
      </c>
      <c r="C24" t="n">
        <v>25.1341943149098</v>
      </c>
    </row>
    <row r="25">
      <c r="A25" t="inlineStr">
        <is>
          <t>IND</t>
        </is>
      </c>
      <c r="B25" t="inlineStr">
        <is>
          <t>1983</t>
        </is>
      </c>
      <c r="C25" t="n">
        <v>21.0395721185203</v>
      </c>
    </row>
    <row r="26">
      <c r="A26" t="inlineStr">
        <is>
          <t>IND</t>
        </is>
      </c>
      <c r="B26" t="inlineStr">
        <is>
          <t>1984</t>
        </is>
      </c>
      <c r="C26" t="n">
        <v>23.2914173032296</v>
      </c>
    </row>
    <row r="27">
      <c r="A27" t="inlineStr">
        <is>
          <t>IND</t>
        </is>
      </c>
      <c r="B27" t="inlineStr">
        <is>
          <t>1985</t>
        </is>
      </c>
      <c r="C27" t="n">
        <v>26.4460769030045</v>
      </c>
    </row>
    <row r="28">
      <c r="A28" t="inlineStr">
        <is>
          <t>IND</t>
        </is>
      </c>
      <c r="B28" t="inlineStr">
        <is>
          <t>1986</t>
        </is>
      </c>
      <c r="C28" t="n">
        <v>26.0656839397328</v>
      </c>
    </row>
    <row r="29">
      <c r="A29" t="inlineStr">
        <is>
          <t>IND</t>
        </is>
      </c>
      <c r="B29" t="inlineStr">
        <is>
          <t>1987</t>
        </is>
      </c>
      <c r="C29" t="n">
        <v>25.8271313054029</v>
      </c>
    </row>
    <row r="30">
      <c r="A30" t="inlineStr">
        <is>
          <t>IND</t>
        </is>
      </c>
      <c r="B30" t="inlineStr">
        <is>
          <t>1988</t>
        </is>
      </c>
      <c r="C30" t="n">
        <v>26.2826349945907</v>
      </c>
    </row>
    <row r="31">
      <c r="A31" t="inlineStr">
        <is>
          <t>IND</t>
        </is>
      </c>
      <c r="B31" t="inlineStr">
        <is>
          <t>1989</t>
        </is>
      </c>
      <c r="C31" t="n">
        <v>26.8610369133845</v>
      </c>
    </row>
    <row r="32">
      <c r="A32" t="inlineStr">
        <is>
          <t>IND</t>
        </is>
      </c>
      <c r="B32" t="inlineStr">
        <is>
          <t>1990</t>
        </is>
      </c>
      <c r="C32" t="n">
        <v>27.3361977013687</v>
      </c>
    </row>
    <row r="33">
      <c r="A33" t="inlineStr">
        <is>
          <t>IND</t>
        </is>
      </c>
      <c r="B33" t="inlineStr">
        <is>
          <t>1991</t>
        </is>
      </c>
      <c r="C33" t="n">
        <v>25.1405052782292</v>
      </c>
    </row>
    <row r="34">
      <c r="A34" t="inlineStr">
        <is>
          <t>IND</t>
        </is>
      </c>
      <c r="B34" t="inlineStr">
        <is>
          <t>1992</t>
        </is>
      </c>
      <c r="C34" t="n">
        <v>27.44020415513</v>
      </c>
    </row>
    <row r="35">
      <c r="A35" t="inlineStr">
        <is>
          <t>IND</t>
        </is>
      </c>
      <c r="B35" t="inlineStr">
        <is>
          <t>1993</t>
        </is>
      </c>
      <c r="C35" t="n">
        <v>22.716410511618</v>
      </c>
    </row>
    <row r="36">
      <c r="A36" t="inlineStr">
        <is>
          <t>IND</t>
        </is>
      </c>
      <c r="B36" t="inlineStr">
        <is>
          <t>1994</t>
        </is>
      </c>
      <c r="C36" t="n">
        <v>26.3101665553988</v>
      </c>
    </row>
    <row r="37">
      <c r="A37" t="inlineStr">
        <is>
          <t>IND</t>
        </is>
      </c>
      <c r="B37" t="inlineStr">
        <is>
          <t>1995</t>
        </is>
      </c>
      <c r="C37" t="n">
        <v>29.1523371515588</v>
      </c>
    </row>
    <row r="38">
      <c r="A38" t="inlineStr">
        <is>
          <t>IND</t>
        </is>
      </c>
      <c r="B38" t="inlineStr">
        <is>
          <t>1996</t>
        </is>
      </c>
      <c r="C38" t="n">
        <v>22.7592531809279</v>
      </c>
    </row>
    <row r="39">
      <c r="A39" t="inlineStr">
        <is>
          <t>IND</t>
        </is>
      </c>
      <c r="B39" t="inlineStr">
        <is>
          <t>1997</t>
        </is>
      </c>
      <c r="C39" t="n">
        <v>25.6927329065132</v>
      </c>
    </row>
    <row r="40">
      <c r="A40" t="inlineStr">
        <is>
          <t>IND</t>
        </is>
      </c>
      <c r="B40" t="inlineStr">
        <is>
          <t>1998</t>
        </is>
      </c>
      <c r="C40" t="n">
        <v>24.9753699423901</v>
      </c>
    </row>
    <row r="41">
      <c r="A41" t="inlineStr">
        <is>
          <t>IND</t>
        </is>
      </c>
      <c r="B41" t="inlineStr">
        <is>
          <t>1999</t>
        </is>
      </c>
      <c r="C41" t="n">
        <v>30.9580879683861</v>
      </c>
    </row>
    <row r="42">
      <c r="A42" t="inlineStr">
        <is>
          <t>IND</t>
        </is>
      </c>
      <c r="B42" t="inlineStr">
        <is>
          <t>2000</t>
        </is>
      </c>
      <c r="C42" t="n">
        <v>25.677316683955</v>
      </c>
    </row>
    <row r="43">
      <c r="A43" t="inlineStr">
        <is>
          <t>IND</t>
        </is>
      </c>
      <c r="B43" t="inlineStr">
        <is>
          <t>2001</t>
        </is>
      </c>
      <c r="C43" t="n">
        <v>29.9078889827325</v>
      </c>
    </row>
    <row r="44">
      <c r="A44" t="inlineStr">
        <is>
          <t>IND</t>
        </is>
      </c>
      <c r="B44" t="inlineStr">
        <is>
          <t>2002</t>
        </is>
      </c>
      <c r="C44" t="n">
        <v>30.2513001207186</v>
      </c>
    </row>
    <row r="45">
      <c r="A45" t="inlineStr">
        <is>
          <t>IND</t>
        </is>
      </c>
      <c r="B45" t="inlineStr">
        <is>
          <t>2003</t>
        </is>
      </c>
      <c r="C45" t="n">
        <v>30.8396999424416</v>
      </c>
    </row>
    <row r="46">
      <c r="A46" t="inlineStr">
        <is>
          <t>IND</t>
        </is>
      </c>
      <c r="B46" t="inlineStr">
        <is>
          <t>2004</t>
        </is>
      </c>
      <c r="C46" t="n">
        <v>35.0964917017773</v>
      </c>
    </row>
    <row r="47">
      <c r="A47" t="inlineStr">
        <is>
          <t>IND</t>
        </is>
      </c>
      <c r="B47" t="inlineStr">
        <is>
          <t>2005</t>
        </is>
      </c>
      <c r="C47" t="n">
        <v>37.4282640165983</v>
      </c>
    </row>
    <row r="48">
      <c r="A48" t="inlineStr">
        <is>
          <t>IND</t>
        </is>
      </c>
      <c r="B48" t="inlineStr">
        <is>
          <t>2006</t>
        </is>
      </c>
      <c r="C48" t="n">
        <v>38.9985063717532</v>
      </c>
    </row>
    <row r="49">
      <c r="A49" t="inlineStr">
        <is>
          <t>IND</t>
        </is>
      </c>
      <c r="B49" t="inlineStr">
        <is>
          <t>2007</t>
        </is>
      </c>
      <c r="C49" t="n">
        <v>41.9507982267334</v>
      </c>
    </row>
    <row r="50">
      <c r="A50" t="inlineStr">
        <is>
          <t>IND</t>
        </is>
      </c>
      <c r="B50" t="inlineStr">
        <is>
          <t>2008</t>
        </is>
      </c>
      <c r="C50" t="n">
        <v>38.4224196528192</v>
      </c>
    </row>
    <row r="51">
      <c r="A51" t="inlineStr">
        <is>
          <t>IND</t>
        </is>
      </c>
      <c r="B51" t="inlineStr">
        <is>
          <t>2009</t>
        </is>
      </c>
      <c r="C51" t="n">
        <v>39.2567917551336</v>
      </c>
    </row>
    <row r="52">
      <c r="A52" t="inlineStr">
        <is>
          <t>IND</t>
        </is>
      </c>
      <c r="B52" t="inlineStr">
        <is>
          <t>2010</t>
        </is>
      </c>
      <c r="C52" t="n">
        <v>39.7856241847736</v>
      </c>
    </row>
    <row r="53">
      <c r="A53" t="inlineStr">
        <is>
          <t>IND</t>
        </is>
      </c>
      <c r="B53" t="inlineStr">
        <is>
          <t>2011</t>
        </is>
      </c>
      <c r="C53" t="n">
        <v>39.590421855219</v>
      </c>
    </row>
    <row r="54">
      <c r="A54" t="inlineStr">
        <is>
          <t>IND</t>
        </is>
      </c>
      <c r="B54" t="inlineStr">
        <is>
          <t>2012</t>
        </is>
      </c>
      <c r="C54" t="n">
        <v>38.3474156730403</v>
      </c>
    </row>
    <row r="55">
      <c r="A55" t="inlineStr">
        <is>
          <t>IND</t>
        </is>
      </c>
      <c r="B55" t="inlineStr">
        <is>
          <t>2013</t>
        </is>
      </c>
      <c r="C55" t="n">
        <v>34.0231978997548</v>
      </c>
    </row>
    <row r="56">
      <c r="A56" t="inlineStr">
        <is>
          <t>IND</t>
        </is>
      </c>
      <c r="B56" t="inlineStr">
        <is>
          <t>2014</t>
        </is>
      </c>
      <c r="C56" t="n">
        <v>34.2678056268836</v>
      </c>
    </row>
    <row r="57">
      <c r="A57" t="inlineStr">
        <is>
          <t>IND</t>
        </is>
      </c>
      <c r="B57" t="inlineStr">
        <is>
          <t>2015</t>
        </is>
      </c>
      <c r="C57" t="n">
        <v>32.1167301358276</v>
      </c>
    </row>
    <row r="58">
      <c r="A58" t="inlineStr">
        <is>
          <t>IND</t>
        </is>
      </c>
      <c r="B58" t="inlineStr">
        <is>
          <t>2016</t>
        </is>
      </c>
      <c r="C58" t="n">
        <v>30.172690580036</v>
      </c>
    </row>
    <row r="59">
      <c r="A59" t="inlineStr">
        <is>
          <t>IND</t>
        </is>
      </c>
      <c r="B59" t="inlineStr">
        <is>
          <t>2017</t>
        </is>
      </c>
      <c r="C59" t="n">
        <v>30.9821728344733</v>
      </c>
    </row>
    <row r="60">
      <c r="A60" t="inlineStr">
        <is>
          <t>IND</t>
        </is>
      </c>
      <c r="B60" t="inlineStr">
        <is>
          <t>2018</t>
        </is>
      </c>
      <c r="C60" t="n">
        <v>32.3432182154485</v>
      </c>
    </row>
    <row r="61">
      <c r="A61" t="inlineStr">
        <is>
          <t>IND</t>
        </is>
      </c>
      <c r="B61" t="inlineStr">
        <is>
          <t>2019</t>
        </is>
      </c>
      <c r="C61" t="n">
        <v>30.0961975685688</v>
      </c>
    </row>
    <row r="62">
      <c r="A62" t="inlineStr">
        <is>
          <t>IND</t>
        </is>
      </c>
      <c r="B62" t="inlineStr">
        <is>
          <t>2020</t>
        </is>
      </c>
      <c r="C62" t="n">
        <v>28.9223840080659</v>
      </c>
    </row>
    <row r="63">
      <c r="A63" t="inlineStr">
        <is>
          <t>IND</t>
        </is>
      </c>
      <c r="B63" t="inlineStr">
        <is>
          <t>2021</t>
        </is>
      </c>
      <c r="C63" t="n">
        <v>32.1158221755014</v>
      </c>
    </row>
    <row r="64">
      <c r="A64" t="inlineStr">
        <is>
          <t>IND</t>
        </is>
      </c>
      <c r="B64" t="inlineStr">
        <is>
          <t>2022</t>
        </is>
      </c>
      <c r="C64" t="n">
        <v>34.4117962357355</v>
      </c>
    </row>
    <row r="65">
      <c r="A65" t="inlineStr">
        <is>
          <t>IND</t>
        </is>
      </c>
      <c r="B65" t="inlineStr">
        <is>
          <t>2023</t>
        </is>
      </c>
      <c r="C65" t="n">
        <v>34.504684353812</v>
      </c>
    </row>
    <row r="66">
      <c r="A66" t="inlineStr">
        <is>
          <t>IND</t>
        </is>
      </c>
      <c r="B66" t="inlineStr">
        <is>
          <t>2024</t>
        </is>
      </c>
      <c r="C66" t="n">
        <v>34.3459060404746</v>
      </c>
    </row>
    <row r="67">
      <c r="A67" t="inlineStr">
        <is>
          <t>IND</t>
        </is>
      </c>
      <c r="B67" t="inlineStr">
        <is>
          <t>2025</t>
        </is>
      </c>
      <c r="C67" t="n">
        <v>34.6030048968457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26.4011130956707</v>
      </c>
    </row>
    <row r="90">
      <c r="A90" t="inlineStr">
        <is>
          <t>PHL</t>
        </is>
      </c>
      <c r="B90" t="inlineStr">
        <is>
          <t>1982</t>
        </is>
      </c>
      <c r="C90" t="n">
        <v>26.6861789864717</v>
      </c>
    </row>
    <row r="91">
      <c r="A91" t="inlineStr">
        <is>
          <t>PHL</t>
        </is>
      </c>
      <c r="B91" t="inlineStr">
        <is>
          <t>1983</t>
        </is>
      </c>
      <c r="C91" t="n">
        <v>28.2326345302981</v>
      </c>
    </row>
    <row r="92">
      <c r="A92" t="inlineStr">
        <is>
          <t>PHL</t>
        </is>
      </c>
      <c r="B92" t="inlineStr">
        <is>
          <t>1984</t>
        </is>
      </c>
      <c r="C92" t="n">
        <v>19.8310631674001</v>
      </c>
    </row>
    <row r="93">
      <c r="A93" t="inlineStr">
        <is>
          <t>PHL</t>
        </is>
      </c>
      <c r="B93" t="inlineStr">
        <is>
          <t>1985</t>
        </is>
      </c>
      <c r="C93" t="n">
        <v>14.1658438395527</v>
      </c>
    </row>
    <row r="94">
      <c r="A94" t="inlineStr">
        <is>
          <t>PHL</t>
        </is>
      </c>
      <c r="B94" t="inlineStr">
        <is>
          <t>1986</t>
        </is>
      </c>
      <c r="C94" t="n">
        <v>15.052368593471</v>
      </c>
    </row>
    <row r="95">
      <c r="A95" t="inlineStr">
        <is>
          <t>PHL</t>
        </is>
      </c>
      <c r="B95" t="inlineStr">
        <is>
          <t>1987</t>
        </is>
      </c>
      <c r="C95" t="n">
        <v>17.1600296634357</v>
      </c>
    </row>
    <row r="96">
      <c r="A96" t="inlineStr">
        <is>
          <t>PHL</t>
        </is>
      </c>
      <c r="B96" t="inlineStr">
        <is>
          <t>1988</t>
        </is>
      </c>
      <c r="C96" t="n">
        <v>18.3004943503436</v>
      </c>
    </row>
    <row r="97">
      <c r="A97" t="inlineStr">
        <is>
          <t>PHL</t>
        </is>
      </c>
      <c r="B97" t="inlineStr">
        <is>
          <t>1989</t>
        </is>
      </c>
      <c r="C97" t="n">
        <v>21.0095892110108</v>
      </c>
    </row>
    <row r="98">
      <c r="A98" t="inlineStr">
        <is>
          <t>PHL</t>
        </is>
      </c>
      <c r="B98" t="inlineStr">
        <is>
          <t>1990</t>
        </is>
      </c>
      <c r="C98" t="n">
        <v>23.3317105849887</v>
      </c>
    </row>
    <row r="99">
      <c r="A99" t="inlineStr">
        <is>
          <t>PHL</t>
        </is>
      </c>
      <c r="B99" t="inlineStr">
        <is>
          <t>1991</t>
        </is>
      </c>
      <c r="C99" t="n">
        <v>19.7170925076743</v>
      </c>
    </row>
    <row r="100">
      <c r="A100" t="inlineStr">
        <is>
          <t>PHL</t>
        </is>
      </c>
      <c r="B100" t="inlineStr">
        <is>
          <t>1992</t>
        </is>
      </c>
      <c r="C100" t="n">
        <v>20.7483312409355</v>
      </c>
    </row>
    <row r="101">
      <c r="A101" t="inlineStr">
        <is>
          <t>PHL</t>
        </is>
      </c>
      <c r="B101" t="inlineStr">
        <is>
          <t>1993</t>
        </is>
      </c>
      <c r="C101" t="n">
        <v>23.1855368033691</v>
      </c>
    </row>
    <row r="102">
      <c r="A102" t="inlineStr">
        <is>
          <t>PHL</t>
        </is>
      </c>
      <c r="B102" t="inlineStr">
        <is>
          <t>1994</t>
        </is>
      </c>
      <c r="C102" t="n">
        <v>23.3114526483211</v>
      </c>
    </row>
    <row r="103">
      <c r="A103" t="inlineStr">
        <is>
          <t>PHL</t>
        </is>
      </c>
      <c r="B103" t="inlineStr">
        <is>
          <t>1995</t>
        </is>
      </c>
      <c r="C103" t="n">
        <v>21.7942950820214</v>
      </c>
    </row>
    <row r="104">
      <c r="A104" t="inlineStr">
        <is>
          <t>PHL</t>
        </is>
      </c>
      <c r="B104" t="inlineStr">
        <is>
          <t>1996</t>
        </is>
      </c>
      <c r="C104" t="n">
        <v>23.2823367017063</v>
      </c>
    </row>
    <row r="105">
      <c r="A105" t="inlineStr">
        <is>
          <t>PHL</t>
        </is>
      </c>
      <c r="B105" t="inlineStr">
        <is>
          <t>1997</t>
        </is>
      </c>
      <c r="C105" t="n">
        <v>24.0644880296074</v>
      </c>
    </row>
    <row r="106">
      <c r="A106" t="inlineStr">
        <is>
          <t>PHL</t>
        </is>
      </c>
      <c r="B106" t="inlineStr">
        <is>
          <t>1998</t>
        </is>
      </c>
      <c r="C106" t="n">
        <v>19.9889156434332</v>
      </c>
    </row>
    <row r="107">
      <c r="A107" t="inlineStr">
        <is>
          <t>PHL</t>
        </is>
      </c>
      <c r="B107" t="inlineStr">
        <is>
          <t>1999</t>
        </is>
      </c>
      <c r="C107" t="n">
        <v>16.2006540383433</v>
      </c>
    </row>
    <row r="108">
      <c r="A108" t="inlineStr">
        <is>
          <t>PHL</t>
        </is>
      </c>
      <c r="B108" t="inlineStr">
        <is>
          <t>2000</t>
        </is>
      </c>
      <c r="C108" t="n">
        <v>15.684364157955</v>
      </c>
    </row>
    <row r="109">
      <c r="A109" t="inlineStr">
        <is>
          <t>PHL</t>
        </is>
      </c>
      <c r="B109" t="inlineStr">
        <is>
          <t>2001</t>
        </is>
      </c>
      <c r="C109" t="n">
        <v>18.9451758766766</v>
      </c>
    </row>
    <row r="110">
      <c r="A110" t="inlineStr">
        <is>
          <t>PHL</t>
        </is>
      </c>
      <c r="B110" t="inlineStr">
        <is>
          <t>2002</t>
        </is>
      </c>
      <c r="C110" t="n">
        <v>20.4591371369749</v>
      </c>
    </row>
    <row r="111">
      <c r="A111" t="inlineStr">
        <is>
          <t>PHL</t>
        </is>
      </c>
      <c r="B111" t="inlineStr">
        <is>
          <t>2003</t>
        </is>
      </c>
      <c r="C111" t="n">
        <v>19.5287356084063</v>
      </c>
    </row>
    <row r="112">
      <c r="A112" t="inlineStr">
        <is>
          <t>PHL</t>
        </is>
      </c>
      <c r="B112" t="inlineStr">
        <is>
          <t>2004</t>
        </is>
      </c>
      <c r="C112" t="n">
        <v>20.731007446127</v>
      </c>
    </row>
    <row r="113">
      <c r="A113" t="inlineStr">
        <is>
          <t>PHL</t>
        </is>
      </c>
      <c r="B113" t="inlineStr">
        <is>
          <t>2005</t>
        </is>
      </c>
      <c r="C113" t="n">
        <v>18.5665300720434</v>
      </c>
    </row>
    <row r="114">
      <c r="A114" t="inlineStr">
        <is>
          <t>PHL</t>
        </is>
      </c>
      <c r="B114" t="inlineStr">
        <is>
          <t>2006</t>
        </is>
      </c>
      <c r="C114" t="n">
        <v>16.0153377703844</v>
      </c>
    </row>
    <row r="115">
      <c r="A115" t="inlineStr">
        <is>
          <t>PHL</t>
        </is>
      </c>
      <c r="B115" t="inlineStr">
        <is>
          <t>2007</t>
        </is>
      </c>
      <c r="C115" t="n">
        <v>16.1286471132386</v>
      </c>
    </row>
    <row r="116">
      <c r="A116" t="inlineStr">
        <is>
          <t>PHL</t>
        </is>
      </c>
      <c r="B116" t="inlineStr">
        <is>
          <t>2008</t>
        </is>
      </c>
      <c r="C116" t="n">
        <v>18.9671469154789</v>
      </c>
    </row>
    <row r="117">
      <c r="A117" t="inlineStr">
        <is>
          <t>PHL</t>
        </is>
      </c>
      <c r="B117" t="inlineStr">
        <is>
          <t>2009</t>
        </is>
      </c>
      <c r="C117" t="n">
        <v>17.4317211991991</v>
      </c>
    </row>
    <row r="118">
      <c r="A118" t="inlineStr">
        <is>
          <t>PHL</t>
        </is>
      </c>
      <c r="B118" t="inlineStr">
        <is>
          <t>2010</t>
        </is>
      </c>
      <c r="C118" t="n">
        <v>20.4417711390659</v>
      </c>
    </row>
    <row r="119">
      <c r="A119" t="inlineStr">
        <is>
          <t>PHL</t>
        </is>
      </c>
      <c r="B119" t="inlineStr">
        <is>
          <t>2011</t>
        </is>
      </c>
      <c r="C119" t="n">
        <v>20.7399365678349</v>
      </c>
    </row>
    <row r="120">
      <c r="A120" t="inlineStr">
        <is>
          <t>PHL</t>
        </is>
      </c>
      <c r="B120" t="inlineStr">
        <is>
          <t>2012</t>
        </is>
      </c>
      <c r="C120" t="n">
        <v>19.5607279687897</v>
      </c>
    </row>
    <row r="121">
      <c r="A121" t="inlineStr">
        <is>
          <t>PHL</t>
        </is>
      </c>
      <c r="B121" t="inlineStr">
        <is>
          <t>2013</t>
        </is>
      </c>
      <c r="C121" t="n">
        <v>20.642224107669</v>
      </c>
    </row>
    <row r="122">
      <c r="A122" t="inlineStr">
        <is>
          <t>PHL</t>
        </is>
      </c>
      <c r="B122" t="inlineStr">
        <is>
          <t>2014</t>
        </is>
      </c>
      <c r="C122" t="n">
        <v>20.9239704373705</v>
      </c>
    </row>
    <row r="123">
      <c r="A123" t="inlineStr">
        <is>
          <t>PHL</t>
        </is>
      </c>
      <c r="B123" t="inlineStr">
        <is>
          <t>2015</t>
        </is>
      </c>
      <c r="C123" t="n">
        <v>21.3409478711064</v>
      </c>
    </row>
    <row r="124">
      <c r="A124" t="inlineStr">
        <is>
          <t>PHL</t>
        </is>
      </c>
      <c r="B124" t="inlineStr">
        <is>
          <t>2016</t>
        </is>
      </c>
      <c r="C124" t="n">
        <v>24.618503101685</v>
      </c>
    </row>
    <row r="125">
      <c r="A125" t="inlineStr">
        <is>
          <t>PHL</t>
        </is>
      </c>
      <c r="B125" t="inlineStr">
        <is>
          <t>2017</t>
        </is>
      </c>
      <c r="C125" t="n">
        <v>25.5587738639602</v>
      </c>
    </row>
    <row r="126">
      <c r="A126" t="inlineStr">
        <is>
          <t>PHL</t>
        </is>
      </c>
      <c r="B126" t="inlineStr">
        <is>
          <t>2018</t>
        </is>
      </c>
      <c r="C126" t="n">
        <v>27.1505820415621</v>
      </c>
    </row>
    <row r="127">
      <c r="A127" t="inlineStr">
        <is>
          <t>PHL</t>
        </is>
      </c>
      <c r="B127" t="inlineStr">
        <is>
          <t>2019</t>
        </is>
      </c>
      <c r="C127" t="n">
        <v>26.4018084647284</v>
      </c>
    </row>
    <row r="128">
      <c r="A128" t="inlineStr">
        <is>
          <t>PHL</t>
        </is>
      </c>
      <c r="B128" t="inlineStr">
        <is>
          <t>2020</t>
        </is>
      </c>
      <c r="C128" t="n">
        <v>17.4333790282876</v>
      </c>
    </row>
    <row r="129">
      <c r="A129" t="inlineStr">
        <is>
          <t>PHL</t>
        </is>
      </c>
      <c r="B129" t="inlineStr">
        <is>
          <t>2021</t>
        </is>
      </c>
      <c r="C129" t="n">
        <v>21.1407371483135</v>
      </c>
    </row>
    <row r="130">
      <c r="A130" t="inlineStr">
        <is>
          <t>PHL</t>
        </is>
      </c>
      <c r="B130" t="inlineStr">
        <is>
          <t>2022</t>
        </is>
      </c>
      <c r="C130" t="n">
        <v>24.6858616763102</v>
      </c>
    </row>
    <row r="131">
      <c r="A131" t="inlineStr">
        <is>
          <t>PHL</t>
        </is>
      </c>
      <c r="B131" t="inlineStr">
        <is>
          <t>2023</t>
        </is>
      </c>
      <c r="C131" t="n">
        <v>23.4061516161597</v>
      </c>
    </row>
    <row r="132">
      <c r="A132" t="inlineStr">
        <is>
          <t>PHL</t>
        </is>
      </c>
      <c r="B132" t="inlineStr">
        <is>
          <t>2024</t>
        </is>
      </c>
      <c r="C132" t="n">
        <v>23.6782004674363</v>
      </c>
    </row>
    <row r="133">
      <c r="A133" t="inlineStr">
        <is>
          <t>PHL</t>
        </is>
      </c>
      <c r="B133" t="inlineStr">
        <is>
          <t>2025</t>
        </is>
      </c>
      <c r="C133" t="n">
        <v>22.1409469966766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</row>
    <row r="165">
      <c r="A165" t="inlineStr">
        <is>
          <t>VNM</t>
        </is>
      </c>
      <c r="B165" t="inlineStr">
        <is>
          <t>1991</t>
        </is>
      </c>
    </row>
    <row r="166">
      <c r="A166" t="inlineStr">
        <is>
          <t>VNM</t>
        </is>
      </c>
      <c r="B166" t="inlineStr">
        <is>
          <t>1992</t>
        </is>
      </c>
    </row>
    <row r="167">
      <c r="A167" t="inlineStr">
        <is>
          <t>VNM</t>
        </is>
      </c>
      <c r="B167" t="inlineStr">
        <is>
          <t>1993</t>
        </is>
      </c>
    </row>
    <row r="168">
      <c r="A168" t="inlineStr">
        <is>
          <t>VNM</t>
        </is>
      </c>
      <c r="B168" t="inlineStr">
        <is>
          <t>1994</t>
        </is>
      </c>
    </row>
    <row r="169">
      <c r="A169" t="inlineStr">
        <is>
          <t>VNM</t>
        </is>
      </c>
      <c r="B169" t="inlineStr">
        <is>
          <t>1995</t>
        </is>
      </c>
      <c r="C169" t="n">
        <v>27.1442426996138</v>
      </c>
    </row>
    <row r="170">
      <c r="A170" t="inlineStr">
        <is>
          <t>VNM</t>
        </is>
      </c>
      <c r="B170" t="inlineStr">
        <is>
          <t>1996</t>
        </is>
      </c>
      <c r="C170" t="n">
        <v>28.1028981458336</v>
      </c>
    </row>
    <row r="171">
      <c r="A171" t="inlineStr">
        <is>
          <t>VNM</t>
        </is>
      </c>
      <c r="B171" t="inlineStr">
        <is>
          <t>1997</t>
        </is>
      </c>
      <c r="C171" t="n">
        <v>28.2995826198971</v>
      </c>
    </row>
    <row r="172">
      <c r="A172" t="inlineStr">
        <is>
          <t>VNM</t>
        </is>
      </c>
      <c r="B172" t="inlineStr">
        <is>
          <t>1998</t>
        </is>
      </c>
      <c r="C172" t="n">
        <v>29.0498785375758</v>
      </c>
    </row>
    <row r="173">
      <c r="A173" t="inlineStr">
        <is>
          <t>VNM</t>
        </is>
      </c>
      <c r="B173" t="inlineStr">
        <is>
          <t>1999</t>
        </is>
      </c>
      <c r="C173" t="n">
        <v>27.6297563146656</v>
      </c>
    </row>
    <row r="174">
      <c r="A174" t="inlineStr">
        <is>
          <t>VNM</t>
        </is>
      </c>
      <c r="B174" t="inlineStr">
        <is>
          <t>2000</t>
        </is>
      </c>
      <c r="C174" t="n">
        <v>29.6099138223826</v>
      </c>
    </row>
    <row r="175">
      <c r="A175" t="inlineStr">
        <is>
          <t>VNM</t>
        </is>
      </c>
      <c r="B175" t="inlineStr">
        <is>
          <t>2001</t>
        </is>
      </c>
      <c r="C175" t="n">
        <v>31.1727734549497</v>
      </c>
    </row>
    <row r="176">
      <c r="A176" t="inlineStr">
        <is>
          <t>VNM</t>
        </is>
      </c>
      <c r="B176" t="inlineStr">
        <is>
          <t>2002</t>
        </is>
      </c>
      <c r="C176" t="n">
        <v>33.2205344910613</v>
      </c>
    </row>
    <row r="177">
      <c r="A177" t="inlineStr">
        <is>
          <t>VNM</t>
        </is>
      </c>
      <c r="B177" t="inlineStr">
        <is>
          <t>2003</t>
        </is>
      </c>
      <c r="C177" t="n">
        <v>35.444857957463</v>
      </c>
    </row>
    <row r="178">
      <c r="A178" t="inlineStr">
        <is>
          <t>VNM</t>
        </is>
      </c>
      <c r="B178" t="inlineStr">
        <is>
          <t>2004</t>
        </is>
      </c>
      <c r="C178" t="n">
        <v>35.46533166878</v>
      </c>
    </row>
    <row r="179">
      <c r="A179" t="inlineStr">
        <is>
          <t>VNM</t>
        </is>
      </c>
      <c r="B179" t="inlineStr">
        <is>
          <t>2005</t>
        </is>
      </c>
      <c r="C179" t="n">
        <v>33.7574028912441</v>
      </c>
    </row>
    <row r="180">
      <c r="A180" t="inlineStr">
        <is>
          <t>VNM</t>
        </is>
      </c>
      <c r="B180" t="inlineStr">
        <is>
          <t>2006</t>
        </is>
      </c>
      <c r="C180" t="n">
        <v>34.5366510764767</v>
      </c>
    </row>
    <row r="181">
      <c r="A181" t="inlineStr">
        <is>
          <t>VNM</t>
        </is>
      </c>
      <c r="B181" t="inlineStr">
        <is>
          <t>2007</t>
        </is>
      </c>
      <c r="C181" t="n">
        <v>39.5662708970146</v>
      </c>
    </row>
    <row r="182">
      <c r="A182" t="inlineStr">
        <is>
          <t>VNM</t>
        </is>
      </c>
      <c r="B182" t="inlineStr">
        <is>
          <t>2008</t>
        </is>
      </c>
      <c r="C182" t="n">
        <v>36.4931217965814</v>
      </c>
    </row>
    <row r="183">
      <c r="A183" t="inlineStr">
        <is>
          <t>VNM</t>
        </is>
      </c>
      <c r="B183" t="inlineStr">
        <is>
          <t>2009</t>
        </is>
      </c>
      <c r="C183" t="n">
        <v>37.1625554335215</v>
      </c>
    </row>
    <row r="184">
      <c r="A184" t="inlineStr">
        <is>
          <t>VNM</t>
        </is>
      </c>
      <c r="B184" t="inlineStr">
        <is>
          <t>2010</t>
        </is>
      </c>
      <c r="C184" t="n">
        <v>37.0990761715168</v>
      </c>
    </row>
    <row r="185">
      <c r="A185" t="inlineStr">
        <is>
          <t>VNM</t>
        </is>
      </c>
      <c r="B185" t="inlineStr">
        <is>
          <t>2011</t>
        </is>
      </c>
      <c r="C185" t="n">
        <v>32.3711434429224</v>
      </c>
    </row>
    <row r="186">
      <c r="A186" t="inlineStr">
        <is>
          <t>VNM</t>
        </is>
      </c>
      <c r="B186" t="inlineStr">
        <is>
          <t>2012</t>
        </is>
      </c>
      <c r="C186" t="n">
        <v>30.5592897696566</v>
      </c>
    </row>
    <row r="187">
      <c r="A187" t="inlineStr">
        <is>
          <t>VNM</t>
        </is>
      </c>
      <c r="B187" t="inlineStr">
        <is>
          <t>2013</t>
        </is>
      </c>
      <c r="C187" t="n">
        <v>30.2129034609593</v>
      </c>
    </row>
    <row r="188">
      <c r="A188" t="inlineStr">
        <is>
          <t>VNM</t>
        </is>
      </c>
      <c r="B188" t="inlineStr">
        <is>
          <t>2014</t>
        </is>
      </c>
      <c r="C188" t="n">
        <v>30.2890267860991</v>
      </c>
    </row>
    <row r="189">
      <c r="A189" t="inlineStr">
        <is>
          <t>VNM</t>
        </is>
      </c>
      <c r="B189" t="inlineStr">
        <is>
          <t>2015</t>
        </is>
      </c>
      <c r="C189" t="n">
        <v>32.1089158178217</v>
      </c>
    </row>
    <row r="190">
      <c r="A190" t="inlineStr">
        <is>
          <t>VNM</t>
        </is>
      </c>
      <c r="B190" t="inlineStr">
        <is>
          <t>2016</t>
        </is>
      </c>
      <c r="C190" t="n">
        <v>31.7245390951042</v>
      </c>
    </row>
    <row r="191">
      <c r="A191" t="inlineStr">
        <is>
          <t>VNM</t>
        </is>
      </c>
      <c r="B191" t="inlineStr">
        <is>
          <t>2017</t>
        </is>
      </c>
      <c r="C191" t="n">
        <v>32.305300920099</v>
      </c>
    </row>
    <row r="192">
      <c r="A192" t="inlineStr">
        <is>
          <t>VNM</t>
        </is>
      </c>
      <c r="B192" t="inlineStr">
        <is>
          <t>2018</t>
        </is>
      </c>
      <c r="C192" t="n">
        <v>32.019502902433</v>
      </c>
    </row>
    <row r="193">
      <c r="A193" t="inlineStr">
        <is>
          <t>VNM</t>
        </is>
      </c>
      <c r="B193" t="inlineStr">
        <is>
          <t>2019</t>
        </is>
      </c>
      <c r="C193" t="n">
        <v>31.9799606565797</v>
      </c>
    </row>
    <row r="194">
      <c r="A194" t="inlineStr">
        <is>
          <t>VNM</t>
        </is>
      </c>
      <c r="B194" t="inlineStr">
        <is>
          <t>2020</t>
        </is>
      </c>
      <c r="C194" t="n">
        <v>31.915688393806</v>
      </c>
    </row>
    <row r="195">
      <c r="A195" t="inlineStr">
        <is>
          <t>VNM</t>
        </is>
      </c>
      <c r="B195" t="inlineStr">
        <is>
          <t>2021</t>
        </is>
      </c>
      <c r="C195" t="n">
        <v>32.8956023366901</v>
      </c>
    </row>
    <row r="196">
      <c r="A196" t="inlineStr">
        <is>
          <t>VNM</t>
        </is>
      </c>
      <c r="B196" t="inlineStr">
        <is>
          <t>2022</t>
        </is>
      </c>
      <c r="C196" t="n">
        <v>32.3404994444961</v>
      </c>
    </row>
    <row r="197">
      <c r="A197" t="inlineStr">
        <is>
          <t>VNM</t>
        </is>
      </c>
      <c r="B197" t="inlineStr">
        <is>
          <t>2023</t>
        </is>
      </c>
      <c r="C197" t="n">
        <v>31.6683495522758</v>
      </c>
    </row>
    <row r="198">
      <c r="A198" t="inlineStr">
        <is>
          <t>VNM</t>
        </is>
      </c>
      <c r="B198" t="inlineStr">
        <is>
          <t>2024</t>
        </is>
      </c>
      <c r="C198" t="n">
        <v>30.5847264337631</v>
      </c>
    </row>
    <row r="199">
      <c r="A199" t="inlineStr">
        <is>
          <t>VNM</t>
        </is>
      </c>
      <c r="B199" t="inlineStr">
        <is>
          <t>2025</t>
        </is>
      </c>
      <c r="C199" t="n">
        <v>30.7951346149846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NE.EXP.GNFS.CD</t>
        </is>
      </c>
    </row>
    <row r="2">
      <c r="A2" t="inlineStr">
        <is>
          <t>IND</t>
        </is>
      </c>
      <c r="B2" t="inlineStr">
        <is>
          <t>1960</t>
        </is>
      </c>
      <c r="C2" t="n">
        <v>1652701652.70165</v>
      </c>
    </row>
    <row r="3">
      <c r="A3" t="inlineStr">
        <is>
          <t>IND</t>
        </is>
      </c>
      <c r="B3" t="inlineStr">
        <is>
          <t>1961</t>
        </is>
      </c>
      <c r="C3" t="n">
        <v>1688401688.40169</v>
      </c>
    </row>
    <row r="4">
      <c r="A4" t="inlineStr">
        <is>
          <t>IND</t>
        </is>
      </c>
      <c r="B4" t="inlineStr">
        <is>
          <t>1962</t>
        </is>
      </c>
      <c r="C4" t="n">
        <v>1757701757.70176</v>
      </c>
    </row>
    <row r="5">
      <c r="A5" t="inlineStr">
        <is>
          <t>IND</t>
        </is>
      </c>
      <c r="B5" t="inlineStr">
        <is>
          <t>1963</t>
        </is>
      </c>
      <c r="C5" t="n">
        <v>2072702072.70207</v>
      </c>
    </row>
    <row r="6">
      <c r="A6" t="inlineStr">
        <is>
          <t>IND</t>
        </is>
      </c>
      <c r="B6" t="inlineStr">
        <is>
          <t>1964</t>
        </is>
      </c>
      <c r="C6" t="n">
        <v>2104202104.2021</v>
      </c>
    </row>
    <row r="7">
      <c r="A7" t="inlineStr">
        <is>
          <t>IND</t>
        </is>
      </c>
      <c r="B7" t="inlineStr">
        <is>
          <t>1965</t>
        </is>
      </c>
      <c r="C7" t="n">
        <v>1969801969.80197</v>
      </c>
    </row>
    <row r="8">
      <c r="A8" t="inlineStr">
        <is>
          <t>IND</t>
        </is>
      </c>
      <c r="B8" t="inlineStr">
        <is>
          <t>1966</t>
        </is>
      </c>
      <c r="C8" t="n">
        <v>1888225564.87049</v>
      </c>
    </row>
    <row r="9">
      <c r="A9" t="inlineStr">
        <is>
          <t>IND</t>
        </is>
      </c>
      <c r="B9" t="inlineStr">
        <is>
          <t>1967</t>
        </is>
      </c>
      <c r="C9" t="n">
        <v>2022666666.66667</v>
      </c>
    </row>
    <row r="10">
      <c r="A10" t="inlineStr">
        <is>
          <t>IND</t>
        </is>
      </c>
      <c r="B10" t="inlineStr">
        <is>
          <t>1968</t>
        </is>
      </c>
      <c r="C10" t="n">
        <v>2144000000</v>
      </c>
    </row>
    <row r="11">
      <c r="A11" t="inlineStr">
        <is>
          <t>IND</t>
        </is>
      </c>
      <c r="B11" t="inlineStr">
        <is>
          <t>1969</t>
        </is>
      </c>
      <c r="C11" t="n">
        <v>2170666666.66667</v>
      </c>
    </row>
    <row r="12">
      <c r="A12" t="inlineStr">
        <is>
          <t>IND</t>
        </is>
      </c>
      <c r="B12" t="inlineStr">
        <is>
          <t>1970</t>
        </is>
      </c>
      <c r="C12" t="n">
        <v>2361333333.33333</v>
      </c>
    </row>
    <row r="13">
      <c r="A13" t="inlineStr">
        <is>
          <t>IND</t>
        </is>
      </c>
      <c r="B13" t="inlineStr">
        <is>
          <t>1971</t>
        </is>
      </c>
      <c r="C13" t="n">
        <v>2469914214.15473</v>
      </c>
    </row>
    <row r="14">
      <c r="A14" t="inlineStr">
        <is>
          <t>IND</t>
        </is>
      </c>
      <c r="B14" t="inlineStr">
        <is>
          <t>1972</t>
        </is>
      </c>
      <c r="C14" t="n">
        <v>2878233145.16372</v>
      </c>
    </row>
    <row r="15">
      <c r="A15" t="inlineStr">
        <is>
          <t>IND</t>
        </is>
      </c>
      <c r="B15" t="inlineStr">
        <is>
          <t>1973</t>
        </is>
      </c>
      <c r="C15" t="n">
        <v>3599236351.42232</v>
      </c>
    </row>
    <row r="16">
      <c r="A16" t="inlineStr">
        <is>
          <t>IND</t>
        </is>
      </c>
      <c r="B16" t="inlineStr">
        <is>
          <t>1974</t>
        </is>
      </c>
      <c r="C16" t="n">
        <v>4808449429.90723</v>
      </c>
    </row>
    <row r="17">
      <c r="A17" t="inlineStr">
        <is>
          <t>IND</t>
        </is>
      </c>
      <c r="B17" t="inlineStr">
        <is>
          <t>1975</t>
        </is>
      </c>
      <c r="C17" t="n">
        <v>5560878503.24078</v>
      </c>
    </row>
    <row r="18">
      <c r="A18" t="inlineStr">
        <is>
          <t>IND</t>
        </is>
      </c>
      <c r="B18" t="inlineStr">
        <is>
          <t>1976</t>
        </is>
      </c>
      <c r="C18" t="n">
        <v>6868148772.67222</v>
      </c>
    </row>
    <row r="19">
      <c r="A19" t="inlineStr">
        <is>
          <t>IND</t>
        </is>
      </c>
      <c r="B19" t="inlineStr">
        <is>
          <t>1977</t>
        </is>
      </c>
      <c r="C19" t="n">
        <v>7754701053.93862</v>
      </c>
    </row>
    <row r="20">
      <c r="A20" t="inlineStr">
        <is>
          <t>IND</t>
        </is>
      </c>
      <c r="B20" t="inlineStr">
        <is>
          <t>1978</t>
        </is>
      </c>
      <c r="C20" t="n">
        <v>8670401540.12653</v>
      </c>
    </row>
    <row r="21">
      <c r="A21" t="inlineStr">
        <is>
          <t>IND</t>
        </is>
      </c>
      <c r="B21" t="inlineStr">
        <is>
          <t>1979</t>
        </is>
      </c>
      <c r="C21" t="n">
        <v>10326638765.7562</v>
      </c>
    </row>
    <row r="22">
      <c r="A22" t="inlineStr">
        <is>
          <t>IND</t>
        </is>
      </c>
      <c r="B22" t="inlineStr">
        <is>
          <t>1980</t>
        </is>
      </c>
      <c r="C22" t="n">
        <v>11439738400.0812</v>
      </c>
    </row>
    <row r="23">
      <c r="A23" t="inlineStr">
        <is>
          <t>IND</t>
        </is>
      </c>
      <c r="B23" t="inlineStr">
        <is>
          <t>1981</t>
        </is>
      </c>
      <c r="C23" t="n">
        <v>11485699151.0595</v>
      </c>
    </row>
    <row r="24">
      <c r="A24" t="inlineStr">
        <is>
          <t>IND</t>
        </is>
      </c>
      <c r="B24" t="inlineStr">
        <is>
          <t>1982</t>
        </is>
      </c>
      <c r="C24" t="n">
        <v>12009417676.7037</v>
      </c>
    </row>
    <row r="25">
      <c r="A25" t="inlineStr">
        <is>
          <t>IND</t>
        </is>
      </c>
      <c r="B25" t="inlineStr">
        <is>
          <t>1983</t>
        </is>
      </c>
      <c r="C25" t="n">
        <v>12741335281.0764</v>
      </c>
    </row>
    <row r="26">
      <c r="A26" t="inlineStr">
        <is>
          <t>IND</t>
        </is>
      </c>
      <c r="B26" t="inlineStr">
        <is>
          <t>1984</t>
        </is>
      </c>
      <c r="C26" t="n">
        <v>13330716432.207</v>
      </c>
    </row>
    <row r="27">
      <c r="A27" t="inlineStr">
        <is>
          <t>IND</t>
        </is>
      </c>
      <c r="B27" t="inlineStr">
        <is>
          <t>1985</t>
        </is>
      </c>
      <c r="C27" t="n">
        <v>12217447521.8095</v>
      </c>
    </row>
    <row r="28">
      <c r="A28" t="inlineStr">
        <is>
          <t>IND</t>
        </is>
      </c>
      <c r="B28" t="inlineStr">
        <is>
          <t>1986</t>
        </is>
      </c>
      <c r="C28" t="n">
        <v>12937864153.5995</v>
      </c>
    </row>
    <row r="29">
      <c r="A29" t="inlineStr">
        <is>
          <t>IND</t>
        </is>
      </c>
      <c r="B29" t="inlineStr">
        <is>
          <t>1987</t>
        </is>
      </c>
      <c r="C29" t="n">
        <v>15638662913.9839</v>
      </c>
    </row>
    <row r="30">
      <c r="A30" t="inlineStr">
        <is>
          <t>IND</t>
        </is>
      </c>
      <c r="B30" t="inlineStr">
        <is>
          <t>1988</t>
        </is>
      </c>
      <c r="C30" t="n">
        <v>17899838408.9376</v>
      </c>
    </row>
    <row r="31">
      <c r="A31" t="inlineStr">
        <is>
          <t>IND</t>
        </is>
      </c>
      <c r="B31" t="inlineStr">
        <is>
          <t>1989</t>
        </is>
      </c>
      <c r="C31" t="n">
        <v>20770696112.0947</v>
      </c>
    </row>
    <row r="32">
      <c r="A32" t="inlineStr">
        <is>
          <t>IND</t>
        </is>
      </c>
      <c r="B32" t="inlineStr">
        <is>
          <t>1990</t>
        </is>
      </c>
      <c r="C32" t="n">
        <v>22639774911.5525</v>
      </c>
    </row>
    <row r="33">
      <c r="A33" t="inlineStr">
        <is>
          <t>IND</t>
        </is>
      </c>
      <c r="B33" t="inlineStr">
        <is>
          <t>1991</t>
        </is>
      </c>
      <c r="C33" t="n">
        <v>22943398073.2995</v>
      </c>
    </row>
    <row r="34">
      <c r="A34" t="inlineStr">
        <is>
          <t>IND</t>
        </is>
      </c>
      <c r="B34" t="inlineStr">
        <is>
          <t>1992</t>
        </is>
      </c>
      <c r="C34" t="n">
        <v>25486029046.6975</v>
      </c>
    </row>
    <row r="35">
      <c r="A35" t="inlineStr">
        <is>
          <t>IND</t>
        </is>
      </c>
      <c r="B35" t="inlineStr">
        <is>
          <t>1993</t>
        </is>
      </c>
      <c r="C35" t="n">
        <v>27466541462.9135</v>
      </c>
    </row>
    <row r="36">
      <c r="A36" t="inlineStr">
        <is>
          <t>IND</t>
        </is>
      </c>
      <c r="B36" t="inlineStr">
        <is>
          <t>1994</t>
        </is>
      </c>
      <c r="C36" t="n">
        <v>32361214431.4321</v>
      </c>
    </row>
    <row r="37">
      <c r="A37" t="inlineStr">
        <is>
          <t>IND</t>
        </is>
      </c>
      <c r="B37" t="inlineStr">
        <is>
          <t>1995</t>
        </is>
      </c>
      <c r="C37" t="n">
        <v>39068855117.8518</v>
      </c>
    </row>
    <row r="38">
      <c r="A38" t="inlineStr">
        <is>
          <t>IND</t>
        </is>
      </c>
      <c r="B38" t="inlineStr">
        <is>
          <t>1996</t>
        </is>
      </c>
      <c r="C38" t="n">
        <v>40803004618.1754</v>
      </c>
    </row>
    <row r="39">
      <c r="A39" t="inlineStr">
        <is>
          <t>IND</t>
        </is>
      </c>
      <c r="B39" t="inlineStr">
        <is>
          <t>1997</t>
        </is>
      </c>
      <c r="C39" t="n">
        <v>44459225642.5392</v>
      </c>
    </row>
    <row r="40">
      <c r="A40" t="inlineStr">
        <is>
          <t>IND</t>
        </is>
      </c>
      <c r="B40" t="inlineStr">
        <is>
          <t>1998</t>
        </is>
      </c>
      <c r="C40" t="n">
        <v>46426465025.0477</v>
      </c>
    </row>
    <row r="41">
      <c r="A41" t="inlineStr">
        <is>
          <t>IND</t>
        </is>
      </c>
      <c r="B41" t="inlineStr">
        <is>
          <t>1999</t>
        </is>
      </c>
      <c r="C41" t="n">
        <v>52544483402.6936</v>
      </c>
    </row>
    <row r="42">
      <c r="A42" t="inlineStr">
        <is>
          <t>IND</t>
        </is>
      </c>
      <c r="B42" t="inlineStr">
        <is>
          <t>2000</t>
        </is>
      </c>
      <c r="C42" t="n">
        <v>60878472821.2004</v>
      </c>
    </row>
    <row r="43">
      <c r="A43" t="inlineStr">
        <is>
          <t>IND</t>
        </is>
      </c>
      <c r="B43" t="inlineStr">
        <is>
          <t>2001</t>
        </is>
      </c>
      <c r="C43" t="n">
        <v>60963415576.6447</v>
      </c>
    </row>
    <row r="44">
      <c r="A44" t="inlineStr">
        <is>
          <t>IND</t>
        </is>
      </c>
      <c r="B44" t="inlineStr">
        <is>
          <t>2002</t>
        </is>
      </c>
      <c r="C44" t="n">
        <v>73452895951.6331</v>
      </c>
    </row>
    <row r="45">
      <c r="A45" t="inlineStr">
        <is>
          <t>IND</t>
        </is>
      </c>
      <c r="B45" t="inlineStr">
        <is>
          <t>2003</t>
        </is>
      </c>
      <c r="C45" t="n">
        <v>90838575243.7621</v>
      </c>
    </row>
    <row r="46">
      <c r="A46" t="inlineStr">
        <is>
          <t>IND</t>
        </is>
      </c>
      <c r="B46" t="inlineStr">
        <is>
          <t>2004</t>
        </is>
      </c>
      <c r="C46" t="n">
        <v>126648472020.752</v>
      </c>
    </row>
    <row r="47">
      <c r="A47" t="inlineStr">
        <is>
          <t>IND</t>
        </is>
      </c>
      <c r="B47" t="inlineStr">
        <is>
          <t>2005</t>
        </is>
      </c>
      <c r="C47" t="n">
        <v>160838260680.778</v>
      </c>
    </row>
    <row r="48">
      <c r="A48" t="inlineStr">
        <is>
          <t>IND</t>
        </is>
      </c>
      <c r="B48" t="inlineStr">
        <is>
          <t>2006</t>
        </is>
      </c>
      <c r="C48" t="n">
        <v>199973922363.783</v>
      </c>
    </row>
    <row r="49">
      <c r="A49" t="inlineStr">
        <is>
          <t>IND</t>
        </is>
      </c>
      <c r="B49" t="inlineStr">
        <is>
          <t>2007</t>
        </is>
      </c>
      <c r="C49" t="n">
        <v>253077526013.168</v>
      </c>
    </row>
    <row r="50">
      <c r="A50" t="inlineStr">
        <is>
          <t>IND</t>
        </is>
      </c>
      <c r="B50" t="inlineStr">
        <is>
          <t>2008</t>
        </is>
      </c>
      <c r="C50" t="n">
        <v>288902044820.698</v>
      </c>
    </row>
    <row r="51">
      <c r="A51" t="inlineStr">
        <is>
          <t>IND</t>
        </is>
      </c>
      <c r="B51" t="inlineStr">
        <is>
          <t>2009</t>
        </is>
      </c>
      <c r="C51" t="n">
        <v>273752124889.211</v>
      </c>
    </row>
    <row r="52">
      <c r="A52" t="inlineStr">
        <is>
          <t>IND</t>
        </is>
      </c>
      <c r="B52" t="inlineStr">
        <is>
          <t>2010</t>
        </is>
      </c>
      <c r="C52" t="n">
        <v>375353514026.267</v>
      </c>
    </row>
    <row r="53">
      <c r="A53" t="inlineStr">
        <is>
          <t>IND</t>
        </is>
      </c>
      <c r="B53" t="inlineStr">
        <is>
          <t>2011</t>
        </is>
      </c>
      <c r="C53" t="n">
        <v>447384417625.093</v>
      </c>
    </row>
    <row r="54">
      <c r="A54" t="inlineStr">
        <is>
          <t>IND</t>
        </is>
      </c>
      <c r="B54" t="inlineStr">
        <is>
          <t>2012</t>
        </is>
      </c>
      <c r="C54" t="n">
        <v>448400477361.254</v>
      </c>
    </row>
    <row r="55">
      <c r="A55" t="inlineStr">
        <is>
          <t>IND</t>
        </is>
      </c>
      <c r="B55" t="inlineStr">
        <is>
          <t>2013</t>
        </is>
      </c>
      <c r="C55" t="n">
        <v>472180271340.149</v>
      </c>
    </row>
    <row r="56">
      <c r="A56" t="inlineStr">
        <is>
          <t>IND</t>
        </is>
      </c>
      <c r="B56" t="inlineStr">
        <is>
          <t>2014</t>
        </is>
      </c>
      <c r="C56" t="n">
        <v>468345815420.933</v>
      </c>
    </row>
    <row r="57">
      <c r="A57" t="inlineStr">
        <is>
          <t>IND</t>
        </is>
      </c>
      <c r="B57" t="inlineStr">
        <is>
          <t>2015</t>
        </is>
      </c>
      <c r="C57" t="n">
        <v>416787940847.812</v>
      </c>
    </row>
    <row r="58">
      <c r="A58" t="inlineStr">
        <is>
          <t>IND</t>
        </is>
      </c>
      <c r="B58" t="inlineStr">
        <is>
          <t>2016</t>
        </is>
      </c>
      <c r="C58" t="n">
        <v>439642578076.358</v>
      </c>
    </row>
    <row r="59">
      <c r="A59" t="inlineStr">
        <is>
          <t>IND</t>
        </is>
      </c>
      <c r="B59" t="inlineStr">
        <is>
          <t>2017</t>
        </is>
      </c>
      <c r="C59" t="n">
        <v>498258808231.521</v>
      </c>
    </row>
    <row r="60">
      <c r="A60" t="inlineStr">
        <is>
          <t>IND</t>
        </is>
      </c>
      <c r="B60" t="inlineStr">
        <is>
          <t>2018</t>
        </is>
      </c>
      <c r="C60" t="n">
        <v>538635186135.438</v>
      </c>
    </row>
    <row r="61">
      <c r="A61" t="inlineStr">
        <is>
          <t>IND</t>
        </is>
      </c>
      <c r="B61" t="inlineStr">
        <is>
          <t>2019</t>
        </is>
      </c>
      <c r="C61" t="n">
        <v>529245063167.215</v>
      </c>
    </row>
    <row r="62">
      <c r="A62" t="inlineStr">
        <is>
          <t>IND</t>
        </is>
      </c>
      <c r="B62" t="inlineStr">
        <is>
          <t>2020</t>
        </is>
      </c>
      <c r="C62" t="n">
        <v>499728529072.629</v>
      </c>
    </row>
    <row r="63">
      <c r="A63" t="inlineStr">
        <is>
          <t>IND</t>
        </is>
      </c>
      <c r="B63" t="inlineStr">
        <is>
          <t>2021</t>
        </is>
      </c>
      <c r="C63" t="n">
        <v>677769255428.552</v>
      </c>
    </row>
    <row r="64">
      <c r="A64" t="inlineStr">
        <is>
          <t>IND</t>
        </is>
      </c>
      <c r="B64" t="inlineStr">
        <is>
          <t>2022</t>
        </is>
      </c>
      <c r="C64" t="n">
        <v>781290791563.827</v>
      </c>
    </row>
    <row r="65">
      <c r="A65" t="inlineStr">
        <is>
          <t>IND</t>
        </is>
      </c>
      <c r="B65" t="inlineStr">
        <is>
          <t>2023</t>
        </is>
      </c>
      <c r="C65" t="n">
        <v>782620610192.051</v>
      </c>
    </row>
    <row r="66">
      <c r="A66" t="inlineStr">
        <is>
          <t>IND</t>
        </is>
      </c>
      <c r="B66" t="inlineStr">
        <is>
          <t>2024</t>
        </is>
      </c>
      <c r="C66" t="n">
        <v>829785193474.459</v>
      </c>
    </row>
    <row r="67">
      <c r="A67" t="inlineStr">
        <is>
          <t>IND</t>
        </is>
      </c>
      <c r="B67" t="inlineStr">
        <is>
          <t>2025</t>
        </is>
      </c>
      <c r="C67" t="n">
        <v>880740846621.545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6543358555.12586</v>
      </c>
    </row>
    <row r="90">
      <c r="A90" t="inlineStr">
        <is>
          <t>PHL</t>
        </is>
      </c>
      <c r="B90" t="inlineStr">
        <is>
          <t>1982</t>
        </is>
      </c>
      <c r="C90" t="n">
        <v>5854443596.01874</v>
      </c>
    </row>
    <row r="91">
      <c r="A91" t="inlineStr">
        <is>
          <t>PHL</t>
        </is>
      </c>
      <c r="B91" t="inlineStr">
        <is>
          <t>1983</t>
        </is>
      </c>
      <c r="C91" t="n">
        <v>5554591564.78114</v>
      </c>
    </row>
    <row r="92">
      <c r="A92" t="inlineStr">
        <is>
          <t>PHL</t>
        </is>
      </c>
      <c r="B92" t="inlineStr">
        <is>
          <t>1984</t>
        </is>
      </c>
      <c r="C92" t="n">
        <v>6053575750.89043</v>
      </c>
    </row>
    <row r="93">
      <c r="A93" t="inlineStr">
        <is>
          <t>PHL</t>
        </is>
      </c>
      <c r="B93" t="inlineStr">
        <is>
          <t>1985</t>
        </is>
      </c>
      <c r="C93" t="n">
        <v>5951187302.3025</v>
      </c>
    </row>
    <row r="94">
      <c r="A94" t="inlineStr">
        <is>
          <t>PHL</t>
        </is>
      </c>
      <c r="B94" t="inlineStr">
        <is>
          <t>1986</t>
        </is>
      </c>
      <c r="C94" t="n">
        <v>6310106781.80368</v>
      </c>
    </row>
    <row r="95">
      <c r="A95" t="inlineStr">
        <is>
          <t>PHL</t>
        </is>
      </c>
      <c r="B95" t="inlineStr">
        <is>
          <t>1987</t>
        </is>
      </c>
      <c r="C95" t="n">
        <v>7007121196.73225</v>
      </c>
    </row>
    <row r="96">
      <c r="A96" t="inlineStr">
        <is>
          <t>PHL</t>
        </is>
      </c>
      <c r="B96" t="inlineStr">
        <is>
          <t>1988</t>
        </is>
      </c>
      <c r="C96" t="n">
        <v>8630151222.99822</v>
      </c>
    </row>
    <row r="97">
      <c r="A97" t="inlineStr">
        <is>
          <t>PHL</t>
        </is>
      </c>
      <c r="B97" t="inlineStr">
        <is>
          <t>1989</t>
        </is>
      </c>
      <c r="C97" t="n">
        <v>9576565364.64188</v>
      </c>
    </row>
    <row r="98">
      <c r="A98" t="inlineStr">
        <is>
          <t>PHL</t>
        </is>
      </c>
      <c r="B98" t="inlineStr">
        <is>
          <t>1990</t>
        </is>
      </c>
      <c r="C98" t="n">
        <v>9795179683.675779</v>
      </c>
    </row>
    <row r="99">
      <c r="A99" t="inlineStr">
        <is>
          <t>PHL</t>
        </is>
      </c>
      <c r="B99" t="inlineStr">
        <is>
          <t>1991</t>
        </is>
      </c>
      <c r="C99" t="n">
        <v>10856619093.8246</v>
      </c>
    </row>
    <row r="100">
      <c r="A100" t="inlineStr">
        <is>
          <t>PHL</t>
        </is>
      </c>
      <c r="B100" t="inlineStr">
        <is>
          <t>1992</t>
        </is>
      </c>
      <c r="C100" t="n">
        <v>12555557116.8822</v>
      </c>
    </row>
    <row r="101">
      <c r="A101" t="inlineStr">
        <is>
          <t>PHL</t>
        </is>
      </c>
      <c r="B101" t="inlineStr">
        <is>
          <t>1993</t>
        </is>
      </c>
      <c r="C101" t="n">
        <v>13836087972.0464</v>
      </c>
    </row>
    <row r="102">
      <c r="A102" t="inlineStr">
        <is>
          <t>PHL</t>
        </is>
      </c>
      <c r="B102" t="inlineStr">
        <is>
          <t>1994</t>
        </is>
      </c>
      <c r="C102" t="n">
        <v>17613597498.9294</v>
      </c>
    </row>
    <row r="103">
      <c r="A103" t="inlineStr">
        <is>
          <t>PHL</t>
        </is>
      </c>
      <c r="B103" t="inlineStr">
        <is>
          <t>1995</t>
        </is>
      </c>
      <c r="C103" t="n">
        <v>21961852796.7156</v>
      </c>
    </row>
    <row r="104">
      <c r="A104" t="inlineStr">
        <is>
          <t>PHL</t>
        </is>
      </c>
      <c r="B104" t="inlineStr">
        <is>
          <t>1996</t>
        </is>
      </c>
      <c r="C104" t="n">
        <v>27340728434.0539</v>
      </c>
    </row>
    <row r="105">
      <c r="A105" t="inlineStr">
        <is>
          <t>PHL</t>
        </is>
      </c>
      <c r="B105" t="inlineStr">
        <is>
          <t>1997</t>
        </is>
      </c>
      <c r="C105" t="n">
        <v>33018279727.5853</v>
      </c>
    </row>
    <row r="106">
      <c r="A106" t="inlineStr">
        <is>
          <t>PHL</t>
        </is>
      </c>
      <c r="B106" t="inlineStr">
        <is>
          <t>1998</t>
        </is>
      </c>
      <c r="C106" t="n">
        <v>28163249808.9529</v>
      </c>
    </row>
    <row r="107">
      <c r="A107" t="inlineStr">
        <is>
          <t>PHL</t>
        </is>
      </c>
      <c r="B107" t="inlineStr">
        <is>
          <t>1999</t>
        </is>
      </c>
      <c r="C107" t="n">
        <v>32895382041.5333</v>
      </c>
    </row>
    <row r="108">
      <c r="A108" t="inlineStr">
        <is>
          <t>PHL</t>
        </is>
      </c>
      <c r="B108" t="inlineStr">
        <is>
          <t>2000</t>
        </is>
      </c>
      <c r="C108" t="n">
        <v>36266016498.3679</v>
      </c>
    </row>
    <row r="109">
      <c r="A109" t="inlineStr">
        <is>
          <t>PHL</t>
        </is>
      </c>
      <c r="B109" t="inlineStr">
        <is>
          <t>2001</t>
        </is>
      </c>
      <c r="C109" t="n">
        <v>32480429836.8783</v>
      </c>
    </row>
    <row r="110">
      <c r="A110" t="inlineStr">
        <is>
          <t>PHL</t>
        </is>
      </c>
      <c r="B110" t="inlineStr">
        <is>
          <t>2002</t>
        </is>
      </c>
      <c r="C110" t="n">
        <v>33727726965.0759</v>
      </c>
    </row>
    <row r="111">
      <c r="A111" t="inlineStr">
        <is>
          <t>PHL</t>
        </is>
      </c>
      <c r="B111" t="inlineStr">
        <is>
          <t>2003</t>
        </is>
      </c>
      <c r="C111" t="n">
        <v>36821904272.9347</v>
      </c>
    </row>
    <row r="112">
      <c r="A112" t="inlineStr">
        <is>
          <t>PHL</t>
        </is>
      </c>
      <c r="B112" t="inlineStr">
        <is>
          <t>2004</t>
        </is>
      </c>
      <c r="C112" t="n">
        <v>39736335346.4638</v>
      </c>
    </row>
    <row r="113">
      <c r="A113" t="inlineStr">
        <is>
          <t>PHL</t>
        </is>
      </c>
      <c r="B113" t="inlineStr">
        <is>
          <t>2005</t>
        </is>
      </c>
      <c r="C113" t="n">
        <v>44289298773.9857</v>
      </c>
    </row>
    <row r="114">
      <c r="A114" t="inlineStr">
        <is>
          <t>PHL</t>
        </is>
      </c>
      <c r="B114" t="inlineStr">
        <is>
          <t>2006</t>
        </is>
      </c>
      <c r="C114" t="n">
        <v>52651035880.407</v>
      </c>
    </row>
    <row r="115">
      <c r="A115" t="inlineStr">
        <is>
          <t>PHL</t>
        </is>
      </c>
      <c r="B115" t="inlineStr">
        <is>
          <t>2007</t>
        </is>
      </c>
      <c r="C115" t="n">
        <v>59294683203.5813</v>
      </c>
    </row>
    <row r="116">
      <c r="A116" t="inlineStr">
        <is>
          <t>PHL</t>
        </is>
      </c>
      <c r="B116" t="inlineStr">
        <is>
          <t>2008</t>
        </is>
      </c>
      <c r="C116" t="n">
        <v>60584223733.5822</v>
      </c>
    </row>
    <row r="117">
      <c r="A117" t="inlineStr">
        <is>
          <t>PHL</t>
        </is>
      </c>
      <c r="B117" t="inlineStr">
        <is>
          <t>2009</t>
        </is>
      </c>
      <c r="C117" t="n">
        <v>53178736402.3859</v>
      </c>
    </row>
    <row r="118">
      <c r="A118" t="inlineStr">
        <is>
          <t>PHL</t>
        </is>
      </c>
      <c r="B118" t="inlineStr">
        <is>
          <t>2010</t>
        </is>
      </c>
      <c r="C118" t="n">
        <v>68500918811.9867</v>
      </c>
    </row>
    <row r="119">
      <c r="A119" t="inlineStr">
        <is>
          <t>PHL</t>
        </is>
      </c>
      <c r="B119" t="inlineStr">
        <is>
          <t>2011</t>
        </is>
      </c>
      <c r="C119" t="n">
        <v>68169783855.6464</v>
      </c>
    </row>
    <row r="120">
      <c r="A120" t="inlineStr">
        <is>
          <t>PHL</t>
        </is>
      </c>
      <c r="B120" t="inlineStr">
        <is>
          <t>2012</t>
        </is>
      </c>
      <c r="C120" t="n">
        <v>71941908434.7541</v>
      </c>
    </row>
    <row r="121">
      <c r="A121" t="inlineStr">
        <is>
          <t>PHL</t>
        </is>
      </c>
      <c r="B121" t="inlineStr">
        <is>
          <t>2013</t>
        </is>
      </c>
      <c r="C121" t="n">
        <v>74318435289.2963</v>
      </c>
    </row>
    <row r="122">
      <c r="A122" t="inlineStr">
        <is>
          <t>PHL</t>
        </is>
      </c>
      <c r="B122" t="inlineStr">
        <is>
          <t>2014</t>
        </is>
      </c>
      <c r="C122" t="n">
        <v>81375151612.2683</v>
      </c>
    </row>
    <row r="123">
      <c r="A123" t="inlineStr">
        <is>
          <t>PHL</t>
        </is>
      </c>
      <c r="B123" t="inlineStr">
        <is>
          <t>2015</t>
        </is>
      </c>
      <c r="C123" t="n">
        <v>83377968054.3017</v>
      </c>
    </row>
    <row r="124">
      <c r="A124" t="inlineStr">
        <is>
          <t>PHL</t>
        </is>
      </c>
      <c r="B124" t="inlineStr">
        <is>
          <t>2016</t>
        </is>
      </c>
      <c r="C124" t="n">
        <v>84987391167.9967</v>
      </c>
    </row>
    <row r="125">
      <c r="A125" t="inlineStr">
        <is>
          <t>PHL</t>
        </is>
      </c>
      <c r="B125" t="inlineStr">
        <is>
          <t>2017</t>
        </is>
      </c>
      <c r="C125" t="n">
        <v>97073582741.5119</v>
      </c>
    </row>
    <row r="126">
      <c r="A126" t="inlineStr">
        <is>
          <t>PHL</t>
        </is>
      </c>
      <c r="B126" t="inlineStr">
        <is>
          <t>2018</t>
        </is>
      </c>
      <c r="C126" t="n">
        <v>104793441904.255</v>
      </c>
    </row>
    <row r="127">
      <c r="A127" t="inlineStr">
        <is>
          <t>PHL</t>
        </is>
      </c>
      <c r="B127" t="inlineStr">
        <is>
          <t>2019</t>
        </is>
      </c>
      <c r="C127" t="n">
        <v>106953484846.44</v>
      </c>
    </row>
    <row r="128">
      <c r="A128" t="inlineStr">
        <is>
          <t>PHL</t>
        </is>
      </c>
      <c r="B128" t="inlineStr">
        <is>
          <t>2020</t>
        </is>
      </c>
      <c r="C128" t="n">
        <v>91171559890.9852</v>
      </c>
    </row>
    <row r="129">
      <c r="A129" t="inlineStr">
        <is>
          <t>PHL</t>
        </is>
      </c>
      <c r="B129" t="inlineStr">
        <is>
          <t>2021</t>
        </is>
      </c>
      <c r="C129" t="n">
        <v>101485514507.701</v>
      </c>
    </row>
    <row r="130">
      <c r="A130" t="inlineStr">
        <is>
          <t>PHL</t>
        </is>
      </c>
      <c r="B130" t="inlineStr">
        <is>
          <t>2022</t>
        </is>
      </c>
      <c r="C130" t="n">
        <v>114785414693.615</v>
      </c>
    </row>
    <row r="131">
      <c r="A131" t="inlineStr">
        <is>
          <t>PHL</t>
        </is>
      </c>
      <c r="B131" t="inlineStr">
        <is>
          <t>2023</t>
        </is>
      </c>
      <c r="C131" t="n">
        <v>116417848992.129</v>
      </c>
    </row>
    <row r="132">
      <c r="A132" t="inlineStr">
        <is>
          <t>PHL</t>
        </is>
      </c>
      <c r="B132" t="inlineStr">
        <is>
          <t>2024</t>
        </is>
      </c>
      <c r="C132" t="n">
        <v>118820216615.131</v>
      </c>
    </row>
    <row r="133">
      <c r="A133" t="inlineStr">
        <is>
          <t>PHL</t>
        </is>
      </c>
      <c r="B133" t="inlineStr">
        <is>
          <t>2025</t>
        </is>
      </c>
      <c r="C133" t="n">
        <v>129323001566.143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  <c r="C160" t="n">
        <v>1744152761.16778</v>
      </c>
    </row>
    <row r="161">
      <c r="A161" t="inlineStr">
        <is>
          <t>VNM</t>
        </is>
      </c>
      <c r="B161" t="inlineStr">
        <is>
          <t>1987</t>
        </is>
      </c>
      <c r="C161" t="n">
        <v>2200010145.48288</v>
      </c>
    </row>
    <row r="162">
      <c r="A162" t="inlineStr">
        <is>
          <t>VNM</t>
        </is>
      </c>
      <c r="B162" t="inlineStr">
        <is>
          <t>1988</t>
        </is>
      </c>
      <c r="C162" t="n">
        <v>1003045229.32543</v>
      </c>
    </row>
    <row r="163">
      <c r="A163" t="inlineStr">
        <is>
          <t>VNM</t>
        </is>
      </c>
      <c r="B163" t="inlineStr">
        <is>
          <t>1989</t>
        </is>
      </c>
      <c r="C163" t="n">
        <v>1500912820.21919</v>
      </c>
    </row>
    <row r="164">
      <c r="A164" t="inlineStr">
        <is>
          <t>VNM</t>
        </is>
      </c>
      <c r="B164" t="inlineStr">
        <is>
          <t>1990</t>
        </is>
      </c>
      <c r="C164" t="n">
        <v>2332325664.6457</v>
      </c>
    </row>
    <row r="165">
      <c r="A165" t="inlineStr">
        <is>
          <t>VNM</t>
        </is>
      </c>
      <c r="B165" t="inlineStr">
        <is>
          <t>1991</t>
        </is>
      </c>
      <c r="C165" t="n">
        <v>2971976968.94483</v>
      </c>
    </row>
    <row r="166">
      <c r="A166" t="inlineStr">
        <is>
          <t>VNM</t>
        </is>
      </c>
      <c r="B166" t="inlineStr">
        <is>
          <t>1992</t>
        </is>
      </c>
      <c r="C166" t="n">
        <v>3428344546.99355</v>
      </c>
    </row>
    <row r="167">
      <c r="A167" t="inlineStr">
        <is>
          <t>VNM</t>
        </is>
      </c>
      <c r="B167" t="inlineStr">
        <is>
          <t>1993</t>
        </is>
      </c>
      <c r="C167" t="n">
        <v>3785936655.43334</v>
      </c>
    </row>
    <row r="168">
      <c r="A168" t="inlineStr">
        <is>
          <t>VNM</t>
        </is>
      </c>
      <c r="B168" t="inlineStr">
        <is>
          <t>1994</t>
        </is>
      </c>
      <c r="C168" t="n">
        <v>5539525589.2744</v>
      </c>
    </row>
    <row r="169">
      <c r="A169" t="inlineStr">
        <is>
          <t>VNM</t>
        </is>
      </c>
      <c r="B169" t="inlineStr">
        <is>
          <t>1995</t>
        </is>
      </c>
      <c r="C169" t="n">
        <v>6804127645.72674</v>
      </c>
    </row>
    <row r="170">
      <c r="A170" t="inlineStr">
        <is>
          <t>VNM</t>
        </is>
      </c>
      <c r="B170" t="inlineStr">
        <is>
          <t>1996</t>
        </is>
      </c>
      <c r="C170" t="n">
        <v>10077135261.0313</v>
      </c>
    </row>
    <row r="171">
      <c r="A171" t="inlineStr">
        <is>
          <t>VNM</t>
        </is>
      </c>
      <c r="B171" t="inlineStr">
        <is>
          <t>1997</t>
        </is>
      </c>
      <c r="C171" t="n">
        <v>11570361482.9776</v>
      </c>
    </row>
    <row r="172">
      <c r="A172" t="inlineStr">
        <is>
          <t>VNM</t>
        </is>
      </c>
      <c r="B172" t="inlineStr">
        <is>
          <t>1998</t>
        </is>
      </c>
      <c r="C172" t="n">
        <v>12203044874.8869</v>
      </c>
    </row>
    <row r="173">
      <c r="A173" t="inlineStr">
        <is>
          <t>VNM</t>
        </is>
      </c>
      <c r="B173" t="inlineStr">
        <is>
          <t>1999</t>
        </is>
      </c>
      <c r="C173" t="n">
        <v>14332147613.4295</v>
      </c>
    </row>
    <row r="174">
      <c r="A174" t="inlineStr">
        <is>
          <t>VNM</t>
        </is>
      </c>
      <c r="B174" t="inlineStr">
        <is>
          <t>2000</t>
        </is>
      </c>
      <c r="C174" t="n">
        <v>16808688578.4482</v>
      </c>
    </row>
    <row r="175">
      <c r="A175" t="inlineStr">
        <is>
          <t>VNM</t>
        </is>
      </c>
      <c r="B175" t="inlineStr">
        <is>
          <t>2001</t>
        </is>
      </c>
      <c r="C175" t="n">
        <v>17997102361.0826</v>
      </c>
    </row>
    <row r="176">
      <c r="A176" t="inlineStr">
        <is>
          <t>VNM</t>
        </is>
      </c>
      <c r="B176" t="inlineStr">
        <is>
          <t>2002</t>
        </is>
      </c>
      <c r="C176" t="n">
        <v>19193787586.6357</v>
      </c>
    </row>
    <row r="177">
      <c r="A177" t="inlineStr">
        <is>
          <t>VNM</t>
        </is>
      </c>
      <c r="B177" t="inlineStr">
        <is>
          <t>2003</t>
        </is>
      </c>
      <c r="C177" t="n">
        <v>22415697835.6912</v>
      </c>
    </row>
    <row r="178">
      <c r="A178" t="inlineStr">
        <is>
          <t>VNM</t>
        </is>
      </c>
      <c r="B178" t="inlineStr">
        <is>
          <t>2004</t>
        </is>
      </c>
      <c r="C178" t="n">
        <v>27134530700.4954</v>
      </c>
    </row>
    <row r="179">
      <c r="A179" t="inlineStr">
        <is>
          <t>VNM</t>
        </is>
      </c>
      <c r="B179" t="inlineStr">
        <is>
          <t>2005</t>
        </is>
      </c>
      <c r="C179" t="n">
        <v>36712091514.5168</v>
      </c>
    </row>
    <row r="180">
      <c r="A180" t="inlineStr">
        <is>
          <t>VNM</t>
        </is>
      </c>
      <c r="B180" t="inlineStr">
        <is>
          <t>2006</t>
        </is>
      </c>
      <c r="C180" t="n">
        <v>44944777029.2449</v>
      </c>
    </row>
    <row r="181">
      <c r="A181" t="inlineStr">
        <is>
          <t>VNM</t>
        </is>
      </c>
      <c r="B181" t="inlineStr">
        <is>
          <t>2007</t>
        </is>
      </c>
      <c r="C181" t="n">
        <v>54591007520.8979</v>
      </c>
    </row>
    <row r="182">
      <c r="A182" t="inlineStr">
        <is>
          <t>VNM</t>
        </is>
      </c>
      <c r="B182" t="inlineStr">
        <is>
          <t>2008</t>
        </is>
      </c>
      <c r="C182" t="n">
        <v>69724976613.65759</v>
      </c>
    </row>
    <row r="183">
      <c r="A183" t="inlineStr">
        <is>
          <t>VNM</t>
        </is>
      </c>
      <c r="B183" t="inlineStr">
        <is>
          <t>2009</t>
        </is>
      </c>
      <c r="C183" t="n">
        <v>66374595300.6651</v>
      </c>
    </row>
    <row r="184">
      <c r="A184" t="inlineStr">
        <is>
          <t>VNM</t>
        </is>
      </c>
      <c r="B184" t="inlineStr">
        <is>
          <t>2010</t>
        </is>
      </c>
      <c r="C184" t="n">
        <v>79747480852.5934</v>
      </c>
    </row>
    <row r="185">
      <c r="A185" t="inlineStr">
        <is>
          <t>VNM</t>
        </is>
      </c>
      <c r="B185" t="inlineStr">
        <is>
          <t>2011</t>
        </is>
      </c>
      <c r="C185" t="n">
        <v>105593919857.799</v>
      </c>
    </row>
    <row r="186">
      <c r="A186" t="inlineStr">
        <is>
          <t>VNM</t>
        </is>
      </c>
      <c r="B186" t="inlineStr">
        <is>
          <t>2012</t>
        </is>
      </c>
      <c r="C186" t="n">
        <v>124149069364.149</v>
      </c>
    </row>
    <row r="187">
      <c r="A187" t="inlineStr">
        <is>
          <t>VNM</t>
        </is>
      </c>
      <c r="B187" t="inlineStr">
        <is>
          <t>2013</t>
        </is>
      </c>
      <c r="C187" t="n">
        <v>142758439316.46</v>
      </c>
    </row>
    <row r="188">
      <c r="A188" t="inlineStr">
        <is>
          <t>VNM</t>
        </is>
      </c>
      <c r="B188" t="inlineStr">
        <is>
          <t>2014</t>
        </is>
      </c>
      <c r="C188" t="n">
        <v>162478898406.019</v>
      </c>
    </row>
    <row r="189">
      <c r="A189" t="inlineStr">
        <is>
          <t>VNM</t>
        </is>
      </c>
      <c r="B189" t="inlineStr">
        <is>
          <t>2015</t>
        </is>
      </c>
      <c r="C189" t="n">
        <v>174473996313.379</v>
      </c>
    </row>
    <row r="190">
      <c r="A190" t="inlineStr">
        <is>
          <t>VNM</t>
        </is>
      </c>
      <c r="B190" t="inlineStr">
        <is>
          <t>2016</t>
        </is>
      </c>
      <c r="C190" t="n">
        <v>190526869544.715</v>
      </c>
    </row>
    <row r="191">
      <c r="A191" t="inlineStr">
        <is>
          <t>VNM</t>
        </is>
      </c>
      <c r="B191" t="inlineStr">
        <is>
          <t>2017</t>
        </is>
      </c>
      <c r="C191" t="n">
        <v>230041803530.193</v>
      </c>
    </row>
    <row r="192">
      <c r="A192" t="inlineStr">
        <is>
          <t>VNM</t>
        </is>
      </c>
      <c r="B192" t="inlineStr">
        <is>
          <t>2018</t>
        </is>
      </c>
      <c r="C192" t="n">
        <v>261802606599.096</v>
      </c>
    </row>
    <row r="193">
      <c r="A193" t="inlineStr">
        <is>
          <t>VNM</t>
        </is>
      </c>
      <c r="B193" t="inlineStr">
        <is>
          <t>2019</t>
        </is>
      </c>
      <c r="C193" t="n">
        <v>284737397482.992</v>
      </c>
    </row>
    <row r="194">
      <c r="A194" t="inlineStr">
        <is>
          <t>VNM</t>
        </is>
      </c>
      <c r="B194" t="inlineStr">
        <is>
          <t>2020</t>
        </is>
      </c>
      <c r="C194" t="n">
        <v>292479899128.741</v>
      </c>
    </row>
    <row r="195">
      <c r="A195" t="inlineStr">
        <is>
          <t>VNM</t>
        </is>
      </c>
      <c r="B195" t="inlineStr">
        <is>
          <t>2021</t>
        </is>
      </c>
      <c r="C195" t="n">
        <v>343937314545.796</v>
      </c>
    </row>
    <row r="196">
      <c r="A196" t="inlineStr">
        <is>
          <t>VNM</t>
        </is>
      </c>
      <c r="B196" t="inlineStr">
        <is>
          <t>2022</t>
        </is>
      </c>
      <c r="C196" t="n">
        <v>386241068014.827</v>
      </c>
    </row>
    <row r="197">
      <c r="A197" t="inlineStr">
        <is>
          <t>VNM</t>
        </is>
      </c>
      <c r="B197" t="inlineStr">
        <is>
          <t>2023</t>
        </is>
      </c>
      <c r="C197" t="n">
        <v>376268017649.38</v>
      </c>
    </row>
    <row r="198">
      <c r="A198" t="inlineStr">
        <is>
          <t>VNM</t>
        </is>
      </c>
      <c r="B198" t="inlineStr">
        <is>
          <t>2024</t>
        </is>
      </c>
      <c r="C198" t="n">
        <v>429484097216.943</v>
      </c>
    </row>
    <row r="199">
      <c r="A199" t="inlineStr">
        <is>
          <t>VNM</t>
        </is>
      </c>
      <c r="B199" t="inlineStr">
        <is>
          <t>2025</t>
        </is>
      </c>
      <c r="C199" t="n">
        <v>505661231330.217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NE.EXP.GNFS.ZS</t>
        </is>
      </c>
    </row>
    <row r="2">
      <c r="A2" t="inlineStr">
        <is>
          <t>IND</t>
        </is>
      </c>
      <c r="B2" t="inlineStr">
        <is>
          <t>1960</t>
        </is>
      </c>
      <c r="C2" t="n">
        <v>4.46315645554752</v>
      </c>
    </row>
    <row r="3">
      <c r="A3" t="inlineStr">
        <is>
          <t>IND</t>
        </is>
      </c>
      <c r="B3" t="inlineStr">
        <is>
          <t>1961</t>
        </is>
      </c>
      <c r="C3" t="n">
        <v>4.30358618999823</v>
      </c>
    </row>
    <row r="4">
      <c r="A4" t="inlineStr">
        <is>
          <t>IND</t>
        </is>
      </c>
      <c r="B4" t="inlineStr">
        <is>
          <t>1962</t>
        </is>
      </c>
      <c r="C4" t="n">
        <v>4.16897528321772</v>
      </c>
    </row>
    <row r="5">
      <c r="A5" t="inlineStr">
        <is>
          <t>IND</t>
        </is>
      </c>
      <c r="B5" t="inlineStr">
        <is>
          <t>1963</t>
        </is>
      </c>
      <c r="C5" t="n">
        <v>4.28050338490125</v>
      </c>
    </row>
    <row r="6">
      <c r="A6" t="inlineStr">
        <is>
          <t>IND</t>
        </is>
      </c>
      <c r="B6" t="inlineStr">
        <is>
          <t>1964</t>
        </is>
      </c>
      <c r="C6" t="n">
        <v>3.72555117263129</v>
      </c>
    </row>
    <row r="7">
      <c r="A7" t="inlineStr">
        <is>
          <t>IND</t>
        </is>
      </c>
      <c r="B7" t="inlineStr">
        <is>
          <t>1965</t>
        </is>
      </c>
      <c r="C7" t="n">
        <v>3.30747278088062</v>
      </c>
    </row>
    <row r="8">
      <c r="A8" t="inlineStr">
        <is>
          <t>IND</t>
        </is>
      </c>
      <c r="B8" t="inlineStr">
        <is>
          <t>1966</t>
        </is>
      </c>
      <c r="C8" t="n">
        <v>4.14255065953483</v>
      </c>
    </row>
    <row r="9">
      <c r="A9" t="inlineStr">
        <is>
          <t>IND</t>
        </is>
      </c>
      <c r="B9" t="inlineStr">
        <is>
          <t>1967</t>
        </is>
      </c>
      <c r="C9" t="n">
        <v>4.03444499534157</v>
      </c>
    </row>
    <row r="10">
      <c r="A10" t="inlineStr">
        <is>
          <t>IND</t>
        </is>
      </c>
      <c r="B10" t="inlineStr">
        <is>
          <t>1968</t>
        </is>
      </c>
      <c r="C10" t="n">
        <v>4.03877100579767</v>
      </c>
    </row>
    <row r="11">
      <c r="A11" t="inlineStr">
        <is>
          <t>IND</t>
        </is>
      </c>
      <c r="B11" t="inlineStr">
        <is>
          <t>1969</t>
        </is>
      </c>
      <c r="C11" t="n">
        <v>3.71384282048158</v>
      </c>
    </row>
    <row r="12">
      <c r="A12" t="inlineStr">
        <is>
          <t>IND</t>
        </is>
      </c>
      <c r="B12" t="inlineStr">
        <is>
          <t>1970</t>
        </is>
      </c>
      <c r="C12" t="n">
        <v>3.78282506202996</v>
      </c>
    </row>
    <row r="13">
      <c r="A13" t="inlineStr">
        <is>
          <t>IND</t>
        </is>
      </c>
      <c r="B13" t="inlineStr">
        <is>
          <t>1971</t>
        </is>
      </c>
      <c r="C13" t="n">
        <v>3.66720521706169</v>
      </c>
    </row>
    <row r="14">
      <c r="A14" t="inlineStr">
        <is>
          <t>IND</t>
        </is>
      </c>
      <c r="B14" t="inlineStr">
        <is>
          <t>1972</t>
        </is>
      </c>
      <c r="C14" t="n">
        <v>4.02748926155276</v>
      </c>
    </row>
    <row r="15">
      <c r="A15" t="inlineStr">
        <is>
          <t>IND</t>
        </is>
      </c>
      <c r="B15" t="inlineStr">
        <is>
          <t>1973</t>
        </is>
      </c>
      <c r="C15" t="n">
        <v>4.20876319232872</v>
      </c>
    </row>
    <row r="16">
      <c r="A16" t="inlineStr">
        <is>
          <t>IND</t>
        </is>
      </c>
      <c r="B16" t="inlineStr">
        <is>
          <t>1974</t>
        </is>
      </c>
      <c r="C16" t="n">
        <v>4.83132100337</v>
      </c>
    </row>
    <row r="17">
      <c r="A17" t="inlineStr">
        <is>
          <t>IND</t>
        </is>
      </c>
      <c r="B17" t="inlineStr">
        <is>
          <t>1975</t>
        </is>
      </c>
      <c r="C17" t="n">
        <v>5.64706215785578</v>
      </c>
    </row>
    <row r="18">
      <c r="A18" t="inlineStr">
        <is>
          <t>IND</t>
        </is>
      </c>
      <c r="B18" t="inlineStr">
        <is>
          <t>1976</t>
        </is>
      </c>
      <c r="C18" t="n">
        <v>6.68651286166981</v>
      </c>
    </row>
    <row r="19">
      <c r="A19" t="inlineStr">
        <is>
          <t>IND</t>
        </is>
      </c>
      <c r="B19" t="inlineStr">
        <is>
          <t>1977</t>
        </is>
      </c>
      <c r="C19" t="n">
        <v>6.38317181373801</v>
      </c>
    </row>
    <row r="20">
      <c r="A20" t="inlineStr">
        <is>
          <t>IND</t>
        </is>
      </c>
      <c r="B20" t="inlineStr">
        <is>
          <t>1978</t>
        </is>
      </c>
      <c r="C20" t="n">
        <v>6.3148252345082</v>
      </c>
    </row>
    <row r="21">
      <c r="A21" t="inlineStr">
        <is>
          <t>IND</t>
        </is>
      </c>
      <c r="B21" t="inlineStr">
        <is>
          <t>1979</t>
        </is>
      </c>
      <c r="C21" t="n">
        <v>6.74963815730053</v>
      </c>
    </row>
    <row r="22">
      <c r="A22" t="inlineStr">
        <is>
          <t>IND</t>
        </is>
      </c>
      <c r="B22" t="inlineStr">
        <is>
          <t>1980</t>
        </is>
      </c>
      <c r="C22" t="n">
        <v>6.13955113216183</v>
      </c>
    </row>
    <row r="23">
      <c r="A23" t="inlineStr">
        <is>
          <t>IND</t>
        </is>
      </c>
      <c r="B23" t="inlineStr">
        <is>
          <t>1981</t>
        </is>
      </c>
      <c r="C23" t="n">
        <v>5.93602662657806</v>
      </c>
    </row>
    <row r="24">
      <c r="A24" t="inlineStr">
        <is>
          <t>IND</t>
        </is>
      </c>
      <c r="B24" t="inlineStr">
        <is>
          <t>1982</t>
        </is>
      </c>
      <c r="C24" t="n">
        <v>5.98329984863978</v>
      </c>
    </row>
    <row r="25">
      <c r="A25" t="inlineStr">
        <is>
          <t>IND</t>
        </is>
      </c>
      <c r="B25" t="inlineStr">
        <is>
          <t>1983</t>
        </is>
      </c>
      <c r="C25" t="n">
        <v>5.83762942427856</v>
      </c>
    </row>
    <row r="26">
      <c r="A26" t="inlineStr">
        <is>
          <t>IND</t>
        </is>
      </c>
      <c r="B26" t="inlineStr">
        <is>
          <t>1984</t>
        </is>
      </c>
      <c r="C26" t="n">
        <v>6.28340139288612</v>
      </c>
    </row>
    <row r="27">
      <c r="A27" t="inlineStr">
        <is>
          <t>IND</t>
        </is>
      </c>
      <c r="B27" t="inlineStr">
        <is>
          <t>1985</t>
        </is>
      </c>
      <c r="C27" t="n">
        <v>5.25455499628708</v>
      </c>
    </row>
    <row r="28">
      <c r="A28" t="inlineStr">
        <is>
          <t>IND</t>
        </is>
      </c>
      <c r="B28" t="inlineStr">
        <is>
          <t>1986</t>
        </is>
      </c>
      <c r="C28" t="n">
        <v>5.19622166035989</v>
      </c>
    </row>
    <row r="29">
      <c r="A29" t="inlineStr">
        <is>
          <t>IND</t>
        </is>
      </c>
      <c r="B29" t="inlineStr">
        <is>
          <t>1987</t>
        </is>
      </c>
      <c r="C29" t="n">
        <v>5.60458088400396</v>
      </c>
    </row>
    <row r="30">
      <c r="A30" t="inlineStr">
        <is>
          <t>IND</t>
        </is>
      </c>
      <c r="B30" t="inlineStr">
        <is>
          <t>1988</t>
        </is>
      </c>
      <c r="C30" t="n">
        <v>6.03521975491128</v>
      </c>
    </row>
    <row r="31">
      <c r="A31" t="inlineStr">
        <is>
          <t>IND</t>
        </is>
      </c>
      <c r="B31" t="inlineStr">
        <is>
          <t>1989</t>
        </is>
      </c>
      <c r="C31" t="n">
        <v>7.01613027794311</v>
      </c>
    </row>
    <row r="32">
      <c r="A32" t="inlineStr">
        <is>
          <t>IND</t>
        </is>
      </c>
      <c r="B32" t="inlineStr">
        <is>
          <t>1990</t>
        </is>
      </c>
      <c r="C32" t="n">
        <v>7.05335023414457</v>
      </c>
    </row>
    <row r="33">
      <c r="A33" t="inlineStr">
        <is>
          <t>IND</t>
        </is>
      </c>
      <c r="B33" t="inlineStr">
        <is>
          <t>1991</t>
        </is>
      </c>
      <c r="C33" t="n">
        <v>8.49424077053547</v>
      </c>
    </row>
    <row r="34">
      <c r="A34" t="inlineStr">
        <is>
          <t>IND</t>
        </is>
      </c>
      <c r="B34" t="inlineStr">
        <is>
          <t>1992</t>
        </is>
      </c>
      <c r="C34" t="n">
        <v>8.84292692502088</v>
      </c>
    </row>
    <row r="35">
      <c r="A35" t="inlineStr">
        <is>
          <t>IND</t>
        </is>
      </c>
      <c r="B35" t="inlineStr">
        <is>
          <t>1993</t>
        </is>
      </c>
      <c r="C35" t="n">
        <v>9.834217454863261</v>
      </c>
    </row>
    <row r="36">
      <c r="A36" t="inlineStr">
        <is>
          <t>IND</t>
        </is>
      </c>
      <c r="B36" t="inlineStr">
        <is>
          <t>1994</t>
        </is>
      </c>
      <c r="C36" t="n">
        <v>9.888084916445401</v>
      </c>
    </row>
    <row r="37">
      <c r="A37" t="inlineStr">
        <is>
          <t>IND</t>
        </is>
      </c>
      <c r="B37" t="inlineStr">
        <is>
          <t>1995</t>
        </is>
      </c>
      <c r="C37" t="n">
        <v>10.8439680350622</v>
      </c>
    </row>
    <row r="38">
      <c r="A38" t="inlineStr">
        <is>
          <t>IND</t>
        </is>
      </c>
      <c r="B38" t="inlineStr">
        <is>
          <t>1996</t>
        </is>
      </c>
      <c r="C38" t="n">
        <v>10.3851692716063</v>
      </c>
    </row>
    <row r="39">
      <c r="A39" t="inlineStr">
        <is>
          <t>IND</t>
        </is>
      </c>
      <c r="B39" t="inlineStr">
        <is>
          <t>1997</t>
        </is>
      </c>
      <c r="C39" t="n">
        <v>10.690717318379</v>
      </c>
    </row>
    <row r="40">
      <c r="A40" t="inlineStr">
        <is>
          <t>IND</t>
        </is>
      </c>
      <c r="B40" t="inlineStr">
        <is>
          <t>1998</t>
        </is>
      </c>
      <c r="C40" t="n">
        <v>11.0184691793102</v>
      </c>
    </row>
    <row r="41">
      <c r="A41" t="inlineStr">
        <is>
          <t>IND</t>
        </is>
      </c>
      <c r="B41" t="inlineStr">
        <is>
          <t>1999</t>
        </is>
      </c>
      <c r="C41" t="n">
        <v>11.4520646128009</v>
      </c>
    </row>
    <row r="42">
      <c r="A42" t="inlineStr">
        <is>
          <t>IND</t>
        </is>
      </c>
      <c r="B42" t="inlineStr">
        <is>
          <t>2000</t>
        </is>
      </c>
      <c r="C42" t="n">
        <v>12.9972363113479</v>
      </c>
    </row>
    <row r="43">
      <c r="A43" t="inlineStr">
        <is>
          <t>IND</t>
        </is>
      </c>
      <c r="B43" t="inlineStr">
        <is>
          <t>2001</t>
        </is>
      </c>
      <c r="C43" t="n">
        <v>12.5583796339108</v>
      </c>
    </row>
    <row r="44">
      <c r="A44" t="inlineStr">
        <is>
          <t>IND</t>
        </is>
      </c>
      <c r="B44" t="inlineStr">
        <is>
          <t>2002</t>
        </is>
      </c>
      <c r="C44" t="n">
        <v>14.2643839243147</v>
      </c>
    </row>
    <row r="45">
      <c r="A45" t="inlineStr">
        <is>
          <t>IND</t>
        </is>
      </c>
      <c r="B45" t="inlineStr">
        <is>
          <t>2003</t>
        </is>
      </c>
      <c r="C45" t="n">
        <v>14.9479138581734</v>
      </c>
    </row>
    <row r="46">
      <c r="A46" t="inlineStr">
        <is>
          <t>IND</t>
        </is>
      </c>
      <c r="B46" t="inlineStr">
        <is>
          <t>2004</t>
        </is>
      </c>
      <c r="C46" t="n">
        <v>17.8591249630479</v>
      </c>
    </row>
    <row r="47">
      <c r="A47" t="inlineStr">
        <is>
          <t>IND</t>
        </is>
      </c>
      <c r="B47" t="inlineStr">
        <is>
          <t>2005</t>
        </is>
      </c>
      <c r="C47" t="n">
        <v>19.6052466948335</v>
      </c>
    </row>
    <row r="48">
      <c r="A48" t="inlineStr">
        <is>
          <t>IND</t>
        </is>
      </c>
      <c r="B48" t="inlineStr">
        <is>
          <t>2006</t>
        </is>
      </c>
      <c r="C48" t="n">
        <v>21.2679414221966</v>
      </c>
    </row>
    <row r="49">
      <c r="A49" t="inlineStr">
        <is>
          <t>IND</t>
        </is>
      </c>
      <c r="B49" t="inlineStr">
        <is>
          <t>2007</t>
        </is>
      </c>
      <c r="C49" t="n">
        <v>20.7996997489032</v>
      </c>
    </row>
    <row r="50">
      <c r="A50" t="inlineStr">
        <is>
          <t>IND</t>
        </is>
      </c>
      <c r="B50" t="inlineStr">
        <is>
          <t>2008</t>
        </is>
      </c>
      <c r="C50" t="n">
        <v>24.0973572601391</v>
      </c>
    </row>
    <row r="51">
      <c r="A51" t="inlineStr">
        <is>
          <t>IND</t>
        </is>
      </c>
      <c r="B51" t="inlineStr">
        <is>
          <t>2009</t>
        </is>
      </c>
      <c r="C51" t="n">
        <v>20.4005193743564</v>
      </c>
    </row>
    <row r="52">
      <c r="A52" t="inlineStr">
        <is>
          <t>IND</t>
        </is>
      </c>
      <c r="B52" t="inlineStr">
        <is>
          <t>2010</t>
        </is>
      </c>
      <c r="C52" t="n">
        <v>22.4009332487945</v>
      </c>
    </row>
    <row r="53">
      <c r="A53" t="inlineStr">
        <is>
          <t>IND</t>
        </is>
      </c>
      <c r="B53" t="inlineStr">
        <is>
          <t>2011</t>
        </is>
      </c>
      <c r="C53" t="n">
        <v>24.5404113195713</v>
      </c>
    </row>
    <row r="54">
      <c r="A54" t="inlineStr">
        <is>
          <t>IND</t>
        </is>
      </c>
      <c r="B54" t="inlineStr">
        <is>
          <t>2012</t>
        </is>
      </c>
      <c r="C54" t="n">
        <v>24.534430661418</v>
      </c>
    </row>
    <row r="55">
      <c r="A55" t="inlineStr">
        <is>
          <t>IND</t>
        </is>
      </c>
      <c r="B55" t="inlineStr">
        <is>
          <t>2013</t>
        </is>
      </c>
      <c r="C55" t="n">
        <v>25.430861300519</v>
      </c>
    </row>
    <row r="56">
      <c r="A56" t="inlineStr">
        <is>
          <t>IND</t>
        </is>
      </c>
      <c r="B56" t="inlineStr">
        <is>
          <t>2014</t>
        </is>
      </c>
      <c r="C56" t="n">
        <v>22.9679630081172</v>
      </c>
    </row>
    <row r="57">
      <c r="A57" t="inlineStr">
        <is>
          <t>IND</t>
        </is>
      </c>
      <c r="B57" t="inlineStr">
        <is>
          <t>2015</t>
        </is>
      </c>
      <c r="C57" t="n">
        <v>19.8131891564045</v>
      </c>
    </row>
    <row r="58">
      <c r="A58" t="inlineStr">
        <is>
          <t>IND</t>
        </is>
      </c>
      <c r="B58" t="inlineStr">
        <is>
          <t>2016</t>
        </is>
      </c>
      <c r="C58" t="n">
        <v>19.1582349105946</v>
      </c>
    </row>
    <row r="59">
      <c r="A59" t="inlineStr">
        <is>
          <t>IND</t>
        </is>
      </c>
      <c r="B59" t="inlineStr">
        <is>
          <t>2017</t>
        </is>
      </c>
      <c r="C59" t="n">
        <v>18.7917648392982</v>
      </c>
    </row>
    <row r="60">
      <c r="A60" t="inlineStr">
        <is>
          <t>IND</t>
        </is>
      </c>
      <c r="B60" t="inlineStr">
        <is>
          <t>2018</t>
        </is>
      </c>
      <c r="C60" t="n">
        <v>19.9278285988562</v>
      </c>
    </row>
    <row r="61">
      <c r="A61" t="inlineStr">
        <is>
          <t>IND</t>
        </is>
      </c>
      <c r="B61" t="inlineStr">
        <is>
          <t>2019</t>
        </is>
      </c>
      <c r="C61" t="n">
        <v>18.664264897257</v>
      </c>
    </row>
    <row r="62">
      <c r="A62" t="inlineStr">
        <is>
          <t>IND</t>
        </is>
      </c>
      <c r="B62" t="inlineStr">
        <is>
          <t>2020</t>
        </is>
      </c>
      <c r="C62" t="n">
        <v>18.6824769296756</v>
      </c>
    </row>
    <row r="63">
      <c r="A63" t="inlineStr">
        <is>
          <t>IND</t>
        </is>
      </c>
      <c r="B63" t="inlineStr">
        <is>
          <t>2021</t>
        </is>
      </c>
      <c r="C63" t="n">
        <v>21.3991583305515</v>
      </c>
    </row>
    <row r="64">
      <c r="A64" t="inlineStr">
        <is>
          <t>IND</t>
        </is>
      </c>
      <c r="B64" t="inlineStr">
        <is>
          <t>2022</t>
        </is>
      </c>
      <c r="C64" t="n">
        <v>24.0401716365956</v>
      </c>
    </row>
    <row r="65">
      <c r="A65" t="inlineStr">
        <is>
          <t>IND</t>
        </is>
      </c>
      <c r="B65" t="inlineStr">
        <is>
          <t>2023</t>
        </is>
      </c>
      <c r="C65" t="n">
        <v>22.354801966733</v>
      </c>
    </row>
    <row r="66">
      <c r="A66" t="inlineStr">
        <is>
          <t>IND</t>
        </is>
      </c>
      <c r="B66" t="inlineStr">
        <is>
          <t>2024</t>
        </is>
      </c>
      <c r="C66" t="n">
        <v>22.0639816354399</v>
      </c>
    </row>
    <row r="67">
      <c r="A67" t="inlineStr">
        <is>
          <t>IND</t>
        </is>
      </c>
      <c r="B67" t="inlineStr">
        <is>
          <t>2025</t>
        </is>
      </c>
      <c r="C67" t="n">
        <v>22.2630410669804</v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  <c r="C89" t="n">
        <v>16.15668467559</v>
      </c>
    </row>
    <row r="90">
      <c r="A90" t="inlineStr">
        <is>
          <t>PHL</t>
        </is>
      </c>
      <c r="B90" t="inlineStr">
        <is>
          <t>1982</t>
        </is>
      </c>
      <c r="C90" t="n">
        <v>13.8711131877609</v>
      </c>
    </row>
    <row r="91">
      <c r="A91" t="inlineStr">
        <is>
          <t>PHL</t>
        </is>
      </c>
      <c r="B91" t="inlineStr">
        <is>
          <t>1983</t>
        </is>
      </c>
      <c r="C91" t="n">
        <v>14.7105725820752</v>
      </c>
    </row>
    <row r="92">
      <c r="A92" t="inlineStr">
        <is>
          <t>PHL</t>
        </is>
      </c>
      <c r="B92" t="inlineStr">
        <is>
          <t>1984</t>
        </is>
      </c>
      <c r="C92" t="n">
        <v>16.9424693534499</v>
      </c>
    </row>
    <row r="93">
      <c r="A93" t="inlineStr">
        <is>
          <t>PHL</t>
        </is>
      </c>
      <c r="B93" t="inlineStr">
        <is>
          <t>1985</t>
        </is>
      </c>
      <c r="C93" t="n">
        <v>17.0221232673719</v>
      </c>
    </row>
    <row r="94">
      <c r="A94" t="inlineStr">
        <is>
          <t>PHL</t>
        </is>
      </c>
      <c r="B94" t="inlineStr">
        <is>
          <t>1986</t>
        </is>
      </c>
      <c r="C94" t="n">
        <v>18.5661232093716</v>
      </c>
    </row>
    <row r="95">
      <c r="A95" t="inlineStr">
        <is>
          <t>PHL</t>
        </is>
      </c>
      <c r="B95" t="inlineStr">
        <is>
          <t>1987</t>
        </is>
      </c>
      <c r="C95" t="n">
        <v>18.5415326150478</v>
      </c>
    </row>
    <row r="96">
      <c r="A96" t="inlineStr">
        <is>
          <t>PHL</t>
        </is>
      </c>
      <c r="B96" t="inlineStr">
        <is>
          <t>1988</t>
        </is>
      </c>
      <c r="C96" t="n">
        <v>19.9993637191705</v>
      </c>
    </row>
    <row r="97">
      <c r="A97" t="inlineStr">
        <is>
          <t>PHL</t>
        </is>
      </c>
      <c r="B97" t="inlineStr">
        <is>
          <t>1989</t>
        </is>
      </c>
      <c r="C97" t="n">
        <v>19.7398895822467</v>
      </c>
    </row>
    <row r="98">
      <c r="A98" t="inlineStr">
        <is>
          <t>PHL</t>
        </is>
      </c>
      <c r="B98" t="inlineStr">
        <is>
          <t>1990</t>
        </is>
      </c>
      <c r="C98" t="n">
        <v>19.3932131437876</v>
      </c>
    </row>
    <row r="99">
      <c r="A99" t="inlineStr">
        <is>
          <t>PHL</t>
        </is>
      </c>
      <c r="B99" t="inlineStr">
        <is>
          <t>1991</t>
        </is>
      </c>
      <c r="C99" t="n">
        <v>20.9651411756089</v>
      </c>
    </row>
    <row r="100">
      <c r="A100" t="inlineStr">
        <is>
          <t>PHL</t>
        </is>
      </c>
      <c r="B100" t="inlineStr">
        <is>
          <t>1992</t>
        </is>
      </c>
      <c r="C100" t="n">
        <v>20.7796645414886</v>
      </c>
    </row>
    <row r="101">
      <c r="A101" t="inlineStr">
        <is>
          <t>PHL</t>
        </is>
      </c>
      <c r="B101" t="inlineStr">
        <is>
          <t>1993</t>
        </is>
      </c>
      <c r="C101" t="n">
        <v>22.3031303689154</v>
      </c>
    </row>
    <row r="102">
      <c r="A102" t="inlineStr">
        <is>
          <t>PHL</t>
        </is>
      </c>
      <c r="B102" t="inlineStr">
        <is>
          <t>1994</t>
        </is>
      </c>
      <c r="C102" t="n">
        <v>24.075665857016</v>
      </c>
    </row>
    <row r="103">
      <c r="A103" t="inlineStr">
        <is>
          <t>PHL</t>
        </is>
      </c>
      <c r="B103" t="inlineStr">
        <is>
          <t>1995</t>
        </is>
      </c>
      <c r="C103" t="n">
        <v>25.9460416626648</v>
      </c>
    </row>
    <row r="104">
      <c r="A104" t="inlineStr">
        <is>
          <t>PHL</t>
        </is>
      </c>
      <c r="B104" t="inlineStr">
        <is>
          <t>1996</t>
        </is>
      </c>
      <c r="C104" t="n">
        <v>28.8867213731659</v>
      </c>
    </row>
    <row r="105">
      <c r="A105" t="inlineStr">
        <is>
          <t>PHL</t>
        </is>
      </c>
      <c r="B105" t="inlineStr">
        <is>
          <t>1997</t>
        </is>
      </c>
      <c r="C105" t="n">
        <v>35.0861457359116</v>
      </c>
    </row>
    <row r="106">
      <c r="A106" t="inlineStr">
        <is>
          <t>PHL</t>
        </is>
      </c>
      <c r="B106" t="inlineStr">
        <is>
          <t>1998</t>
        </is>
      </c>
      <c r="C106" t="n">
        <v>37.8068683988215</v>
      </c>
    </row>
    <row r="107">
      <c r="A107" t="inlineStr">
        <is>
          <t>PHL</t>
        </is>
      </c>
      <c r="B107" t="inlineStr">
        <is>
          <t>1999</t>
        </is>
      </c>
      <c r="C107" t="n">
        <v>38.4111587355426</v>
      </c>
    </row>
    <row r="108">
      <c r="A108" t="inlineStr">
        <is>
          <t>PHL</t>
        </is>
      </c>
      <c r="B108" t="inlineStr">
        <is>
          <t>2000</t>
        </is>
      </c>
      <c r="C108" t="n">
        <v>43.3442192240219</v>
      </c>
    </row>
    <row r="109">
      <c r="A109" t="inlineStr">
        <is>
          <t>PHL</t>
        </is>
      </c>
      <c r="B109" t="inlineStr">
        <is>
          <t>2001</t>
        </is>
      </c>
      <c r="C109" t="n">
        <v>41.1555015074547</v>
      </c>
    </row>
    <row r="110">
      <c r="A110" t="inlineStr">
        <is>
          <t>PHL</t>
        </is>
      </c>
      <c r="B110" t="inlineStr">
        <is>
          <t>2002</t>
        </is>
      </c>
      <c r="C110" t="n">
        <v>40.0056799440289</v>
      </c>
    </row>
    <row r="111">
      <c r="A111" t="inlineStr">
        <is>
          <t>PHL</t>
        </is>
      </c>
      <c r="B111" t="inlineStr">
        <is>
          <t>2003</t>
        </is>
      </c>
      <c r="C111" t="n">
        <v>42.3050183712712</v>
      </c>
    </row>
    <row r="112">
      <c r="A112" t="inlineStr">
        <is>
          <t>PHL</t>
        </is>
      </c>
      <c r="B112" t="inlineStr">
        <is>
          <t>2004</t>
        </is>
      </c>
      <c r="C112" t="n">
        <v>41.8268409907999</v>
      </c>
    </row>
    <row r="113">
      <c r="A113" t="inlineStr">
        <is>
          <t>PHL</t>
        </is>
      </c>
      <c r="B113" t="inlineStr">
        <is>
          <t>2005</t>
        </is>
      </c>
      <c r="C113" t="n">
        <v>41.2300392158954</v>
      </c>
    </row>
    <row r="114">
      <c r="A114" t="inlineStr">
        <is>
          <t>PHL</t>
        </is>
      </c>
      <c r="B114" t="inlineStr">
        <is>
          <t>2006</t>
        </is>
      </c>
      <c r="C114" t="n">
        <v>41.2454593705084</v>
      </c>
    </row>
    <row r="115">
      <c r="A115" t="inlineStr">
        <is>
          <t>PHL</t>
        </is>
      </c>
      <c r="B115" t="inlineStr">
        <is>
          <t>2007</t>
        </is>
      </c>
      <c r="C115" t="n">
        <v>38.0141863378076</v>
      </c>
    </row>
    <row r="116">
      <c r="A116" t="inlineStr">
        <is>
          <t>PHL</t>
        </is>
      </c>
      <c r="B116" t="inlineStr">
        <is>
          <t>2008</t>
        </is>
      </c>
      <c r="C116" t="n">
        <v>33.3568332437392</v>
      </c>
    </row>
    <row r="117">
      <c r="A117" t="inlineStr">
        <is>
          <t>PHL</t>
        </is>
      </c>
      <c r="B117" t="inlineStr">
        <is>
          <t>2009</t>
        </is>
      </c>
      <c r="C117" t="n">
        <v>30.2195255995892</v>
      </c>
    </row>
    <row r="118">
      <c r="A118" t="inlineStr">
        <is>
          <t>PHL</t>
        </is>
      </c>
      <c r="B118" t="inlineStr">
        <is>
          <t>2010</t>
        </is>
      </c>
      <c r="C118" t="n">
        <v>32.8748297195678</v>
      </c>
    </row>
    <row r="119">
      <c r="A119" t="inlineStr">
        <is>
          <t>PHL</t>
        </is>
      </c>
      <c r="B119" t="inlineStr">
        <is>
          <t>2011</t>
        </is>
      </c>
      <c r="C119" t="n">
        <v>29.1054288781405</v>
      </c>
    </row>
    <row r="120">
      <c r="A120" t="inlineStr">
        <is>
          <t>PHL</t>
        </is>
      </c>
      <c r="B120" t="inlineStr">
        <is>
          <t>2012</t>
        </is>
      </c>
      <c r="C120" t="n">
        <v>27.4670738577233</v>
      </c>
    </row>
    <row r="121">
      <c r="A121" t="inlineStr">
        <is>
          <t>PHL</t>
        </is>
      </c>
      <c r="B121" t="inlineStr">
        <is>
          <t>2013</t>
        </is>
      </c>
      <c r="C121" t="n">
        <v>26.1774198090007</v>
      </c>
    </row>
    <row r="122">
      <c r="A122" t="inlineStr">
        <is>
          <t>PHL</t>
        </is>
      </c>
      <c r="B122" t="inlineStr">
        <is>
          <t>2014</t>
        </is>
      </c>
      <c r="C122" t="n">
        <v>27.3545041909285</v>
      </c>
    </row>
    <row r="123">
      <c r="A123" t="inlineStr">
        <is>
          <t>PHL</t>
        </is>
      </c>
      <c r="B123" t="inlineStr">
        <is>
          <t>2015</t>
        </is>
      </c>
      <c r="C123" t="n">
        <v>27.2080572390451</v>
      </c>
    </row>
    <row r="124">
      <c r="A124" t="inlineStr">
        <is>
          <t>PHL</t>
        </is>
      </c>
      <c r="B124" t="inlineStr">
        <is>
          <t>2016</t>
        </is>
      </c>
      <c r="C124" t="n">
        <v>26.6730033435157</v>
      </c>
    </row>
    <row r="125">
      <c r="A125" t="inlineStr">
        <is>
          <t>PHL</t>
        </is>
      </c>
      <c r="B125" t="inlineStr">
        <is>
          <t>2017</t>
        </is>
      </c>
      <c r="C125" t="n">
        <v>29.5522908546692</v>
      </c>
    </row>
    <row r="126">
      <c r="A126" t="inlineStr">
        <is>
          <t>PHL</t>
        </is>
      </c>
      <c r="B126" t="inlineStr">
        <is>
          <t>2018</t>
        </is>
      </c>
      <c r="C126" t="n">
        <v>30.2136053733275</v>
      </c>
    </row>
    <row r="127">
      <c r="A127" t="inlineStr">
        <is>
          <t>PHL</t>
        </is>
      </c>
      <c r="B127" t="inlineStr">
        <is>
          <t>2019</t>
        </is>
      </c>
      <c r="C127" t="n">
        <v>28.3829200126393</v>
      </c>
    </row>
    <row r="128">
      <c r="A128" t="inlineStr">
        <is>
          <t>PHL</t>
        </is>
      </c>
      <c r="B128" t="inlineStr">
        <is>
          <t>2020</t>
        </is>
      </c>
      <c r="C128" t="n">
        <v>25.2028393102032</v>
      </c>
    </row>
    <row r="129">
      <c r="A129" t="inlineStr">
        <is>
          <t>PHL</t>
        </is>
      </c>
      <c r="B129" t="inlineStr">
        <is>
          <t>2021</t>
        </is>
      </c>
      <c r="C129" t="n">
        <v>25.7520349160187</v>
      </c>
    </row>
    <row r="130">
      <c r="A130" t="inlineStr">
        <is>
          <t>PHL</t>
        </is>
      </c>
      <c r="B130" t="inlineStr">
        <is>
          <t>2022</t>
        </is>
      </c>
      <c r="C130" t="n">
        <v>28.3874015457939</v>
      </c>
    </row>
    <row r="131">
      <c r="A131" t="inlineStr">
        <is>
          <t>PHL</t>
        </is>
      </c>
      <c r="B131" t="inlineStr">
        <is>
          <t>2023</t>
        </is>
      </c>
      <c r="C131" t="n">
        <v>26.6368493470585</v>
      </c>
    </row>
    <row r="132">
      <c r="A132" t="inlineStr">
        <is>
          <t>PHL</t>
        </is>
      </c>
      <c r="B132" t="inlineStr">
        <is>
          <t>2024</t>
        </is>
      </c>
      <c r="C132" t="n">
        <v>25.7369806583516</v>
      </c>
    </row>
    <row r="133">
      <c r="A133" t="inlineStr">
        <is>
          <t>PHL</t>
        </is>
      </c>
      <c r="B133" t="inlineStr">
        <is>
          <t>2025</t>
        </is>
      </c>
      <c r="C133" t="n">
        <v>26.5503358170748</v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  <c r="C160" t="n">
        <v>6.62253929883139</v>
      </c>
    </row>
    <row r="161">
      <c r="A161" t="inlineStr">
        <is>
          <t>VNM</t>
        </is>
      </c>
      <c r="B161" t="inlineStr">
        <is>
          <t>1987</t>
        </is>
      </c>
      <c r="C161" t="n">
        <v>6.0014283728223</v>
      </c>
    </row>
    <row r="162">
      <c r="A162" t="inlineStr">
        <is>
          <t>VNM</t>
        </is>
      </c>
      <c r="B162" t="inlineStr">
        <is>
          <t>1988</t>
        </is>
      </c>
      <c r="C162" t="n">
        <v>3.94529822568093</v>
      </c>
    </row>
    <row r="163">
      <c r="A163" t="inlineStr">
        <is>
          <t>VNM</t>
        </is>
      </c>
      <c r="B163" t="inlineStr">
        <is>
          <t>1989</t>
        </is>
      </c>
      <c r="C163" t="n">
        <v>23.8493577901968</v>
      </c>
    </row>
    <row r="164">
      <c r="A164" t="inlineStr">
        <is>
          <t>VNM</t>
        </is>
      </c>
      <c r="B164" t="inlineStr">
        <is>
          <t>1990</t>
        </is>
      </c>
      <c r="C164" t="n">
        <v>36.0386136391372</v>
      </c>
    </row>
    <row r="165">
      <c r="A165" t="inlineStr">
        <is>
          <t>VNM</t>
        </is>
      </c>
      <c r="B165" t="inlineStr">
        <is>
          <t>1991</t>
        </is>
      </c>
      <c r="C165" t="n">
        <v>30.9150393380004</v>
      </c>
    </row>
    <row r="166">
      <c r="A166" t="inlineStr">
        <is>
          <t>VNM</t>
        </is>
      </c>
      <c r="B166" t="inlineStr">
        <is>
          <t>1992</t>
        </is>
      </c>
      <c r="C166" t="n">
        <v>34.7455958184055</v>
      </c>
    </row>
    <row r="167">
      <c r="A167" t="inlineStr">
        <is>
          <t>VNM</t>
        </is>
      </c>
      <c r="B167" t="inlineStr">
        <is>
          <t>1993</t>
        </is>
      </c>
      <c r="C167" t="n">
        <v>28.7227826669423</v>
      </c>
    </row>
    <row r="168">
      <c r="A168" t="inlineStr">
        <is>
          <t>VNM</t>
        </is>
      </c>
      <c r="B168" t="inlineStr">
        <is>
          <t>1994</t>
        </is>
      </c>
      <c r="C168" t="n">
        <v>34.0131286444039</v>
      </c>
    </row>
    <row r="169">
      <c r="A169" t="inlineStr">
        <is>
          <t>VNM</t>
        </is>
      </c>
      <c r="B169" t="inlineStr">
        <is>
          <t>1995</t>
        </is>
      </c>
      <c r="C169" t="n">
        <v>32.8128553339566</v>
      </c>
    </row>
    <row r="170">
      <c r="A170" t="inlineStr">
        <is>
          <t>VNM</t>
        </is>
      </c>
      <c r="B170" t="inlineStr">
        <is>
          <t>1996</t>
        </is>
      </c>
      <c r="C170" t="n">
        <v>40.8684874244585</v>
      </c>
    </row>
    <row r="171">
      <c r="A171" t="inlineStr">
        <is>
          <t>VNM</t>
        </is>
      </c>
      <c r="B171" t="inlineStr">
        <is>
          <t>1997</t>
        </is>
      </c>
      <c r="C171" t="n">
        <v>43.1027067530124</v>
      </c>
    </row>
    <row r="172">
      <c r="A172" t="inlineStr">
        <is>
          <t>VNM</t>
        </is>
      </c>
      <c r="B172" t="inlineStr">
        <is>
          <t>1998</t>
        </is>
      </c>
      <c r="C172" t="n">
        <v>44.8483033762953</v>
      </c>
    </row>
    <row r="173">
      <c r="A173" t="inlineStr">
        <is>
          <t>VNM</t>
        </is>
      </c>
      <c r="B173" t="inlineStr">
        <is>
          <t>1999</t>
        </is>
      </c>
      <c r="C173" t="n">
        <v>49.9662459731661</v>
      </c>
    </row>
    <row r="174">
      <c r="A174" t="inlineStr">
        <is>
          <t>VNM</t>
        </is>
      </c>
      <c r="B174" t="inlineStr">
        <is>
          <t>2000</t>
        </is>
      </c>
      <c r="C174" t="n">
        <v>53.9214970089166</v>
      </c>
    </row>
    <row r="175">
      <c r="A175" t="inlineStr">
        <is>
          <t>VNM</t>
        </is>
      </c>
      <c r="B175" t="inlineStr">
        <is>
          <t>2001</t>
        </is>
      </c>
      <c r="C175" t="n">
        <v>55.0619332820827</v>
      </c>
    </row>
    <row r="176">
      <c r="A176" t="inlineStr">
        <is>
          <t>VNM</t>
        </is>
      </c>
      <c r="B176" t="inlineStr">
        <is>
          <t>2002</t>
        </is>
      </c>
      <c r="C176" t="n">
        <v>54.7391336880928</v>
      </c>
    </row>
    <row r="177">
      <c r="A177" t="inlineStr">
        <is>
          <t>VNM</t>
        </is>
      </c>
      <c r="B177" t="inlineStr">
        <is>
          <t>2003</t>
        </is>
      </c>
      <c r="C177" t="n">
        <v>56.6732579147533</v>
      </c>
    </row>
    <row r="178">
      <c r="A178" t="inlineStr">
        <is>
          <t>VNM</t>
        </is>
      </c>
      <c r="B178" t="inlineStr">
        <is>
          <t>2004</t>
        </is>
      </c>
      <c r="C178" t="n">
        <v>59.7310414143857</v>
      </c>
    </row>
    <row r="179">
      <c r="A179" t="inlineStr">
        <is>
          <t>VNM</t>
        </is>
      </c>
      <c r="B179" t="inlineStr">
        <is>
          <t>2005</t>
        </is>
      </c>
      <c r="C179" t="n">
        <v>63.6994926701393</v>
      </c>
    </row>
    <row r="180">
      <c r="A180" t="inlineStr">
        <is>
          <t>VNM</t>
        </is>
      </c>
      <c r="B180" t="inlineStr">
        <is>
          <t>2006</t>
        </is>
      </c>
      <c r="C180" t="n">
        <v>67.71681432601871</v>
      </c>
    </row>
    <row r="181">
      <c r="A181" t="inlineStr">
        <is>
          <t>VNM</t>
        </is>
      </c>
      <c r="B181" t="inlineStr">
        <is>
          <t>2007</t>
        </is>
      </c>
      <c r="C181" t="n">
        <v>70.517874602272</v>
      </c>
    </row>
    <row r="182">
      <c r="A182" t="inlineStr">
        <is>
          <t>VNM</t>
        </is>
      </c>
      <c r="B182" t="inlineStr">
        <is>
          <t>2008</t>
        </is>
      </c>
      <c r="C182" t="n">
        <v>70.33669194027151</v>
      </c>
    </row>
    <row r="183">
      <c r="A183" t="inlineStr">
        <is>
          <t>VNM</t>
        </is>
      </c>
      <c r="B183" t="inlineStr">
        <is>
          <t>2009</t>
        </is>
      </c>
      <c r="C183" t="n">
        <v>62.6088840664865</v>
      </c>
    </row>
    <row r="184">
      <c r="A184" t="inlineStr">
        <is>
          <t>VNM</t>
        </is>
      </c>
      <c r="B184" t="inlineStr">
        <is>
          <t>2010</t>
        </is>
      </c>
      <c r="C184" t="n">
        <v>54.1758459668515</v>
      </c>
    </row>
    <row r="185">
      <c r="A185" t="inlineStr">
        <is>
          <t>VNM</t>
        </is>
      </c>
      <c r="B185" t="inlineStr">
        <is>
          <t>2011</t>
        </is>
      </c>
      <c r="C185" t="n">
        <v>61.1801557211956</v>
      </c>
    </row>
    <row r="186">
      <c r="A186" t="inlineStr">
        <is>
          <t>VNM</t>
        </is>
      </c>
      <c r="B186" t="inlineStr">
        <is>
          <t>2012</t>
        </is>
      </c>
      <c r="C186" t="n">
        <v>63.4739249038633</v>
      </c>
    </row>
    <row r="187">
      <c r="A187" t="inlineStr">
        <is>
          <t>VNM</t>
        </is>
      </c>
      <c r="B187" t="inlineStr">
        <is>
          <t>2013</t>
        </is>
      </c>
      <c r="C187" t="n">
        <v>66.80044599191091</v>
      </c>
    </row>
    <row r="188">
      <c r="A188" t="inlineStr">
        <is>
          <t>VNM</t>
        </is>
      </c>
      <c r="B188" t="inlineStr">
        <is>
          <t>2014</t>
        </is>
      </c>
      <c r="C188" t="n">
        <v>69.5985759502054</v>
      </c>
    </row>
    <row r="189">
      <c r="A189" t="inlineStr">
        <is>
          <t>VNM</t>
        </is>
      </c>
      <c r="B189" t="inlineStr">
        <is>
          <t>2015</t>
        </is>
      </c>
      <c r="C189" t="n">
        <v>72.9228518369495</v>
      </c>
    </row>
    <row r="190">
      <c r="A190" t="inlineStr">
        <is>
          <t>VNM</t>
        </is>
      </c>
      <c r="B190" t="inlineStr">
        <is>
          <t>2016</t>
        </is>
      </c>
      <c r="C190" t="n">
        <v>74.10728625561831</v>
      </c>
    </row>
    <row r="191">
      <c r="A191" t="inlineStr">
        <is>
          <t>VNM</t>
        </is>
      </c>
      <c r="B191" t="inlineStr">
        <is>
          <t>2017</t>
        </is>
      </c>
      <c r="C191" t="n">
        <v>81.76252183556549</v>
      </c>
    </row>
    <row r="192">
      <c r="A192" t="inlineStr">
        <is>
          <t>VNM</t>
        </is>
      </c>
      <c r="B192" t="inlineStr">
        <is>
          <t>2018</t>
        </is>
      </c>
      <c r="C192" t="n">
        <v>84.4234560833365</v>
      </c>
    </row>
    <row r="193">
      <c r="A193" t="inlineStr">
        <is>
          <t>VNM</t>
        </is>
      </c>
      <c r="B193" t="inlineStr">
        <is>
          <t>2019</t>
        </is>
      </c>
      <c r="C193" t="n">
        <v>85.1575874073411</v>
      </c>
    </row>
    <row r="194">
      <c r="A194" t="inlineStr">
        <is>
          <t>VNM</t>
        </is>
      </c>
      <c r="B194" t="inlineStr">
        <is>
          <t>2020</t>
        </is>
      </c>
      <c r="C194" t="n">
        <v>84.381598008957</v>
      </c>
    </row>
    <row r="195">
      <c r="A195" t="inlineStr">
        <is>
          <t>VNM</t>
        </is>
      </c>
      <c r="B195" t="inlineStr">
        <is>
          <t>2021</t>
        </is>
      </c>
      <c r="C195" t="n">
        <v>93.8502071275575</v>
      </c>
    </row>
    <row r="196">
      <c r="A196" t="inlineStr">
        <is>
          <t>VNM</t>
        </is>
      </c>
      <c r="B196" t="inlineStr">
        <is>
          <t>2022</t>
        </is>
      </c>
      <c r="C196" t="n">
        <v>93.420129043511</v>
      </c>
    </row>
    <row r="197">
      <c r="A197" t="inlineStr">
        <is>
          <t>VNM</t>
        </is>
      </c>
      <c r="B197" t="inlineStr">
        <is>
          <t>2023</t>
        </is>
      </c>
      <c r="C197" t="n">
        <v>86.73666408752381</v>
      </c>
    </row>
    <row r="198">
      <c r="A198" t="inlineStr">
        <is>
          <t>VNM</t>
        </is>
      </c>
      <c r="B198" t="inlineStr">
        <is>
          <t>2024</t>
        </is>
      </c>
      <c r="C198" t="n">
        <v>90.1662693374998</v>
      </c>
    </row>
    <row r="199">
      <c r="A199" t="inlineStr">
        <is>
          <t>VNM</t>
        </is>
      </c>
      <c r="B199" t="inlineStr">
        <is>
          <t>2025</t>
        </is>
      </c>
      <c r="C199" t="n">
        <v>98.24440786376719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iso3</t>
        </is>
      </c>
      <c r="B1" s="10" t="inlineStr">
        <is>
          <t>year</t>
        </is>
      </c>
      <c r="C1" s="10" t="inlineStr">
        <is>
          <t>EG.USE.ELEC.KH.PC</t>
        </is>
      </c>
    </row>
    <row r="2">
      <c r="A2" t="inlineStr">
        <is>
          <t>IND</t>
        </is>
      </c>
      <c r="B2" t="inlineStr">
        <is>
          <t>1960</t>
        </is>
      </c>
    </row>
    <row r="3">
      <c r="A3" t="inlineStr">
        <is>
          <t>IND</t>
        </is>
      </c>
      <c r="B3" t="inlineStr">
        <is>
          <t>1961</t>
        </is>
      </c>
    </row>
    <row r="4">
      <c r="A4" t="inlineStr">
        <is>
          <t>IND</t>
        </is>
      </c>
      <c r="B4" t="inlineStr">
        <is>
          <t>1962</t>
        </is>
      </c>
    </row>
    <row r="5">
      <c r="A5" t="inlineStr">
        <is>
          <t>IND</t>
        </is>
      </c>
      <c r="B5" t="inlineStr">
        <is>
          <t>1963</t>
        </is>
      </c>
    </row>
    <row r="6">
      <c r="A6" t="inlineStr">
        <is>
          <t>IND</t>
        </is>
      </c>
      <c r="B6" t="inlineStr">
        <is>
          <t>1964</t>
        </is>
      </c>
    </row>
    <row r="7">
      <c r="A7" t="inlineStr">
        <is>
          <t>IND</t>
        </is>
      </c>
      <c r="B7" t="inlineStr">
        <is>
          <t>1965</t>
        </is>
      </c>
    </row>
    <row r="8">
      <c r="A8" t="inlineStr">
        <is>
          <t>IND</t>
        </is>
      </c>
      <c r="B8" t="inlineStr">
        <is>
          <t>1966</t>
        </is>
      </c>
    </row>
    <row r="9">
      <c r="A9" t="inlineStr">
        <is>
          <t>IND</t>
        </is>
      </c>
      <c r="B9" t="inlineStr">
        <is>
          <t>1967</t>
        </is>
      </c>
    </row>
    <row r="10">
      <c r="A10" t="inlineStr">
        <is>
          <t>IND</t>
        </is>
      </c>
      <c r="B10" t="inlineStr">
        <is>
          <t>1968</t>
        </is>
      </c>
    </row>
    <row r="11">
      <c r="A11" t="inlineStr">
        <is>
          <t>IND</t>
        </is>
      </c>
      <c r="B11" t="inlineStr">
        <is>
          <t>1969</t>
        </is>
      </c>
    </row>
    <row r="12">
      <c r="A12" t="inlineStr">
        <is>
          <t>IND</t>
        </is>
      </c>
      <c r="B12" t="inlineStr">
        <is>
          <t>1970</t>
        </is>
      </c>
    </row>
    <row r="13">
      <c r="A13" t="inlineStr">
        <is>
          <t>IND</t>
        </is>
      </c>
      <c r="B13" t="inlineStr">
        <is>
          <t>1971</t>
        </is>
      </c>
    </row>
    <row r="14">
      <c r="A14" t="inlineStr">
        <is>
          <t>IND</t>
        </is>
      </c>
      <c r="B14" t="inlineStr">
        <is>
          <t>1972</t>
        </is>
      </c>
    </row>
    <row r="15">
      <c r="A15" t="inlineStr">
        <is>
          <t>IND</t>
        </is>
      </c>
      <c r="B15" t="inlineStr">
        <is>
          <t>1973</t>
        </is>
      </c>
    </row>
    <row r="16">
      <c r="A16" t="inlineStr">
        <is>
          <t>IND</t>
        </is>
      </c>
      <c r="B16" t="inlineStr">
        <is>
          <t>1974</t>
        </is>
      </c>
    </row>
    <row r="17">
      <c r="A17" t="inlineStr">
        <is>
          <t>IND</t>
        </is>
      </c>
      <c r="B17" t="inlineStr">
        <is>
          <t>1975</t>
        </is>
      </c>
    </row>
    <row r="18">
      <c r="A18" t="inlineStr">
        <is>
          <t>IND</t>
        </is>
      </c>
      <c r="B18" t="inlineStr">
        <is>
          <t>1976</t>
        </is>
      </c>
    </row>
    <row r="19">
      <c r="A19" t="inlineStr">
        <is>
          <t>IND</t>
        </is>
      </c>
      <c r="B19" t="inlineStr">
        <is>
          <t>1977</t>
        </is>
      </c>
    </row>
    <row r="20">
      <c r="A20" t="inlineStr">
        <is>
          <t>IND</t>
        </is>
      </c>
      <c r="B20" t="inlineStr">
        <is>
          <t>1978</t>
        </is>
      </c>
    </row>
    <row r="21">
      <c r="A21" t="inlineStr">
        <is>
          <t>IND</t>
        </is>
      </c>
      <c r="B21" t="inlineStr">
        <is>
          <t>1979</t>
        </is>
      </c>
    </row>
    <row r="22">
      <c r="A22" t="inlineStr">
        <is>
          <t>IND</t>
        </is>
      </c>
      <c r="B22" t="inlineStr">
        <is>
          <t>1980</t>
        </is>
      </c>
    </row>
    <row r="23">
      <c r="A23" t="inlineStr">
        <is>
          <t>IND</t>
        </is>
      </c>
      <c r="B23" t="inlineStr">
        <is>
          <t>1981</t>
        </is>
      </c>
    </row>
    <row r="24">
      <c r="A24" t="inlineStr">
        <is>
          <t>IND</t>
        </is>
      </c>
      <c r="B24" t="inlineStr">
        <is>
          <t>1982</t>
        </is>
      </c>
    </row>
    <row r="25">
      <c r="A25" t="inlineStr">
        <is>
          <t>IND</t>
        </is>
      </c>
      <c r="B25" t="inlineStr">
        <is>
          <t>1983</t>
        </is>
      </c>
    </row>
    <row r="26">
      <c r="A26" t="inlineStr">
        <is>
          <t>IND</t>
        </is>
      </c>
      <c r="B26" t="inlineStr">
        <is>
          <t>1984</t>
        </is>
      </c>
    </row>
    <row r="27">
      <c r="A27" t="inlineStr">
        <is>
          <t>IND</t>
        </is>
      </c>
      <c r="B27" t="inlineStr">
        <is>
          <t>1985</t>
        </is>
      </c>
    </row>
    <row r="28">
      <c r="A28" t="inlineStr">
        <is>
          <t>IND</t>
        </is>
      </c>
      <c r="B28" t="inlineStr">
        <is>
          <t>1986</t>
        </is>
      </c>
    </row>
    <row r="29">
      <c r="A29" t="inlineStr">
        <is>
          <t>IND</t>
        </is>
      </c>
      <c r="B29" t="inlineStr">
        <is>
          <t>1987</t>
        </is>
      </c>
    </row>
    <row r="30">
      <c r="A30" t="inlineStr">
        <is>
          <t>IND</t>
        </is>
      </c>
      <c r="B30" t="inlineStr">
        <is>
          <t>1988</t>
        </is>
      </c>
    </row>
    <row r="31">
      <c r="A31" t="inlineStr">
        <is>
          <t>IND</t>
        </is>
      </c>
      <c r="B31" t="inlineStr">
        <is>
          <t>1989</t>
        </is>
      </c>
    </row>
    <row r="32">
      <c r="A32" t="inlineStr">
        <is>
          <t>IND</t>
        </is>
      </c>
      <c r="B32" t="inlineStr">
        <is>
          <t>1990</t>
        </is>
      </c>
      <c r="C32" t="n">
        <v>270.904653711417</v>
      </c>
    </row>
    <row r="33">
      <c r="A33" t="inlineStr">
        <is>
          <t>IND</t>
        </is>
      </c>
      <c r="B33" t="inlineStr">
        <is>
          <t>1991</t>
        </is>
      </c>
      <c r="C33" t="n">
        <v>289.261247188118</v>
      </c>
    </row>
    <row r="34">
      <c r="A34" t="inlineStr">
        <is>
          <t>IND</t>
        </is>
      </c>
      <c r="B34" t="inlineStr">
        <is>
          <t>1992</t>
        </is>
      </c>
      <c r="C34" t="n">
        <v>301.718663103219</v>
      </c>
    </row>
    <row r="35">
      <c r="A35" t="inlineStr">
        <is>
          <t>IND</t>
        </is>
      </c>
      <c r="B35" t="inlineStr">
        <is>
          <t>1993</t>
        </is>
      </c>
      <c r="C35" t="n">
        <v>317.599132745631</v>
      </c>
    </row>
    <row r="36">
      <c r="A36" t="inlineStr">
        <is>
          <t>IND</t>
        </is>
      </c>
      <c r="B36" t="inlineStr">
        <is>
          <t>1994</t>
        </is>
      </c>
      <c r="C36" t="n">
        <v>337.329178121665</v>
      </c>
    </row>
    <row r="37">
      <c r="A37" t="inlineStr">
        <is>
          <t>IND</t>
        </is>
      </c>
      <c r="B37" t="inlineStr">
        <is>
          <t>1995</t>
        </is>
      </c>
      <c r="C37" t="n">
        <v>354.353462516906</v>
      </c>
    </row>
    <row r="38">
      <c r="A38" t="inlineStr">
        <is>
          <t>IND</t>
        </is>
      </c>
      <c r="B38" t="inlineStr">
        <is>
          <t>1996</t>
        </is>
      </c>
      <c r="C38" t="n">
        <v>354.44588697897</v>
      </c>
    </row>
    <row r="39">
      <c r="A39" t="inlineStr">
        <is>
          <t>IND</t>
        </is>
      </c>
      <c r="B39" t="inlineStr">
        <is>
          <t>1997</t>
        </is>
      </c>
      <c r="C39" t="n">
        <v>369.396985706104</v>
      </c>
    </row>
    <row r="40">
      <c r="A40" t="inlineStr">
        <is>
          <t>IND</t>
        </is>
      </c>
      <c r="B40" t="inlineStr">
        <is>
          <t>1998</t>
        </is>
      </c>
      <c r="C40" t="n">
        <v>379.599740476036</v>
      </c>
    </row>
    <row r="41">
      <c r="A41" t="inlineStr">
        <is>
          <t>IND</t>
        </is>
      </c>
      <c r="B41" t="inlineStr">
        <is>
          <t>1999</t>
        </is>
      </c>
      <c r="C41" t="n">
        <v>383.129557354499</v>
      </c>
    </row>
    <row r="42">
      <c r="A42" t="inlineStr">
        <is>
          <t>IND</t>
        </is>
      </c>
      <c r="B42" t="inlineStr">
        <is>
          <t>2000</t>
        </is>
      </c>
      <c r="C42" t="n">
        <v>384.989363868788</v>
      </c>
    </row>
    <row r="43">
      <c r="A43" t="inlineStr">
        <is>
          <t>IND</t>
        </is>
      </c>
      <c r="B43" t="inlineStr">
        <is>
          <t>2001</t>
        </is>
      </c>
      <c r="C43" t="n">
        <v>384.818209820901</v>
      </c>
    </row>
    <row r="44">
      <c r="A44" t="inlineStr">
        <is>
          <t>IND</t>
        </is>
      </c>
      <c r="B44" t="inlineStr">
        <is>
          <t>2002</t>
        </is>
      </c>
      <c r="C44" t="n">
        <v>401.998767529581</v>
      </c>
    </row>
    <row r="45">
      <c r="A45" t="inlineStr">
        <is>
          <t>IND</t>
        </is>
      </c>
      <c r="B45" t="inlineStr">
        <is>
          <t>2003</t>
        </is>
      </c>
      <c r="C45" t="n">
        <v>419.055104155047</v>
      </c>
    </row>
    <row r="46">
      <c r="A46" t="inlineStr">
        <is>
          <t>IND</t>
        </is>
      </c>
      <c r="B46" t="inlineStr">
        <is>
          <t>2004</t>
        </is>
      </c>
      <c r="C46" t="n">
        <v>441.628299383254</v>
      </c>
    </row>
    <row r="47">
      <c r="A47" t="inlineStr">
        <is>
          <t>IND</t>
        </is>
      </c>
      <c r="B47" t="inlineStr">
        <is>
          <t>2005</t>
        </is>
      </c>
      <c r="C47" t="n">
        <v>458.878379944817</v>
      </c>
    </row>
    <row r="48">
      <c r="A48" t="inlineStr">
        <is>
          <t>IND</t>
        </is>
      </c>
      <c r="B48" t="inlineStr">
        <is>
          <t>2006</t>
        </is>
      </c>
      <c r="C48" t="n">
        <v>500.477078242921</v>
      </c>
    </row>
    <row r="49">
      <c r="A49" t="inlineStr">
        <is>
          <t>IND</t>
        </is>
      </c>
      <c r="B49" t="inlineStr">
        <is>
          <t>2007</t>
        </is>
      </c>
      <c r="C49" t="n">
        <v>532.66882746772</v>
      </c>
    </row>
    <row r="50">
      <c r="A50" t="inlineStr">
        <is>
          <t>IND</t>
        </is>
      </c>
      <c r="B50" t="inlineStr">
        <is>
          <t>2008</t>
        </is>
      </c>
      <c r="C50" t="n">
        <v>554.589641266949</v>
      </c>
    </row>
    <row r="51">
      <c r="A51" t="inlineStr">
        <is>
          <t>IND</t>
        </is>
      </c>
      <c r="B51" t="inlineStr">
        <is>
          <t>2009</t>
        </is>
      </c>
      <c r="C51" t="n">
        <v>587.752306297154</v>
      </c>
    </row>
    <row r="52">
      <c r="A52" t="inlineStr">
        <is>
          <t>IND</t>
        </is>
      </c>
      <c r="B52" t="inlineStr">
        <is>
          <t>2010</t>
        </is>
      </c>
      <c r="C52" t="n">
        <v>629.279936795267</v>
      </c>
    </row>
    <row r="53">
      <c r="A53" t="inlineStr">
        <is>
          <t>IND</t>
        </is>
      </c>
      <c r="B53" t="inlineStr">
        <is>
          <t>2011</t>
        </is>
      </c>
      <c r="C53" t="n">
        <v>677.939329766861</v>
      </c>
    </row>
    <row r="54">
      <c r="A54" t="inlineStr">
        <is>
          <t>IND</t>
        </is>
      </c>
      <c r="B54" t="inlineStr">
        <is>
          <t>2012</t>
        </is>
      </c>
      <c r="C54" t="n">
        <v>708.586898841594</v>
      </c>
    </row>
    <row r="55">
      <c r="A55" t="inlineStr">
        <is>
          <t>IND</t>
        </is>
      </c>
      <c r="B55" t="inlineStr">
        <is>
          <t>2013</t>
        </is>
      </c>
      <c r="C55" t="n">
        <v>743.069973191867</v>
      </c>
    </row>
    <row r="56">
      <c r="A56" t="inlineStr">
        <is>
          <t>IND</t>
        </is>
      </c>
      <c r="B56" t="inlineStr">
        <is>
          <t>2014</t>
        </is>
      </c>
      <c r="C56" t="n">
        <v>807.53670586354</v>
      </c>
    </row>
    <row r="57">
      <c r="A57" t="inlineStr">
        <is>
          <t>IND</t>
        </is>
      </c>
      <c r="B57" t="inlineStr">
        <is>
          <t>2015</t>
        </is>
      </c>
      <c r="C57" t="n">
        <v>840.986745110481</v>
      </c>
    </row>
    <row r="58">
      <c r="A58" t="inlineStr">
        <is>
          <t>IND</t>
        </is>
      </c>
      <c r="B58" t="inlineStr">
        <is>
          <t>2016</t>
        </is>
      </c>
      <c r="C58" t="n">
        <v>879.8318527928041</v>
      </c>
    </row>
    <row r="59">
      <c r="A59" t="inlineStr">
        <is>
          <t>IND</t>
        </is>
      </c>
      <c r="B59" t="inlineStr">
        <is>
          <t>2017</t>
        </is>
      </c>
      <c r="C59" t="n">
        <v>918.193068342069</v>
      </c>
    </row>
    <row r="60">
      <c r="A60" t="inlineStr">
        <is>
          <t>IND</t>
        </is>
      </c>
      <c r="B60" t="inlineStr">
        <is>
          <t>2018</t>
        </is>
      </c>
      <c r="C60" t="n">
        <v>970.71487392455</v>
      </c>
    </row>
    <row r="61">
      <c r="A61" t="inlineStr">
        <is>
          <t>IND</t>
        </is>
      </c>
      <c r="B61" t="inlineStr">
        <is>
          <t>2019</t>
        </is>
      </c>
      <c r="C61" t="n">
        <v>988.150501930875</v>
      </c>
    </row>
    <row r="62">
      <c r="A62" t="inlineStr">
        <is>
          <t>IND</t>
        </is>
      </c>
      <c r="B62" t="inlineStr">
        <is>
          <t>2020</t>
        </is>
      </c>
      <c r="C62" t="n">
        <v>901.368922199431</v>
      </c>
    </row>
    <row r="63">
      <c r="A63" t="inlineStr">
        <is>
          <t>IND</t>
        </is>
      </c>
      <c r="B63" t="inlineStr">
        <is>
          <t>2021</t>
        </is>
      </c>
      <c r="C63" t="n">
        <v>963.704034372141</v>
      </c>
    </row>
    <row r="64">
      <c r="A64" t="inlineStr">
        <is>
          <t>IND</t>
        </is>
      </c>
      <c r="B64" t="inlineStr">
        <is>
          <t>2022</t>
        </is>
      </c>
      <c r="C64" t="n">
        <v>1080.69518374028</v>
      </c>
    </row>
    <row r="65">
      <c r="A65" t="inlineStr">
        <is>
          <t>IND</t>
        </is>
      </c>
      <c r="B65" t="inlineStr">
        <is>
          <t>2023</t>
        </is>
      </c>
      <c r="C65" t="n">
        <v>1159.80756747742</v>
      </c>
    </row>
    <row r="66">
      <c r="A66" t="inlineStr">
        <is>
          <t>IND</t>
        </is>
      </c>
      <c r="B66" t="inlineStr">
        <is>
          <t>2024</t>
        </is>
      </c>
      <c r="C66" t="n">
        <v>1222.83150709045</v>
      </c>
    </row>
    <row r="67">
      <c r="A67" t="inlineStr">
        <is>
          <t>IND</t>
        </is>
      </c>
      <c r="B67" t="inlineStr">
        <is>
          <t>2025</t>
        </is>
      </c>
    </row>
    <row r="68">
      <c r="A68" t="inlineStr">
        <is>
          <t>PHL</t>
        </is>
      </c>
      <c r="B68" t="inlineStr">
        <is>
          <t>1960</t>
        </is>
      </c>
    </row>
    <row r="69">
      <c r="A69" t="inlineStr">
        <is>
          <t>PHL</t>
        </is>
      </c>
      <c r="B69" t="inlineStr">
        <is>
          <t>1961</t>
        </is>
      </c>
    </row>
    <row r="70">
      <c r="A70" t="inlineStr">
        <is>
          <t>PHL</t>
        </is>
      </c>
      <c r="B70" t="inlineStr">
        <is>
          <t>1962</t>
        </is>
      </c>
    </row>
    <row r="71">
      <c r="A71" t="inlineStr">
        <is>
          <t>PHL</t>
        </is>
      </c>
      <c r="B71" t="inlineStr">
        <is>
          <t>1963</t>
        </is>
      </c>
    </row>
    <row r="72">
      <c r="A72" t="inlineStr">
        <is>
          <t>PHL</t>
        </is>
      </c>
      <c r="B72" t="inlineStr">
        <is>
          <t>1964</t>
        </is>
      </c>
    </row>
    <row r="73">
      <c r="A73" t="inlineStr">
        <is>
          <t>PHL</t>
        </is>
      </c>
      <c r="B73" t="inlineStr">
        <is>
          <t>1965</t>
        </is>
      </c>
    </row>
    <row r="74">
      <c r="A74" t="inlineStr">
        <is>
          <t>PHL</t>
        </is>
      </c>
      <c r="B74" t="inlineStr">
        <is>
          <t>1966</t>
        </is>
      </c>
    </row>
    <row r="75">
      <c r="A75" t="inlineStr">
        <is>
          <t>PHL</t>
        </is>
      </c>
      <c r="B75" t="inlineStr">
        <is>
          <t>1967</t>
        </is>
      </c>
    </row>
    <row r="76">
      <c r="A76" t="inlineStr">
        <is>
          <t>PHL</t>
        </is>
      </c>
      <c r="B76" t="inlineStr">
        <is>
          <t>1968</t>
        </is>
      </c>
    </row>
    <row r="77">
      <c r="A77" t="inlineStr">
        <is>
          <t>PHL</t>
        </is>
      </c>
      <c r="B77" t="inlineStr">
        <is>
          <t>1969</t>
        </is>
      </c>
    </row>
    <row r="78">
      <c r="A78" t="inlineStr">
        <is>
          <t>PHL</t>
        </is>
      </c>
      <c r="B78" t="inlineStr">
        <is>
          <t>1970</t>
        </is>
      </c>
    </row>
    <row r="79">
      <c r="A79" t="inlineStr">
        <is>
          <t>PHL</t>
        </is>
      </c>
      <c r="B79" t="inlineStr">
        <is>
          <t>1971</t>
        </is>
      </c>
    </row>
    <row r="80">
      <c r="A80" t="inlineStr">
        <is>
          <t>PHL</t>
        </is>
      </c>
      <c r="B80" t="inlineStr">
        <is>
          <t>1972</t>
        </is>
      </c>
    </row>
    <row r="81">
      <c r="A81" t="inlineStr">
        <is>
          <t>PHL</t>
        </is>
      </c>
      <c r="B81" t="inlineStr">
        <is>
          <t>1973</t>
        </is>
      </c>
    </row>
    <row r="82">
      <c r="A82" t="inlineStr">
        <is>
          <t>PHL</t>
        </is>
      </c>
      <c r="B82" t="inlineStr">
        <is>
          <t>1974</t>
        </is>
      </c>
    </row>
    <row r="83">
      <c r="A83" t="inlineStr">
        <is>
          <t>PHL</t>
        </is>
      </c>
      <c r="B83" t="inlineStr">
        <is>
          <t>1975</t>
        </is>
      </c>
    </row>
    <row r="84">
      <c r="A84" t="inlineStr">
        <is>
          <t>PHL</t>
        </is>
      </c>
      <c r="B84" t="inlineStr">
        <is>
          <t>1976</t>
        </is>
      </c>
    </row>
    <row r="85">
      <c r="A85" t="inlineStr">
        <is>
          <t>PHL</t>
        </is>
      </c>
      <c r="B85" t="inlineStr">
        <is>
          <t>1977</t>
        </is>
      </c>
    </row>
    <row r="86">
      <c r="A86" t="inlineStr">
        <is>
          <t>PHL</t>
        </is>
      </c>
      <c r="B86" t="inlineStr">
        <is>
          <t>1978</t>
        </is>
      </c>
    </row>
    <row r="87">
      <c r="A87" t="inlineStr">
        <is>
          <t>PHL</t>
        </is>
      </c>
      <c r="B87" t="inlineStr">
        <is>
          <t>1979</t>
        </is>
      </c>
    </row>
    <row r="88">
      <c r="A88" t="inlineStr">
        <is>
          <t>PHL</t>
        </is>
      </c>
      <c r="B88" t="inlineStr">
        <is>
          <t>1980</t>
        </is>
      </c>
    </row>
    <row r="89">
      <c r="A89" t="inlineStr">
        <is>
          <t>PHL</t>
        </is>
      </c>
      <c r="B89" t="inlineStr">
        <is>
          <t>1981</t>
        </is>
      </c>
    </row>
    <row r="90">
      <c r="A90" t="inlineStr">
        <is>
          <t>PHL</t>
        </is>
      </c>
      <c r="B90" t="inlineStr">
        <is>
          <t>1982</t>
        </is>
      </c>
    </row>
    <row r="91">
      <c r="A91" t="inlineStr">
        <is>
          <t>PHL</t>
        </is>
      </c>
      <c r="B91" t="inlineStr">
        <is>
          <t>1983</t>
        </is>
      </c>
    </row>
    <row r="92">
      <c r="A92" t="inlineStr">
        <is>
          <t>PHL</t>
        </is>
      </c>
      <c r="B92" t="inlineStr">
        <is>
          <t>1984</t>
        </is>
      </c>
    </row>
    <row r="93">
      <c r="A93" t="inlineStr">
        <is>
          <t>PHL</t>
        </is>
      </c>
      <c r="B93" t="inlineStr">
        <is>
          <t>1985</t>
        </is>
      </c>
    </row>
    <row r="94">
      <c r="A94" t="inlineStr">
        <is>
          <t>PHL</t>
        </is>
      </c>
      <c r="B94" t="inlineStr">
        <is>
          <t>1986</t>
        </is>
      </c>
    </row>
    <row r="95">
      <c r="A95" t="inlineStr">
        <is>
          <t>PHL</t>
        </is>
      </c>
      <c r="B95" t="inlineStr">
        <is>
          <t>1987</t>
        </is>
      </c>
    </row>
    <row r="96">
      <c r="A96" t="inlineStr">
        <is>
          <t>PHL</t>
        </is>
      </c>
      <c r="B96" t="inlineStr">
        <is>
          <t>1988</t>
        </is>
      </c>
    </row>
    <row r="97">
      <c r="A97" t="inlineStr">
        <is>
          <t>PHL</t>
        </is>
      </c>
      <c r="B97" t="inlineStr">
        <is>
          <t>1989</t>
        </is>
      </c>
    </row>
    <row r="98">
      <c r="A98" t="inlineStr">
        <is>
          <t>PHL</t>
        </is>
      </c>
      <c r="B98" t="inlineStr">
        <is>
          <t>1990</t>
        </is>
      </c>
      <c r="C98" t="n">
        <v>355.534464219411</v>
      </c>
    </row>
    <row r="99">
      <c r="A99" t="inlineStr">
        <is>
          <t>PHL</t>
        </is>
      </c>
      <c r="B99" t="inlineStr">
        <is>
          <t>1991</t>
        </is>
      </c>
      <c r="C99" t="n">
        <v>349.055839910159</v>
      </c>
    </row>
    <row r="100">
      <c r="A100" t="inlineStr">
        <is>
          <t>PHL</t>
        </is>
      </c>
      <c r="B100" t="inlineStr">
        <is>
          <t>1992</t>
        </is>
      </c>
      <c r="C100" t="n">
        <v>330.657990288372</v>
      </c>
    </row>
    <row r="101">
      <c r="A101" t="inlineStr">
        <is>
          <t>PHL</t>
        </is>
      </c>
      <c r="B101" t="inlineStr">
        <is>
          <t>1993</t>
        </is>
      </c>
      <c r="C101" t="n">
        <v>330.827699629772</v>
      </c>
    </row>
    <row r="102">
      <c r="A102" t="inlineStr">
        <is>
          <t>PHL</t>
        </is>
      </c>
      <c r="B102" t="inlineStr">
        <is>
          <t>1994</t>
        </is>
      </c>
      <c r="C102" t="n">
        <v>372.721881480933</v>
      </c>
    </row>
    <row r="103">
      <c r="A103" t="inlineStr">
        <is>
          <t>PHL</t>
        </is>
      </c>
      <c r="B103" t="inlineStr">
        <is>
          <t>1995</t>
        </is>
      </c>
      <c r="C103" t="n">
        <v>394.337070749307</v>
      </c>
    </row>
    <row r="104">
      <c r="A104" t="inlineStr">
        <is>
          <t>PHL</t>
        </is>
      </c>
      <c r="B104" t="inlineStr">
        <is>
          <t>1996</t>
        </is>
      </c>
      <c r="C104" t="n">
        <v>423.589105020593</v>
      </c>
    </row>
    <row r="105">
      <c r="A105" t="inlineStr">
        <is>
          <t>PHL</t>
        </is>
      </c>
      <c r="B105" t="inlineStr">
        <is>
          <t>1997</t>
        </is>
      </c>
      <c r="C105" t="n">
        <v>456.779103871379</v>
      </c>
    </row>
    <row r="106">
      <c r="A106" t="inlineStr">
        <is>
          <t>PHL</t>
        </is>
      </c>
      <c r="B106" t="inlineStr">
        <is>
          <t>1998</t>
        </is>
      </c>
      <c r="C106" t="n">
        <v>471.652157648642</v>
      </c>
    </row>
    <row r="107">
      <c r="A107" t="inlineStr">
        <is>
          <t>PHL</t>
        </is>
      </c>
      <c r="B107" t="inlineStr">
        <is>
          <t>1999</t>
        </is>
      </c>
      <c r="C107" t="n">
        <v>458.861806907973</v>
      </c>
    </row>
    <row r="108">
      <c r="A108" t="inlineStr">
        <is>
          <t>PHL</t>
        </is>
      </c>
      <c r="B108" t="inlineStr">
        <is>
          <t>2000</t>
        </is>
      </c>
      <c r="C108" t="n">
        <v>489.102741930442</v>
      </c>
    </row>
    <row r="109">
      <c r="A109" t="inlineStr">
        <is>
          <t>PHL</t>
        </is>
      </c>
      <c r="B109" t="inlineStr">
        <is>
          <t>2001</t>
        </is>
      </c>
      <c r="C109" t="n">
        <v>507.926832983692</v>
      </c>
    </row>
    <row r="110">
      <c r="A110" t="inlineStr">
        <is>
          <t>PHL</t>
        </is>
      </c>
      <c r="B110" t="inlineStr">
        <is>
          <t>2002</t>
        </is>
      </c>
      <c r="C110" t="n">
        <v>511.587436783944</v>
      </c>
    </row>
    <row r="111">
      <c r="A111" t="inlineStr">
        <is>
          <t>PHL</t>
        </is>
      </c>
      <c r="B111" t="inlineStr">
        <is>
          <t>2003</t>
        </is>
      </c>
      <c r="C111" t="n">
        <v>544.423474364741</v>
      </c>
    </row>
    <row r="112">
      <c r="A112" t="inlineStr">
        <is>
          <t>PHL</t>
        </is>
      </c>
      <c r="B112" t="inlineStr">
        <is>
          <t>2004</t>
        </is>
      </c>
      <c r="C112" t="n">
        <v>564.052083683471</v>
      </c>
    </row>
    <row r="113">
      <c r="A113" t="inlineStr">
        <is>
          <t>PHL</t>
        </is>
      </c>
      <c r="B113" t="inlineStr">
        <is>
          <t>2005</t>
        </is>
      </c>
      <c r="C113" t="n">
        <v>565.23838255611</v>
      </c>
    </row>
    <row r="114">
      <c r="A114" t="inlineStr">
        <is>
          <t>PHL</t>
        </is>
      </c>
      <c r="B114" t="inlineStr">
        <is>
          <t>2006</t>
        </is>
      </c>
      <c r="C114" t="n">
        <v>557.463582483216</v>
      </c>
    </row>
    <row r="115">
      <c r="A115" t="inlineStr">
        <is>
          <t>PHL</t>
        </is>
      </c>
      <c r="B115" t="inlineStr">
        <is>
          <t>2007</t>
        </is>
      </c>
      <c r="C115" t="n">
        <v>570.9897879536539</v>
      </c>
    </row>
    <row r="116">
      <c r="A116" t="inlineStr">
        <is>
          <t>PHL</t>
        </is>
      </c>
      <c r="B116" t="inlineStr">
        <is>
          <t>2008</t>
        </is>
      </c>
      <c r="C116" t="n">
        <v>573.263417512328</v>
      </c>
    </row>
    <row r="117">
      <c r="A117" t="inlineStr">
        <is>
          <t>PHL</t>
        </is>
      </c>
      <c r="B117" t="inlineStr">
        <is>
          <t>2009</t>
        </is>
      </c>
      <c r="C117" t="n">
        <v>576.2931845090681</v>
      </c>
    </row>
    <row r="118">
      <c r="A118" t="inlineStr">
        <is>
          <t>PHL</t>
        </is>
      </c>
      <c r="B118" t="inlineStr">
        <is>
          <t>2010</t>
        </is>
      </c>
      <c r="C118" t="n">
        <v>622.210803986521</v>
      </c>
    </row>
    <row r="119">
      <c r="A119" t="inlineStr">
        <is>
          <t>PHL</t>
        </is>
      </c>
      <c r="B119" t="inlineStr">
        <is>
          <t>2011</t>
        </is>
      </c>
      <c r="C119" t="n">
        <v>625.922315809972</v>
      </c>
    </row>
    <row r="120">
      <c r="A120" t="inlineStr">
        <is>
          <t>PHL</t>
        </is>
      </c>
      <c r="B120" t="inlineStr">
        <is>
          <t>2012</t>
        </is>
      </c>
      <c r="C120" t="n">
        <v>644.478862259272</v>
      </c>
    </row>
    <row r="121">
      <c r="A121" t="inlineStr">
        <is>
          <t>PHL</t>
        </is>
      </c>
      <c r="B121" t="inlineStr">
        <is>
          <t>2013</t>
        </is>
      </c>
      <c r="C121" t="n">
        <v>661.5147314848761</v>
      </c>
    </row>
    <row r="122">
      <c r="A122" t="inlineStr">
        <is>
          <t>PHL</t>
        </is>
      </c>
      <c r="B122" t="inlineStr">
        <is>
          <t>2014</t>
        </is>
      </c>
      <c r="C122" t="n">
        <v>672.72748123611</v>
      </c>
    </row>
    <row r="123">
      <c r="A123" t="inlineStr">
        <is>
          <t>PHL</t>
        </is>
      </c>
      <c r="B123" t="inlineStr">
        <is>
          <t>2015</t>
        </is>
      </c>
      <c r="C123" t="n">
        <v>711.526646209045</v>
      </c>
    </row>
    <row r="124">
      <c r="A124" t="inlineStr">
        <is>
          <t>PHL</t>
        </is>
      </c>
      <c r="B124" t="inlineStr">
        <is>
          <t>2016</t>
        </is>
      </c>
      <c r="C124" t="n">
        <v>773.030816422382</v>
      </c>
    </row>
    <row r="125">
      <c r="A125" t="inlineStr">
        <is>
          <t>PHL</t>
        </is>
      </c>
      <c r="B125" t="inlineStr">
        <is>
          <t>2017</t>
        </is>
      </c>
      <c r="C125" t="n">
        <v>796.4321541312549</v>
      </c>
    </row>
    <row r="126">
      <c r="A126" t="inlineStr">
        <is>
          <t>PHL</t>
        </is>
      </c>
      <c r="B126" t="inlineStr">
        <is>
          <t>2018</t>
        </is>
      </c>
      <c r="C126" t="n">
        <v>829.139560927657</v>
      </c>
    </row>
    <row r="127">
      <c r="A127" t="inlineStr">
        <is>
          <t>PHL</t>
        </is>
      </c>
      <c r="B127" t="inlineStr">
        <is>
          <t>2019</t>
        </is>
      </c>
      <c r="C127" t="n">
        <v>866.885743448226</v>
      </c>
    </row>
    <row r="128">
      <c r="A128" t="inlineStr">
        <is>
          <t>PHL</t>
        </is>
      </c>
      <c r="B128" t="inlineStr">
        <is>
          <t>2020</t>
        </is>
      </c>
      <c r="C128" t="n">
        <v>821.056050902495</v>
      </c>
    </row>
    <row r="129">
      <c r="A129" t="inlineStr">
        <is>
          <t>PHL</t>
        </is>
      </c>
      <c r="B129" t="inlineStr">
        <is>
          <t>2021</t>
        </is>
      </c>
      <c r="C129" t="n">
        <v>850.196218510985</v>
      </c>
    </row>
    <row r="130">
      <c r="A130" t="inlineStr">
        <is>
          <t>PHL</t>
        </is>
      </c>
      <c r="B130" t="inlineStr">
        <is>
          <t>2022</t>
        </is>
      </c>
      <c r="C130" t="n">
        <v>884.890850679973</v>
      </c>
    </row>
    <row r="131">
      <c r="A131" t="inlineStr">
        <is>
          <t>PHL</t>
        </is>
      </c>
      <c r="B131" t="inlineStr">
        <is>
          <t>2023</t>
        </is>
      </c>
      <c r="C131" t="n">
        <v>924.6661269502461</v>
      </c>
    </row>
    <row r="132">
      <c r="A132" t="inlineStr">
        <is>
          <t>PHL</t>
        </is>
      </c>
      <c r="B132" t="inlineStr">
        <is>
          <t>2024</t>
        </is>
      </c>
      <c r="C132" t="n">
        <v>988.383741640782</v>
      </c>
    </row>
    <row r="133">
      <c r="A133" t="inlineStr">
        <is>
          <t>PHL</t>
        </is>
      </c>
      <c r="B133" t="inlineStr">
        <is>
          <t>2025</t>
        </is>
      </c>
    </row>
    <row r="134">
      <c r="A134" t="inlineStr">
        <is>
          <t>VNM</t>
        </is>
      </c>
      <c r="B134" t="inlineStr">
        <is>
          <t>1960</t>
        </is>
      </c>
    </row>
    <row r="135">
      <c r="A135" t="inlineStr">
        <is>
          <t>VNM</t>
        </is>
      </c>
      <c r="B135" t="inlineStr">
        <is>
          <t>1961</t>
        </is>
      </c>
    </row>
    <row r="136">
      <c r="A136" t="inlineStr">
        <is>
          <t>VNM</t>
        </is>
      </c>
      <c r="B136" t="inlineStr">
        <is>
          <t>1962</t>
        </is>
      </c>
    </row>
    <row r="137">
      <c r="A137" t="inlineStr">
        <is>
          <t>VNM</t>
        </is>
      </c>
      <c r="B137" t="inlineStr">
        <is>
          <t>1963</t>
        </is>
      </c>
    </row>
    <row r="138">
      <c r="A138" t="inlineStr">
        <is>
          <t>VNM</t>
        </is>
      </c>
      <c r="B138" t="inlineStr">
        <is>
          <t>1964</t>
        </is>
      </c>
    </row>
    <row r="139">
      <c r="A139" t="inlineStr">
        <is>
          <t>VNM</t>
        </is>
      </c>
      <c r="B139" t="inlineStr">
        <is>
          <t>1965</t>
        </is>
      </c>
    </row>
    <row r="140">
      <c r="A140" t="inlineStr">
        <is>
          <t>VNM</t>
        </is>
      </c>
      <c r="B140" t="inlineStr">
        <is>
          <t>1966</t>
        </is>
      </c>
    </row>
    <row r="141">
      <c r="A141" t="inlineStr">
        <is>
          <t>VNM</t>
        </is>
      </c>
      <c r="B141" t="inlineStr">
        <is>
          <t>1967</t>
        </is>
      </c>
    </row>
    <row r="142">
      <c r="A142" t="inlineStr">
        <is>
          <t>VNM</t>
        </is>
      </c>
      <c r="B142" t="inlineStr">
        <is>
          <t>1968</t>
        </is>
      </c>
    </row>
    <row r="143">
      <c r="A143" t="inlineStr">
        <is>
          <t>VNM</t>
        </is>
      </c>
      <c r="B143" t="inlineStr">
        <is>
          <t>1969</t>
        </is>
      </c>
    </row>
    <row r="144">
      <c r="A144" t="inlineStr">
        <is>
          <t>VNM</t>
        </is>
      </c>
      <c r="B144" t="inlineStr">
        <is>
          <t>1970</t>
        </is>
      </c>
    </row>
    <row r="145">
      <c r="A145" t="inlineStr">
        <is>
          <t>VNM</t>
        </is>
      </c>
      <c r="B145" t="inlineStr">
        <is>
          <t>1971</t>
        </is>
      </c>
    </row>
    <row r="146">
      <c r="A146" t="inlineStr">
        <is>
          <t>VNM</t>
        </is>
      </c>
      <c r="B146" t="inlineStr">
        <is>
          <t>1972</t>
        </is>
      </c>
    </row>
    <row r="147">
      <c r="A147" t="inlineStr">
        <is>
          <t>VNM</t>
        </is>
      </c>
      <c r="B147" t="inlineStr">
        <is>
          <t>1973</t>
        </is>
      </c>
    </row>
    <row r="148">
      <c r="A148" t="inlineStr">
        <is>
          <t>VNM</t>
        </is>
      </c>
      <c r="B148" t="inlineStr">
        <is>
          <t>1974</t>
        </is>
      </c>
    </row>
    <row r="149">
      <c r="A149" t="inlineStr">
        <is>
          <t>VNM</t>
        </is>
      </c>
      <c r="B149" t="inlineStr">
        <is>
          <t>1975</t>
        </is>
      </c>
    </row>
    <row r="150">
      <c r="A150" t="inlineStr">
        <is>
          <t>VNM</t>
        </is>
      </c>
      <c r="B150" t="inlineStr">
        <is>
          <t>1976</t>
        </is>
      </c>
    </row>
    <row r="151">
      <c r="A151" t="inlineStr">
        <is>
          <t>VNM</t>
        </is>
      </c>
      <c r="B151" t="inlineStr">
        <is>
          <t>1977</t>
        </is>
      </c>
    </row>
    <row r="152">
      <c r="A152" t="inlineStr">
        <is>
          <t>VNM</t>
        </is>
      </c>
      <c r="B152" t="inlineStr">
        <is>
          <t>1978</t>
        </is>
      </c>
    </row>
    <row r="153">
      <c r="A153" t="inlineStr">
        <is>
          <t>VNM</t>
        </is>
      </c>
      <c r="B153" t="inlineStr">
        <is>
          <t>1979</t>
        </is>
      </c>
    </row>
    <row r="154">
      <c r="A154" t="inlineStr">
        <is>
          <t>VNM</t>
        </is>
      </c>
      <c r="B154" t="inlineStr">
        <is>
          <t>1980</t>
        </is>
      </c>
    </row>
    <row r="155">
      <c r="A155" t="inlineStr">
        <is>
          <t>VNM</t>
        </is>
      </c>
      <c r="B155" t="inlineStr">
        <is>
          <t>1981</t>
        </is>
      </c>
    </row>
    <row r="156">
      <c r="A156" t="inlineStr">
        <is>
          <t>VNM</t>
        </is>
      </c>
      <c r="B156" t="inlineStr">
        <is>
          <t>1982</t>
        </is>
      </c>
    </row>
    <row r="157">
      <c r="A157" t="inlineStr">
        <is>
          <t>VNM</t>
        </is>
      </c>
      <c r="B157" t="inlineStr">
        <is>
          <t>1983</t>
        </is>
      </c>
    </row>
    <row r="158">
      <c r="A158" t="inlineStr">
        <is>
          <t>VNM</t>
        </is>
      </c>
      <c r="B158" t="inlineStr">
        <is>
          <t>1984</t>
        </is>
      </c>
    </row>
    <row r="159">
      <c r="A159" t="inlineStr">
        <is>
          <t>VNM</t>
        </is>
      </c>
      <c r="B159" t="inlineStr">
        <is>
          <t>1985</t>
        </is>
      </c>
    </row>
    <row r="160">
      <c r="A160" t="inlineStr">
        <is>
          <t>VNM</t>
        </is>
      </c>
      <c r="B160" t="inlineStr">
        <is>
          <t>1986</t>
        </is>
      </c>
    </row>
    <row r="161">
      <c r="A161" t="inlineStr">
        <is>
          <t>VNM</t>
        </is>
      </c>
      <c r="B161" t="inlineStr">
        <is>
          <t>1987</t>
        </is>
      </c>
    </row>
    <row r="162">
      <c r="A162" t="inlineStr">
        <is>
          <t>VNM</t>
        </is>
      </c>
      <c r="B162" t="inlineStr">
        <is>
          <t>1988</t>
        </is>
      </c>
    </row>
    <row r="163">
      <c r="A163" t="inlineStr">
        <is>
          <t>VNM</t>
        </is>
      </c>
      <c r="B163" t="inlineStr">
        <is>
          <t>1989</t>
        </is>
      </c>
    </row>
    <row r="164">
      <c r="A164" t="inlineStr">
        <is>
          <t>VNM</t>
        </is>
      </c>
      <c r="B164" t="inlineStr">
        <is>
          <t>1990</t>
        </is>
      </c>
      <c r="C164" t="n">
        <v>98.8633583815671</v>
      </c>
    </row>
    <row r="165">
      <c r="A165" t="inlineStr">
        <is>
          <t>VNM</t>
        </is>
      </c>
      <c r="B165" t="inlineStr">
        <is>
          <t>1991</t>
        </is>
      </c>
      <c r="C165" t="n">
        <v>102.538765042488</v>
      </c>
    </row>
    <row r="166">
      <c r="A166" t="inlineStr">
        <is>
          <t>VNM</t>
        </is>
      </c>
      <c r="B166" t="inlineStr">
        <is>
          <t>1992</t>
        </is>
      </c>
      <c r="C166" t="n">
        <v>105.75687606113</v>
      </c>
    </row>
    <row r="167">
      <c r="A167" t="inlineStr">
        <is>
          <t>VNM</t>
        </is>
      </c>
      <c r="B167" t="inlineStr">
        <is>
          <t>1993</t>
        </is>
      </c>
      <c r="C167" t="n">
        <v>116.430823593305</v>
      </c>
    </row>
    <row r="168">
      <c r="A168" t="inlineStr">
        <is>
          <t>VNM</t>
        </is>
      </c>
      <c r="B168" t="inlineStr">
        <is>
          <t>1994</t>
        </is>
      </c>
      <c r="C168" t="n">
        <v>134.416510615411</v>
      </c>
    </row>
    <row r="169">
      <c r="A169" t="inlineStr">
        <is>
          <t>VNM</t>
        </is>
      </c>
      <c r="B169" t="inlineStr">
        <is>
          <t>1995</t>
        </is>
      </c>
      <c r="C169" t="n">
        <v>159.181256778285</v>
      </c>
    </row>
    <row r="170">
      <c r="A170" t="inlineStr">
        <is>
          <t>VNM</t>
        </is>
      </c>
      <c r="B170" t="inlineStr">
        <is>
          <t>1996</t>
        </is>
      </c>
      <c r="C170" t="n">
        <v>186.996506268272</v>
      </c>
    </row>
    <row r="171">
      <c r="A171" t="inlineStr">
        <is>
          <t>VNM</t>
        </is>
      </c>
      <c r="B171" t="inlineStr">
        <is>
          <t>1997</t>
        </is>
      </c>
      <c r="C171" t="n">
        <v>210.840036688052</v>
      </c>
    </row>
    <row r="172">
      <c r="A172" t="inlineStr">
        <is>
          <t>VNM</t>
        </is>
      </c>
      <c r="B172" t="inlineStr">
        <is>
          <t>1998</t>
        </is>
      </c>
      <c r="C172" t="n">
        <v>241.67439799861</v>
      </c>
    </row>
    <row r="173">
      <c r="A173" t="inlineStr">
        <is>
          <t>VNM</t>
        </is>
      </c>
      <c r="B173" t="inlineStr">
        <is>
          <t>1999</t>
        </is>
      </c>
      <c r="C173" t="n">
        <v>262.428479063634</v>
      </c>
    </row>
    <row r="174">
      <c r="A174" t="inlineStr">
        <is>
          <t>VNM</t>
        </is>
      </c>
      <c r="B174" t="inlineStr">
        <is>
          <t>2000</t>
        </is>
      </c>
      <c r="C174" t="n">
        <v>296.860781482897</v>
      </c>
    </row>
    <row r="175">
      <c r="A175" t="inlineStr">
        <is>
          <t>VNM</t>
        </is>
      </c>
      <c r="B175" t="inlineStr">
        <is>
          <t>2001</t>
        </is>
      </c>
      <c r="C175" t="n">
        <v>338.145646723974</v>
      </c>
    </row>
    <row r="176">
      <c r="A176" t="inlineStr">
        <is>
          <t>VNM</t>
        </is>
      </c>
      <c r="B176" t="inlineStr">
        <is>
          <t>2002</t>
        </is>
      </c>
      <c r="C176" t="n">
        <v>390.797649689312</v>
      </c>
    </row>
    <row r="177">
      <c r="A177" t="inlineStr">
        <is>
          <t>VNM</t>
        </is>
      </c>
      <c r="B177" t="inlineStr">
        <is>
          <t>2003</t>
        </is>
      </c>
      <c r="C177" t="n">
        <v>448.105926394118</v>
      </c>
    </row>
    <row r="178">
      <c r="A178" t="inlineStr">
        <is>
          <t>VNM</t>
        </is>
      </c>
      <c r="B178" t="inlineStr">
        <is>
          <t>2004</t>
        </is>
      </c>
      <c r="C178" t="n">
        <v>500.367374633165</v>
      </c>
    </row>
    <row r="179">
      <c r="A179" t="inlineStr">
        <is>
          <t>VNM</t>
        </is>
      </c>
      <c r="B179" t="inlineStr">
        <is>
          <t>2005</t>
        </is>
      </c>
      <c r="C179" t="n">
        <v>589.246442949183</v>
      </c>
    </row>
    <row r="180">
      <c r="A180" t="inlineStr">
        <is>
          <t>VNM</t>
        </is>
      </c>
      <c r="B180" t="inlineStr">
        <is>
          <t>2006</t>
        </is>
      </c>
      <c r="C180" t="n">
        <v>664.444411909435</v>
      </c>
    </row>
    <row r="181">
      <c r="A181" t="inlineStr">
        <is>
          <t>VNM</t>
        </is>
      </c>
      <c r="B181" t="inlineStr">
        <is>
          <t>2007</t>
        </is>
      </c>
      <c r="C181" t="n">
        <v>743.638529474627</v>
      </c>
    </row>
    <row r="182">
      <c r="A182" t="inlineStr">
        <is>
          <t>VNM</t>
        </is>
      </c>
      <c r="B182" t="inlineStr">
        <is>
          <t>2008</t>
        </is>
      </c>
      <c r="C182" t="n">
        <v>812.6135563312901</v>
      </c>
    </row>
    <row r="183">
      <c r="A183" t="inlineStr">
        <is>
          <t>VNM</t>
        </is>
      </c>
      <c r="B183" t="inlineStr">
        <is>
          <t>2009</t>
        </is>
      </c>
      <c r="C183" t="n">
        <v>912.780286490341</v>
      </c>
    </row>
    <row r="184">
      <c r="A184" t="inlineStr">
        <is>
          <t>VNM</t>
        </is>
      </c>
      <c r="B184" t="inlineStr">
        <is>
          <t>2010</t>
        </is>
      </c>
      <c r="C184" t="n">
        <v>1028.42426024255</v>
      </c>
    </row>
    <row r="185">
      <c r="A185" t="inlineStr">
        <is>
          <t>VNM</t>
        </is>
      </c>
      <c r="B185" t="inlineStr">
        <is>
          <t>2011</t>
        </is>
      </c>
      <c r="C185" t="n">
        <v>1107.8316695399</v>
      </c>
    </row>
    <row r="186">
      <c r="A186" t="inlineStr">
        <is>
          <t>VNM</t>
        </is>
      </c>
      <c r="B186" t="inlineStr">
        <is>
          <t>2012</t>
        </is>
      </c>
      <c r="C186" t="n">
        <v>1210.23985202338</v>
      </c>
    </row>
    <row r="187">
      <c r="A187" t="inlineStr">
        <is>
          <t>VNM</t>
        </is>
      </c>
      <c r="B187" t="inlineStr">
        <is>
          <t>2013</t>
        </is>
      </c>
      <c r="C187" t="n">
        <v>1229.96778381361</v>
      </c>
    </row>
    <row r="188">
      <c r="A188" t="inlineStr">
        <is>
          <t>VNM</t>
        </is>
      </c>
      <c r="B188" t="inlineStr">
        <is>
          <t>2014</t>
        </is>
      </c>
      <c r="C188" t="n">
        <v>1384.50680913911</v>
      </c>
    </row>
    <row r="189">
      <c r="A189" t="inlineStr">
        <is>
          <t>VNM</t>
        </is>
      </c>
      <c r="B189" t="inlineStr">
        <is>
          <t>2015</t>
        </is>
      </c>
      <c r="C189" t="n">
        <v>1615.48958410788</v>
      </c>
    </row>
    <row r="190">
      <c r="A190" t="inlineStr">
        <is>
          <t>VNM</t>
        </is>
      </c>
      <c r="B190" t="inlineStr">
        <is>
          <t>2016</t>
        </is>
      </c>
      <c r="C190" t="n">
        <v>1788.72117786832</v>
      </c>
    </row>
    <row r="191">
      <c r="A191" t="inlineStr">
        <is>
          <t>VNM</t>
        </is>
      </c>
      <c r="B191" t="inlineStr">
        <is>
          <t>2017</t>
        </is>
      </c>
      <c r="C191" t="n">
        <v>1918.19498532718</v>
      </c>
    </row>
    <row r="192">
      <c r="A192" t="inlineStr">
        <is>
          <t>VNM</t>
        </is>
      </c>
      <c r="B192" t="inlineStr">
        <is>
          <t>2018</t>
        </is>
      </c>
      <c r="C192" t="n">
        <v>2115.35402394159</v>
      </c>
    </row>
    <row r="193">
      <c r="A193" t="inlineStr">
        <is>
          <t>VNM</t>
        </is>
      </c>
      <c r="B193" t="inlineStr">
        <is>
          <t>2019</t>
        </is>
      </c>
      <c r="C193" t="n">
        <v>2290.2681069016</v>
      </c>
    </row>
    <row r="194">
      <c r="A194" t="inlineStr">
        <is>
          <t>VNM</t>
        </is>
      </c>
      <c r="B194" t="inlineStr">
        <is>
          <t>2020</t>
        </is>
      </c>
      <c r="C194" t="n">
        <v>2312.25398260065</v>
      </c>
    </row>
    <row r="195">
      <c r="A195" t="inlineStr">
        <is>
          <t>VNM</t>
        </is>
      </c>
      <c r="B195" t="inlineStr">
        <is>
          <t>2021</t>
        </is>
      </c>
      <c r="C195" t="n">
        <v>2402.32237906107</v>
      </c>
    </row>
    <row r="196">
      <c r="A196" t="inlineStr">
        <is>
          <t>VNM</t>
        </is>
      </c>
      <c r="B196" t="inlineStr">
        <is>
          <t>2022</t>
        </is>
      </c>
      <c r="C196" t="n">
        <v>2490.88451515492</v>
      </c>
    </row>
    <row r="197">
      <c r="A197" t="inlineStr">
        <is>
          <t>VNM</t>
        </is>
      </c>
      <c r="B197" t="inlineStr">
        <is>
          <t>2023</t>
        </is>
      </c>
      <c r="C197" t="n">
        <v>2550.10872109301</v>
      </c>
    </row>
    <row r="198">
      <c r="A198" t="inlineStr">
        <is>
          <t>VNM</t>
        </is>
      </c>
      <c r="B198" t="inlineStr">
        <is>
          <t>2024</t>
        </is>
      </c>
      <c r="C198" t="n">
        <v>2755.87065139803</v>
      </c>
    </row>
    <row r="199">
      <c r="A199" t="inlineStr">
        <is>
          <t>VNM</t>
        </is>
      </c>
      <c r="B199" t="inlineStr">
        <is>
          <t>2025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REF_AREA</t>
        </is>
      </c>
      <c r="B1" s="10" t="inlineStr">
        <is>
          <t>SEX</t>
        </is>
      </c>
      <c r="C1" s="10" t="inlineStr">
        <is>
          <t>AGE</t>
        </is>
      </c>
      <c r="D1" s="10" t="inlineStr">
        <is>
          <t>TIME_PERIOD</t>
        </is>
      </c>
      <c r="E1" s="10" t="inlineStr">
        <is>
          <t>OBS_VALUE</t>
        </is>
      </c>
      <c r="F1" s="10" t="inlineStr">
        <is>
          <t>UNIT_MULT</t>
        </is>
      </c>
      <c r="G1" s="10" t="inlineStr">
        <is>
          <t>SOURCE</t>
        </is>
      </c>
    </row>
    <row r="2">
      <c r="A2" t="inlineStr">
        <is>
          <t>IND</t>
        </is>
      </c>
      <c r="B2" t="inlineStr">
        <is>
          <t>SEX_T</t>
        </is>
      </c>
      <c r="C2" t="inlineStr">
        <is>
          <t>AGE_YTHADULT_YGE15</t>
        </is>
      </c>
      <c r="D2" t="inlineStr">
        <is>
          <t>2024</t>
        </is>
      </c>
      <c r="E2" t="n">
        <v>21023.748</v>
      </c>
      <c r="F2" t="n">
        <v>3</v>
      </c>
      <c r="G2" t="inlineStr">
        <is>
          <t>LFS - Periodic Labour Force Survey</t>
        </is>
      </c>
    </row>
    <row r="3">
      <c r="A3" t="inlineStr">
        <is>
          <t>IND</t>
        </is>
      </c>
      <c r="B3" t="inlineStr">
        <is>
          <t>SEX_M</t>
        </is>
      </c>
      <c r="C3" t="inlineStr">
        <is>
          <t>AGE_YTHADULT_YGE15</t>
        </is>
      </c>
      <c r="D3" t="inlineStr">
        <is>
          <t>2024</t>
        </is>
      </c>
      <c r="E3" t="n">
        <v>14628.922</v>
      </c>
      <c r="F3" t="n">
        <v>3</v>
      </c>
      <c r="G3" t="inlineStr">
        <is>
          <t>LFS - Periodic Labour Force Survey</t>
        </is>
      </c>
    </row>
    <row r="4">
      <c r="A4" t="inlineStr">
        <is>
          <t>IND</t>
        </is>
      </c>
      <c r="B4" t="inlineStr">
        <is>
          <t>SEX_F</t>
        </is>
      </c>
      <c r="C4" t="inlineStr">
        <is>
          <t>AGE_YTHADULT_YGE15</t>
        </is>
      </c>
      <c r="D4" t="inlineStr">
        <is>
          <t>2024</t>
        </is>
      </c>
      <c r="E4" t="n">
        <v>6394.826</v>
      </c>
      <c r="F4" t="n">
        <v>3</v>
      </c>
      <c r="G4" t="inlineStr">
        <is>
          <t>LFS - Periodic Labour Force Survey</t>
        </is>
      </c>
    </row>
    <row r="5">
      <c r="A5" t="inlineStr">
        <is>
          <t>PHL</t>
        </is>
      </c>
      <c r="B5" t="inlineStr">
        <is>
          <t>SEX_T</t>
        </is>
      </c>
      <c r="C5" t="inlineStr">
        <is>
          <t>AGE_YTHADULT_YGE15</t>
        </is>
      </c>
      <c r="D5" t="inlineStr">
        <is>
          <t>2024</t>
        </is>
      </c>
      <c r="E5" t="n">
        <v>1147.686</v>
      </c>
      <c r="F5" t="n">
        <v>3</v>
      </c>
      <c r="G5" t="inlineStr">
        <is>
          <t>LFS - Labour Force Survey</t>
        </is>
      </c>
    </row>
    <row r="6">
      <c r="A6" t="inlineStr">
        <is>
          <t>PHL</t>
        </is>
      </c>
      <c r="B6" t="inlineStr">
        <is>
          <t>SEX_M</t>
        </is>
      </c>
      <c r="C6" t="inlineStr">
        <is>
          <t>AGE_YTHADULT_YGE15</t>
        </is>
      </c>
      <c r="D6" t="inlineStr">
        <is>
          <t>2024</t>
        </is>
      </c>
      <c r="E6" t="n">
        <v>626.598</v>
      </c>
      <c r="F6" t="n">
        <v>3</v>
      </c>
      <c r="G6" t="inlineStr">
        <is>
          <t>LFS - Labour Force Survey</t>
        </is>
      </c>
    </row>
    <row r="7">
      <c r="A7" t="inlineStr">
        <is>
          <t>PHL</t>
        </is>
      </c>
      <c r="B7" t="inlineStr">
        <is>
          <t>SEX_F</t>
        </is>
      </c>
      <c r="C7" t="inlineStr">
        <is>
          <t>AGE_YTHADULT_YGE15</t>
        </is>
      </c>
      <c r="D7" t="inlineStr">
        <is>
          <t>2024</t>
        </is>
      </c>
      <c r="E7" t="n">
        <v>521.088</v>
      </c>
      <c r="F7" t="n">
        <v>3</v>
      </c>
      <c r="G7" t="inlineStr">
        <is>
          <t>LFS - Labour Force Survey</t>
        </is>
      </c>
    </row>
    <row r="8">
      <c r="A8" t="inlineStr">
        <is>
          <t>VNM</t>
        </is>
      </c>
      <c r="B8" t="inlineStr">
        <is>
          <t>SEX_T</t>
        </is>
      </c>
      <c r="C8" t="inlineStr">
        <is>
          <t>AGE_YTHADULT_YGE15</t>
        </is>
      </c>
      <c r="D8" t="inlineStr">
        <is>
          <t>2024</t>
        </is>
      </c>
      <c r="E8" t="n">
        <v>858.467</v>
      </c>
      <c r="F8" t="n">
        <v>3</v>
      </c>
      <c r="G8" t="inlineStr">
        <is>
          <t>LFS - Labour Force Survey</t>
        </is>
      </c>
    </row>
    <row r="9">
      <c r="A9" t="inlineStr">
        <is>
          <t>VNM</t>
        </is>
      </c>
      <c r="B9" t="inlineStr">
        <is>
          <t>SEX_M</t>
        </is>
      </c>
      <c r="C9" t="inlineStr">
        <is>
          <t>AGE_YTHADULT_YGE15</t>
        </is>
      </c>
      <c r="D9" t="inlineStr">
        <is>
          <t>2024</t>
        </is>
      </c>
      <c r="E9" t="n">
        <v>475.379</v>
      </c>
      <c r="F9" t="n">
        <v>3</v>
      </c>
      <c r="G9" t="inlineStr">
        <is>
          <t>LFS - Labour Force Survey</t>
        </is>
      </c>
    </row>
    <row r="10">
      <c r="A10" t="inlineStr">
        <is>
          <t>VNM</t>
        </is>
      </c>
      <c r="B10" t="inlineStr">
        <is>
          <t>SEX_F</t>
        </is>
      </c>
      <c r="C10" t="inlineStr">
        <is>
          <t>AGE_YTHADULT_YGE15</t>
        </is>
      </c>
      <c r="D10" t="inlineStr">
        <is>
          <t>2024</t>
        </is>
      </c>
      <c r="E10" t="n">
        <v>383.088</v>
      </c>
      <c r="F10" t="n">
        <v>3</v>
      </c>
      <c r="G10" t="inlineStr">
        <is>
          <t>LFS - Labour Force Survey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0" t="inlineStr">
        <is>
          <t>REF_AREA</t>
        </is>
      </c>
      <c r="B1" s="10" t="inlineStr">
        <is>
          <t>SEX</t>
        </is>
      </c>
      <c r="C1" s="10" t="inlineStr">
        <is>
          <t>ECO</t>
        </is>
      </c>
      <c r="D1" s="10" t="inlineStr">
        <is>
          <t>TIME_PERIOD</t>
        </is>
      </c>
      <c r="E1" s="10" t="inlineStr">
        <is>
          <t>OBS_VALUE</t>
        </is>
      </c>
      <c r="F1" s="10" t="inlineStr">
        <is>
          <t>UNIT_MULT</t>
        </is>
      </c>
      <c r="G1" s="10" t="inlineStr">
        <is>
          <t>SOURCE</t>
        </is>
      </c>
    </row>
    <row r="2">
      <c r="A2" t="inlineStr">
        <is>
          <t>IND</t>
        </is>
      </c>
      <c r="B2" t="inlineStr">
        <is>
          <t>SEX_T</t>
        </is>
      </c>
      <c r="C2" t="inlineStr">
        <is>
          <t>ECO_SECTOR_TOTAL</t>
        </is>
      </c>
      <c r="D2" t="inlineStr">
        <is>
          <t>2024</t>
        </is>
      </c>
      <c r="E2" t="n">
        <v>482793.235</v>
      </c>
      <c r="F2" t="n">
        <v>3</v>
      </c>
      <c r="G2" t="inlineStr">
        <is>
          <t>LFS - Periodic Labour Force Survey</t>
        </is>
      </c>
    </row>
    <row r="3">
      <c r="A3" t="inlineStr">
        <is>
          <t>IND</t>
        </is>
      </c>
      <c r="B3" t="inlineStr">
        <is>
          <t>SEX_T</t>
        </is>
      </c>
      <c r="C3" t="inlineStr">
        <is>
          <t>ECO_SECTOR_AGR</t>
        </is>
      </c>
      <c r="D3" t="inlineStr">
        <is>
          <t>2024</t>
        </is>
      </c>
      <c r="E3" t="n">
        <v>204485.977</v>
      </c>
      <c r="F3" t="n">
        <v>3</v>
      </c>
      <c r="G3" t="inlineStr">
        <is>
          <t>LFS - Periodic Labour Force Survey</t>
        </is>
      </c>
    </row>
    <row r="4">
      <c r="A4" t="inlineStr">
        <is>
          <t>IND</t>
        </is>
      </c>
      <c r="B4" t="inlineStr">
        <is>
          <t>SEX_T</t>
        </is>
      </c>
      <c r="C4" t="inlineStr">
        <is>
          <t>ECO_SECTOR_NAG</t>
        </is>
      </c>
      <c r="D4" t="inlineStr">
        <is>
          <t>2024</t>
        </is>
      </c>
      <c r="E4" t="n">
        <v>278307.259</v>
      </c>
      <c r="F4" t="n">
        <v>3</v>
      </c>
      <c r="G4" t="inlineStr">
        <is>
          <t>LFS - Periodic Labour Force Survey</t>
        </is>
      </c>
    </row>
    <row r="5">
      <c r="A5" t="inlineStr">
        <is>
          <t>IND</t>
        </is>
      </c>
      <c r="B5" t="inlineStr">
        <is>
          <t>SEX_T</t>
        </is>
      </c>
      <c r="C5" t="inlineStr">
        <is>
          <t>ECO_SECTOR_IND</t>
        </is>
      </c>
      <c r="D5" t="inlineStr">
        <is>
          <t>2024</t>
        </is>
      </c>
      <c r="E5" t="n">
        <v>122489.102</v>
      </c>
      <c r="F5" t="n">
        <v>3</v>
      </c>
      <c r="G5" t="inlineStr">
        <is>
          <t>LFS - Periodic Labour Force Survey</t>
        </is>
      </c>
    </row>
    <row r="6">
      <c r="A6" t="inlineStr">
        <is>
          <t>IND</t>
        </is>
      </c>
      <c r="B6" t="inlineStr">
        <is>
          <t>SEX_T</t>
        </is>
      </c>
      <c r="C6" t="inlineStr">
        <is>
          <t>ECO_SECTOR_SER</t>
        </is>
      </c>
      <c r="D6" t="inlineStr">
        <is>
          <t>2024</t>
        </is>
      </c>
      <c r="E6" t="n">
        <v>155818.157</v>
      </c>
      <c r="F6" t="n">
        <v>3</v>
      </c>
      <c r="G6" t="inlineStr">
        <is>
          <t>LFS - Periodic Labour Force Survey</t>
        </is>
      </c>
    </row>
    <row r="7">
      <c r="A7" t="inlineStr">
        <is>
          <t>PHL</t>
        </is>
      </c>
      <c r="B7" t="inlineStr">
        <is>
          <t>SEX_T</t>
        </is>
      </c>
      <c r="C7" t="inlineStr">
        <is>
          <t>ECO_SECTOR_TOTAL</t>
        </is>
      </c>
      <c r="D7" t="inlineStr">
        <is>
          <t>2024</t>
        </is>
      </c>
      <c r="E7" t="n">
        <v>47524.318</v>
      </c>
      <c r="F7" t="n">
        <v>3</v>
      </c>
      <c r="G7" t="inlineStr">
        <is>
          <t>LFS - Labour Force Survey</t>
        </is>
      </c>
    </row>
    <row r="8">
      <c r="A8" t="inlineStr">
        <is>
          <t>PHL</t>
        </is>
      </c>
      <c r="B8" t="inlineStr">
        <is>
          <t>SEX_T</t>
        </is>
      </c>
      <c r="C8" t="inlineStr">
        <is>
          <t>ECO_SECTOR_AGR</t>
        </is>
      </c>
      <c r="D8" t="inlineStr">
        <is>
          <t>2024</t>
        </is>
      </c>
      <c r="E8" t="n">
        <v>9858.51</v>
      </c>
      <c r="F8" t="n">
        <v>3</v>
      </c>
      <c r="G8" t="inlineStr">
        <is>
          <t>LFS - Labour Force Survey</t>
        </is>
      </c>
    </row>
    <row r="9">
      <c r="A9" t="inlineStr">
        <is>
          <t>PHL</t>
        </is>
      </c>
      <c r="B9" t="inlineStr">
        <is>
          <t>SEX_T</t>
        </is>
      </c>
      <c r="C9" t="inlineStr">
        <is>
          <t>ECO_SECTOR_NAG</t>
        </is>
      </c>
      <c r="D9" t="inlineStr">
        <is>
          <t>2024</t>
        </is>
      </c>
      <c r="E9" t="n">
        <v>37665.808</v>
      </c>
      <c r="F9" t="n">
        <v>3</v>
      </c>
      <c r="G9" t="inlineStr">
        <is>
          <t>LFS - Labour Force Survey</t>
        </is>
      </c>
    </row>
    <row r="10">
      <c r="A10" t="inlineStr">
        <is>
          <t>PHL</t>
        </is>
      </c>
      <c r="B10" t="inlineStr">
        <is>
          <t>SEX_T</t>
        </is>
      </c>
      <c r="C10" t="inlineStr">
        <is>
          <t>ECO_SECTOR_IND</t>
        </is>
      </c>
      <c r="D10" t="inlineStr">
        <is>
          <t>2024</t>
        </is>
      </c>
      <c r="E10" t="n">
        <v>8649.772000000001</v>
      </c>
      <c r="F10" t="n">
        <v>3</v>
      </c>
      <c r="G10" t="inlineStr">
        <is>
          <t>LFS - Labour Force Survey</t>
        </is>
      </c>
    </row>
    <row r="11">
      <c r="A11" t="inlineStr">
        <is>
          <t>PHL</t>
        </is>
      </c>
      <c r="B11" t="inlineStr">
        <is>
          <t>SEX_T</t>
        </is>
      </c>
      <c r="C11" t="inlineStr">
        <is>
          <t>ECO_SECTOR_SER</t>
        </is>
      </c>
      <c r="D11" t="inlineStr">
        <is>
          <t>2024</t>
        </is>
      </c>
      <c r="E11" t="n">
        <v>29016.036</v>
      </c>
      <c r="F11" t="n">
        <v>3</v>
      </c>
      <c r="G11" t="inlineStr">
        <is>
          <t>LFS - Labour Force Survey</t>
        </is>
      </c>
    </row>
    <row r="12">
      <c r="A12" t="inlineStr">
        <is>
          <t>VNM</t>
        </is>
      </c>
      <c r="B12" t="inlineStr">
        <is>
          <t>SEX_T</t>
        </is>
      </c>
      <c r="C12" t="inlineStr">
        <is>
          <t>ECO_SECTOR_TOTAL</t>
        </is>
      </c>
      <c r="D12" t="inlineStr">
        <is>
          <t>2024</t>
        </is>
      </c>
      <c r="E12" t="n">
        <v>55280.158</v>
      </c>
      <c r="F12" t="n">
        <v>3</v>
      </c>
      <c r="G12" t="inlineStr">
        <is>
          <t>LFS - Labour Force Survey</t>
        </is>
      </c>
    </row>
    <row r="13">
      <c r="A13" t="inlineStr">
        <is>
          <t>VNM</t>
        </is>
      </c>
      <c r="B13" t="inlineStr">
        <is>
          <t>SEX_T</t>
        </is>
      </c>
      <c r="C13" t="inlineStr">
        <is>
          <t>ECO_SECTOR_AGR</t>
        </is>
      </c>
      <c r="D13" t="inlineStr">
        <is>
          <t>2024</t>
        </is>
      </c>
      <c r="E13" t="n">
        <v>13637.057</v>
      </c>
      <c r="F13" t="n">
        <v>3</v>
      </c>
      <c r="G13" t="inlineStr">
        <is>
          <t>LFS - Labour Force Survey</t>
        </is>
      </c>
    </row>
    <row r="14">
      <c r="A14" t="inlineStr">
        <is>
          <t>VNM</t>
        </is>
      </c>
      <c r="B14" t="inlineStr">
        <is>
          <t>SEX_T</t>
        </is>
      </c>
      <c r="C14" t="inlineStr">
        <is>
          <t>ECO_SECTOR_NAG</t>
        </is>
      </c>
      <c r="D14" t="inlineStr">
        <is>
          <t>2024</t>
        </is>
      </c>
      <c r="E14" t="n">
        <v>41643.101</v>
      </c>
      <c r="F14" t="n">
        <v>3</v>
      </c>
      <c r="G14" t="inlineStr">
        <is>
          <t>LFS - Labour Force Survey</t>
        </is>
      </c>
    </row>
    <row r="15">
      <c r="A15" t="inlineStr">
        <is>
          <t>VNM</t>
        </is>
      </c>
      <c r="B15" t="inlineStr">
        <is>
          <t>SEX_T</t>
        </is>
      </c>
      <c r="C15" t="inlineStr">
        <is>
          <t>ECO_SECTOR_IND</t>
        </is>
      </c>
      <c r="D15" t="inlineStr">
        <is>
          <t>2024</t>
        </is>
      </c>
      <c r="E15" t="n">
        <v>17131.226</v>
      </c>
      <c r="F15" t="n">
        <v>3</v>
      </c>
      <c r="G15" t="inlineStr">
        <is>
          <t>LFS - Labour Force Survey</t>
        </is>
      </c>
    </row>
    <row r="16">
      <c r="A16" t="inlineStr">
        <is>
          <t>VNM</t>
        </is>
      </c>
      <c r="B16" t="inlineStr">
        <is>
          <t>SEX_T</t>
        </is>
      </c>
      <c r="C16" t="inlineStr">
        <is>
          <t>ECO_SECTOR_SER</t>
        </is>
      </c>
      <c r="D16" t="inlineStr">
        <is>
          <t>2024</t>
        </is>
      </c>
      <c r="E16" t="n">
        <v>20666.543</v>
      </c>
      <c r="F16" t="n">
        <v>3</v>
      </c>
      <c r="G16" t="inlineStr">
        <is>
          <t>LFS - Labour Force Survey</t>
        </is>
      </c>
    </row>
    <row r="17">
      <c r="A17" t="inlineStr">
        <is>
          <t>VNM</t>
        </is>
      </c>
      <c r="B17" t="inlineStr">
        <is>
          <t>SEX_T</t>
        </is>
      </c>
      <c r="C17" t="inlineStr">
        <is>
          <t>ECO_SECTOR_X</t>
        </is>
      </c>
      <c r="D17" t="inlineStr">
        <is>
          <t>2024</t>
        </is>
      </c>
      <c r="E17" t="n">
        <v>3845.332</v>
      </c>
      <c r="F17" t="n">
        <v>3</v>
      </c>
      <c r="G17" t="inlineStr">
        <is>
          <t>LFS - Labour Force Survey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0" t="inlineStr">
        <is>
          <t>rank i</t>
        </is>
      </c>
      <c r="B1" s="10" t="inlineStr">
        <is>
          <t>ordered x (VNM CPI %)</t>
        </is>
      </c>
      <c r="C1" s="10" t="inlineStr">
        <is>
          <t>year</t>
        </is>
      </c>
      <c r="D1" s="10" t="inlineStr">
        <is>
          <t>z=(x-mean)/s</t>
        </is>
      </c>
      <c r="E1" s="10" t="inlineStr">
        <is>
          <t>F_theoretical</t>
        </is>
      </c>
      <c r="F1" s="10" t="inlineStr">
        <is>
          <t>F_emp upper i/n</t>
        </is>
      </c>
      <c r="G1" s="10" t="inlineStr">
        <is>
          <t>D+ = i/n - F</t>
        </is>
      </c>
      <c r="H1" s="10" t="inlineStr">
        <is>
          <t>D- = F-(i-1)/n</t>
        </is>
      </c>
      <c r="I1" s="10" t="n"/>
      <c r="J1" s="10" t="n"/>
      <c r="K1" s="10" t="n"/>
    </row>
    <row r="2">
      <c r="A2" t="n">
        <v>1</v>
      </c>
      <c r="B2" t="n">
        <v>-1.7103372785111</v>
      </c>
      <c r="C2" t="n">
        <v>2000</v>
      </c>
      <c r="D2">
        <f>(B2-$K$2)/$K$3</f>
        <v/>
      </c>
      <c r="E2">
        <f>NORMSDIST(D2)</f>
        <v/>
      </c>
      <c r="F2">
        <f>A2/$K$4</f>
        <v/>
      </c>
      <c r="G2">
        <f>F2-E2</f>
        <v/>
      </c>
      <c r="H2">
        <f>E2-(A2-1)/$K$4</f>
        <v/>
      </c>
      <c r="J2" t="inlineStr">
        <is>
          <t>mean</t>
        </is>
      </c>
      <c r="K2">
        <f>AVERAGE(B2:B31)</f>
        <v/>
      </c>
    </row>
    <row r="3">
      <c r="A3" t="n">
        <v>2</v>
      </c>
      <c r="B3" t="n">
        <v>-0.43154451172818</v>
      </c>
      <c r="C3" t="n">
        <v>2001</v>
      </c>
      <c r="D3">
        <f>(B3-$K$2)/$K$3</f>
        <v/>
      </c>
      <c r="E3">
        <f>NORMSDIST(D3)</f>
        <v/>
      </c>
      <c r="F3">
        <f>A3/$K$4</f>
        <v/>
      </c>
      <c r="G3">
        <f>F3-E3</f>
        <v/>
      </c>
      <c r="H3">
        <f>E3-(A3-1)/$K$4</f>
        <v/>
      </c>
      <c r="J3" t="inlineStr">
        <is>
          <t>sd (n-1)</t>
        </is>
      </c>
      <c r="K3">
        <f>STDEV(B2:B31)</f>
        <v/>
      </c>
    </row>
    <row r="4">
      <c r="A4" t="n">
        <v>3</v>
      </c>
      <c r="B4" t="n">
        <v>0.6312009051756839</v>
      </c>
      <c r="C4" t="n">
        <v>2015</v>
      </c>
      <c r="D4">
        <f>(B4-$K$2)/$K$3</f>
        <v/>
      </c>
      <c r="E4">
        <f>NORMSDIST(D4)</f>
        <v/>
      </c>
      <c r="F4">
        <f>A4/$K$4</f>
        <v/>
      </c>
      <c r="G4">
        <f>F4-E4</f>
        <v/>
      </c>
      <c r="H4">
        <f>E4-(A4-1)/$K$4</f>
        <v/>
      </c>
      <c r="J4" t="inlineStr">
        <is>
          <t>n</t>
        </is>
      </c>
      <c r="K4">
        <f>COUNT(B2:B31)</f>
        <v/>
      </c>
    </row>
    <row r="5">
      <c r="A5" t="n">
        <v>4</v>
      </c>
      <c r="B5" t="n">
        <v>1.83471554810461</v>
      </c>
      <c r="C5" t="n">
        <v>2021</v>
      </c>
      <c r="D5">
        <f>(B5-$K$2)/$K$3</f>
        <v/>
      </c>
      <c r="E5">
        <f>NORMSDIST(D5)</f>
        <v/>
      </c>
      <c r="F5">
        <f>A5/$K$4</f>
        <v/>
      </c>
      <c r="G5">
        <f>F5-E5</f>
        <v/>
      </c>
      <c r="H5">
        <f>E5-(A5-1)/$K$4</f>
        <v/>
      </c>
      <c r="J5" t="inlineStr">
        <is>
          <t>D = max(D+,D-)</t>
        </is>
      </c>
      <c r="K5">
        <f>MAX(G2:H31)</f>
        <v/>
      </c>
    </row>
    <row r="6">
      <c r="A6" t="n">
        <v>5</v>
      </c>
      <c r="B6" t="n">
        <v>2.66824816969082</v>
      </c>
      <c r="C6" t="n">
        <v>2016</v>
      </c>
      <c r="D6">
        <f>(B6-$K$2)/$K$3</f>
        <v/>
      </c>
      <c r="E6">
        <f>NORMSDIST(D6)</f>
        <v/>
      </c>
      <c r="F6">
        <f>A6/$K$4</f>
        <v/>
      </c>
      <c r="G6">
        <f>F6-E6</f>
        <v/>
      </c>
      <c r="H6">
        <f>E6-(A6-1)/$K$4</f>
        <v/>
      </c>
      <c r="J6" t="inlineStr">
        <is>
          <t>Lilliefors crit 5% (n=30)</t>
        </is>
      </c>
      <c r="K6" t="n">
        <v>0.161</v>
      </c>
    </row>
    <row r="7">
      <c r="A7" t="n">
        <v>6</v>
      </c>
      <c r="B7" t="n">
        <v>2.79582367452243</v>
      </c>
      <c r="C7" t="n">
        <v>2019</v>
      </c>
      <c r="D7">
        <f>(B7-$K$2)/$K$3</f>
        <v/>
      </c>
      <c r="E7">
        <f>NORMSDIST(D7)</f>
        <v/>
      </c>
      <c r="F7">
        <f>A7/$K$4</f>
        <v/>
      </c>
      <c r="G7">
        <f>F7-E7</f>
        <v/>
      </c>
      <c r="H7">
        <f>E7-(A7-1)/$K$4</f>
        <v/>
      </c>
      <c r="J7" t="inlineStr">
        <is>
          <t>Reject H0?</t>
        </is>
      </c>
      <c r="K7">
        <f>IF(K5&gt;K6,"REJECT normality","do not reject")</f>
        <v/>
      </c>
    </row>
    <row r="8">
      <c r="A8" t="n">
        <v>7</v>
      </c>
      <c r="B8" t="n">
        <v>3.15650749963111</v>
      </c>
      <c r="C8" t="n">
        <v>2022</v>
      </c>
      <c r="D8">
        <f>(B8-$K$2)/$K$3</f>
        <v/>
      </c>
      <c r="E8">
        <f>NORMSDIST(D8)</f>
        <v/>
      </c>
      <c r="F8">
        <f>A8/$K$4</f>
        <v/>
      </c>
      <c r="G8">
        <f>F8-E8</f>
        <v/>
      </c>
      <c r="H8">
        <f>E8-(A8-1)/$K$4</f>
        <v/>
      </c>
    </row>
    <row r="9">
      <c r="A9" t="n">
        <v>8</v>
      </c>
      <c r="B9" t="n">
        <v>3.20952606261374</v>
      </c>
      <c r="C9" t="n">
        <v>1997</v>
      </c>
      <c r="D9">
        <f>(B9-$K$2)/$K$3</f>
        <v/>
      </c>
      <c r="E9">
        <f>NORMSDIST(D9)</f>
        <v/>
      </c>
      <c r="F9">
        <f>A9/$K$4</f>
        <v/>
      </c>
      <c r="G9">
        <f>F9-E9</f>
        <v/>
      </c>
      <c r="H9">
        <f>E9-(A9-1)/$K$4</f>
        <v/>
      </c>
      <c r="J9" t="inlineStr">
        <is>
          <t>Python p (statsmodels, table)</t>
        </is>
      </c>
      <c r="K9" t="n">
        <v>0.0016886936018536</v>
      </c>
    </row>
    <row r="10">
      <c r="A10" t="n">
        <v>9</v>
      </c>
      <c r="B10" t="n">
        <v>3.22093436652514</v>
      </c>
      <c r="C10" t="n">
        <v>2020</v>
      </c>
      <c r="D10">
        <f>(B10-$K$2)/$K$3</f>
        <v/>
      </c>
      <c r="E10">
        <f>NORMSDIST(D10)</f>
        <v/>
      </c>
      <c r="F10">
        <f>A10/$K$4</f>
        <v/>
      </c>
      <c r="G10">
        <f>F10-E10</f>
        <v/>
      </c>
      <c r="H10">
        <f>E10-(A10-1)/$K$4</f>
        <v/>
      </c>
    </row>
    <row r="11">
      <c r="A11" t="n">
        <v>10</v>
      </c>
      <c r="B11" t="n">
        <v>3.23464817293925</v>
      </c>
      <c r="C11" t="n">
        <v>2003</v>
      </c>
      <c r="D11">
        <f>(B11-$K$2)/$K$3</f>
        <v/>
      </c>
      <c r="E11">
        <f>NORMSDIST(D11)</f>
        <v/>
      </c>
      <c r="F11">
        <f>A11/$K$4</f>
        <v/>
      </c>
      <c r="G11">
        <f>F11-E11</f>
        <v/>
      </c>
      <c r="H11">
        <f>E11-(A11-1)/$K$4</f>
        <v/>
      </c>
    </row>
    <row r="12">
      <c r="A12" t="n">
        <v>11</v>
      </c>
      <c r="B12" t="n">
        <v>3.25289282667662</v>
      </c>
      <c r="C12" t="n">
        <v>2023</v>
      </c>
      <c r="D12">
        <f>(B12-$K$2)/$K$3</f>
        <v/>
      </c>
      <c r="E12">
        <f>NORMSDIST(D12)</f>
        <v/>
      </c>
      <c r="F12">
        <f>A12/$K$4</f>
        <v/>
      </c>
      <c r="G12">
        <f>F12-E12</f>
        <v/>
      </c>
      <c r="H12">
        <f>E12-(A12-1)/$K$4</f>
        <v/>
      </c>
    </row>
    <row r="13">
      <c r="A13" t="n">
        <v>12</v>
      </c>
      <c r="B13" t="n">
        <v>3.30999314219739</v>
      </c>
      <c r="C13" t="n">
        <v>2025</v>
      </c>
      <c r="D13">
        <f>(B13-$K$2)/$K$3</f>
        <v/>
      </c>
      <c r="E13">
        <f>NORMSDIST(D13)</f>
        <v/>
      </c>
      <c r="F13">
        <f>A13/$K$4</f>
        <v/>
      </c>
      <c r="G13">
        <f>F13-E13</f>
        <v/>
      </c>
      <c r="H13">
        <f>E13-(A13-1)/$K$4</f>
        <v/>
      </c>
    </row>
    <row r="14">
      <c r="A14" t="n">
        <v>13</v>
      </c>
      <c r="B14" t="n">
        <v>3.52025688811617</v>
      </c>
      <c r="C14" t="n">
        <v>2017</v>
      </c>
      <c r="D14">
        <f>(B14-$K$2)/$K$3</f>
        <v/>
      </c>
      <c r="E14">
        <f>NORMSDIST(D14)</f>
        <v/>
      </c>
      <c r="F14">
        <f>A14/$K$4</f>
        <v/>
      </c>
      <c r="G14">
        <f>F14-E14</f>
        <v/>
      </c>
      <c r="H14">
        <f>E14-(A14-1)/$K$4</f>
        <v/>
      </c>
    </row>
    <row r="15">
      <c r="A15" t="n">
        <v>14</v>
      </c>
      <c r="B15" t="n">
        <v>3.53962805942641</v>
      </c>
      <c r="C15" t="n">
        <v>2018</v>
      </c>
      <c r="D15">
        <f>(B15-$K$2)/$K$3</f>
        <v/>
      </c>
      <c r="E15">
        <f>NORMSDIST(D15)</f>
        <v/>
      </c>
      <c r="F15">
        <f>A15/$K$4</f>
        <v/>
      </c>
      <c r="G15">
        <f>F15-E15</f>
        <v/>
      </c>
      <c r="H15">
        <f>E15-(A15-1)/$K$4</f>
        <v/>
      </c>
    </row>
    <row r="16">
      <c r="A16" t="n">
        <v>15</v>
      </c>
      <c r="B16" t="n">
        <v>3.62109273885843</v>
      </c>
      <c r="C16" t="n">
        <v>2024</v>
      </c>
      <c r="D16">
        <f>(B16-$K$2)/$K$3</f>
        <v/>
      </c>
      <c r="E16">
        <f>NORMSDIST(D16)</f>
        <v/>
      </c>
      <c r="F16">
        <f>A16/$K$4</f>
        <v/>
      </c>
      <c r="G16">
        <f>F16-E16</f>
        <v/>
      </c>
      <c r="H16">
        <f>E16-(A16-1)/$K$4</f>
        <v/>
      </c>
    </row>
    <row r="17">
      <c r="A17" t="n">
        <v>16</v>
      </c>
      <c r="B17" t="n">
        <v>3.83082838168467</v>
      </c>
      <c r="C17" t="n">
        <v>2002</v>
      </c>
      <c r="D17">
        <f>(B17-$K$2)/$K$3</f>
        <v/>
      </c>
      <c r="E17">
        <f>NORMSDIST(D17)</f>
        <v/>
      </c>
      <c r="F17">
        <f>A17/$K$4</f>
        <v/>
      </c>
      <c r="G17">
        <f>F17-E17</f>
        <v/>
      </c>
      <c r="H17">
        <f>E17-(A17-1)/$K$4</f>
        <v/>
      </c>
    </row>
    <row r="18">
      <c r="A18" t="n">
        <v>17</v>
      </c>
      <c r="B18" t="n">
        <v>4.08455446637624</v>
      </c>
      <c r="C18" t="n">
        <v>2014</v>
      </c>
      <c r="D18">
        <f>(B18-$K$2)/$K$3</f>
        <v/>
      </c>
      <c r="E18">
        <f>NORMSDIST(D18)</f>
        <v/>
      </c>
      <c r="F18">
        <f>A18/$K$4</f>
        <v/>
      </c>
      <c r="G18">
        <f>F18-E18</f>
        <v/>
      </c>
      <c r="H18">
        <f>E18-(A18-1)/$K$4</f>
        <v/>
      </c>
    </row>
    <row r="19">
      <c r="A19" t="n">
        <v>18</v>
      </c>
      <c r="B19" t="n">
        <v>4.11710235771735</v>
      </c>
      <c r="C19" t="n">
        <v>1999</v>
      </c>
      <c r="D19">
        <f>(B19-$K$2)/$K$3</f>
        <v/>
      </c>
      <c r="E19">
        <f>NORMSDIST(D19)</f>
        <v/>
      </c>
      <c r="F19">
        <f>A19/$K$4</f>
        <v/>
      </c>
      <c r="G19">
        <f>F19-E19</f>
        <v/>
      </c>
      <c r="H19">
        <f>E19-(A19-1)/$K$4</f>
        <v/>
      </c>
    </row>
    <row r="20">
      <c r="A20" t="n">
        <v>19</v>
      </c>
      <c r="B20" t="n">
        <v>5.67499999999991</v>
      </c>
      <c r="C20" t="n">
        <v>1996</v>
      </c>
      <c r="D20">
        <f>(B20-$K$2)/$K$3</f>
        <v/>
      </c>
      <c r="E20">
        <f>NORMSDIST(D20)</f>
        <v/>
      </c>
      <c r="F20">
        <f>A20/$K$4</f>
        <v/>
      </c>
      <c r="G20">
        <f>F20-E20</f>
        <v/>
      </c>
      <c r="H20">
        <f>E20-(A20-1)/$K$4</f>
        <v/>
      </c>
    </row>
    <row r="21">
      <c r="A21" t="n">
        <v>20</v>
      </c>
      <c r="B21" t="n">
        <v>6.59267475899192</v>
      </c>
      <c r="C21" t="n">
        <v>2013</v>
      </c>
      <c r="D21">
        <f>(B21-$K$2)/$K$3</f>
        <v/>
      </c>
      <c r="E21">
        <f>NORMSDIST(D21)</f>
        <v/>
      </c>
      <c r="F21">
        <f>A21/$K$4</f>
        <v/>
      </c>
      <c r="G21">
        <f>F21-E21</f>
        <v/>
      </c>
      <c r="H21">
        <f>E21-(A21-1)/$K$4</f>
        <v/>
      </c>
    </row>
    <row r="22">
      <c r="A22" t="n">
        <v>21</v>
      </c>
      <c r="B22" t="n">
        <v>6.71698269988631</v>
      </c>
      <c r="C22" t="n">
        <v>2009</v>
      </c>
      <c r="D22">
        <f>(B22-$K$2)/$K$3</f>
        <v/>
      </c>
      <c r="E22">
        <f>NORMSDIST(D22)</f>
        <v/>
      </c>
      <c r="F22">
        <f>A22/$K$4</f>
        <v/>
      </c>
      <c r="G22">
        <f>F22-E22</f>
        <v/>
      </c>
      <c r="H22">
        <f>E22-(A22-1)/$K$4</f>
        <v/>
      </c>
    </row>
    <row r="23">
      <c r="A23" t="n">
        <v>22</v>
      </c>
      <c r="B23" t="n">
        <v>7.26619804400963</v>
      </c>
      <c r="C23" t="n">
        <v>1998</v>
      </c>
      <c r="D23">
        <f>(B23-$K$2)/$K$3</f>
        <v/>
      </c>
      <c r="E23">
        <f>NORMSDIST(D23)</f>
        <v/>
      </c>
      <c r="F23">
        <f>A23/$K$4</f>
        <v/>
      </c>
      <c r="G23">
        <f>F23-E23</f>
        <v/>
      </c>
      <c r="H23">
        <f>E23-(A23-1)/$K$4</f>
        <v/>
      </c>
    </row>
    <row r="24">
      <c r="A24" t="n">
        <v>23</v>
      </c>
      <c r="B24" t="n">
        <v>7.41801715108469</v>
      </c>
      <c r="C24" t="n">
        <v>2006</v>
      </c>
      <c r="D24">
        <f>(B24-$K$2)/$K$3</f>
        <v/>
      </c>
      <c r="E24">
        <f>NORMSDIST(D24)</f>
        <v/>
      </c>
      <c r="F24">
        <f>A24/$K$4</f>
        <v/>
      </c>
      <c r="G24">
        <f>F24-E24</f>
        <v/>
      </c>
      <c r="H24">
        <f>E24-(A24-1)/$K$4</f>
        <v/>
      </c>
    </row>
    <row r="25">
      <c r="A25" t="n">
        <v>24</v>
      </c>
      <c r="B25" t="n">
        <v>7.75494748709606</v>
      </c>
      <c r="C25" t="n">
        <v>2004</v>
      </c>
      <c r="D25">
        <f>(B25-$K$2)/$K$3</f>
        <v/>
      </c>
      <c r="E25">
        <f>NORMSDIST(D25)</f>
        <v/>
      </c>
      <c r="F25">
        <f>A25/$K$4</f>
        <v/>
      </c>
      <c r="G25">
        <f>F25-E25</f>
        <v/>
      </c>
      <c r="H25">
        <f>E25-(A25-1)/$K$4</f>
        <v/>
      </c>
    </row>
    <row r="26">
      <c r="A26" t="n">
        <v>25</v>
      </c>
      <c r="B26" t="n">
        <v>8.284572431286669</v>
      </c>
      <c r="C26" t="n">
        <v>2005</v>
      </c>
      <c r="D26">
        <f>(B26-$K$2)/$K$3</f>
        <v/>
      </c>
      <c r="E26">
        <f>NORMSDIST(D26)</f>
        <v/>
      </c>
      <c r="F26">
        <f>A26/$K$4</f>
        <v/>
      </c>
      <c r="G26">
        <f>F26-E26</f>
        <v/>
      </c>
      <c r="H26">
        <f>E26-(A26-1)/$K$4</f>
        <v/>
      </c>
    </row>
    <row r="27">
      <c r="A27" t="n">
        <v>26</v>
      </c>
      <c r="B27" t="n">
        <v>8.344448897738459</v>
      </c>
      <c r="C27" t="n">
        <v>2007</v>
      </c>
      <c r="D27">
        <f>(B27-$K$2)/$K$3</f>
        <v/>
      </c>
      <c r="E27">
        <f>NORMSDIST(D27)</f>
        <v/>
      </c>
      <c r="F27">
        <f>A27/$K$4</f>
        <v/>
      </c>
      <c r="G27">
        <f>F27-E27</f>
        <v/>
      </c>
      <c r="H27">
        <f>E27-(A27-1)/$K$4</f>
        <v/>
      </c>
    </row>
    <row r="28">
      <c r="A28" t="n">
        <v>27</v>
      </c>
      <c r="B28" t="n">
        <v>9.094703395571919</v>
      </c>
      <c r="C28" t="n">
        <v>2012</v>
      </c>
      <c r="D28">
        <f>(B28-$K$2)/$K$3</f>
        <v/>
      </c>
      <c r="E28">
        <f>NORMSDIST(D28)</f>
        <v/>
      </c>
      <c r="F28">
        <f>A28/$K$4</f>
        <v/>
      </c>
      <c r="G28">
        <f>F28-E28</f>
        <v/>
      </c>
      <c r="H28">
        <f>E28-(A28-1)/$K$4</f>
        <v/>
      </c>
    </row>
    <row r="29">
      <c r="A29" t="n">
        <v>28</v>
      </c>
      <c r="B29" t="n">
        <v>9.207466487784121</v>
      </c>
      <c r="C29" t="n">
        <v>2010</v>
      </c>
      <c r="D29">
        <f>(B29-$K$2)/$K$3</f>
        <v/>
      </c>
      <c r="E29">
        <f>NORMSDIST(D29)</f>
        <v/>
      </c>
      <c r="F29">
        <f>A29/$K$4</f>
        <v/>
      </c>
      <c r="G29">
        <f>F29-E29</f>
        <v/>
      </c>
      <c r="H29">
        <f>E29-(A29-1)/$K$4</f>
        <v/>
      </c>
    </row>
    <row r="30">
      <c r="A30" t="n">
        <v>29</v>
      </c>
      <c r="B30" t="n">
        <v>18.6777322770706</v>
      </c>
      <c r="C30" t="n">
        <v>2011</v>
      </c>
      <c r="D30">
        <f>(B30-$K$2)/$K$3</f>
        <v/>
      </c>
      <c r="E30">
        <f>NORMSDIST(D30)</f>
        <v/>
      </c>
      <c r="F30">
        <f>A30/$K$4</f>
        <v/>
      </c>
      <c r="G30">
        <f>F30-E30</f>
        <v/>
      </c>
      <c r="H30">
        <f>E30-(A30-1)/$K$4</f>
        <v/>
      </c>
    </row>
    <row r="31">
      <c r="A31" t="n">
        <v>30</v>
      </c>
      <c r="B31" t="n">
        <v>23.1154483474477</v>
      </c>
      <c r="C31" t="n">
        <v>2008</v>
      </c>
      <c r="D31">
        <f>(B31-$K$2)/$K$3</f>
        <v/>
      </c>
      <c r="E31">
        <f>NORMSDIST(D31)</f>
        <v/>
      </c>
      <c r="F31">
        <f>A31/$K$4</f>
        <v/>
      </c>
      <c r="G31">
        <f>F31-E31</f>
        <v/>
      </c>
      <c r="H31">
        <f>E31-(A31-1)/$K$4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OBSERVED (persons = thousands x 1000)</t>
        </is>
      </c>
      <c r="B1" s="7" t="inlineStr">
        <is>
          <t>Unemployed</t>
        </is>
      </c>
      <c r="C1" s="7" t="inlineStr">
        <is>
          <t>Employed</t>
        </is>
      </c>
      <c r="D1" s="7" t="inlineStr">
        <is>
          <t>Row total</t>
        </is>
      </c>
    </row>
    <row r="2">
      <c r="A2" t="inlineStr">
        <is>
          <t>Viet Nam</t>
        </is>
      </c>
      <c r="B2" t="n">
        <v>858467</v>
      </c>
      <c r="C2" t="n">
        <v>55280158</v>
      </c>
      <c r="D2">
        <f>SUM(B2:C2)</f>
        <v/>
      </c>
    </row>
    <row r="3">
      <c r="A3" t="inlineStr">
        <is>
          <t>Philippines</t>
        </is>
      </c>
      <c r="B3" t="n">
        <v>1147686</v>
      </c>
      <c r="C3" t="n">
        <v>47524318</v>
      </c>
      <c r="D3">
        <f>SUM(B3:C3)</f>
        <v/>
      </c>
    </row>
    <row r="4">
      <c r="A4" t="inlineStr">
        <is>
          <t>Col total</t>
        </is>
      </c>
      <c r="B4">
        <f>SUM(B2:B3)</f>
        <v/>
      </c>
      <c r="C4">
        <f>SUM(C2:C3)</f>
        <v/>
      </c>
      <c r="D4">
        <f>SUM(D2:D3)</f>
        <v/>
      </c>
    </row>
    <row r="6">
      <c r="A6" s="7" t="inlineStr">
        <is>
          <t>EXPECTED = row total x col total / N</t>
        </is>
      </c>
      <c r="B6" s="7" t="inlineStr">
        <is>
          <t>Unemployed</t>
        </is>
      </c>
      <c r="C6" s="7" t="inlineStr">
        <is>
          <t>Employed</t>
        </is>
      </c>
      <c r="D6" s="7" t="n"/>
    </row>
    <row r="7">
      <c r="A7" t="inlineStr">
        <is>
          <t>Viet Nam</t>
        </is>
      </c>
      <c r="B7">
        <f>$D2*B$4/$D$4</f>
        <v/>
      </c>
      <c r="C7">
        <f>$D2*C$4/$D$4</f>
        <v/>
      </c>
    </row>
    <row r="8">
      <c r="A8" t="inlineStr">
        <is>
          <t>Philippines</t>
        </is>
      </c>
      <c r="B8">
        <f>$D3*B$4/$D$4</f>
        <v/>
      </c>
      <c r="C8">
        <f>$D3*C$4/$D$4</f>
        <v/>
      </c>
    </row>
    <row r="10">
      <c r="A10" t="inlineStr">
        <is>
          <t>(O-E)^2/E</t>
        </is>
      </c>
      <c r="B10" t="inlineStr">
        <is>
          <t>Unemployed</t>
        </is>
      </c>
      <c r="C10" t="inlineStr">
        <is>
          <t>Employed</t>
        </is>
      </c>
    </row>
    <row r="11">
      <c r="A11" t="inlineStr">
        <is>
          <t>Viet Nam</t>
        </is>
      </c>
      <c r="B11">
        <f>(B2-B7)^2/B7</f>
        <v/>
      </c>
      <c r="C11">
        <f>(C2-C7)^2/C7</f>
        <v/>
      </c>
    </row>
    <row r="12">
      <c r="A12" t="inlineStr">
        <is>
          <t>Philippines</t>
        </is>
      </c>
      <c r="B12">
        <f>(B3-B8)^2/B8</f>
        <v/>
      </c>
      <c r="C12">
        <f>(C3-C8)^2/C8</f>
        <v/>
      </c>
    </row>
    <row r="14">
      <c r="A14" t="inlineStr">
        <is>
          <t>Chi-square</t>
        </is>
      </c>
      <c r="B14">
        <f>SUM(B11:C12)</f>
        <v/>
      </c>
    </row>
    <row r="15">
      <c r="A15" t="inlineStr">
        <is>
          <t>df</t>
        </is>
      </c>
      <c r="B15" t="n">
        <v>1</v>
      </c>
    </row>
    <row r="16">
      <c r="A16" t="inlineStr">
        <is>
          <t>p-value</t>
        </is>
      </c>
      <c r="B16">
        <f>CHIDIST(B14,B15)</f>
        <v/>
      </c>
    </row>
    <row r="17">
      <c r="A17" t="inlineStr">
        <is>
          <t>Cramer's V</t>
        </is>
      </c>
      <c r="B17">
        <f>SQRT(B14/(B4*0+D4*1))</f>
        <v/>
      </c>
    </row>
    <row r="19">
      <c r="A19" t="inlineStr">
        <is>
          <t>ILO weighted survey estimates, 2024, age 15+. Naive chi-square on these counts overstates significance (see report). Sensitivity with illustrative n_eff in Results sheet.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OBSERVED (persons = thousands x 1000)</t>
        </is>
      </c>
      <c r="B1" s="7" t="inlineStr">
        <is>
          <t>Agriculture</t>
        </is>
      </c>
      <c r="C1" s="7" t="inlineStr">
        <is>
          <t>Industry</t>
        </is>
      </c>
      <c r="D1" s="7" t="inlineStr">
        <is>
          <t>Services</t>
        </is>
      </c>
      <c r="E1" s="7" t="inlineStr">
        <is>
          <t>Row total</t>
        </is>
      </c>
    </row>
    <row r="2">
      <c r="A2" t="inlineStr">
        <is>
          <t>Viet Nam</t>
        </is>
      </c>
      <c r="B2" t="n">
        <v>13637057</v>
      </c>
      <c r="C2" t="n">
        <v>17131226</v>
      </c>
      <c r="D2" t="n">
        <v>20666543</v>
      </c>
      <c r="E2">
        <f>SUM(B2:D2)</f>
        <v/>
      </c>
    </row>
    <row r="3">
      <c r="A3" t="inlineStr">
        <is>
          <t>Philippines</t>
        </is>
      </c>
      <c r="B3" t="n">
        <v>9858510</v>
      </c>
      <c r="C3" t="n">
        <v>8649772</v>
      </c>
      <c r="D3" t="n">
        <v>29016036</v>
      </c>
      <c r="E3">
        <f>SUM(B3:D3)</f>
        <v/>
      </c>
    </row>
    <row r="4">
      <c r="A4" t="inlineStr">
        <is>
          <t>Col total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</row>
    <row r="6">
      <c r="A6" s="7" t="inlineStr">
        <is>
          <t>EXPECTED = row total x col total / N</t>
        </is>
      </c>
      <c r="B6" s="7" t="inlineStr">
        <is>
          <t>Agriculture</t>
        </is>
      </c>
      <c r="C6" s="7" t="inlineStr">
        <is>
          <t>Industry</t>
        </is>
      </c>
      <c r="D6" s="7" t="inlineStr">
        <is>
          <t>Services</t>
        </is>
      </c>
      <c r="E6" s="7" t="n"/>
    </row>
    <row r="7">
      <c r="A7" t="inlineStr">
        <is>
          <t>Viet Nam</t>
        </is>
      </c>
      <c r="B7">
        <f>$E2*B$4/$E$4</f>
        <v/>
      </c>
      <c r="C7">
        <f>$E2*C$4/$E$4</f>
        <v/>
      </c>
      <c r="D7">
        <f>$E2*D$4/$E$4</f>
        <v/>
      </c>
    </row>
    <row r="8">
      <c r="A8" t="inlineStr">
        <is>
          <t>Philippines</t>
        </is>
      </c>
      <c r="B8">
        <f>$E3*B$4/$E$4</f>
        <v/>
      </c>
      <c r="C8">
        <f>$E3*C$4/$E$4</f>
        <v/>
      </c>
      <c r="D8">
        <f>$E3*D$4/$E$4</f>
        <v/>
      </c>
    </row>
    <row r="10">
      <c r="A10" t="inlineStr">
        <is>
          <t>(O-E)^2/E</t>
        </is>
      </c>
      <c r="B10" t="inlineStr">
        <is>
          <t>Agriculture</t>
        </is>
      </c>
      <c r="C10" t="inlineStr">
        <is>
          <t>Industry</t>
        </is>
      </c>
      <c r="D10" t="inlineStr">
        <is>
          <t>Services</t>
        </is>
      </c>
    </row>
    <row r="11">
      <c r="A11" t="inlineStr">
        <is>
          <t>Viet Nam</t>
        </is>
      </c>
      <c r="B11">
        <f>(B2-B7)^2/B7</f>
        <v/>
      </c>
      <c r="C11">
        <f>(C2-C7)^2/C7</f>
        <v/>
      </c>
      <c r="D11">
        <f>(D2-D7)^2/D7</f>
        <v/>
      </c>
    </row>
    <row r="12">
      <c r="A12" t="inlineStr">
        <is>
          <t>Philippines</t>
        </is>
      </c>
      <c r="B12">
        <f>(B3-B8)^2/B8</f>
        <v/>
      </c>
      <c r="C12">
        <f>(C3-C8)^2/C8</f>
        <v/>
      </c>
      <c r="D12">
        <f>(D3-D8)^2/D8</f>
        <v/>
      </c>
    </row>
    <row r="14">
      <c r="A14" t="inlineStr">
        <is>
          <t>Chi-square</t>
        </is>
      </c>
      <c r="B14">
        <f>SUM(B11:D12)</f>
        <v/>
      </c>
    </row>
    <row r="15">
      <c r="A15" t="inlineStr">
        <is>
          <t>df</t>
        </is>
      </c>
      <c r="B15" t="n">
        <v>2</v>
      </c>
    </row>
    <row r="16">
      <c r="A16" t="inlineStr">
        <is>
          <t>p-value</t>
        </is>
      </c>
      <c r="B16">
        <f>CHIDIST(B14,B15)</f>
        <v/>
      </c>
    </row>
    <row r="17">
      <c r="A17" t="inlineStr">
        <is>
          <t>Cramer's V</t>
        </is>
      </c>
      <c r="B17">
        <f>SQRT(B14/(B4*0+E4*1))</f>
        <v/>
      </c>
    </row>
    <row r="19">
      <c r="A19" t="inlineStr">
        <is>
          <t>Viet Nam: 3,845,332 workers 'not classified' (ECO_SECTOR_X) excluded; 2x4 robustness in Results sheet.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VNM</t>
        </is>
      </c>
      <c r="D1" s="10" t="inlineStr">
        <is>
          <t>PHL</t>
        </is>
      </c>
      <c r="E1" s="10" t="inlineStr">
        <is>
          <t>IND</t>
        </is>
      </c>
    </row>
    <row r="2">
      <c r="A2" t="n">
        <v>0</v>
      </c>
      <c r="B2" t="n">
        <v>2000</v>
      </c>
      <c r="C2" t="n">
        <v>6.78731640463151</v>
      </c>
      <c r="D2" t="n">
        <v>4.38250500083399</v>
      </c>
      <c r="E2" t="n">
        <v>3.84099115686554</v>
      </c>
    </row>
    <row r="3">
      <c r="A3" t="n">
        <v>1</v>
      </c>
      <c r="B3" t="n">
        <v>2001</v>
      </c>
      <c r="C3" t="n">
        <v>6.19289331233377</v>
      </c>
      <c r="D3" t="n">
        <v>3.04923134463486</v>
      </c>
      <c r="E3" t="n">
        <v>4.82396626397303</v>
      </c>
    </row>
    <row r="4">
      <c r="A4" t="n">
        <v>2</v>
      </c>
      <c r="B4" t="n">
        <v>2002</v>
      </c>
      <c r="C4" t="n">
        <v>6.32082099160833</v>
      </c>
      <c r="D4" t="n">
        <v>3.71625500158383</v>
      </c>
      <c r="E4" t="n">
        <v>3.80397532120038</v>
      </c>
    </row>
    <row r="5">
      <c r="A5" t="n">
        <v>3</v>
      </c>
      <c r="B5" t="n">
        <v>2003</v>
      </c>
      <c r="C5" t="n">
        <v>6.89906349055258</v>
      </c>
      <c r="D5" t="n">
        <v>5.08691113513073</v>
      </c>
      <c r="E5" t="n">
        <v>7.86038147545045</v>
      </c>
    </row>
    <row r="6">
      <c r="A6" t="n">
        <v>4</v>
      </c>
      <c r="B6" t="n">
        <v>2004</v>
      </c>
      <c r="C6" t="n">
        <v>7.53641060890386</v>
      </c>
      <c r="D6" t="n">
        <v>6.56922851180626</v>
      </c>
      <c r="E6" t="n">
        <v>7.92293661307978</v>
      </c>
    </row>
    <row r="7">
      <c r="A7" t="n">
        <v>5</v>
      </c>
      <c r="B7" t="n">
        <v>2005</v>
      </c>
      <c r="C7" t="n">
        <v>7.54724772895918</v>
      </c>
      <c r="D7" t="n">
        <v>4.94250511877678</v>
      </c>
      <c r="E7" t="n">
        <v>7.92343062131789</v>
      </c>
    </row>
    <row r="8">
      <c r="A8" t="n">
        <v>6</v>
      </c>
      <c r="B8" t="n">
        <v>2006</v>
      </c>
      <c r="C8" t="n">
        <v>6.97795481056711</v>
      </c>
      <c r="D8" t="n">
        <v>5.31641682136939</v>
      </c>
      <c r="E8" t="n">
        <v>8.06073257305057</v>
      </c>
    </row>
    <row r="9">
      <c r="A9" t="n">
        <v>7</v>
      </c>
      <c r="B9" t="n">
        <v>2007</v>
      </c>
      <c r="C9" t="n">
        <v>7.12950448605439</v>
      </c>
      <c r="D9" t="n">
        <v>6.51929155018938</v>
      </c>
      <c r="E9" t="n">
        <v>7.66081506510766</v>
      </c>
    </row>
    <row r="10">
      <c r="A10" t="n">
        <v>8</v>
      </c>
      <c r="B10" t="n">
        <v>2008</v>
      </c>
      <c r="C10" t="n">
        <v>5.66177120891362</v>
      </c>
      <c r="D10" t="n">
        <v>4.34448730509183</v>
      </c>
      <c r="E10" t="n">
        <v>3.08669805950082</v>
      </c>
    </row>
    <row r="11">
      <c r="A11" t="n">
        <v>9</v>
      </c>
      <c r="B11" t="n">
        <v>2009</v>
      </c>
      <c r="C11" t="n">
        <v>5.39789754014181</v>
      </c>
      <c r="D11" t="n">
        <v>1.44832306275669</v>
      </c>
      <c r="E11" t="n">
        <v>7.8618888330338</v>
      </c>
    </row>
    <row r="12">
      <c r="A12" t="n">
        <v>10</v>
      </c>
      <c r="B12" t="n">
        <v>2010</v>
      </c>
      <c r="C12" t="n">
        <v>6.42324482239482</v>
      </c>
      <c r="D12" t="n">
        <v>7.33449996034538</v>
      </c>
      <c r="E12" t="n">
        <v>8.497584701656249</v>
      </c>
    </row>
    <row r="13">
      <c r="A13" t="n">
        <v>11</v>
      </c>
      <c r="B13" t="n">
        <v>2011</v>
      </c>
      <c r="C13" t="n">
        <v>6.41316889681683</v>
      </c>
      <c r="D13" t="n">
        <v>3.85823282795663</v>
      </c>
      <c r="E13" t="n">
        <v>5.24131620024293</v>
      </c>
    </row>
    <row r="14">
      <c r="A14" t="n">
        <v>12</v>
      </c>
      <c r="B14" t="n">
        <v>2012</v>
      </c>
      <c r="C14" t="n">
        <v>5.5045447041189</v>
      </c>
      <c r="D14" t="n">
        <v>6.89695171050985</v>
      </c>
      <c r="E14" t="n">
        <v>5.45638755164772</v>
      </c>
    </row>
    <row r="15">
      <c r="A15" t="n">
        <v>13</v>
      </c>
      <c r="B15" t="n">
        <v>2013</v>
      </c>
      <c r="C15" t="n">
        <v>5.55351081026072</v>
      </c>
      <c r="D15" t="n">
        <v>6.75053130142255</v>
      </c>
      <c r="E15" t="n">
        <v>6.38610640091713</v>
      </c>
    </row>
    <row r="16">
      <c r="A16" t="n">
        <v>14</v>
      </c>
      <c r="B16" t="n">
        <v>2014</v>
      </c>
      <c r="C16" t="n">
        <v>6.42224312118567</v>
      </c>
      <c r="D16" t="n">
        <v>6.34798748260867</v>
      </c>
      <c r="E16" t="n">
        <v>7.41022760516977</v>
      </c>
    </row>
    <row r="17">
      <c r="A17" t="n">
        <v>15</v>
      </c>
      <c r="B17" t="n">
        <v>2015</v>
      </c>
      <c r="C17" t="n">
        <v>6.98715430598611</v>
      </c>
      <c r="D17" t="n">
        <v>6.34830971672761</v>
      </c>
      <c r="E17" t="n">
        <v>7.99625378567987</v>
      </c>
    </row>
    <row r="18">
      <c r="A18" t="n">
        <v>16</v>
      </c>
      <c r="B18" t="n">
        <v>2016</v>
      </c>
      <c r="C18" t="n">
        <v>6.69000892660424</v>
      </c>
      <c r="D18" t="n">
        <v>7.14945675000752</v>
      </c>
      <c r="E18" t="n">
        <v>8.25630550176662</v>
      </c>
    </row>
    <row r="19">
      <c r="A19" t="n">
        <v>17</v>
      </c>
      <c r="B19" t="n">
        <v>2017</v>
      </c>
      <c r="C19" t="n">
        <v>6.94019037359206</v>
      </c>
      <c r="D19" t="n">
        <v>6.9309883258402</v>
      </c>
      <c r="E19" t="n">
        <v>6.79538341902422</v>
      </c>
    </row>
    <row r="20">
      <c r="A20" t="n">
        <v>18</v>
      </c>
      <c r="B20" t="n">
        <v>2018</v>
      </c>
      <c r="C20" t="n">
        <v>7.46500685572751</v>
      </c>
      <c r="D20" t="n">
        <v>6.34148557153473</v>
      </c>
      <c r="E20" t="n">
        <v>6.45385134495295</v>
      </c>
    </row>
    <row r="21">
      <c r="A21" t="n">
        <v>19</v>
      </c>
      <c r="B21" t="n">
        <v>2019</v>
      </c>
      <c r="C21" t="n">
        <v>7.35926270105006</v>
      </c>
      <c r="D21" t="n">
        <v>6.11852566221303</v>
      </c>
      <c r="E21" t="n">
        <v>3.87143694070524</v>
      </c>
    </row>
    <row r="22">
      <c r="A22" t="n">
        <v>20</v>
      </c>
      <c r="B22" t="n">
        <v>2020</v>
      </c>
      <c r="C22" t="n">
        <v>2.86541320912272</v>
      </c>
      <c r="D22" t="n">
        <v>-9.518294740452969</v>
      </c>
      <c r="E22" t="n">
        <v>-5.77772470687303</v>
      </c>
    </row>
    <row r="23">
      <c r="A23" t="n">
        <v>21</v>
      </c>
      <c r="B23" t="n">
        <v>2021</v>
      </c>
      <c r="C23" t="n">
        <v>2.55372852648131</v>
      </c>
      <c r="D23" t="n">
        <v>5.71473313185116</v>
      </c>
      <c r="E23" t="n">
        <v>9.689592491917409</v>
      </c>
    </row>
    <row r="24">
      <c r="A24" t="n">
        <v>22</v>
      </c>
      <c r="B24" t="n">
        <v>2022</v>
      </c>
      <c r="C24" t="n">
        <v>8.537500412181419</v>
      </c>
      <c r="D24" t="n">
        <v>7.58098212785563</v>
      </c>
      <c r="E24" t="n">
        <v>7.6093649776932</v>
      </c>
    </row>
    <row r="25">
      <c r="A25" t="n">
        <v>23</v>
      </c>
      <c r="B25" t="n">
        <v>2023</v>
      </c>
      <c r="C25" t="n">
        <v>4.97865959483225</v>
      </c>
      <c r="D25" t="n">
        <v>5.51894967856043</v>
      </c>
      <c r="E25" t="n">
        <v>7.210224629335</v>
      </c>
    </row>
    <row r="26">
      <c r="A26" t="n">
        <v>24</v>
      </c>
      <c r="B26" t="n">
        <v>2024</v>
      </c>
      <c r="C26" t="n">
        <v>7.03955197123018</v>
      </c>
      <c r="D26" t="n">
        <v>5.71474526128652</v>
      </c>
      <c r="E26" t="n">
        <v>7.09927893176518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GDP_growth</t>
        </is>
      </c>
      <c r="D1" s="10" t="inlineStr">
        <is>
          <t>Investment_pctGDP</t>
        </is>
      </c>
      <c r="E1" s="10" t="inlineStr">
        <is>
          <t>Inflation</t>
        </is>
      </c>
    </row>
    <row r="2">
      <c r="A2" t="n">
        <v>0</v>
      </c>
      <c r="B2" t="n">
        <v>1996</v>
      </c>
      <c r="C2" t="n">
        <v>9.34001749939179</v>
      </c>
      <c r="D2" t="n">
        <v>28.1028981458336</v>
      </c>
      <c r="E2" t="n">
        <v>5.67499999999991</v>
      </c>
    </row>
    <row r="3">
      <c r="A3" t="n">
        <v>1</v>
      </c>
      <c r="B3" t="n">
        <v>1997</v>
      </c>
      <c r="C3" t="n">
        <v>8.1520841433542</v>
      </c>
      <c r="D3" t="n">
        <v>28.2995826198971</v>
      </c>
      <c r="E3" t="n">
        <v>3.20952606261374</v>
      </c>
    </row>
    <row r="4">
      <c r="A4" t="n">
        <v>2</v>
      </c>
      <c r="B4" t="n">
        <v>1998</v>
      </c>
      <c r="C4" t="n">
        <v>5.76445545848843</v>
      </c>
      <c r="D4" t="n">
        <v>29.0498785375758</v>
      </c>
      <c r="E4" t="n">
        <v>7.26619804400963</v>
      </c>
    </row>
    <row r="5">
      <c r="A5" t="n">
        <v>3</v>
      </c>
      <c r="B5" t="n">
        <v>1999</v>
      </c>
      <c r="C5" t="n">
        <v>4.77358688344989</v>
      </c>
      <c r="D5" t="n">
        <v>27.6297563146656</v>
      </c>
      <c r="E5" t="n">
        <v>4.11710235771735</v>
      </c>
    </row>
    <row r="6">
      <c r="A6" t="n">
        <v>4</v>
      </c>
      <c r="B6" t="n">
        <v>2000</v>
      </c>
      <c r="C6" t="n">
        <v>6.78731640463151</v>
      </c>
      <c r="D6" t="n">
        <v>29.6099138223826</v>
      </c>
      <c r="E6" t="n">
        <v>-1.7103372785111</v>
      </c>
    </row>
    <row r="7">
      <c r="A7" t="n">
        <v>5</v>
      </c>
      <c r="B7" t="n">
        <v>2001</v>
      </c>
      <c r="C7" t="n">
        <v>6.19289331233377</v>
      </c>
      <c r="D7" t="n">
        <v>31.1727734549497</v>
      </c>
      <c r="E7" t="n">
        <v>-0.43154451172818</v>
      </c>
    </row>
    <row r="8">
      <c r="A8" t="n">
        <v>6</v>
      </c>
      <c r="B8" t="n">
        <v>2002</v>
      </c>
      <c r="C8" t="n">
        <v>6.32082099160833</v>
      </c>
      <c r="D8" t="n">
        <v>33.2205344910613</v>
      </c>
      <c r="E8" t="n">
        <v>3.83082838168467</v>
      </c>
    </row>
    <row r="9">
      <c r="A9" t="n">
        <v>7</v>
      </c>
      <c r="B9" t="n">
        <v>2003</v>
      </c>
      <c r="C9" t="n">
        <v>6.89906349055258</v>
      </c>
      <c r="D9" t="n">
        <v>35.444857957463</v>
      </c>
      <c r="E9" t="n">
        <v>3.23464817293925</v>
      </c>
    </row>
    <row r="10">
      <c r="A10" t="n">
        <v>8</v>
      </c>
      <c r="B10" t="n">
        <v>2004</v>
      </c>
      <c r="C10" t="n">
        <v>7.53641060890386</v>
      </c>
      <c r="D10" t="n">
        <v>35.46533166878</v>
      </c>
      <c r="E10" t="n">
        <v>7.75494748709606</v>
      </c>
    </row>
    <row r="11">
      <c r="A11" t="n">
        <v>9</v>
      </c>
      <c r="B11" t="n">
        <v>2005</v>
      </c>
      <c r="C11" t="n">
        <v>7.54724772895918</v>
      </c>
      <c r="D11" t="n">
        <v>33.7574028912441</v>
      </c>
      <c r="E11" t="n">
        <v>8.284572431286669</v>
      </c>
    </row>
    <row r="12">
      <c r="A12" t="n">
        <v>10</v>
      </c>
      <c r="B12" t="n">
        <v>2006</v>
      </c>
      <c r="C12" t="n">
        <v>6.97795481056711</v>
      </c>
      <c r="D12" t="n">
        <v>34.5366510764767</v>
      </c>
      <c r="E12" t="n">
        <v>7.41801715108469</v>
      </c>
    </row>
    <row r="13">
      <c r="A13" t="n">
        <v>11</v>
      </c>
      <c r="B13" t="n">
        <v>2007</v>
      </c>
      <c r="C13" t="n">
        <v>7.12950448605439</v>
      </c>
      <c r="D13" t="n">
        <v>39.5662708970146</v>
      </c>
      <c r="E13" t="n">
        <v>8.344448897738459</v>
      </c>
    </row>
    <row r="14">
      <c r="A14" t="n">
        <v>12</v>
      </c>
      <c r="B14" t="n">
        <v>2008</v>
      </c>
      <c r="C14" t="n">
        <v>5.66177120891362</v>
      </c>
      <c r="D14" t="n">
        <v>36.4931217965814</v>
      </c>
      <c r="E14" t="n">
        <v>23.1154483474477</v>
      </c>
    </row>
    <row r="15">
      <c r="A15" t="n">
        <v>13</v>
      </c>
      <c r="B15" t="n">
        <v>2009</v>
      </c>
      <c r="C15" t="n">
        <v>5.39789754014181</v>
      </c>
      <c r="D15" t="n">
        <v>37.1625554335215</v>
      </c>
      <c r="E15" t="n">
        <v>6.71698269988631</v>
      </c>
    </row>
    <row r="16">
      <c r="A16" t="n">
        <v>14</v>
      </c>
      <c r="B16" t="n">
        <v>2010</v>
      </c>
      <c r="C16" t="n">
        <v>6.42324482239482</v>
      </c>
      <c r="D16" t="n">
        <v>37.0990761715168</v>
      </c>
      <c r="E16" t="n">
        <v>9.207466487784121</v>
      </c>
    </row>
    <row r="17">
      <c r="A17" t="n">
        <v>15</v>
      </c>
      <c r="B17" t="n">
        <v>2011</v>
      </c>
      <c r="C17" t="n">
        <v>6.41316889681683</v>
      </c>
      <c r="D17" t="n">
        <v>32.3711434429224</v>
      </c>
      <c r="E17" t="n">
        <v>18.6777322770706</v>
      </c>
    </row>
    <row r="18">
      <c r="A18" t="n">
        <v>16</v>
      </c>
      <c r="B18" t="n">
        <v>2012</v>
      </c>
      <c r="C18" t="n">
        <v>5.5045447041189</v>
      </c>
      <c r="D18" t="n">
        <v>30.5592897696566</v>
      </c>
      <c r="E18" t="n">
        <v>9.094703395571919</v>
      </c>
    </row>
    <row r="19">
      <c r="A19" t="n">
        <v>17</v>
      </c>
      <c r="B19" t="n">
        <v>2013</v>
      </c>
      <c r="C19" t="n">
        <v>5.55351081026072</v>
      </c>
      <c r="D19" t="n">
        <v>30.2129034609593</v>
      </c>
      <c r="E19" t="n">
        <v>6.59267475899192</v>
      </c>
    </row>
    <row r="20">
      <c r="A20" t="n">
        <v>18</v>
      </c>
      <c r="B20" t="n">
        <v>2014</v>
      </c>
      <c r="C20" t="n">
        <v>6.42224312118567</v>
      </c>
      <c r="D20" t="n">
        <v>30.2890267860991</v>
      </c>
      <c r="E20" t="n">
        <v>4.08455446637624</v>
      </c>
    </row>
    <row r="21">
      <c r="A21" t="n">
        <v>19</v>
      </c>
      <c r="B21" t="n">
        <v>2015</v>
      </c>
      <c r="C21" t="n">
        <v>6.98715430598611</v>
      </c>
      <c r="D21" t="n">
        <v>32.1089158178217</v>
      </c>
      <c r="E21" t="n">
        <v>0.6312009051756839</v>
      </c>
    </row>
    <row r="22">
      <c r="A22" t="n">
        <v>20</v>
      </c>
      <c r="B22" t="n">
        <v>2016</v>
      </c>
      <c r="C22" t="n">
        <v>6.69000892660424</v>
      </c>
      <c r="D22" t="n">
        <v>31.7245390951042</v>
      </c>
      <c r="E22" t="n">
        <v>2.66824816969082</v>
      </c>
    </row>
    <row r="23">
      <c r="A23" t="n">
        <v>21</v>
      </c>
      <c r="B23" t="n">
        <v>2017</v>
      </c>
      <c r="C23" t="n">
        <v>6.94019037359206</v>
      </c>
      <c r="D23" t="n">
        <v>32.305300920099</v>
      </c>
      <c r="E23" t="n">
        <v>3.52025688811617</v>
      </c>
    </row>
    <row r="24">
      <c r="A24" t="n">
        <v>22</v>
      </c>
      <c r="B24" t="n">
        <v>2018</v>
      </c>
      <c r="C24" t="n">
        <v>7.46500685572751</v>
      </c>
      <c r="D24" t="n">
        <v>32.019502902433</v>
      </c>
      <c r="E24" t="n">
        <v>3.53962805942641</v>
      </c>
    </row>
    <row r="25">
      <c r="A25" t="n">
        <v>23</v>
      </c>
      <c r="B25" t="n">
        <v>2019</v>
      </c>
      <c r="C25" t="n">
        <v>7.35926270105006</v>
      </c>
      <c r="D25" t="n">
        <v>31.9799606565797</v>
      </c>
      <c r="E25" t="n">
        <v>2.79582367452243</v>
      </c>
    </row>
    <row r="26">
      <c r="A26" t="n">
        <v>24</v>
      </c>
      <c r="B26" t="n">
        <v>2020</v>
      </c>
      <c r="C26" t="n">
        <v>2.86541320912272</v>
      </c>
      <c r="D26" t="n">
        <v>31.915688393806</v>
      </c>
      <c r="E26" t="n">
        <v>3.22093436652514</v>
      </c>
    </row>
    <row r="27">
      <c r="A27" t="n">
        <v>25</v>
      </c>
      <c r="B27" t="n">
        <v>2021</v>
      </c>
      <c r="C27" t="n">
        <v>2.55372852648131</v>
      </c>
      <c r="D27" t="n">
        <v>32.8956023366901</v>
      </c>
      <c r="E27" t="n">
        <v>1.83471554810461</v>
      </c>
    </row>
    <row r="28">
      <c r="A28" t="n">
        <v>26</v>
      </c>
      <c r="B28" t="n">
        <v>2022</v>
      </c>
      <c r="C28" t="n">
        <v>8.537500412181419</v>
      </c>
      <c r="D28" t="n">
        <v>32.3404994444961</v>
      </c>
      <c r="E28" t="n">
        <v>3.15650749963111</v>
      </c>
    </row>
    <row r="29">
      <c r="A29" t="n">
        <v>27</v>
      </c>
      <c r="B29" t="n">
        <v>2023</v>
      </c>
      <c r="C29" t="n">
        <v>4.97865959483225</v>
      </c>
      <c r="D29" t="n">
        <v>31.6683495522758</v>
      </c>
      <c r="E29" t="n">
        <v>3.25289282667662</v>
      </c>
    </row>
    <row r="30">
      <c r="A30" t="n">
        <v>28</v>
      </c>
      <c r="B30" t="n">
        <v>2024</v>
      </c>
      <c r="C30" t="n">
        <v>7.03955197123018</v>
      </c>
      <c r="D30" t="n">
        <v>30.5847264337631</v>
      </c>
      <c r="E30" t="n">
        <v>3.62109273885843</v>
      </c>
    </row>
    <row r="31">
      <c r="A31" t="n">
        <v>29</v>
      </c>
      <c r="B31" t="n">
        <v>2025</v>
      </c>
      <c r="C31" t="n">
        <v>8.01882998978245</v>
      </c>
      <c r="D31" t="n">
        <v>30.7951346149846</v>
      </c>
      <c r="E31" t="n">
        <v>3.30999314219739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Exports_USD_bn</t>
        </is>
      </c>
    </row>
    <row r="2">
      <c r="A2" t="n">
        <v>0</v>
      </c>
      <c r="B2" t="n">
        <v>1986</v>
      </c>
      <c r="C2" t="n">
        <v>1.74415276116778</v>
      </c>
    </row>
    <row r="3">
      <c r="A3" t="n">
        <v>1</v>
      </c>
      <c r="B3" t="n">
        <v>1987</v>
      </c>
      <c r="C3" t="n">
        <v>2.20001014548288</v>
      </c>
    </row>
    <row r="4">
      <c r="A4" t="n">
        <v>2</v>
      </c>
      <c r="B4" t="n">
        <v>1988</v>
      </c>
      <c r="C4" t="n">
        <v>1.00304522932543</v>
      </c>
    </row>
    <row r="5">
      <c r="A5" t="n">
        <v>3</v>
      </c>
      <c r="B5" t="n">
        <v>1989</v>
      </c>
      <c r="C5" t="n">
        <v>1.50091282021919</v>
      </c>
    </row>
    <row r="6">
      <c r="A6" t="n">
        <v>4</v>
      </c>
      <c r="B6" t="n">
        <v>1990</v>
      </c>
      <c r="C6" t="n">
        <v>2.3323256646457</v>
      </c>
    </row>
    <row r="7">
      <c r="A7" t="n">
        <v>5</v>
      </c>
      <c r="B7" t="n">
        <v>1991</v>
      </c>
      <c r="C7" t="n">
        <v>2.97197696894483</v>
      </c>
    </row>
    <row r="8">
      <c r="A8" t="n">
        <v>6</v>
      </c>
      <c r="B8" t="n">
        <v>1992</v>
      </c>
      <c r="C8" t="n">
        <v>3.42834454699355</v>
      </c>
    </row>
    <row r="9">
      <c r="A9" t="n">
        <v>7</v>
      </c>
      <c r="B9" t="n">
        <v>1993</v>
      </c>
      <c r="C9" t="n">
        <v>3.78593665543334</v>
      </c>
    </row>
    <row r="10">
      <c r="A10" t="n">
        <v>8</v>
      </c>
      <c r="B10" t="n">
        <v>1994</v>
      </c>
      <c r="C10" t="n">
        <v>5.5395255892744</v>
      </c>
    </row>
    <row r="11">
      <c r="A11" t="n">
        <v>9</v>
      </c>
      <c r="B11" t="n">
        <v>1995</v>
      </c>
      <c r="C11" t="n">
        <v>6.80412764572674</v>
      </c>
    </row>
    <row r="12">
      <c r="A12" t="n">
        <v>10</v>
      </c>
      <c r="B12" t="n">
        <v>1996</v>
      </c>
      <c r="C12" t="n">
        <v>10.0771352610313</v>
      </c>
    </row>
    <row r="13">
      <c r="A13" t="n">
        <v>11</v>
      </c>
      <c r="B13" t="n">
        <v>1997</v>
      </c>
      <c r="C13" t="n">
        <v>11.5703614829776</v>
      </c>
    </row>
    <row r="14">
      <c r="A14" t="n">
        <v>12</v>
      </c>
      <c r="B14" t="n">
        <v>1998</v>
      </c>
      <c r="C14" t="n">
        <v>12.2030448748869</v>
      </c>
    </row>
    <row r="15">
      <c r="A15" t="n">
        <v>13</v>
      </c>
      <c r="B15" t="n">
        <v>1999</v>
      </c>
      <c r="C15" t="n">
        <v>14.3321476134295</v>
      </c>
    </row>
    <row r="16">
      <c r="A16" t="n">
        <v>14</v>
      </c>
      <c r="B16" t="n">
        <v>2000</v>
      </c>
      <c r="C16" t="n">
        <v>16.8086885784482</v>
      </c>
    </row>
    <row r="17">
      <c r="A17" t="n">
        <v>15</v>
      </c>
      <c r="B17" t="n">
        <v>2001</v>
      </c>
      <c r="C17" t="n">
        <v>17.9971023610826</v>
      </c>
    </row>
    <row r="18">
      <c r="A18" t="n">
        <v>16</v>
      </c>
      <c r="B18" t="n">
        <v>2002</v>
      </c>
      <c r="C18" t="n">
        <v>19.1937875866357</v>
      </c>
    </row>
    <row r="19">
      <c r="A19" t="n">
        <v>17</v>
      </c>
      <c r="B19" t="n">
        <v>2003</v>
      </c>
      <c r="C19" t="n">
        <v>22.4156978356912</v>
      </c>
    </row>
    <row r="20">
      <c r="A20" t="n">
        <v>18</v>
      </c>
      <c r="B20" t="n">
        <v>2004</v>
      </c>
      <c r="C20" t="n">
        <v>27.1345307004954</v>
      </c>
    </row>
    <row r="21">
      <c r="A21" t="n">
        <v>19</v>
      </c>
      <c r="B21" t="n">
        <v>2005</v>
      </c>
      <c r="C21" t="n">
        <v>36.7120915145168</v>
      </c>
    </row>
    <row r="22">
      <c r="A22" t="n">
        <v>20</v>
      </c>
      <c r="B22" t="n">
        <v>2006</v>
      </c>
      <c r="C22" t="n">
        <v>44.9447770292449</v>
      </c>
    </row>
    <row r="23">
      <c r="A23" t="n">
        <v>21</v>
      </c>
      <c r="B23" t="n">
        <v>2007</v>
      </c>
      <c r="C23" t="n">
        <v>54.5910075208979</v>
      </c>
    </row>
    <row r="24">
      <c r="A24" t="n">
        <v>22</v>
      </c>
      <c r="B24" t="n">
        <v>2008</v>
      </c>
      <c r="C24" t="n">
        <v>69.72497661365759</v>
      </c>
    </row>
    <row r="25">
      <c r="A25" t="n">
        <v>23</v>
      </c>
      <c r="B25" t="n">
        <v>2009</v>
      </c>
      <c r="C25" t="n">
        <v>66.37459530066511</v>
      </c>
    </row>
    <row r="26">
      <c r="A26" t="n">
        <v>24</v>
      </c>
      <c r="B26" t="n">
        <v>2010</v>
      </c>
      <c r="C26" t="n">
        <v>79.7474808525934</v>
      </c>
    </row>
    <row r="27">
      <c r="A27" t="n">
        <v>25</v>
      </c>
      <c r="B27" t="n">
        <v>2011</v>
      </c>
      <c r="C27" t="n">
        <v>105.593919857799</v>
      </c>
    </row>
    <row r="28">
      <c r="A28" t="n">
        <v>26</v>
      </c>
      <c r="B28" t="n">
        <v>2012</v>
      </c>
      <c r="C28" t="n">
        <v>124.149069364149</v>
      </c>
    </row>
    <row r="29">
      <c r="A29" t="n">
        <v>27</v>
      </c>
      <c r="B29" t="n">
        <v>2013</v>
      </c>
      <c r="C29" t="n">
        <v>142.75843931646</v>
      </c>
    </row>
    <row r="30">
      <c r="A30" t="n">
        <v>28</v>
      </c>
      <c r="B30" t="n">
        <v>2014</v>
      </c>
      <c r="C30" t="n">
        <v>162.478898406019</v>
      </c>
    </row>
    <row r="31">
      <c r="A31" t="n">
        <v>29</v>
      </c>
      <c r="B31" t="n">
        <v>2015</v>
      </c>
      <c r="C31" t="n">
        <v>174.473996313379</v>
      </c>
    </row>
    <row r="32">
      <c r="A32" t="n">
        <v>30</v>
      </c>
      <c r="B32" t="n">
        <v>2016</v>
      </c>
      <c r="C32" t="n">
        <v>190.526869544715</v>
      </c>
    </row>
    <row r="33">
      <c r="A33" t="n">
        <v>31</v>
      </c>
      <c r="B33" t="n">
        <v>2017</v>
      </c>
      <c r="C33" t="n">
        <v>230.041803530193</v>
      </c>
    </row>
    <row r="34">
      <c r="A34" t="n">
        <v>32</v>
      </c>
      <c r="B34" t="n">
        <v>2018</v>
      </c>
      <c r="C34" t="n">
        <v>261.802606599096</v>
      </c>
    </row>
    <row r="35">
      <c r="A35" t="n">
        <v>33</v>
      </c>
      <c r="B35" t="n">
        <v>2019</v>
      </c>
      <c r="C35" t="n">
        <v>284.737397482992</v>
      </c>
    </row>
    <row r="36">
      <c r="A36" t="n">
        <v>34</v>
      </c>
      <c r="B36" t="n">
        <v>2020</v>
      </c>
      <c r="C36" t="n">
        <v>292.479899128741</v>
      </c>
    </row>
    <row r="37">
      <c r="A37" t="n">
        <v>35</v>
      </c>
      <c r="B37" t="n">
        <v>2021</v>
      </c>
      <c r="C37" t="n">
        <v>343.937314545796</v>
      </c>
    </row>
    <row r="38">
      <c r="A38" t="n">
        <v>36</v>
      </c>
      <c r="B38" t="n">
        <v>2022</v>
      </c>
      <c r="C38" t="n">
        <v>386.241068014827</v>
      </c>
    </row>
    <row r="39">
      <c r="A39" t="n">
        <v>37</v>
      </c>
      <c r="B39" t="n">
        <v>2023</v>
      </c>
      <c r="C39" t="n">
        <v>376.26801764938</v>
      </c>
    </row>
    <row r="40">
      <c r="A40" t="n">
        <v>38</v>
      </c>
      <c r="B40" t="n">
        <v>2024</v>
      </c>
      <c r="C40" t="n">
        <v>429.484097216943</v>
      </c>
    </row>
    <row r="41">
      <c r="A41" t="n">
        <v>39</v>
      </c>
      <c r="B41" t="n">
        <v>2025</v>
      </c>
      <c r="C41" t="n">
        <v>505.661231330217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0" t="inlineStr">
        <is>
          <t>index</t>
        </is>
      </c>
      <c r="B1" s="10" t="inlineStr">
        <is>
          <t>year</t>
        </is>
      </c>
      <c r="C1" s="10" t="inlineStr">
        <is>
          <t>actual</t>
        </is>
      </c>
      <c r="D1" s="10" t="inlineStr">
        <is>
          <t>linear_trend</t>
        </is>
      </c>
      <c r="E1" s="10" t="inlineStr">
        <is>
          <t>MA3_flat</t>
        </is>
      </c>
      <c r="F1" s="10" t="inlineStr">
        <is>
          <t>MA3_rolling_1step</t>
        </is>
      </c>
      <c r="G1" s="10" t="inlineStr">
        <is>
          <t>loglinear_trend</t>
        </is>
      </c>
      <c r="H1" s="10" t="inlineStr">
        <is>
          <t>naive_last</t>
        </is>
      </c>
      <c r="I1" s="10" t="inlineStr">
        <is>
          <t>linear_trend_last10y</t>
        </is>
      </c>
      <c r="J1" s="10" t="inlineStr">
        <is>
          <t>damped_Holt</t>
        </is>
      </c>
    </row>
    <row r="2">
      <c r="A2" t="n">
        <v>0</v>
      </c>
      <c r="B2" t="n">
        <v>2021</v>
      </c>
      <c r="C2" t="n">
        <v>343.937314545796</v>
      </c>
      <c r="D2" t="n">
        <v>210.0585354884008</v>
      </c>
      <c r="E2" t="n">
        <v>279.6733010702763</v>
      </c>
      <c r="F2" t="n">
        <v>279.6733010702763</v>
      </c>
      <c r="G2" t="n">
        <v>489.9505030085253</v>
      </c>
      <c r="H2" t="n">
        <v>292.479899128741</v>
      </c>
      <c r="I2" t="n">
        <v>317.5727744639348</v>
      </c>
      <c r="J2" t="n">
        <v>311.0800033070421</v>
      </c>
    </row>
    <row r="3">
      <c r="A3" t="n">
        <v>1</v>
      </c>
      <c r="B3" t="n">
        <v>2022</v>
      </c>
      <c r="C3" t="n">
        <v>386.241068014827</v>
      </c>
      <c r="D3" t="n">
        <v>217.7535641541103</v>
      </c>
      <c r="E3" t="n">
        <v>279.6733010702763</v>
      </c>
      <c r="F3" t="n">
        <v>307.0515370525097</v>
      </c>
      <c r="G3" t="n">
        <v>579.1853211793448</v>
      </c>
      <c r="H3" t="n">
        <v>292.479899128741</v>
      </c>
      <c r="I3" t="n">
        <v>339.5124989202222</v>
      </c>
      <c r="J3" t="n">
        <v>329.5871067015538</v>
      </c>
    </row>
    <row r="4">
      <c r="A4" t="n">
        <v>2</v>
      </c>
      <c r="B4" t="n">
        <v>2023</v>
      </c>
      <c r="C4" t="n">
        <v>376.26801764938</v>
      </c>
      <c r="D4" t="n">
        <v>225.4485928198199</v>
      </c>
      <c r="E4" t="n">
        <v>279.6733010702763</v>
      </c>
      <c r="F4" t="n">
        <v>340.8860938964547</v>
      </c>
      <c r="G4" t="n">
        <v>684.6725010174828</v>
      </c>
      <c r="H4" t="n">
        <v>292.479899128741</v>
      </c>
      <c r="I4" t="n">
        <v>361.4522233765096</v>
      </c>
      <c r="J4" t="n">
        <v>348.001674579093</v>
      </c>
    </row>
    <row r="5">
      <c r="A5" t="n">
        <v>3</v>
      </c>
      <c r="B5" t="n">
        <v>2024</v>
      </c>
      <c r="C5" t="n">
        <v>429.484097216943</v>
      </c>
      <c r="D5" t="n">
        <v>233.1436214855295</v>
      </c>
      <c r="E5" t="n">
        <v>279.6733010702763</v>
      </c>
      <c r="F5" t="n">
        <v>368.8154667366677</v>
      </c>
      <c r="G5" t="n">
        <v>809.372089567129</v>
      </c>
      <c r="H5" t="n">
        <v>292.479899128741</v>
      </c>
      <c r="I5" t="n">
        <v>383.391947832797</v>
      </c>
      <c r="J5" t="n">
        <v>366.3241696172444</v>
      </c>
    </row>
    <row r="6">
      <c r="A6" t="n">
        <v>4</v>
      </c>
      <c r="B6" t="n">
        <v>2025</v>
      </c>
      <c r="C6" t="n">
        <v>505.661231330217</v>
      </c>
      <c r="D6" t="n">
        <v>240.8386501512389</v>
      </c>
      <c r="E6" t="n">
        <v>279.6733010702763</v>
      </c>
      <c r="F6" t="n">
        <v>397.3310609603834</v>
      </c>
      <c r="G6" t="n">
        <v>956.7832480445034</v>
      </c>
      <c r="H6" t="n">
        <v>292.479899128741</v>
      </c>
      <c r="I6" t="n">
        <v>405.3316722890843</v>
      </c>
      <c r="J6" t="n">
        <v>384.5550521802051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resp</t>
        </is>
      </c>
      <c r="B1" s="10" t="inlineStr">
        <is>
          <t>SCR1</t>
        </is>
      </c>
      <c r="C1" s="10" t="inlineStr">
        <is>
          <t>SCR2</t>
        </is>
      </c>
      <c r="D1" s="10" t="inlineStr">
        <is>
          <t>SCR3</t>
        </is>
      </c>
      <c r="E1" s="10" t="inlineStr">
        <is>
          <t>SCR4</t>
        </is>
      </c>
      <c r="F1" s="10" t="inlineStr">
        <is>
          <t>SCR5</t>
        </is>
      </c>
      <c r="G1" s="10" t="inlineStr">
        <is>
          <t>SCR6</t>
        </is>
      </c>
      <c r="H1" s="10" t="inlineStr">
        <is>
          <t>Total</t>
        </is>
      </c>
      <c r="I1" s="10" t="inlineStr">
        <is>
          <t>odd (1,3,5)</t>
        </is>
      </c>
      <c r="J1" s="10" t="inlineStr">
        <is>
          <t>even (2,4,6)</t>
        </is>
      </c>
      <c r="K1" s="10" t="inlineStr">
        <is>
          <t>Total-SCR1</t>
        </is>
      </c>
      <c r="L1" s="10" t="inlineStr">
        <is>
          <t>Total-SCR2</t>
        </is>
      </c>
      <c r="M1" s="10" t="inlineStr">
        <is>
          <t>Total-SCR3</t>
        </is>
      </c>
      <c r="N1" s="10" t="inlineStr">
        <is>
          <t>Total-SCR4</t>
        </is>
      </c>
      <c r="O1" s="10" t="inlineStr">
        <is>
          <t>Total-SCR5</t>
        </is>
      </c>
      <c r="P1" s="10" t="inlineStr">
        <is>
          <t>Total-SCR6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>
        <f>SUM(B2:G2)</f>
        <v/>
      </c>
      <c r="I2">
        <f>B2+D2+F2</f>
        <v/>
      </c>
      <c r="J2">
        <f>C2+E2+G2</f>
        <v/>
      </c>
      <c r="K2">
        <f>H2-B2</f>
        <v/>
      </c>
      <c r="L2">
        <f>H2-C2</f>
        <v/>
      </c>
      <c r="M2">
        <f>H2-D2</f>
        <v/>
      </c>
      <c r="N2">
        <f>H2-E2</f>
        <v/>
      </c>
      <c r="O2">
        <f>H2-F2</f>
        <v/>
      </c>
      <c r="P2">
        <f>H2-G2</f>
        <v/>
      </c>
    </row>
    <row r="3">
      <c r="A3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>
        <f>SUM(B3:G3)</f>
        <v/>
      </c>
      <c r="I3">
        <f>B3+D3+F3</f>
        <v/>
      </c>
      <c r="J3">
        <f>C3+E3+G3</f>
        <v/>
      </c>
      <c r="K3">
        <f>H3-B3</f>
        <v/>
      </c>
      <c r="L3">
        <f>H3-C3</f>
        <v/>
      </c>
      <c r="M3">
        <f>H3-D3</f>
        <v/>
      </c>
      <c r="N3">
        <f>H3-E3</f>
        <v/>
      </c>
      <c r="O3">
        <f>H3-F3</f>
        <v/>
      </c>
      <c r="P3">
        <f>H3-G3</f>
        <v/>
      </c>
    </row>
    <row r="4">
      <c r="A4" t="n">
        <v>3</v>
      </c>
      <c r="B4" t="n">
        <v>1</v>
      </c>
      <c r="C4" t="n">
        <v>1</v>
      </c>
      <c r="D4" t="n">
        <v>2</v>
      </c>
      <c r="E4" t="n">
        <v>5</v>
      </c>
      <c r="F4" t="n">
        <v>4</v>
      </c>
      <c r="G4" t="n">
        <v>5</v>
      </c>
      <c r="H4">
        <f>SUM(B4:G4)</f>
        <v/>
      </c>
      <c r="I4">
        <f>B4+D4+F4</f>
        <v/>
      </c>
      <c r="J4">
        <f>C4+E4+G4</f>
        <v/>
      </c>
      <c r="K4">
        <f>H4-B4</f>
        <v/>
      </c>
      <c r="L4">
        <f>H4-C4</f>
        <v/>
      </c>
      <c r="M4">
        <f>H4-D4</f>
        <v/>
      </c>
      <c r="N4">
        <f>H4-E4</f>
        <v/>
      </c>
      <c r="O4">
        <f>H4-F4</f>
        <v/>
      </c>
      <c r="P4">
        <f>H4-G4</f>
        <v/>
      </c>
    </row>
    <row r="5">
      <c r="A5" t="n">
        <v>4</v>
      </c>
      <c r="B5" t="n">
        <v>2</v>
      </c>
      <c r="C5" t="n">
        <v>1</v>
      </c>
      <c r="D5" t="n">
        <v>1</v>
      </c>
      <c r="E5" t="n">
        <v>5</v>
      </c>
      <c r="F5" t="n">
        <v>5</v>
      </c>
      <c r="G5" t="n">
        <v>4</v>
      </c>
      <c r="H5">
        <f>SUM(B5:G5)</f>
        <v/>
      </c>
      <c r="I5">
        <f>B5+D5+F5</f>
        <v/>
      </c>
      <c r="J5">
        <f>C5+E5+G5</f>
        <v/>
      </c>
      <c r="K5">
        <f>H5-B5</f>
        <v/>
      </c>
      <c r="L5">
        <f>H5-C5</f>
        <v/>
      </c>
      <c r="M5">
        <f>H5-D5</f>
        <v/>
      </c>
      <c r="N5">
        <f>H5-E5</f>
        <v/>
      </c>
      <c r="O5">
        <f>H5-F5</f>
        <v/>
      </c>
      <c r="P5">
        <f>H5-G5</f>
        <v/>
      </c>
    </row>
    <row r="6">
      <c r="A6" t="n">
        <v>5</v>
      </c>
      <c r="B6" t="n">
        <v>1</v>
      </c>
      <c r="C6" t="n">
        <v>3</v>
      </c>
      <c r="D6" t="n">
        <v>1</v>
      </c>
      <c r="E6" t="n">
        <v>5</v>
      </c>
      <c r="F6" t="n">
        <v>5</v>
      </c>
      <c r="G6" t="n">
        <v>4</v>
      </c>
      <c r="H6">
        <f>SUM(B6:G6)</f>
        <v/>
      </c>
      <c r="I6">
        <f>B6+D6+F6</f>
        <v/>
      </c>
      <c r="J6">
        <f>C6+E6+G6</f>
        <v/>
      </c>
      <c r="K6">
        <f>H6-B6</f>
        <v/>
      </c>
      <c r="L6">
        <f>H6-C6</f>
        <v/>
      </c>
      <c r="M6">
        <f>H6-D6</f>
        <v/>
      </c>
      <c r="N6">
        <f>H6-E6</f>
        <v/>
      </c>
      <c r="O6">
        <f>H6-F6</f>
        <v/>
      </c>
      <c r="P6">
        <f>H6-G6</f>
        <v/>
      </c>
    </row>
    <row r="7">
      <c r="A7" t="n">
        <v>6</v>
      </c>
      <c r="B7" t="n">
        <v>2</v>
      </c>
      <c r="C7" t="n">
        <v>2</v>
      </c>
      <c r="D7" t="n">
        <v>1</v>
      </c>
      <c r="E7" t="n">
        <v>4</v>
      </c>
      <c r="F7" t="n">
        <v>5</v>
      </c>
      <c r="G7" t="n">
        <v>4</v>
      </c>
      <c r="H7">
        <f>SUM(B7:G7)</f>
        <v/>
      </c>
      <c r="I7">
        <f>B7+D7+F7</f>
        <v/>
      </c>
      <c r="J7">
        <f>C7+E7+G7</f>
        <v/>
      </c>
      <c r="K7">
        <f>H7-B7</f>
        <v/>
      </c>
      <c r="L7">
        <f>H7-C7</f>
        <v/>
      </c>
      <c r="M7">
        <f>H7-D7</f>
        <v/>
      </c>
      <c r="N7">
        <f>H7-E7</f>
        <v/>
      </c>
      <c r="O7">
        <f>H7-F7</f>
        <v/>
      </c>
      <c r="P7">
        <f>H7-G7</f>
        <v/>
      </c>
    </row>
    <row r="8">
      <c r="A8" t="n">
        <v>7</v>
      </c>
      <c r="B8" t="n">
        <v>2</v>
      </c>
      <c r="C8" t="n">
        <v>1</v>
      </c>
      <c r="D8" t="n">
        <v>1</v>
      </c>
      <c r="E8" t="n">
        <v>5</v>
      </c>
      <c r="F8" t="n">
        <v>5</v>
      </c>
      <c r="G8" t="n">
        <v>4</v>
      </c>
      <c r="H8">
        <f>SUM(B8:G8)</f>
        <v/>
      </c>
      <c r="I8">
        <f>B8+D8+F8</f>
        <v/>
      </c>
      <c r="J8">
        <f>C8+E8+G8</f>
        <v/>
      </c>
      <c r="K8">
        <f>H8-B8</f>
        <v/>
      </c>
      <c r="L8">
        <f>H8-C8</f>
        <v/>
      </c>
      <c r="M8">
        <f>H8-D8</f>
        <v/>
      </c>
      <c r="N8">
        <f>H8-E8</f>
        <v/>
      </c>
      <c r="O8">
        <f>H8-F8</f>
        <v/>
      </c>
      <c r="P8">
        <f>H8-G8</f>
        <v/>
      </c>
    </row>
    <row r="9">
      <c r="A9" t="n">
        <v>8</v>
      </c>
      <c r="B9" t="n">
        <v>1</v>
      </c>
      <c r="C9" t="n">
        <v>3</v>
      </c>
      <c r="D9" t="n">
        <v>1</v>
      </c>
      <c r="E9" t="n">
        <v>5</v>
      </c>
      <c r="F9" t="n">
        <v>5</v>
      </c>
      <c r="G9" t="n">
        <v>4</v>
      </c>
      <c r="H9">
        <f>SUM(B9:G9)</f>
        <v/>
      </c>
      <c r="I9">
        <f>B9+D9+F9</f>
        <v/>
      </c>
      <c r="J9">
        <f>C9+E9+G9</f>
        <v/>
      </c>
      <c r="K9">
        <f>H9-B9</f>
        <v/>
      </c>
      <c r="L9">
        <f>H9-C9</f>
        <v/>
      </c>
      <c r="M9">
        <f>H9-D9</f>
        <v/>
      </c>
      <c r="N9">
        <f>H9-E9</f>
        <v/>
      </c>
      <c r="O9">
        <f>H9-F9</f>
        <v/>
      </c>
      <c r="P9">
        <f>H9-G9</f>
        <v/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4</v>
      </c>
      <c r="F10" t="n">
        <v>5</v>
      </c>
      <c r="G10" t="n">
        <v>4</v>
      </c>
      <c r="H10">
        <f>SUM(B10:G10)</f>
        <v/>
      </c>
      <c r="I10">
        <f>B10+D10+F10</f>
        <v/>
      </c>
      <c r="J10">
        <f>C10+E10+G10</f>
        <v/>
      </c>
      <c r="K10">
        <f>H10-B10</f>
        <v/>
      </c>
      <c r="L10">
        <f>H10-C10</f>
        <v/>
      </c>
      <c r="M10">
        <f>H10-D10</f>
        <v/>
      </c>
      <c r="N10">
        <f>H10-E10</f>
        <v/>
      </c>
      <c r="O10">
        <f>H10-F10</f>
        <v/>
      </c>
      <c r="P10">
        <f>H10-G10</f>
        <v/>
      </c>
    </row>
    <row r="11">
      <c r="A11" t="n">
        <v>10</v>
      </c>
      <c r="B11" t="n">
        <v>1</v>
      </c>
      <c r="C11" t="n">
        <v>3</v>
      </c>
      <c r="D11" t="n">
        <v>1</v>
      </c>
      <c r="E11" t="n">
        <v>4</v>
      </c>
      <c r="F11" t="n">
        <v>5</v>
      </c>
      <c r="G11" t="n">
        <v>5</v>
      </c>
      <c r="H11">
        <f>SUM(B11:G11)</f>
        <v/>
      </c>
      <c r="I11">
        <f>B11+D11+F11</f>
        <v/>
      </c>
      <c r="J11">
        <f>C11+E11+G11</f>
        <v/>
      </c>
      <c r="K11">
        <f>H11-B11</f>
        <v/>
      </c>
      <c r="L11">
        <f>H11-C11</f>
        <v/>
      </c>
      <c r="M11">
        <f>H11-D11</f>
        <v/>
      </c>
      <c r="N11">
        <f>H11-E11</f>
        <v/>
      </c>
      <c r="O11">
        <f>H11-F11</f>
        <v/>
      </c>
      <c r="P11">
        <f>H11-G11</f>
        <v/>
      </c>
    </row>
    <row r="12">
      <c r="A12" t="n">
        <v>11</v>
      </c>
      <c r="B12" t="n">
        <v>2</v>
      </c>
      <c r="C12" t="n">
        <v>1</v>
      </c>
      <c r="D12" t="n">
        <v>3</v>
      </c>
      <c r="E12" t="n">
        <v>4</v>
      </c>
      <c r="F12" t="n">
        <v>4</v>
      </c>
      <c r="G12" t="n">
        <v>5</v>
      </c>
      <c r="H12">
        <f>SUM(B12:G12)</f>
        <v/>
      </c>
      <c r="I12">
        <f>B12+D12+F12</f>
        <v/>
      </c>
      <c r="J12">
        <f>C12+E12+G12</f>
        <v/>
      </c>
      <c r="K12">
        <f>H12-B12</f>
        <v/>
      </c>
      <c r="L12">
        <f>H12-C12</f>
        <v/>
      </c>
      <c r="M12">
        <f>H12-D12</f>
        <v/>
      </c>
      <c r="N12">
        <f>H12-E12</f>
        <v/>
      </c>
      <c r="O12">
        <f>H12-F12</f>
        <v/>
      </c>
      <c r="P12">
        <f>H12-G12</f>
        <v/>
      </c>
    </row>
    <row r="13">
      <c r="A13" t="n">
        <v>12</v>
      </c>
      <c r="B13" t="n">
        <v>2</v>
      </c>
      <c r="C13" t="n">
        <v>1</v>
      </c>
      <c r="D13" t="n">
        <v>2</v>
      </c>
      <c r="E13" t="n">
        <v>4</v>
      </c>
      <c r="F13" t="n">
        <v>3</v>
      </c>
      <c r="G13" t="n">
        <v>4</v>
      </c>
      <c r="H13">
        <f>SUM(B13:G13)</f>
        <v/>
      </c>
      <c r="I13">
        <f>B13+D13+F13</f>
        <v/>
      </c>
      <c r="J13">
        <f>C13+E13+G13</f>
        <v/>
      </c>
      <c r="K13">
        <f>H13-B13</f>
        <v/>
      </c>
      <c r="L13">
        <f>H13-C13</f>
        <v/>
      </c>
      <c r="M13">
        <f>H13-D13</f>
        <v/>
      </c>
      <c r="N13">
        <f>H13-E13</f>
        <v/>
      </c>
      <c r="O13">
        <f>H13-F13</f>
        <v/>
      </c>
      <c r="P13">
        <f>H13-G13</f>
        <v/>
      </c>
    </row>
    <row r="14">
      <c r="A14" t="n">
        <v>13</v>
      </c>
      <c r="B14" t="n">
        <v>2</v>
      </c>
      <c r="C14" t="n">
        <v>1</v>
      </c>
      <c r="D14" t="n">
        <v>3</v>
      </c>
      <c r="E14" t="n">
        <v>4</v>
      </c>
      <c r="F14" t="n">
        <v>5</v>
      </c>
      <c r="G14" t="n">
        <v>4</v>
      </c>
      <c r="H14">
        <f>SUM(B14:G14)</f>
        <v/>
      </c>
      <c r="I14">
        <f>B14+D14+F14</f>
        <v/>
      </c>
      <c r="J14">
        <f>C14+E14+G14</f>
        <v/>
      </c>
      <c r="K14">
        <f>H14-B14</f>
        <v/>
      </c>
      <c r="L14">
        <f>H14-C14</f>
        <v/>
      </c>
      <c r="M14">
        <f>H14-D14</f>
        <v/>
      </c>
      <c r="N14">
        <f>H14-E14</f>
        <v/>
      </c>
      <c r="O14">
        <f>H14-F14</f>
        <v/>
      </c>
      <c r="P14">
        <f>H14-G14</f>
        <v/>
      </c>
    </row>
    <row r="15">
      <c r="A15" t="n">
        <v>14</v>
      </c>
      <c r="B15" t="n">
        <v>2</v>
      </c>
      <c r="C15" t="n">
        <v>2</v>
      </c>
      <c r="D15" t="n">
        <v>1</v>
      </c>
      <c r="E15" t="n">
        <v>5</v>
      </c>
      <c r="F15" t="n">
        <v>5</v>
      </c>
      <c r="G15" t="n">
        <v>4</v>
      </c>
      <c r="H15">
        <f>SUM(B15:G15)</f>
        <v/>
      </c>
      <c r="I15">
        <f>B15+D15+F15</f>
        <v/>
      </c>
      <c r="J15">
        <f>C15+E15+G15</f>
        <v/>
      </c>
      <c r="K15">
        <f>H15-B15</f>
        <v/>
      </c>
      <c r="L15">
        <f>H15-C15</f>
        <v/>
      </c>
      <c r="M15">
        <f>H15-D15</f>
        <v/>
      </c>
      <c r="N15">
        <f>H15-E15</f>
        <v/>
      </c>
      <c r="O15">
        <f>H15-F15</f>
        <v/>
      </c>
      <c r="P15">
        <f>H15-G15</f>
        <v/>
      </c>
    </row>
    <row r="16">
      <c r="A16" t="n">
        <v>15</v>
      </c>
      <c r="B16" t="n">
        <v>2</v>
      </c>
      <c r="C16" t="n">
        <v>2</v>
      </c>
      <c r="D16" t="n">
        <v>1</v>
      </c>
      <c r="E16" t="n">
        <v>4</v>
      </c>
      <c r="F16" t="n">
        <v>4</v>
      </c>
      <c r="G16" t="n">
        <v>4</v>
      </c>
      <c r="H16">
        <f>SUM(B16:G16)</f>
        <v/>
      </c>
      <c r="I16">
        <f>B16+D16+F16</f>
        <v/>
      </c>
      <c r="J16">
        <f>C16+E16+G16</f>
        <v/>
      </c>
      <c r="K16">
        <f>H16-B16</f>
        <v/>
      </c>
      <c r="L16">
        <f>H16-C16</f>
        <v/>
      </c>
      <c r="M16">
        <f>H16-D16</f>
        <v/>
      </c>
      <c r="N16">
        <f>H16-E16</f>
        <v/>
      </c>
      <c r="O16">
        <f>H16-F16</f>
        <v/>
      </c>
      <c r="P16">
        <f>H16-G16</f>
        <v/>
      </c>
    </row>
    <row r="17">
      <c r="A17" t="n">
        <v>16</v>
      </c>
      <c r="B17" t="n">
        <v>2</v>
      </c>
      <c r="C17" t="n">
        <v>1</v>
      </c>
      <c r="D17" t="n">
        <v>1</v>
      </c>
      <c r="E17" t="n">
        <v>3</v>
      </c>
      <c r="F17" t="n">
        <v>4</v>
      </c>
      <c r="G17" t="n">
        <v>5</v>
      </c>
      <c r="H17">
        <f>SUM(B17:G17)</f>
        <v/>
      </c>
      <c r="I17">
        <f>B17+D17+F17</f>
        <v/>
      </c>
      <c r="J17">
        <f>C17+E17+G17</f>
        <v/>
      </c>
      <c r="K17">
        <f>H17-B17</f>
        <v/>
      </c>
      <c r="L17">
        <f>H17-C17</f>
        <v/>
      </c>
      <c r="M17">
        <f>H17-D17</f>
        <v/>
      </c>
      <c r="N17">
        <f>H17-E17</f>
        <v/>
      </c>
      <c r="O17">
        <f>H17-F17</f>
        <v/>
      </c>
      <c r="P17">
        <f>H17-G17</f>
        <v/>
      </c>
    </row>
    <row r="18">
      <c r="A18" t="n">
        <v>17</v>
      </c>
      <c r="B18" t="n">
        <v>2</v>
      </c>
      <c r="C18" t="n">
        <v>2</v>
      </c>
      <c r="D18" t="n">
        <v>1</v>
      </c>
      <c r="E18" t="n">
        <v>4</v>
      </c>
      <c r="F18" t="n">
        <v>5</v>
      </c>
      <c r="G18" t="n">
        <v>4</v>
      </c>
      <c r="H18">
        <f>SUM(B18:G18)</f>
        <v/>
      </c>
      <c r="I18">
        <f>B18+D18+F18</f>
        <v/>
      </c>
      <c r="J18">
        <f>C18+E18+G18</f>
        <v/>
      </c>
      <c r="K18">
        <f>H18-B18</f>
        <v/>
      </c>
      <c r="L18">
        <f>H18-C18</f>
        <v/>
      </c>
      <c r="M18">
        <f>H18-D18</f>
        <v/>
      </c>
      <c r="N18">
        <f>H18-E18</f>
        <v/>
      </c>
      <c r="O18">
        <f>H18-F18</f>
        <v/>
      </c>
      <c r="P18">
        <f>H18-G18</f>
        <v/>
      </c>
    </row>
    <row r="19">
      <c r="A19" t="n">
        <v>18</v>
      </c>
      <c r="B19" t="n">
        <v>4</v>
      </c>
      <c r="C19" t="n">
        <v>5</v>
      </c>
      <c r="D19" t="n">
        <v>4</v>
      </c>
      <c r="E19" t="n">
        <v>4</v>
      </c>
      <c r="F19" t="n">
        <v>5</v>
      </c>
      <c r="G19" t="n">
        <v>4</v>
      </c>
      <c r="H19">
        <f>SUM(B19:G19)</f>
        <v/>
      </c>
      <c r="I19">
        <f>B19+D19+F19</f>
        <v/>
      </c>
      <c r="J19">
        <f>C19+E19+G19</f>
        <v/>
      </c>
      <c r="K19">
        <f>H19-B19</f>
        <v/>
      </c>
      <c r="L19">
        <f>H19-C19</f>
        <v/>
      </c>
      <c r="M19">
        <f>H19-D19</f>
        <v/>
      </c>
      <c r="N19">
        <f>H19-E19</f>
        <v/>
      </c>
      <c r="O19">
        <f>H19-F19</f>
        <v/>
      </c>
      <c r="P19">
        <f>H19-G19</f>
        <v/>
      </c>
    </row>
    <row r="20">
      <c r="A20" t="n">
        <v>19</v>
      </c>
      <c r="B20" t="n">
        <v>4</v>
      </c>
      <c r="C20" t="n">
        <v>3</v>
      </c>
      <c r="D20" t="n">
        <v>4</v>
      </c>
      <c r="E20" t="n">
        <v>5</v>
      </c>
      <c r="F20" t="n">
        <v>5</v>
      </c>
      <c r="G20" t="n">
        <v>4</v>
      </c>
      <c r="H20">
        <f>SUM(B20:G20)</f>
        <v/>
      </c>
      <c r="I20">
        <f>B20+D20+F20</f>
        <v/>
      </c>
      <c r="J20">
        <f>C20+E20+G20</f>
        <v/>
      </c>
      <c r="K20">
        <f>H20-B20</f>
        <v/>
      </c>
      <c r="L20">
        <f>H20-C20</f>
        <v/>
      </c>
      <c r="M20">
        <f>H20-D20</f>
        <v/>
      </c>
      <c r="N20">
        <f>H20-E20</f>
        <v/>
      </c>
      <c r="O20">
        <f>H20-F20</f>
        <v/>
      </c>
      <c r="P20">
        <f>H20-G20</f>
        <v/>
      </c>
    </row>
    <row r="21">
      <c r="A21" t="n">
        <v>20</v>
      </c>
      <c r="B21" t="n">
        <v>4</v>
      </c>
      <c r="C21" t="n">
        <v>5</v>
      </c>
      <c r="D21" t="n">
        <v>4</v>
      </c>
      <c r="E21" t="n">
        <v>3</v>
      </c>
      <c r="F21" t="n">
        <v>4</v>
      </c>
      <c r="G21" t="n">
        <v>5</v>
      </c>
      <c r="H21">
        <f>SUM(B21:G21)</f>
        <v/>
      </c>
      <c r="I21">
        <f>B21+D21+F21</f>
        <v/>
      </c>
      <c r="J21">
        <f>C21+E21+G21</f>
        <v/>
      </c>
      <c r="K21">
        <f>H21-B21</f>
        <v/>
      </c>
      <c r="L21">
        <f>H21-C21</f>
        <v/>
      </c>
      <c r="M21">
        <f>H21-D21</f>
        <v/>
      </c>
      <c r="N21">
        <f>H21-E21</f>
        <v/>
      </c>
      <c r="O21">
        <f>H21-F21</f>
        <v/>
      </c>
      <c r="P21">
        <f>H21-G21</f>
        <v/>
      </c>
    </row>
    <row r="22">
      <c r="A22" t="n">
        <v>21</v>
      </c>
      <c r="B22" t="n">
        <v>2</v>
      </c>
      <c r="C22" t="n">
        <v>1</v>
      </c>
      <c r="D22" t="n">
        <v>1</v>
      </c>
      <c r="E22" t="n">
        <v>2</v>
      </c>
      <c r="F22" t="n">
        <v>2</v>
      </c>
      <c r="G22" t="n">
        <v>1</v>
      </c>
      <c r="H22">
        <f>SUM(B22:G22)</f>
        <v/>
      </c>
      <c r="I22">
        <f>B22+D22+F22</f>
        <v/>
      </c>
      <c r="J22">
        <f>C22+E22+G22</f>
        <v/>
      </c>
      <c r="K22">
        <f>H22-B22</f>
        <v/>
      </c>
      <c r="L22">
        <f>H22-C22</f>
        <v/>
      </c>
      <c r="M22">
        <f>H22-D22</f>
        <v/>
      </c>
      <c r="N22">
        <f>H22-E22</f>
        <v/>
      </c>
      <c r="O22">
        <f>H22-F22</f>
        <v/>
      </c>
      <c r="P22">
        <f>H22-G22</f>
        <v/>
      </c>
    </row>
    <row r="23">
      <c r="A23" t="n">
        <v>22</v>
      </c>
      <c r="B23" t="n">
        <v>1</v>
      </c>
      <c r="C23" t="n">
        <v>3</v>
      </c>
      <c r="D23" t="n">
        <v>1</v>
      </c>
      <c r="E23" t="n">
        <v>1</v>
      </c>
      <c r="F23" t="n">
        <v>2</v>
      </c>
      <c r="G23" t="n">
        <v>1</v>
      </c>
      <c r="H23">
        <f>SUM(B23:G23)</f>
        <v/>
      </c>
      <c r="I23">
        <f>B23+D23+F23</f>
        <v/>
      </c>
      <c r="J23">
        <f>C23+E23+G23</f>
        <v/>
      </c>
      <c r="K23">
        <f>H23-B23</f>
        <v/>
      </c>
      <c r="L23">
        <f>H23-C23</f>
        <v/>
      </c>
      <c r="M23">
        <f>H23-D23</f>
        <v/>
      </c>
      <c r="N23">
        <f>H23-E23</f>
        <v/>
      </c>
      <c r="O23">
        <f>H23-F23</f>
        <v/>
      </c>
      <c r="P23">
        <f>H23-G23</f>
        <v/>
      </c>
    </row>
    <row r="24">
      <c r="A24" t="n">
        <v>23</v>
      </c>
      <c r="B24" t="n">
        <v>2</v>
      </c>
      <c r="C24" t="n">
        <v>2</v>
      </c>
      <c r="D24" t="n">
        <v>1</v>
      </c>
      <c r="E24" t="n">
        <v>1</v>
      </c>
      <c r="F24" t="n">
        <v>2</v>
      </c>
      <c r="G24" t="n">
        <v>1</v>
      </c>
      <c r="H24">
        <f>SUM(B24:G24)</f>
        <v/>
      </c>
      <c r="I24">
        <f>B24+D24+F24</f>
        <v/>
      </c>
      <c r="J24">
        <f>C24+E24+G24</f>
        <v/>
      </c>
      <c r="K24">
        <f>H24-B24</f>
        <v/>
      </c>
      <c r="L24">
        <f>H24-C24</f>
        <v/>
      </c>
      <c r="M24">
        <f>H24-D24</f>
        <v/>
      </c>
      <c r="N24">
        <f>H24-E24</f>
        <v/>
      </c>
      <c r="O24">
        <f>H24-F24</f>
        <v/>
      </c>
      <c r="P24">
        <f>H24-G24</f>
        <v/>
      </c>
    </row>
    <row r="25">
      <c r="A25" t="n">
        <v>24</v>
      </c>
      <c r="B25" t="n">
        <v>3</v>
      </c>
      <c r="C25" t="n">
        <v>1</v>
      </c>
      <c r="D25" t="n">
        <v>1</v>
      </c>
      <c r="E25" t="n">
        <v>1</v>
      </c>
      <c r="F25" t="n">
        <v>2</v>
      </c>
      <c r="G25" t="n">
        <v>2</v>
      </c>
      <c r="H25">
        <f>SUM(B25:G25)</f>
        <v/>
      </c>
      <c r="I25">
        <f>B25+D25+F25</f>
        <v/>
      </c>
      <c r="J25">
        <f>C25+E25+G25</f>
        <v/>
      </c>
      <c r="K25">
        <f>H25-B25</f>
        <v/>
      </c>
      <c r="L25">
        <f>H25-C25</f>
        <v/>
      </c>
      <c r="M25">
        <f>H25-D25</f>
        <v/>
      </c>
      <c r="N25">
        <f>H25-E25</f>
        <v/>
      </c>
      <c r="O25">
        <f>H25-F25</f>
        <v/>
      </c>
      <c r="P25">
        <f>H25-G25</f>
        <v/>
      </c>
    </row>
    <row r="26">
      <c r="A26" t="n">
        <v>25</v>
      </c>
      <c r="B26" t="n">
        <v>1</v>
      </c>
      <c r="C26" t="n">
        <v>3</v>
      </c>
      <c r="D26" t="n">
        <v>1</v>
      </c>
      <c r="E26" t="n">
        <v>1</v>
      </c>
      <c r="F26" t="n">
        <v>2</v>
      </c>
      <c r="G26" t="n">
        <v>2</v>
      </c>
      <c r="H26">
        <f>SUM(B26:G26)</f>
        <v/>
      </c>
      <c r="I26">
        <f>B26+D26+F26</f>
        <v/>
      </c>
      <c r="J26">
        <f>C26+E26+G26</f>
        <v/>
      </c>
      <c r="K26">
        <f>H26-B26</f>
        <v/>
      </c>
      <c r="L26">
        <f>H26-C26</f>
        <v/>
      </c>
      <c r="M26">
        <f>H26-D26</f>
        <v/>
      </c>
      <c r="N26">
        <f>H26-E26</f>
        <v/>
      </c>
      <c r="O26">
        <f>H26-F26</f>
        <v/>
      </c>
      <c r="P26">
        <f>H26-G26</f>
        <v/>
      </c>
    </row>
    <row r="27">
      <c r="A27" t="n">
        <v>26</v>
      </c>
      <c r="B27" t="n">
        <v>2</v>
      </c>
      <c r="C27" t="n">
        <v>2</v>
      </c>
      <c r="D27" t="n">
        <v>3</v>
      </c>
      <c r="E27" t="n">
        <v>1</v>
      </c>
      <c r="F27" t="n">
        <v>3</v>
      </c>
      <c r="G27" t="n">
        <v>1</v>
      </c>
      <c r="H27">
        <f>SUM(B27:G27)</f>
        <v/>
      </c>
      <c r="I27">
        <f>B27+D27+F27</f>
        <v/>
      </c>
      <c r="J27">
        <f>C27+E27+G27</f>
        <v/>
      </c>
      <c r="K27">
        <f>H27-B27</f>
        <v/>
      </c>
      <c r="L27">
        <f>H27-C27</f>
        <v/>
      </c>
      <c r="M27">
        <f>H27-D27</f>
        <v/>
      </c>
      <c r="N27">
        <f>H27-E27</f>
        <v/>
      </c>
      <c r="O27">
        <f>H27-F27</f>
        <v/>
      </c>
      <c r="P27">
        <f>H27-G27</f>
        <v/>
      </c>
    </row>
    <row r="28">
      <c r="A28" t="n">
        <v>27</v>
      </c>
      <c r="B28" t="n">
        <v>1</v>
      </c>
      <c r="C28" t="n">
        <v>3</v>
      </c>
      <c r="D28" t="n">
        <v>1</v>
      </c>
      <c r="E28" t="n">
        <v>2</v>
      </c>
      <c r="F28" t="n">
        <v>2</v>
      </c>
      <c r="G28" t="n">
        <v>1</v>
      </c>
      <c r="H28">
        <f>SUM(B28:G28)</f>
        <v/>
      </c>
      <c r="I28">
        <f>B28+D28+F28</f>
        <v/>
      </c>
      <c r="J28">
        <f>C28+E28+G28</f>
        <v/>
      </c>
      <c r="K28">
        <f>H28-B28</f>
        <v/>
      </c>
      <c r="L28">
        <f>H28-C28</f>
        <v/>
      </c>
      <c r="M28">
        <f>H28-D28</f>
        <v/>
      </c>
      <c r="N28">
        <f>H28-E28</f>
        <v/>
      </c>
      <c r="O28">
        <f>H28-F28</f>
        <v/>
      </c>
      <c r="P28">
        <f>H28-G28</f>
        <v/>
      </c>
    </row>
    <row r="29">
      <c r="A29" t="n">
        <v>28</v>
      </c>
      <c r="B29" t="n">
        <v>2</v>
      </c>
      <c r="C29" t="n">
        <v>2</v>
      </c>
      <c r="D29" t="n">
        <v>1</v>
      </c>
      <c r="E29" t="n">
        <v>1</v>
      </c>
      <c r="F29" t="n">
        <v>2</v>
      </c>
      <c r="G29" t="n">
        <v>1</v>
      </c>
      <c r="H29">
        <f>SUM(B29:G29)</f>
        <v/>
      </c>
      <c r="I29">
        <f>B29+D29+F29</f>
        <v/>
      </c>
      <c r="J29">
        <f>C29+E29+G29</f>
        <v/>
      </c>
      <c r="K29">
        <f>H29-B29</f>
        <v/>
      </c>
      <c r="L29">
        <f>H29-C29</f>
        <v/>
      </c>
      <c r="M29">
        <f>H29-D29</f>
        <v/>
      </c>
      <c r="N29">
        <f>H29-E29</f>
        <v/>
      </c>
      <c r="O29">
        <f>H29-F29</f>
        <v/>
      </c>
      <c r="P29">
        <f>H29-G29</f>
        <v/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3</v>
      </c>
      <c r="F30" t="n">
        <v>1</v>
      </c>
      <c r="G30" t="n">
        <v>2</v>
      </c>
      <c r="H30">
        <f>SUM(B30:G30)</f>
        <v/>
      </c>
      <c r="I30">
        <f>B30+D30+F30</f>
        <v/>
      </c>
      <c r="J30">
        <f>C30+E30+G30</f>
        <v/>
      </c>
      <c r="K30">
        <f>H30-B30</f>
        <v/>
      </c>
      <c r="L30">
        <f>H30-C30</f>
        <v/>
      </c>
      <c r="M30">
        <f>H30-D30</f>
        <v/>
      </c>
      <c r="N30">
        <f>H30-E30</f>
        <v/>
      </c>
      <c r="O30">
        <f>H30-F30</f>
        <v/>
      </c>
      <c r="P30">
        <f>H30-G30</f>
        <v/>
      </c>
    </row>
    <row r="31">
      <c r="A31" t="n">
        <v>30</v>
      </c>
      <c r="B31" t="n">
        <v>1</v>
      </c>
      <c r="C31" t="n">
        <v>3</v>
      </c>
      <c r="D31" t="n">
        <v>1</v>
      </c>
      <c r="E31" t="n">
        <v>1</v>
      </c>
      <c r="F31" t="n">
        <v>2</v>
      </c>
      <c r="G31" t="n">
        <v>1</v>
      </c>
      <c r="H31">
        <f>SUM(B31:G31)</f>
        <v/>
      </c>
      <c r="I31">
        <f>B31+D31+F31</f>
        <v/>
      </c>
      <c r="J31">
        <f>C31+E31+G31</f>
        <v/>
      </c>
      <c r="K31">
        <f>H31-B31</f>
        <v/>
      </c>
      <c r="L31">
        <f>H31-C31</f>
        <v/>
      </c>
      <c r="M31">
        <f>H31-D31</f>
        <v/>
      </c>
      <c r="N31">
        <f>H31-E31</f>
        <v/>
      </c>
      <c r="O31">
        <f>H31-F31</f>
        <v/>
      </c>
      <c r="P31">
        <f>H31-G31</f>
        <v/>
      </c>
    </row>
    <row r="32">
      <c r="A32" t="n">
        <v>31</v>
      </c>
      <c r="B32" t="n">
        <v>5</v>
      </c>
      <c r="C32" t="n">
        <v>4</v>
      </c>
      <c r="D32" t="n">
        <v>4</v>
      </c>
      <c r="E32" t="n">
        <v>5</v>
      </c>
      <c r="F32" t="n">
        <v>5</v>
      </c>
      <c r="G32" t="n">
        <v>4</v>
      </c>
      <c r="H32">
        <f>SUM(B32:G32)</f>
        <v/>
      </c>
      <c r="I32">
        <f>B32+D32+F32</f>
        <v/>
      </c>
      <c r="J32">
        <f>C32+E32+G32</f>
        <v/>
      </c>
      <c r="K32">
        <f>H32-B32</f>
        <v/>
      </c>
      <c r="L32">
        <f>H32-C32</f>
        <v/>
      </c>
      <c r="M32">
        <f>H32-D32</f>
        <v/>
      </c>
      <c r="N32">
        <f>H32-E32</f>
        <v/>
      </c>
      <c r="O32">
        <f>H32-F32</f>
        <v/>
      </c>
      <c r="P32">
        <f>H32-G32</f>
        <v/>
      </c>
    </row>
    <row r="33">
      <c r="A33" t="n">
        <v>32</v>
      </c>
      <c r="B33" t="n">
        <v>4</v>
      </c>
      <c r="C33" t="n">
        <v>3</v>
      </c>
      <c r="D33" t="n">
        <v>5</v>
      </c>
      <c r="E33" t="n">
        <v>5</v>
      </c>
      <c r="F33" t="n">
        <v>4</v>
      </c>
      <c r="G33" t="n">
        <v>4</v>
      </c>
      <c r="H33">
        <f>SUM(B33:G33)</f>
        <v/>
      </c>
      <c r="I33">
        <f>B33+D33+F33</f>
        <v/>
      </c>
      <c r="J33">
        <f>C33+E33+G33</f>
        <v/>
      </c>
      <c r="K33">
        <f>H33-B33</f>
        <v/>
      </c>
      <c r="L33">
        <f>H33-C33</f>
        <v/>
      </c>
      <c r="M33">
        <f>H33-D33</f>
        <v/>
      </c>
      <c r="N33">
        <f>H33-E33</f>
        <v/>
      </c>
      <c r="O33">
        <f>H33-F33</f>
        <v/>
      </c>
      <c r="P33">
        <f>H33-G33</f>
        <v/>
      </c>
    </row>
    <row r="34">
      <c r="A34" t="n">
        <v>33</v>
      </c>
      <c r="B34" t="n">
        <v>4</v>
      </c>
      <c r="C34" t="n">
        <v>3</v>
      </c>
      <c r="D34" t="n">
        <v>4</v>
      </c>
      <c r="E34" t="n">
        <v>4</v>
      </c>
      <c r="F34" t="n">
        <v>5</v>
      </c>
      <c r="G34" t="n">
        <v>4</v>
      </c>
      <c r="H34">
        <f>SUM(B34:G34)</f>
        <v/>
      </c>
      <c r="I34">
        <f>B34+D34+F34</f>
        <v/>
      </c>
      <c r="J34">
        <f>C34+E34+G34</f>
        <v/>
      </c>
      <c r="K34">
        <f>H34-B34</f>
        <v/>
      </c>
      <c r="L34">
        <f>H34-C34</f>
        <v/>
      </c>
      <c r="M34">
        <f>H34-D34</f>
        <v/>
      </c>
      <c r="N34">
        <f>H34-E34</f>
        <v/>
      </c>
      <c r="O34">
        <f>H34-F34</f>
        <v/>
      </c>
      <c r="P34">
        <f>H34-G34</f>
        <v/>
      </c>
    </row>
    <row r="35">
      <c r="A35" t="n">
        <v>34</v>
      </c>
      <c r="B35" t="n">
        <v>4</v>
      </c>
      <c r="C35" t="n">
        <v>3</v>
      </c>
      <c r="D35" t="n">
        <v>4</v>
      </c>
      <c r="E35" t="n">
        <v>4</v>
      </c>
      <c r="F35" t="n">
        <v>5</v>
      </c>
      <c r="G35" t="n">
        <v>4</v>
      </c>
      <c r="H35">
        <f>SUM(B35:G35)</f>
        <v/>
      </c>
      <c r="I35">
        <f>B35+D35+F35</f>
        <v/>
      </c>
      <c r="J35">
        <f>C35+E35+G35</f>
        <v/>
      </c>
      <c r="K35">
        <f>H35-B35</f>
        <v/>
      </c>
      <c r="L35">
        <f>H35-C35</f>
        <v/>
      </c>
      <c r="M35">
        <f>H35-D35</f>
        <v/>
      </c>
      <c r="N35">
        <f>H35-E35</f>
        <v/>
      </c>
      <c r="O35">
        <f>H35-F35</f>
        <v/>
      </c>
      <c r="P35">
        <f>H35-G35</f>
        <v/>
      </c>
    </row>
    <row r="36">
      <c r="A36" t="n">
        <v>35</v>
      </c>
      <c r="B36" t="n">
        <v>4</v>
      </c>
      <c r="C36" t="n">
        <v>5</v>
      </c>
      <c r="D36" t="n">
        <v>4</v>
      </c>
      <c r="E36" t="n">
        <v>4</v>
      </c>
      <c r="F36" t="n">
        <v>5</v>
      </c>
      <c r="G36" t="n">
        <v>4</v>
      </c>
      <c r="H36">
        <f>SUM(B36:G36)</f>
        <v/>
      </c>
      <c r="I36">
        <f>B36+D36+F36</f>
        <v/>
      </c>
      <c r="J36">
        <f>C36+E36+G36</f>
        <v/>
      </c>
      <c r="K36">
        <f>H36-B36</f>
        <v/>
      </c>
      <c r="L36">
        <f>H36-C36</f>
        <v/>
      </c>
      <c r="M36">
        <f>H36-D36</f>
        <v/>
      </c>
      <c r="N36">
        <f>H36-E36</f>
        <v/>
      </c>
      <c r="O36">
        <f>H36-F36</f>
        <v/>
      </c>
      <c r="P36">
        <f>H36-G36</f>
        <v/>
      </c>
    </row>
    <row r="37">
      <c r="A37" t="n">
        <v>36</v>
      </c>
      <c r="B37" t="n">
        <v>4</v>
      </c>
      <c r="C37" t="n">
        <v>5</v>
      </c>
      <c r="D37" t="n">
        <v>4</v>
      </c>
      <c r="E37" t="n">
        <v>5</v>
      </c>
      <c r="F37" t="n">
        <v>4</v>
      </c>
      <c r="G37" t="n">
        <v>3</v>
      </c>
      <c r="H37">
        <f>SUM(B37:G37)</f>
        <v/>
      </c>
      <c r="I37">
        <f>B37+D37+F37</f>
        <v/>
      </c>
      <c r="J37">
        <f>C37+E37+G37</f>
        <v/>
      </c>
      <c r="K37">
        <f>H37-B37</f>
        <v/>
      </c>
      <c r="L37">
        <f>H37-C37</f>
        <v/>
      </c>
      <c r="M37">
        <f>H37-D37</f>
        <v/>
      </c>
      <c r="N37">
        <f>H37-E37</f>
        <v/>
      </c>
      <c r="O37">
        <f>H37-F37</f>
        <v/>
      </c>
      <c r="P37">
        <f>H37-G37</f>
        <v/>
      </c>
    </row>
    <row r="38">
      <c r="A38" t="n">
        <v>37</v>
      </c>
      <c r="B38" t="n">
        <v>4</v>
      </c>
      <c r="C38" t="n">
        <v>4</v>
      </c>
      <c r="D38" t="n">
        <v>5</v>
      </c>
      <c r="E38" t="n">
        <v>5</v>
      </c>
      <c r="F38" t="n">
        <v>5</v>
      </c>
      <c r="G38" t="n">
        <v>5</v>
      </c>
      <c r="H38">
        <f>SUM(B38:G38)</f>
        <v/>
      </c>
      <c r="I38">
        <f>B38+D38+F38</f>
        <v/>
      </c>
      <c r="J38">
        <f>C38+E38+G38</f>
        <v/>
      </c>
      <c r="K38">
        <f>H38-B38</f>
        <v/>
      </c>
      <c r="L38">
        <f>H38-C38</f>
        <v/>
      </c>
      <c r="M38">
        <f>H38-D38</f>
        <v/>
      </c>
      <c r="N38">
        <f>H38-E38</f>
        <v/>
      </c>
      <c r="O38">
        <f>H38-F38</f>
        <v/>
      </c>
      <c r="P38">
        <f>H38-G38</f>
        <v/>
      </c>
    </row>
    <row r="39">
      <c r="A39" t="n">
        <v>38</v>
      </c>
      <c r="B39" t="n">
        <v>4</v>
      </c>
      <c r="C39" t="n">
        <v>4</v>
      </c>
      <c r="D39" t="n">
        <v>3</v>
      </c>
      <c r="E39" t="n">
        <v>5</v>
      </c>
      <c r="F39" t="n">
        <v>5</v>
      </c>
      <c r="G39" t="n">
        <v>4</v>
      </c>
      <c r="H39">
        <f>SUM(B39:G39)</f>
        <v/>
      </c>
      <c r="I39">
        <f>B39+D39+F39</f>
        <v/>
      </c>
      <c r="J39">
        <f>C39+E39+G39</f>
        <v/>
      </c>
      <c r="K39">
        <f>H39-B39</f>
        <v/>
      </c>
      <c r="L39">
        <f>H39-C39</f>
        <v/>
      </c>
      <c r="M39">
        <f>H39-D39</f>
        <v/>
      </c>
      <c r="N39">
        <f>H39-E39</f>
        <v/>
      </c>
      <c r="O39">
        <f>H39-F39</f>
        <v/>
      </c>
      <c r="P39">
        <f>H39-G39</f>
        <v/>
      </c>
    </row>
    <row r="40">
      <c r="A40" t="n">
        <v>39</v>
      </c>
      <c r="B40" t="n">
        <v>4</v>
      </c>
      <c r="C40" t="n">
        <v>3</v>
      </c>
      <c r="D40" t="n">
        <v>5</v>
      </c>
      <c r="E40" t="n">
        <v>5</v>
      </c>
      <c r="F40" t="n">
        <v>5</v>
      </c>
      <c r="G40" t="n">
        <v>4</v>
      </c>
      <c r="H40">
        <f>SUM(B40:G40)</f>
        <v/>
      </c>
      <c r="I40">
        <f>B40+D40+F40</f>
        <v/>
      </c>
      <c r="J40">
        <f>C40+E40+G40</f>
        <v/>
      </c>
      <c r="K40">
        <f>H40-B40</f>
        <v/>
      </c>
      <c r="L40">
        <f>H40-C40</f>
        <v/>
      </c>
      <c r="M40">
        <f>H40-D40</f>
        <v/>
      </c>
      <c r="N40">
        <f>H40-E40</f>
        <v/>
      </c>
      <c r="O40">
        <f>H40-F40</f>
        <v/>
      </c>
      <c r="P40">
        <f>H40-G40</f>
        <v/>
      </c>
    </row>
    <row r="41">
      <c r="A41" t="n">
        <v>40</v>
      </c>
      <c r="B41" t="n">
        <v>1</v>
      </c>
      <c r="C41" t="n">
        <v>5</v>
      </c>
      <c r="D41" t="n">
        <v>5</v>
      </c>
      <c r="E41" t="n">
        <v>4</v>
      </c>
      <c r="F41" t="n">
        <v>5</v>
      </c>
      <c r="G41" t="n">
        <v>4</v>
      </c>
      <c r="H41">
        <f>SUM(B41:G41)</f>
        <v/>
      </c>
      <c r="I41">
        <f>B41+D41+F41</f>
        <v/>
      </c>
      <c r="J41">
        <f>C41+E41+G41</f>
        <v/>
      </c>
      <c r="K41">
        <f>H41-B41</f>
        <v/>
      </c>
      <c r="L41">
        <f>H41-C41</f>
        <v/>
      </c>
      <c r="M41">
        <f>H41-D41</f>
        <v/>
      </c>
      <c r="N41">
        <f>H41-E41</f>
        <v/>
      </c>
      <c r="O41">
        <f>H41-F41</f>
        <v/>
      </c>
      <c r="P41">
        <f>H41-G41</f>
        <v/>
      </c>
    </row>
    <row r="42">
      <c r="A42" t="n">
        <v>41</v>
      </c>
      <c r="B42" t="n">
        <v>1</v>
      </c>
      <c r="C42" t="n">
        <v>4</v>
      </c>
      <c r="D42" t="n">
        <v>5</v>
      </c>
      <c r="E42" t="n">
        <v>5</v>
      </c>
      <c r="F42" t="n">
        <v>5</v>
      </c>
      <c r="G42" t="n">
        <v>4</v>
      </c>
      <c r="H42">
        <f>SUM(B42:G42)</f>
        <v/>
      </c>
      <c r="I42">
        <f>B42+D42+F42</f>
        <v/>
      </c>
      <c r="J42">
        <f>C42+E42+G42</f>
        <v/>
      </c>
      <c r="K42">
        <f>H42-B42</f>
        <v/>
      </c>
      <c r="L42">
        <f>H42-C42</f>
        <v/>
      </c>
      <c r="M42">
        <f>H42-D42</f>
        <v/>
      </c>
      <c r="N42">
        <f>H42-E42</f>
        <v/>
      </c>
      <c r="O42">
        <f>H42-F42</f>
        <v/>
      </c>
      <c r="P42">
        <f>H42-G42</f>
        <v/>
      </c>
    </row>
    <row r="43">
      <c r="A43" t="n">
        <v>42</v>
      </c>
      <c r="B43" t="n">
        <v>5</v>
      </c>
      <c r="C43" t="n">
        <v>4</v>
      </c>
      <c r="D43" t="n">
        <v>4</v>
      </c>
      <c r="E43" t="n">
        <v>3</v>
      </c>
      <c r="F43" t="n">
        <v>5</v>
      </c>
      <c r="G43" t="n">
        <v>4</v>
      </c>
      <c r="H43">
        <f>SUM(B43:G43)</f>
        <v/>
      </c>
      <c r="I43">
        <f>B43+D43+F43</f>
        <v/>
      </c>
      <c r="J43">
        <f>C43+E43+G43</f>
        <v/>
      </c>
      <c r="K43">
        <f>H43-B43</f>
        <v/>
      </c>
      <c r="L43">
        <f>H43-C43</f>
        <v/>
      </c>
      <c r="M43">
        <f>H43-D43</f>
        <v/>
      </c>
      <c r="N43">
        <f>H43-E43</f>
        <v/>
      </c>
      <c r="O43">
        <f>H43-F43</f>
        <v/>
      </c>
      <c r="P43">
        <f>H43-G43</f>
        <v/>
      </c>
    </row>
    <row r="44">
      <c r="A44" t="n">
        <v>43</v>
      </c>
      <c r="B44" t="n">
        <v>1</v>
      </c>
      <c r="C44" t="n">
        <v>5</v>
      </c>
      <c r="D44" t="n">
        <v>4</v>
      </c>
      <c r="E44" t="n">
        <v>4</v>
      </c>
      <c r="F44" t="n">
        <v>5</v>
      </c>
      <c r="G44" t="n">
        <v>5</v>
      </c>
      <c r="H44">
        <f>SUM(B44:G44)</f>
        <v/>
      </c>
      <c r="I44">
        <f>B44+D44+F44</f>
        <v/>
      </c>
      <c r="J44">
        <f>C44+E44+G44</f>
        <v/>
      </c>
      <c r="K44">
        <f>H44-B44</f>
        <v/>
      </c>
      <c r="L44">
        <f>H44-C44</f>
        <v/>
      </c>
      <c r="M44">
        <f>H44-D44</f>
        <v/>
      </c>
      <c r="N44">
        <f>H44-E44</f>
        <v/>
      </c>
      <c r="O44">
        <f>H44-F44</f>
        <v/>
      </c>
      <c r="P44">
        <f>H44-G44</f>
        <v/>
      </c>
    </row>
    <row r="45">
      <c r="A45" t="n">
        <v>44</v>
      </c>
      <c r="B45" t="n">
        <v>5</v>
      </c>
      <c r="C45" t="n">
        <v>4</v>
      </c>
      <c r="D45" t="n">
        <v>4</v>
      </c>
      <c r="E45" t="n">
        <v>5</v>
      </c>
      <c r="F45" t="n">
        <v>5</v>
      </c>
      <c r="G45" t="n">
        <v>4</v>
      </c>
      <c r="H45">
        <f>SUM(B45:G45)</f>
        <v/>
      </c>
      <c r="I45">
        <f>B45+D45+F45</f>
        <v/>
      </c>
      <c r="J45">
        <f>C45+E45+G45</f>
        <v/>
      </c>
      <c r="K45">
        <f>H45-B45</f>
        <v/>
      </c>
      <c r="L45">
        <f>H45-C45</f>
        <v/>
      </c>
      <c r="M45">
        <f>H45-D45</f>
        <v/>
      </c>
      <c r="N45">
        <f>H45-E45</f>
        <v/>
      </c>
      <c r="O45">
        <f>H45-F45</f>
        <v/>
      </c>
      <c r="P45">
        <f>H45-G45</f>
        <v/>
      </c>
    </row>
    <row r="46">
      <c r="A46" t="n">
        <v>45</v>
      </c>
      <c r="B46" t="n">
        <v>5</v>
      </c>
      <c r="C46" t="n">
        <v>4</v>
      </c>
      <c r="D46" t="n">
        <v>5</v>
      </c>
      <c r="E46" t="n">
        <v>4</v>
      </c>
      <c r="F46" t="n">
        <v>5</v>
      </c>
      <c r="G46" t="n">
        <v>4</v>
      </c>
      <c r="H46">
        <f>SUM(B46:G46)</f>
        <v/>
      </c>
      <c r="I46">
        <f>B46+D46+F46</f>
        <v/>
      </c>
      <c r="J46">
        <f>C46+E46+G46</f>
        <v/>
      </c>
      <c r="K46">
        <f>H46-B46</f>
        <v/>
      </c>
      <c r="L46">
        <f>H46-C46</f>
        <v/>
      </c>
      <c r="M46">
        <f>H46-D46</f>
        <v/>
      </c>
      <c r="N46">
        <f>H46-E46</f>
        <v/>
      </c>
      <c r="O46">
        <f>H46-F46</f>
        <v/>
      </c>
      <c r="P46">
        <f>H46-G46</f>
        <v/>
      </c>
    </row>
    <row r="47">
      <c r="A47" t="n">
        <v>46</v>
      </c>
      <c r="B47" t="n">
        <v>1</v>
      </c>
      <c r="C47" t="n">
        <v>3</v>
      </c>
      <c r="D47" t="n">
        <v>4</v>
      </c>
      <c r="E47" t="n">
        <v>5</v>
      </c>
      <c r="F47" t="n">
        <v>5</v>
      </c>
      <c r="G47" t="n">
        <v>4</v>
      </c>
      <c r="H47">
        <f>SUM(B47:G47)</f>
        <v/>
      </c>
      <c r="I47">
        <f>B47+D47+F47</f>
        <v/>
      </c>
      <c r="J47">
        <f>C47+E47+G47</f>
        <v/>
      </c>
      <c r="K47">
        <f>H47-B47</f>
        <v/>
      </c>
      <c r="L47">
        <f>H47-C47</f>
        <v/>
      </c>
      <c r="M47">
        <f>H47-D47</f>
        <v/>
      </c>
      <c r="N47">
        <f>H47-E47</f>
        <v/>
      </c>
      <c r="O47">
        <f>H47-F47</f>
        <v/>
      </c>
      <c r="P47">
        <f>H47-G47</f>
        <v/>
      </c>
    </row>
    <row r="48">
      <c r="A48" t="n">
        <v>47</v>
      </c>
      <c r="B48" t="n">
        <v>5</v>
      </c>
      <c r="C48" t="n">
        <v>5</v>
      </c>
      <c r="D48" t="n">
        <v>4</v>
      </c>
      <c r="E48" t="n">
        <v>4</v>
      </c>
      <c r="F48" t="n">
        <v>5</v>
      </c>
      <c r="G48" t="n">
        <v>4</v>
      </c>
      <c r="H48">
        <f>SUM(B48:G48)</f>
        <v/>
      </c>
      <c r="I48">
        <f>B48+D48+F48</f>
        <v/>
      </c>
      <c r="J48">
        <f>C48+E48+G48</f>
        <v/>
      </c>
      <c r="K48">
        <f>H48-B48</f>
        <v/>
      </c>
      <c r="L48">
        <f>H48-C48</f>
        <v/>
      </c>
      <c r="M48">
        <f>H48-D48</f>
        <v/>
      </c>
      <c r="N48">
        <f>H48-E48</f>
        <v/>
      </c>
      <c r="O48">
        <f>H48-F48</f>
        <v/>
      </c>
      <c r="P48">
        <f>H48-G48</f>
        <v/>
      </c>
    </row>
    <row r="49">
      <c r="A49" t="n">
        <v>48</v>
      </c>
      <c r="B49" t="n">
        <v>3</v>
      </c>
      <c r="C49" t="n">
        <v>4</v>
      </c>
      <c r="D49" t="n">
        <v>5</v>
      </c>
      <c r="E49" t="n">
        <v>5</v>
      </c>
      <c r="F49" t="n">
        <v>4</v>
      </c>
      <c r="G49" t="n">
        <v>5</v>
      </c>
      <c r="H49">
        <f>SUM(B49:G49)</f>
        <v/>
      </c>
      <c r="I49">
        <f>B49+D49+F49</f>
        <v/>
      </c>
      <c r="J49">
        <f>C49+E49+G49</f>
        <v/>
      </c>
      <c r="K49">
        <f>H49-B49</f>
        <v/>
      </c>
      <c r="L49">
        <f>H49-C49</f>
        <v/>
      </c>
      <c r="M49">
        <f>H49-D49</f>
        <v/>
      </c>
      <c r="N49">
        <f>H49-E49</f>
        <v/>
      </c>
      <c r="O49">
        <f>H49-F49</f>
        <v/>
      </c>
      <c r="P49">
        <f>H49-G49</f>
        <v/>
      </c>
    </row>
    <row r="50">
      <c r="A50" t="n">
        <v>49</v>
      </c>
      <c r="B50" t="n">
        <v>1</v>
      </c>
      <c r="C50" t="n">
        <v>5</v>
      </c>
      <c r="D50" t="n">
        <v>5</v>
      </c>
      <c r="E50" t="n">
        <v>5</v>
      </c>
      <c r="F50" t="n">
        <v>4</v>
      </c>
      <c r="G50" t="n">
        <v>4</v>
      </c>
      <c r="H50">
        <f>SUM(B50:G50)</f>
        <v/>
      </c>
      <c r="I50">
        <f>B50+D50+F50</f>
        <v/>
      </c>
      <c r="J50">
        <f>C50+E50+G50</f>
        <v/>
      </c>
      <c r="K50">
        <f>H50-B50</f>
        <v/>
      </c>
      <c r="L50">
        <f>H50-C50</f>
        <v/>
      </c>
      <c r="M50">
        <f>H50-D50</f>
        <v/>
      </c>
      <c r="N50">
        <f>H50-E50</f>
        <v/>
      </c>
      <c r="O50">
        <f>H50-F50</f>
        <v/>
      </c>
      <c r="P50">
        <f>H50-G50</f>
        <v/>
      </c>
    </row>
    <row r="51">
      <c r="A51" t="n">
        <v>50</v>
      </c>
      <c r="B51" t="n">
        <v>5</v>
      </c>
      <c r="C51" t="n">
        <v>3</v>
      </c>
      <c r="D51" t="n">
        <v>4</v>
      </c>
      <c r="E51" t="n">
        <v>5</v>
      </c>
      <c r="F51" t="n">
        <v>4</v>
      </c>
      <c r="G51" t="n">
        <v>5</v>
      </c>
      <c r="H51">
        <f>SUM(B51:G51)</f>
        <v/>
      </c>
      <c r="I51">
        <f>B51+D51+F51</f>
        <v/>
      </c>
      <c r="J51">
        <f>C51+E51+G51</f>
        <v/>
      </c>
      <c r="K51">
        <f>H51-B51</f>
        <v/>
      </c>
      <c r="L51">
        <f>H51-C51</f>
        <v/>
      </c>
      <c r="M51">
        <f>H51-D51</f>
        <v/>
      </c>
      <c r="N51">
        <f>H51-E51</f>
        <v/>
      </c>
      <c r="O51">
        <f>H51-F51</f>
        <v/>
      </c>
      <c r="P51">
        <f>H51-G51</f>
        <v/>
      </c>
    </row>
    <row r="52">
      <c r="A52" t="n">
        <v>51</v>
      </c>
      <c r="B52" t="n">
        <v>1</v>
      </c>
      <c r="C52" t="n">
        <v>4</v>
      </c>
      <c r="D52" t="n">
        <v>5</v>
      </c>
      <c r="E52" t="n">
        <v>5</v>
      </c>
      <c r="F52" t="n">
        <v>5</v>
      </c>
      <c r="G52" t="n">
        <v>4</v>
      </c>
      <c r="H52">
        <f>SUM(B52:G52)</f>
        <v/>
      </c>
      <c r="I52">
        <f>B52+D52+F52</f>
        <v/>
      </c>
      <c r="J52">
        <f>C52+E52+G52</f>
        <v/>
      </c>
      <c r="K52">
        <f>H52-B52</f>
        <v/>
      </c>
      <c r="L52">
        <f>H52-C52</f>
        <v/>
      </c>
      <c r="M52">
        <f>H52-D52</f>
        <v/>
      </c>
      <c r="N52">
        <f>H52-E52</f>
        <v/>
      </c>
      <c r="O52">
        <f>H52-F52</f>
        <v/>
      </c>
      <c r="P52">
        <f>H52-G52</f>
        <v/>
      </c>
    </row>
    <row r="53">
      <c r="A53" t="n">
        <v>52</v>
      </c>
      <c r="B53" t="n">
        <v>5</v>
      </c>
      <c r="C53" t="n">
        <v>5</v>
      </c>
      <c r="D53" t="n">
        <v>4</v>
      </c>
      <c r="E53" t="n">
        <v>4</v>
      </c>
      <c r="F53" t="n">
        <v>5</v>
      </c>
      <c r="G53" t="n">
        <v>4</v>
      </c>
      <c r="H53">
        <f>SUM(B53:G53)</f>
        <v/>
      </c>
      <c r="I53">
        <f>B53+D53+F53</f>
        <v/>
      </c>
      <c r="J53">
        <f>C53+E53+G53</f>
        <v/>
      </c>
      <c r="K53">
        <f>H53-B53</f>
        <v/>
      </c>
      <c r="L53">
        <f>H53-C53</f>
        <v/>
      </c>
      <c r="M53">
        <f>H53-D53</f>
        <v/>
      </c>
      <c r="N53">
        <f>H53-E53</f>
        <v/>
      </c>
      <c r="O53">
        <f>H53-F53</f>
        <v/>
      </c>
      <c r="P53">
        <f>H53-G53</f>
        <v/>
      </c>
    </row>
    <row r="54">
      <c r="A54" t="n">
        <v>53</v>
      </c>
      <c r="B54" t="n">
        <v>5</v>
      </c>
      <c r="C54" t="n">
        <v>5</v>
      </c>
      <c r="D54" t="n">
        <v>4</v>
      </c>
      <c r="E54" t="n">
        <v>5</v>
      </c>
      <c r="F54" t="n">
        <v>5</v>
      </c>
      <c r="G54" t="n">
        <v>5</v>
      </c>
      <c r="H54">
        <f>SUM(B54:G54)</f>
        <v/>
      </c>
      <c r="I54">
        <f>B54+D54+F54</f>
        <v/>
      </c>
      <c r="J54">
        <f>C54+E54+G54</f>
        <v/>
      </c>
      <c r="K54">
        <f>H54-B54</f>
        <v/>
      </c>
      <c r="L54">
        <f>H54-C54</f>
        <v/>
      </c>
      <c r="M54">
        <f>H54-D54</f>
        <v/>
      </c>
      <c r="N54">
        <f>H54-E54</f>
        <v/>
      </c>
      <c r="O54">
        <f>H54-F54</f>
        <v/>
      </c>
      <c r="P54">
        <f>H54-G54</f>
        <v/>
      </c>
    </row>
    <row r="55">
      <c r="A55" t="n">
        <v>54</v>
      </c>
      <c r="B55" t="n">
        <v>5</v>
      </c>
      <c r="C55" t="n">
        <v>5</v>
      </c>
      <c r="D55" t="n">
        <v>4</v>
      </c>
      <c r="E55" t="n">
        <v>4</v>
      </c>
      <c r="F55" t="n">
        <v>5</v>
      </c>
      <c r="G55" t="n">
        <v>4</v>
      </c>
      <c r="H55">
        <f>SUM(B55:G55)</f>
        <v/>
      </c>
      <c r="I55">
        <f>B55+D55+F55</f>
        <v/>
      </c>
      <c r="J55">
        <f>C55+E55+G55</f>
        <v/>
      </c>
      <c r="K55">
        <f>H55-B55</f>
        <v/>
      </c>
      <c r="L55">
        <f>H55-C55</f>
        <v/>
      </c>
      <c r="M55">
        <f>H55-D55</f>
        <v/>
      </c>
      <c r="N55">
        <f>H55-E55</f>
        <v/>
      </c>
      <c r="O55">
        <f>H55-F55</f>
        <v/>
      </c>
      <c r="P55">
        <f>H55-G55</f>
        <v/>
      </c>
    </row>
    <row r="56">
      <c r="A56" t="n">
        <v>55</v>
      </c>
      <c r="B56" t="n">
        <v>4</v>
      </c>
      <c r="C56" t="n">
        <v>5</v>
      </c>
      <c r="D56" t="n">
        <v>4</v>
      </c>
      <c r="E56" t="n">
        <v>4</v>
      </c>
      <c r="F56" t="n">
        <v>3</v>
      </c>
      <c r="G56" t="n">
        <v>5</v>
      </c>
      <c r="H56">
        <f>SUM(B56:G56)</f>
        <v/>
      </c>
      <c r="I56">
        <f>B56+D56+F56</f>
        <v/>
      </c>
      <c r="J56">
        <f>C56+E56+G56</f>
        <v/>
      </c>
      <c r="K56">
        <f>H56-B56</f>
        <v/>
      </c>
      <c r="L56">
        <f>H56-C56</f>
        <v/>
      </c>
      <c r="M56">
        <f>H56-D56</f>
        <v/>
      </c>
      <c r="N56">
        <f>H56-E56</f>
        <v/>
      </c>
      <c r="O56">
        <f>H56-F56</f>
        <v/>
      </c>
      <c r="P56">
        <f>H56-G56</f>
        <v/>
      </c>
    </row>
    <row r="57">
      <c r="A57" t="n">
        <v>56</v>
      </c>
      <c r="B57" t="n">
        <v>4</v>
      </c>
      <c r="C57" t="n">
        <v>3</v>
      </c>
      <c r="D57" t="n">
        <v>4</v>
      </c>
      <c r="E57" t="n">
        <v>5</v>
      </c>
      <c r="F57" t="n">
        <v>5</v>
      </c>
      <c r="G57" t="n">
        <v>4</v>
      </c>
      <c r="H57">
        <f>SUM(B57:G57)</f>
        <v/>
      </c>
      <c r="I57">
        <f>B57+D57+F57</f>
        <v/>
      </c>
      <c r="J57">
        <f>C57+E57+G57</f>
        <v/>
      </c>
      <c r="K57">
        <f>H57-B57</f>
        <v/>
      </c>
      <c r="L57">
        <f>H57-C57</f>
        <v/>
      </c>
      <c r="M57">
        <f>H57-D57</f>
        <v/>
      </c>
      <c r="N57">
        <f>H57-E57</f>
        <v/>
      </c>
      <c r="O57">
        <f>H57-F57</f>
        <v/>
      </c>
      <c r="P57">
        <f>H57-G57</f>
        <v/>
      </c>
    </row>
    <row r="58">
      <c r="A58" t="n">
        <v>57</v>
      </c>
      <c r="B58" t="n">
        <v>4</v>
      </c>
      <c r="C58" t="n">
        <v>5</v>
      </c>
      <c r="D58" t="n">
        <v>4</v>
      </c>
      <c r="E58" t="n">
        <v>4</v>
      </c>
      <c r="F58" t="n">
        <v>5</v>
      </c>
      <c r="G58" t="n">
        <v>4</v>
      </c>
      <c r="H58">
        <f>SUM(B58:G58)</f>
        <v/>
      </c>
      <c r="I58">
        <f>B58+D58+F58</f>
        <v/>
      </c>
      <c r="J58">
        <f>C58+E58+G58</f>
        <v/>
      </c>
      <c r="K58">
        <f>H58-B58</f>
        <v/>
      </c>
      <c r="L58">
        <f>H58-C58</f>
        <v/>
      </c>
      <c r="M58">
        <f>H58-D58</f>
        <v/>
      </c>
      <c r="N58">
        <f>H58-E58</f>
        <v/>
      </c>
      <c r="O58">
        <f>H58-F58</f>
        <v/>
      </c>
      <c r="P58">
        <f>H58-G58</f>
        <v/>
      </c>
    </row>
    <row r="59">
      <c r="A59" t="n">
        <v>58</v>
      </c>
      <c r="B59" t="n">
        <v>3</v>
      </c>
      <c r="C59" t="n">
        <v>4</v>
      </c>
      <c r="D59" t="n">
        <v>4</v>
      </c>
      <c r="E59" t="n">
        <v>5</v>
      </c>
      <c r="F59" t="n">
        <v>4</v>
      </c>
      <c r="G59" t="n">
        <v>4</v>
      </c>
      <c r="H59">
        <f>SUM(B59:G59)</f>
        <v/>
      </c>
      <c r="I59">
        <f>B59+D59+F59</f>
        <v/>
      </c>
      <c r="J59">
        <f>C59+E59+G59</f>
        <v/>
      </c>
      <c r="K59">
        <f>H59-B59</f>
        <v/>
      </c>
      <c r="L59">
        <f>H59-C59</f>
        <v/>
      </c>
      <c r="M59">
        <f>H59-D59</f>
        <v/>
      </c>
      <c r="N59">
        <f>H59-E59</f>
        <v/>
      </c>
      <c r="O59">
        <f>H59-F59</f>
        <v/>
      </c>
      <c r="P59">
        <f>H59-G59</f>
        <v/>
      </c>
    </row>
    <row r="60">
      <c r="A60" t="n">
        <v>59</v>
      </c>
      <c r="B60" t="n">
        <v>5</v>
      </c>
      <c r="C60" t="n">
        <v>5</v>
      </c>
      <c r="D60" t="n">
        <v>4</v>
      </c>
      <c r="E60" t="n">
        <v>4</v>
      </c>
      <c r="F60" t="n">
        <v>5</v>
      </c>
      <c r="G60" t="n">
        <v>4</v>
      </c>
      <c r="H60">
        <f>SUM(B60:G60)</f>
        <v/>
      </c>
      <c r="I60">
        <f>B60+D60+F60</f>
        <v/>
      </c>
      <c r="J60">
        <f>C60+E60+G60</f>
        <v/>
      </c>
      <c r="K60">
        <f>H60-B60</f>
        <v/>
      </c>
      <c r="L60">
        <f>H60-C60</f>
        <v/>
      </c>
      <c r="M60">
        <f>H60-D60</f>
        <v/>
      </c>
      <c r="N60">
        <f>H60-E60</f>
        <v/>
      </c>
      <c r="O60">
        <f>H60-F60</f>
        <v/>
      </c>
      <c r="P60">
        <f>H60-G60</f>
        <v/>
      </c>
    </row>
    <row r="61">
      <c r="A61" t="n">
        <v>60</v>
      </c>
      <c r="B61" t="n">
        <v>5</v>
      </c>
      <c r="C61" t="n">
        <v>5</v>
      </c>
      <c r="D61" t="n">
        <v>4</v>
      </c>
      <c r="E61" t="n">
        <v>4</v>
      </c>
      <c r="F61" t="n">
        <v>3</v>
      </c>
      <c r="G61" t="n">
        <v>4</v>
      </c>
      <c r="H61">
        <f>SUM(B61:G61)</f>
        <v/>
      </c>
      <c r="I61">
        <f>B61+D61+F61</f>
        <v/>
      </c>
      <c r="J61">
        <f>C61+E61+G61</f>
        <v/>
      </c>
      <c r="K61">
        <f>H61-B61</f>
        <v/>
      </c>
      <c r="L61">
        <f>H61-C61</f>
        <v/>
      </c>
      <c r="M61">
        <f>H61-D61</f>
        <v/>
      </c>
      <c r="N61">
        <f>H61-E61</f>
        <v/>
      </c>
      <c r="O61">
        <f>H61-F61</f>
        <v/>
      </c>
      <c r="P61">
        <f>H61-G61</f>
        <v/>
      </c>
    </row>
    <row r="62">
      <c r="A62" t="n">
        <v>61</v>
      </c>
      <c r="B62" t="n">
        <v>4</v>
      </c>
      <c r="C62" t="n">
        <v>3</v>
      </c>
      <c r="D62" t="n">
        <v>4</v>
      </c>
      <c r="E62" t="n">
        <v>5</v>
      </c>
      <c r="F62" t="n">
        <v>5</v>
      </c>
      <c r="G62" t="n">
        <v>4</v>
      </c>
      <c r="H62">
        <f>SUM(B62:G62)</f>
        <v/>
      </c>
      <c r="I62">
        <f>B62+D62+F62</f>
        <v/>
      </c>
      <c r="J62">
        <f>C62+E62+G62</f>
        <v/>
      </c>
      <c r="K62">
        <f>H62-B62</f>
        <v/>
      </c>
      <c r="L62">
        <f>H62-C62</f>
        <v/>
      </c>
      <c r="M62">
        <f>H62-D62</f>
        <v/>
      </c>
      <c r="N62">
        <f>H62-E62</f>
        <v/>
      </c>
      <c r="O62">
        <f>H62-F62</f>
        <v/>
      </c>
      <c r="P62">
        <f>H62-G62</f>
        <v/>
      </c>
    </row>
    <row r="63">
      <c r="A63" t="n">
        <v>62</v>
      </c>
      <c r="B63" t="n">
        <v>4</v>
      </c>
      <c r="C63" t="n">
        <v>3</v>
      </c>
      <c r="D63" t="n">
        <v>4</v>
      </c>
      <c r="E63" t="n">
        <v>5</v>
      </c>
      <c r="F63" t="n">
        <v>4</v>
      </c>
      <c r="G63" t="n">
        <v>5</v>
      </c>
      <c r="H63">
        <f>SUM(B63:G63)</f>
        <v/>
      </c>
      <c r="I63">
        <f>B63+D63+F63</f>
        <v/>
      </c>
      <c r="J63">
        <f>C63+E63+G63</f>
        <v/>
      </c>
      <c r="K63">
        <f>H63-B63</f>
        <v/>
      </c>
      <c r="L63">
        <f>H63-C63</f>
        <v/>
      </c>
      <c r="M63">
        <f>H63-D63</f>
        <v/>
      </c>
      <c r="N63">
        <f>H63-E63</f>
        <v/>
      </c>
      <c r="O63">
        <f>H63-F63</f>
        <v/>
      </c>
      <c r="P63">
        <f>H63-G63</f>
        <v/>
      </c>
    </row>
    <row r="64">
      <c r="A64" t="n">
        <v>63</v>
      </c>
      <c r="B64" t="n">
        <v>4</v>
      </c>
      <c r="C64" t="n">
        <v>5</v>
      </c>
      <c r="D64" t="n">
        <v>4</v>
      </c>
      <c r="E64" t="n">
        <v>4</v>
      </c>
      <c r="F64" t="n">
        <v>3</v>
      </c>
      <c r="G64" t="n">
        <v>4</v>
      </c>
      <c r="H64">
        <f>SUM(B64:G64)</f>
        <v/>
      </c>
      <c r="I64">
        <f>B64+D64+F64</f>
        <v/>
      </c>
      <c r="J64">
        <f>C64+E64+G64</f>
        <v/>
      </c>
      <c r="K64">
        <f>H64-B64</f>
        <v/>
      </c>
      <c r="L64">
        <f>H64-C64</f>
        <v/>
      </c>
      <c r="M64">
        <f>H64-D64</f>
        <v/>
      </c>
      <c r="N64">
        <f>H64-E64</f>
        <v/>
      </c>
      <c r="O64">
        <f>H64-F64</f>
        <v/>
      </c>
      <c r="P64">
        <f>H64-G64</f>
        <v/>
      </c>
    </row>
    <row r="65">
      <c r="A65" t="n">
        <v>64</v>
      </c>
      <c r="B65" t="n">
        <v>3</v>
      </c>
      <c r="C65" t="n">
        <v>4</v>
      </c>
      <c r="D65" t="n">
        <v>4</v>
      </c>
      <c r="E65" t="n">
        <v>5</v>
      </c>
      <c r="F65" t="n">
        <v>5</v>
      </c>
      <c r="G65" t="n">
        <v>4</v>
      </c>
      <c r="H65">
        <f>SUM(B65:G65)</f>
        <v/>
      </c>
      <c r="I65">
        <f>B65+D65+F65</f>
        <v/>
      </c>
      <c r="J65">
        <f>C65+E65+G65</f>
        <v/>
      </c>
      <c r="K65">
        <f>H65-B65</f>
        <v/>
      </c>
      <c r="L65">
        <f>H65-C65</f>
        <v/>
      </c>
      <c r="M65">
        <f>H65-D65</f>
        <v/>
      </c>
      <c r="N65">
        <f>H65-E65</f>
        <v/>
      </c>
      <c r="O65">
        <f>H65-F65</f>
        <v/>
      </c>
      <c r="P65">
        <f>H65-G65</f>
        <v/>
      </c>
    </row>
    <row r="66">
      <c r="A66" t="n">
        <v>65</v>
      </c>
      <c r="B66" t="n">
        <v>4</v>
      </c>
      <c r="C66" t="n">
        <v>5</v>
      </c>
      <c r="D66" t="n">
        <v>4</v>
      </c>
      <c r="E66" t="n">
        <v>4</v>
      </c>
      <c r="F66" t="n">
        <v>5</v>
      </c>
      <c r="G66" t="n">
        <v>4</v>
      </c>
      <c r="H66">
        <f>SUM(B66:G66)</f>
        <v/>
      </c>
      <c r="I66">
        <f>B66+D66+F66</f>
        <v/>
      </c>
      <c r="J66">
        <f>C66+E66+G66</f>
        <v/>
      </c>
      <c r="K66">
        <f>H66-B66</f>
        <v/>
      </c>
      <c r="L66">
        <f>H66-C66</f>
        <v/>
      </c>
      <c r="M66">
        <f>H66-D66</f>
        <v/>
      </c>
      <c r="N66">
        <f>H66-E66</f>
        <v/>
      </c>
      <c r="O66">
        <f>H66-F66</f>
        <v/>
      </c>
      <c r="P66">
        <f>H66-G66</f>
        <v/>
      </c>
    </row>
    <row r="67">
      <c r="A67" t="n">
        <v>66</v>
      </c>
      <c r="B67" t="n">
        <v>5</v>
      </c>
      <c r="C67" t="n">
        <v>5</v>
      </c>
      <c r="D67" t="n">
        <v>4</v>
      </c>
      <c r="E67" t="n">
        <v>5</v>
      </c>
      <c r="F67" t="n">
        <v>4</v>
      </c>
      <c r="G67" t="n">
        <v>4</v>
      </c>
      <c r="H67">
        <f>SUM(B67:G67)</f>
        <v/>
      </c>
      <c r="I67">
        <f>B67+D67+F67</f>
        <v/>
      </c>
      <c r="J67">
        <f>C67+E67+G67</f>
        <v/>
      </c>
      <c r="K67">
        <f>H67-B67</f>
        <v/>
      </c>
      <c r="L67">
        <f>H67-C67</f>
        <v/>
      </c>
      <c r="M67">
        <f>H67-D67</f>
        <v/>
      </c>
      <c r="N67">
        <f>H67-E67</f>
        <v/>
      </c>
      <c r="O67">
        <f>H67-F67</f>
        <v/>
      </c>
      <c r="P67">
        <f>H67-G67</f>
        <v/>
      </c>
    </row>
    <row r="68">
      <c r="A68" t="n">
        <v>67</v>
      </c>
      <c r="B68" t="n">
        <v>5</v>
      </c>
      <c r="C68" t="n">
        <v>4</v>
      </c>
      <c r="D68" t="n">
        <v>4</v>
      </c>
      <c r="E68" t="n">
        <v>3</v>
      </c>
      <c r="F68" t="n">
        <v>4</v>
      </c>
      <c r="G68" t="n">
        <v>5</v>
      </c>
      <c r="H68">
        <f>SUM(B68:G68)</f>
        <v/>
      </c>
      <c r="I68">
        <f>B68+D68+F68</f>
        <v/>
      </c>
      <c r="J68">
        <f>C68+E68+G68</f>
        <v/>
      </c>
      <c r="K68">
        <f>H68-B68</f>
        <v/>
      </c>
      <c r="L68">
        <f>H68-C68</f>
        <v/>
      </c>
      <c r="M68">
        <f>H68-D68</f>
        <v/>
      </c>
      <c r="N68">
        <f>H68-E68</f>
        <v/>
      </c>
      <c r="O68">
        <f>H68-F68</f>
        <v/>
      </c>
      <c r="P68">
        <f>H68-G68</f>
        <v/>
      </c>
    </row>
    <row r="69">
      <c r="A69" t="n">
        <v>68</v>
      </c>
      <c r="B69" t="n">
        <v>4</v>
      </c>
      <c r="C69" t="n">
        <v>4</v>
      </c>
      <c r="D69" t="n">
        <v>3</v>
      </c>
      <c r="E69" t="n">
        <v>4</v>
      </c>
      <c r="F69" t="n">
        <v>5</v>
      </c>
      <c r="G69" t="n">
        <v>5</v>
      </c>
      <c r="H69">
        <f>SUM(B69:G69)</f>
        <v/>
      </c>
      <c r="I69">
        <f>B69+D69+F69</f>
        <v/>
      </c>
      <c r="J69">
        <f>C69+E69+G69</f>
        <v/>
      </c>
      <c r="K69">
        <f>H69-B69</f>
        <v/>
      </c>
      <c r="L69">
        <f>H69-C69</f>
        <v/>
      </c>
      <c r="M69">
        <f>H69-D69</f>
        <v/>
      </c>
      <c r="N69">
        <f>H69-E69</f>
        <v/>
      </c>
      <c r="O69">
        <f>H69-F69</f>
        <v/>
      </c>
      <c r="P69">
        <f>H69-G69</f>
        <v/>
      </c>
    </row>
    <row r="70">
      <c r="A70" t="n">
        <v>69</v>
      </c>
      <c r="B70" t="n">
        <v>4</v>
      </c>
      <c r="C70" t="n">
        <v>4</v>
      </c>
      <c r="D70" t="n">
        <v>5</v>
      </c>
      <c r="E70" t="n">
        <v>4</v>
      </c>
      <c r="F70" t="n">
        <v>4</v>
      </c>
      <c r="G70" t="n">
        <v>5</v>
      </c>
      <c r="H70">
        <f>SUM(B70:G70)</f>
        <v/>
      </c>
      <c r="I70">
        <f>B70+D70+F70</f>
        <v/>
      </c>
      <c r="J70">
        <f>C70+E70+G70</f>
        <v/>
      </c>
      <c r="K70">
        <f>H70-B70</f>
        <v/>
      </c>
      <c r="L70">
        <f>H70-C70</f>
        <v/>
      </c>
      <c r="M70">
        <f>H70-D70</f>
        <v/>
      </c>
      <c r="N70">
        <f>H70-E70</f>
        <v/>
      </c>
      <c r="O70">
        <f>H70-F70</f>
        <v/>
      </c>
      <c r="P70">
        <f>H70-G70</f>
        <v/>
      </c>
    </row>
    <row r="71">
      <c r="A71" t="n">
        <v>70</v>
      </c>
      <c r="B71" t="n">
        <v>4</v>
      </c>
      <c r="C71" t="n">
        <v>4</v>
      </c>
      <c r="D71" t="n">
        <v>3</v>
      </c>
      <c r="E71" t="n">
        <v>4</v>
      </c>
      <c r="F71" t="n">
        <v>5</v>
      </c>
      <c r="G71" t="n">
        <v>4</v>
      </c>
      <c r="H71">
        <f>SUM(B71:G71)</f>
        <v/>
      </c>
      <c r="I71">
        <f>B71+D71+F71</f>
        <v/>
      </c>
      <c r="J71">
        <f>C71+E71+G71</f>
        <v/>
      </c>
      <c r="K71">
        <f>H71-B71</f>
        <v/>
      </c>
      <c r="L71">
        <f>H71-C71</f>
        <v/>
      </c>
      <c r="M71">
        <f>H71-D71</f>
        <v/>
      </c>
      <c r="N71">
        <f>H71-E71</f>
        <v/>
      </c>
      <c r="O71">
        <f>H71-F71</f>
        <v/>
      </c>
      <c r="P71">
        <f>H71-G71</f>
        <v/>
      </c>
    </row>
    <row r="72">
      <c r="A72" t="n">
        <v>71</v>
      </c>
      <c r="B72" t="n">
        <v>4</v>
      </c>
      <c r="C72" t="n">
        <v>3</v>
      </c>
      <c r="D72" t="n">
        <v>4</v>
      </c>
      <c r="E72" t="n">
        <v>5</v>
      </c>
      <c r="F72" t="n">
        <v>5</v>
      </c>
      <c r="G72" t="n">
        <v>4</v>
      </c>
      <c r="H72">
        <f>SUM(B72:G72)</f>
        <v/>
      </c>
      <c r="I72">
        <f>B72+D72+F72</f>
        <v/>
      </c>
      <c r="J72">
        <f>C72+E72+G72</f>
        <v/>
      </c>
      <c r="K72">
        <f>H72-B72</f>
        <v/>
      </c>
      <c r="L72">
        <f>H72-C72</f>
        <v/>
      </c>
      <c r="M72">
        <f>H72-D72</f>
        <v/>
      </c>
      <c r="N72">
        <f>H72-E72</f>
        <v/>
      </c>
      <c r="O72">
        <f>H72-F72</f>
        <v/>
      </c>
      <c r="P72">
        <f>H72-G72</f>
        <v/>
      </c>
    </row>
    <row r="73">
      <c r="A73" t="n">
        <v>72</v>
      </c>
      <c r="B73" t="n">
        <v>5</v>
      </c>
      <c r="C73" t="n">
        <v>5</v>
      </c>
      <c r="D73" t="n">
        <v>4</v>
      </c>
      <c r="E73" t="n">
        <v>3</v>
      </c>
      <c r="F73" t="n">
        <v>4</v>
      </c>
      <c r="G73" t="n">
        <v>5</v>
      </c>
      <c r="H73">
        <f>SUM(B73:G73)</f>
        <v/>
      </c>
      <c r="I73">
        <f>B73+D73+F73</f>
        <v/>
      </c>
      <c r="J73">
        <f>C73+E73+G73</f>
        <v/>
      </c>
      <c r="K73">
        <f>H73-B73</f>
        <v/>
      </c>
      <c r="L73">
        <f>H73-C73</f>
        <v/>
      </c>
      <c r="M73">
        <f>H73-D73</f>
        <v/>
      </c>
      <c r="N73">
        <f>H73-E73</f>
        <v/>
      </c>
      <c r="O73">
        <f>H73-F73</f>
        <v/>
      </c>
      <c r="P73">
        <f>H73-G73</f>
        <v/>
      </c>
    </row>
    <row r="74">
      <c r="A74" t="n">
        <v>73</v>
      </c>
      <c r="B74" t="n">
        <v>4</v>
      </c>
      <c r="C74" t="n">
        <v>4</v>
      </c>
      <c r="D74" t="n">
        <v>3</v>
      </c>
      <c r="E74" t="n">
        <v>4</v>
      </c>
      <c r="F74" t="n">
        <v>5</v>
      </c>
      <c r="G74" t="n">
        <v>4</v>
      </c>
      <c r="H74">
        <f>SUM(B74:G74)</f>
        <v/>
      </c>
      <c r="I74">
        <f>B74+D74+F74</f>
        <v/>
      </c>
      <c r="J74">
        <f>C74+E74+G74</f>
        <v/>
      </c>
      <c r="K74">
        <f>H74-B74</f>
        <v/>
      </c>
      <c r="L74">
        <f>H74-C74</f>
        <v/>
      </c>
      <c r="M74">
        <f>H74-D74</f>
        <v/>
      </c>
      <c r="N74">
        <f>H74-E74</f>
        <v/>
      </c>
      <c r="O74">
        <f>H74-F74</f>
        <v/>
      </c>
      <c r="P74">
        <f>H74-G74</f>
        <v/>
      </c>
    </row>
    <row r="75">
      <c r="A75" t="n">
        <v>74</v>
      </c>
      <c r="B75" t="n">
        <v>5</v>
      </c>
      <c r="C75" t="n">
        <v>5</v>
      </c>
      <c r="D75" t="n">
        <v>4</v>
      </c>
      <c r="E75" t="n">
        <v>5</v>
      </c>
      <c r="F75" t="n">
        <v>5</v>
      </c>
      <c r="G75" t="n">
        <v>4</v>
      </c>
      <c r="H75">
        <f>SUM(B75:G75)</f>
        <v/>
      </c>
      <c r="I75">
        <f>B75+D75+F75</f>
        <v/>
      </c>
      <c r="J75">
        <f>C75+E75+G75</f>
        <v/>
      </c>
      <c r="K75">
        <f>H75-B75</f>
        <v/>
      </c>
      <c r="L75">
        <f>H75-C75</f>
        <v/>
      </c>
      <c r="M75">
        <f>H75-D75</f>
        <v/>
      </c>
      <c r="N75">
        <f>H75-E75</f>
        <v/>
      </c>
      <c r="O75">
        <f>H75-F75</f>
        <v/>
      </c>
      <c r="P75">
        <f>H75-G75</f>
        <v/>
      </c>
    </row>
    <row r="76">
      <c r="A76" t="n">
        <v>75</v>
      </c>
      <c r="B76" t="n">
        <v>5</v>
      </c>
      <c r="C76" t="n">
        <v>4</v>
      </c>
      <c r="D76" t="n">
        <v>5</v>
      </c>
      <c r="E76" t="n">
        <v>5</v>
      </c>
      <c r="F76" t="n">
        <v>4</v>
      </c>
      <c r="G76" t="n">
        <v>4</v>
      </c>
      <c r="H76">
        <f>SUM(B76:G76)</f>
        <v/>
      </c>
      <c r="I76">
        <f>B76+D76+F76</f>
        <v/>
      </c>
      <c r="J76">
        <f>C76+E76+G76</f>
        <v/>
      </c>
      <c r="K76">
        <f>H76-B76</f>
        <v/>
      </c>
      <c r="L76">
        <f>H76-C76</f>
        <v/>
      </c>
      <c r="M76">
        <f>H76-D76</f>
        <v/>
      </c>
      <c r="N76">
        <f>H76-E76</f>
        <v/>
      </c>
      <c r="O76">
        <f>H76-F76</f>
        <v/>
      </c>
      <c r="P76">
        <f>H76-G76</f>
        <v/>
      </c>
    </row>
    <row r="77">
      <c r="A77" t="n">
        <v>76</v>
      </c>
      <c r="B77" t="n">
        <v>3</v>
      </c>
      <c r="C77" t="n">
        <v>4</v>
      </c>
      <c r="D77" t="n">
        <v>5</v>
      </c>
      <c r="E77" t="n">
        <v>4</v>
      </c>
      <c r="F77" t="n">
        <v>5</v>
      </c>
      <c r="G77" t="n">
        <v>3</v>
      </c>
      <c r="H77">
        <f>SUM(B77:G77)</f>
        <v/>
      </c>
      <c r="I77">
        <f>B77+D77+F77</f>
        <v/>
      </c>
      <c r="J77">
        <f>C77+E77+G77</f>
        <v/>
      </c>
      <c r="K77">
        <f>H77-B77</f>
        <v/>
      </c>
      <c r="L77">
        <f>H77-C77</f>
        <v/>
      </c>
      <c r="M77">
        <f>H77-D77</f>
        <v/>
      </c>
      <c r="N77">
        <f>H77-E77</f>
        <v/>
      </c>
      <c r="O77">
        <f>H77-F77</f>
        <v/>
      </c>
      <c r="P77">
        <f>H77-G77</f>
        <v/>
      </c>
    </row>
    <row r="78">
      <c r="A78" t="n">
        <v>77</v>
      </c>
      <c r="B78" t="n">
        <v>4</v>
      </c>
      <c r="C78" t="n">
        <v>5</v>
      </c>
      <c r="D78" t="n">
        <v>3</v>
      </c>
      <c r="E78" t="n">
        <v>5</v>
      </c>
      <c r="F78" t="n">
        <v>3</v>
      </c>
      <c r="G78" t="n">
        <v>4</v>
      </c>
      <c r="H78">
        <f>SUM(B78:G78)</f>
        <v/>
      </c>
      <c r="I78">
        <f>B78+D78+F78</f>
        <v/>
      </c>
      <c r="J78">
        <f>C78+E78+G78</f>
        <v/>
      </c>
      <c r="K78">
        <f>H78-B78</f>
        <v/>
      </c>
      <c r="L78">
        <f>H78-C78</f>
        <v/>
      </c>
      <c r="M78">
        <f>H78-D78</f>
        <v/>
      </c>
      <c r="N78">
        <f>H78-E78</f>
        <v/>
      </c>
      <c r="O78">
        <f>H78-F78</f>
        <v/>
      </c>
      <c r="P78">
        <f>H78-G78</f>
        <v/>
      </c>
    </row>
    <row r="79">
      <c r="A79" t="n">
        <v>78</v>
      </c>
      <c r="B79" t="n">
        <v>5</v>
      </c>
      <c r="C79" t="n">
        <v>4</v>
      </c>
      <c r="D79" t="n">
        <v>5</v>
      </c>
      <c r="E79" t="n">
        <v>3</v>
      </c>
      <c r="F79" t="n">
        <v>4</v>
      </c>
      <c r="G79" t="n">
        <v>5</v>
      </c>
      <c r="H79">
        <f>SUM(B79:G79)</f>
        <v/>
      </c>
      <c r="I79">
        <f>B79+D79+F79</f>
        <v/>
      </c>
      <c r="J79">
        <f>C79+E79+G79</f>
        <v/>
      </c>
      <c r="K79">
        <f>H79-B79</f>
        <v/>
      </c>
      <c r="L79">
        <f>H79-C79</f>
        <v/>
      </c>
      <c r="M79">
        <f>H79-D79</f>
        <v/>
      </c>
      <c r="N79">
        <f>H79-E79</f>
        <v/>
      </c>
      <c r="O79">
        <f>H79-F79</f>
        <v/>
      </c>
      <c r="P79">
        <f>H79-G79</f>
        <v/>
      </c>
    </row>
    <row r="80">
      <c r="A80" t="n">
        <v>79</v>
      </c>
      <c r="B80" t="n">
        <v>5</v>
      </c>
      <c r="C80" t="n">
        <v>5</v>
      </c>
      <c r="D80" t="n">
        <v>4</v>
      </c>
      <c r="E80" t="n">
        <v>4</v>
      </c>
      <c r="F80" t="n">
        <v>3</v>
      </c>
      <c r="G80" t="n">
        <v>4</v>
      </c>
      <c r="H80">
        <f>SUM(B80:G80)</f>
        <v/>
      </c>
      <c r="I80">
        <f>B80+D80+F80</f>
        <v/>
      </c>
      <c r="J80">
        <f>C80+E80+G80</f>
        <v/>
      </c>
      <c r="K80">
        <f>H80-B80</f>
        <v/>
      </c>
      <c r="L80">
        <f>H80-C80</f>
        <v/>
      </c>
      <c r="M80">
        <f>H80-D80</f>
        <v/>
      </c>
      <c r="N80">
        <f>H80-E80</f>
        <v/>
      </c>
      <c r="O80">
        <f>H80-F80</f>
        <v/>
      </c>
      <c r="P80">
        <f>H80-G80</f>
        <v/>
      </c>
    </row>
    <row r="81">
      <c r="A81" t="n">
        <v>80</v>
      </c>
      <c r="B81" t="n">
        <v>5</v>
      </c>
      <c r="C81" t="n">
        <v>4</v>
      </c>
      <c r="D81" t="n">
        <v>4</v>
      </c>
      <c r="E81" t="n">
        <v>4</v>
      </c>
      <c r="F81" t="n">
        <v>5</v>
      </c>
      <c r="G81" t="n">
        <v>4</v>
      </c>
      <c r="H81">
        <f>SUM(B81:G81)</f>
        <v/>
      </c>
      <c r="I81">
        <f>B81+D81+F81</f>
        <v/>
      </c>
      <c r="J81">
        <f>C81+E81+G81</f>
        <v/>
      </c>
      <c r="K81">
        <f>H81-B81</f>
        <v/>
      </c>
      <c r="L81">
        <f>H81-C81</f>
        <v/>
      </c>
      <c r="M81">
        <f>H81-D81</f>
        <v/>
      </c>
      <c r="N81">
        <f>H81-E81</f>
        <v/>
      </c>
      <c r="O81">
        <f>H81-F81</f>
        <v/>
      </c>
      <c r="P81">
        <f>H81-G81</f>
        <v/>
      </c>
    </row>
    <row r="82">
      <c r="A82" t="n">
        <v>81</v>
      </c>
      <c r="B82" t="n">
        <v>5</v>
      </c>
      <c r="C82" t="n">
        <v>4</v>
      </c>
      <c r="D82" t="n">
        <v>3</v>
      </c>
      <c r="E82" t="n">
        <v>5</v>
      </c>
      <c r="F82" t="n">
        <v>4</v>
      </c>
      <c r="G82" t="n">
        <v>5</v>
      </c>
      <c r="H82">
        <f>SUM(B82:G82)</f>
        <v/>
      </c>
      <c r="I82">
        <f>B82+D82+F82</f>
        <v/>
      </c>
      <c r="J82">
        <f>C82+E82+G82</f>
        <v/>
      </c>
      <c r="K82">
        <f>H82-B82</f>
        <v/>
      </c>
      <c r="L82">
        <f>H82-C82</f>
        <v/>
      </c>
      <c r="M82">
        <f>H82-D82</f>
        <v/>
      </c>
      <c r="N82">
        <f>H82-E82</f>
        <v/>
      </c>
      <c r="O82">
        <f>H82-F82</f>
        <v/>
      </c>
      <c r="P82">
        <f>H82-G82</f>
        <v/>
      </c>
    </row>
    <row r="83">
      <c r="A83" t="n">
        <v>82</v>
      </c>
      <c r="B83" t="n">
        <v>4</v>
      </c>
      <c r="C83" t="n">
        <v>4</v>
      </c>
      <c r="D83" t="n">
        <v>5</v>
      </c>
      <c r="E83" t="n">
        <v>4</v>
      </c>
      <c r="F83" t="n">
        <v>4</v>
      </c>
      <c r="G83" t="n">
        <v>5</v>
      </c>
      <c r="H83">
        <f>SUM(B83:G83)</f>
        <v/>
      </c>
      <c r="I83">
        <f>B83+D83+F83</f>
        <v/>
      </c>
      <c r="J83">
        <f>C83+E83+G83</f>
        <v/>
      </c>
      <c r="K83">
        <f>H83-B83</f>
        <v/>
      </c>
      <c r="L83">
        <f>H83-C83</f>
        <v/>
      </c>
      <c r="M83">
        <f>H83-D83</f>
        <v/>
      </c>
      <c r="N83">
        <f>H83-E83</f>
        <v/>
      </c>
      <c r="O83">
        <f>H83-F83</f>
        <v/>
      </c>
      <c r="P83">
        <f>H83-G83</f>
        <v/>
      </c>
    </row>
    <row r="84">
      <c r="A84" t="n">
        <v>83</v>
      </c>
      <c r="B84" t="n">
        <v>5</v>
      </c>
      <c r="C84" t="n">
        <v>5</v>
      </c>
      <c r="D84" t="n">
        <v>4</v>
      </c>
      <c r="E84" t="n">
        <v>4</v>
      </c>
      <c r="F84" t="n">
        <v>5</v>
      </c>
      <c r="G84" t="n">
        <v>4</v>
      </c>
      <c r="H84">
        <f>SUM(B84:G84)</f>
        <v/>
      </c>
      <c r="I84">
        <f>B84+D84+F84</f>
        <v/>
      </c>
      <c r="J84">
        <f>C84+E84+G84</f>
        <v/>
      </c>
      <c r="K84">
        <f>H84-B84</f>
        <v/>
      </c>
      <c r="L84">
        <f>H84-C84</f>
        <v/>
      </c>
      <c r="M84">
        <f>H84-D84</f>
        <v/>
      </c>
      <c r="N84">
        <f>H84-E84</f>
        <v/>
      </c>
      <c r="O84">
        <f>H84-F84</f>
        <v/>
      </c>
      <c r="P84">
        <f>H84-G84</f>
        <v/>
      </c>
    </row>
    <row r="85">
      <c r="A85" t="n">
        <v>84</v>
      </c>
      <c r="B85" t="n">
        <v>5</v>
      </c>
      <c r="C85" t="n">
        <v>4</v>
      </c>
      <c r="D85" t="n">
        <v>4</v>
      </c>
      <c r="E85" t="n">
        <v>3</v>
      </c>
      <c r="F85" t="n">
        <v>5</v>
      </c>
      <c r="G85" t="n">
        <v>4</v>
      </c>
      <c r="H85">
        <f>SUM(B85:G85)</f>
        <v/>
      </c>
      <c r="I85">
        <f>B85+D85+F85</f>
        <v/>
      </c>
      <c r="J85">
        <f>C85+E85+G85</f>
        <v/>
      </c>
      <c r="K85">
        <f>H85-B85</f>
        <v/>
      </c>
      <c r="L85">
        <f>H85-C85</f>
        <v/>
      </c>
      <c r="M85">
        <f>H85-D85</f>
        <v/>
      </c>
      <c r="N85">
        <f>H85-E85</f>
        <v/>
      </c>
      <c r="O85">
        <f>H85-F85</f>
        <v/>
      </c>
      <c r="P85">
        <f>H85-G85</f>
        <v/>
      </c>
    </row>
    <row r="86">
      <c r="A86" t="n">
        <v>85</v>
      </c>
      <c r="B86" t="n">
        <v>4</v>
      </c>
      <c r="C86" t="n">
        <v>4</v>
      </c>
      <c r="D86" t="n">
        <v>5</v>
      </c>
      <c r="E86" t="n">
        <v>4</v>
      </c>
      <c r="F86" t="n">
        <v>5</v>
      </c>
      <c r="G86" t="n">
        <v>5</v>
      </c>
      <c r="H86">
        <f>SUM(B86:G86)</f>
        <v/>
      </c>
      <c r="I86">
        <f>B86+D86+F86</f>
        <v/>
      </c>
      <c r="J86">
        <f>C86+E86+G86</f>
        <v/>
      </c>
      <c r="K86">
        <f>H86-B86</f>
        <v/>
      </c>
      <c r="L86">
        <f>H86-C86</f>
        <v/>
      </c>
      <c r="M86">
        <f>H86-D86</f>
        <v/>
      </c>
      <c r="N86">
        <f>H86-E86</f>
        <v/>
      </c>
      <c r="O86">
        <f>H86-F86</f>
        <v/>
      </c>
      <c r="P86">
        <f>H86-G86</f>
        <v/>
      </c>
    </row>
    <row r="87">
      <c r="A87" t="n">
        <v>86</v>
      </c>
      <c r="B87" t="n">
        <v>5</v>
      </c>
      <c r="C87" t="n">
        <v>4</v>
      </c>
      <c r="D87" t="n">
        <v>3</v>
      </c>
      <c r="E87" t="n">
        <v>5</v>
      </c>
      <c r="F87" t="n">
        <v>4</v>
      </c>
      <c r="G87" t="n">
        <v>5</v>
      </c>
      <c r="H87">
        <f>SUM(B87:G87)</f>
        <v/>
      </c>
      <c r="I87">
        <f>B87+D87+F87</f>
        <v/>
      </c>
      <c r="J87">
        <f>C87+E87+G87</f>
        <v/>
      </c>
      <c r="K87">
        <f>H87-B87</f>
        <v/>
      </c>
      <c r="L87">
        <f>H87-C87</f>
        <v/>
      </c>
      <c r="M87">
        <f>H87-D87</f>
        <v/>
      </c>
      <c r="N87">
        <f>H87-E87</f>
        <v/>
      </c>
      <c r="O87">
        <f>H87-F87</f>
        <v/>
      </c>
      <c r="P87">
        <f>H87-G87</f>
        <v/>
      </c>
    </row>
    <row r="88">
      <c r="A88" t="n">
        <v>87</v>
      </c>
      <c r="B88" t="n">
        <v>4</v>
      </c>
      <c r="C88" t="n">
        <v>3</v>
      </c>
      <c r="D88" t="n">
        <v>4</v>
      </c>
      <c r="E88" t="n">
        <v>5</v>
      </c>
      <c r="F88" t="n">
        <v>5</v>
      </c>
      <c r="G88" t="n">
        <v>4</v>
      </c>
      <c r="H88">
        <f>SUM(B88:G88)</f>
        <v/>
      </c>
      <c r="I88">
        <f>B88+D88+F88</f>
        <v/>
      </c>
      <c r="J88">
        <f>C88+E88+G88</f>
        <v/>
      </c>
      <c r="K88">
        <f>H88-B88</f>
        <v/>
      </c>
      <c r="L88">
        <f>H88-C88</f>
        <v/>
      </c>
      <c r="M88">
        <f>H88-D88</f>
        <v/>
      </c>
      <c r="N88">
        <f>H88-E88</f>
        <v/>
      </c>
      <c r="O88">
        <f>H88-F88</f>
        <v/>
      </c>
      <c r="P88">
        <f>H88-G88</f>
        <v/>
      </c>
    </row>
    <row r="89">
      <c r="A89" t="n">
        <v>88</v>
      </c>
      <c r="B89" t="n">
        <v>5</v>
      </c>
      <c r="C89" t="n">
        <v>5</v>
      </c>
      <c r="D89" t="n">
        <v>4</v>
      </c>
      <c r="E89" t="n">
        <v>4</v>
      </c>
      <c r="F89" t="n">
        <v>5</v>
      </c>
      <c r="G89" t="n">
        <v>4</v>
      </c>
      <c r="H89">
        <f>SUM(B89:G89)</f>
        <v/>
      </c>
      <c r="I89">
        <f>B89+D89+F89</f>
        <v/>
      </c>
      <c r="J89">
        <f>C89+E89+G89</f>
        <v/>
      </c>
      <c r="K89">
        <f>H89-B89</f>
        <v/>
      </c>
      <c r="L89">
        <f>H89-C89</f>
        <v/>
      </c>
      <c r="M89">
        <f>H89-D89</f>
        <v/>
      </c>
      <c r="N89">
        <f>H89-E89</f>
        <v/>
      </c>
      <c r="O89">
        <f>H89-F89</f>
        <v/>
      </c>
      <c r="P89">
        <f>H89-G89</f>
        <v/>
      </c>
    </row>
    <row r="90">
      <c r="A90" t="n">
        <v>89</v>
      </c>
      <c r="B90" t="n">
        <v>1</v>
      </c>
      <c r="C90" t="n">
        <v>1</v>
      </c>
      <c r="D90" t="n">
        <v>2</v>
      </c>
      <c r="E90" t="n">
        <v>1</v>
      </c>
      <c r="F90" t="n">
        <v>1</v>
      </c>
      <c r="G90" t="n">
        <v>2</v>
      </c>
      <c r="H90">
        <f>SUM(B90:G90)</f>
        <v/>
      </c>
      <c r="I90">
        <f>B90+D90+F90</f>
        <v/>
      </c>
      <c r="J90">
        <f>C90+E90+G90</f>
        <v/>
      </c>
      <c r="K90">
        <f>H90-B90</f>
        <v/>
      </c>
      <c r="L90">
        <f>H90-C90</f>
        <v/>
      </c>
      <c r="M90">
        <f>H90-D90</f>
        <v/>
      </c>
      <c r="N90">
        <f>H90-E90</f>
        <v/>
      </c>
      <c r="O90">
        <f>H90-F90</f>
        <v/>
      </c>
      <c r="P90">
        <f>H90-G90</f>
        <v/>
      </c>
    </row>
    <row r="91">
      <c r="A91" t="n">
        <v>90</v>
      </c>
      <c r="B91" t="n">
        <v>2</v>
      </c>
      <c r="C91" t="n">
        <v>3</v>
      </c>
      <c r="D91" t="n">
        <v>2</v>
      </c>
      <c r="E91" t="n">
        <v>1</v>
      </c>
      <c r="F91" t="n">
        <v>1</v>
      </c>
      <c r="G91" t="n">
        <v>2</v>
      </c>
      <c r="H91">
        <f>SUM(B91:G91)</f>
        <v/>
      </c>
      <c r="I91">
        <f>B91+D91+F91</f>
        <v/>
      </c>
      <c r="J91">
        <f>C91+E91+G91</f>
        <v/>
      </c>
      <c r="K91">
        <f>H91-B91</f>
        <v/>
      </c>
      <c r="L91">
        <f>H91-C91</f>
        <v/>
      </c>
      <c r="M91">
        <f>H91-D91</f>
        <v/>
      </c>
      <c r="N91">
        <f>H91-E91</f>
        <v/>
      </c>
      <c r="O91">
        <f>H91-F91</f>
        <v/>
      </c>
      <c r="P91">
        <f>H91-G91</f>
        <v/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2</v>
      </c>
      <c r="F92" t="n">
        <v>1</v>
      </c>
      <c r="G92" t="n">
        <v>2</v>
      </c>
      <c r="H92">
        <f>SUM(B92:G92)</f>
        <v/>
      </c>
      <c r="I92">
        <f>B92+D92+F92</f>
        <v/>
      </c>
      <c r="J92">
        <f>C92+E92+G92</f>
        <v/>
      </c>
      <c r="K92">
        <f>H92-B92</f>
        <v/>
      </c>
      <c r="L92">
        <f>H92-C92</f>
        <v/>
      </c>
      <c r="M92">
        <f>H92-D92</f>
        <v/>
      </c>
      <c r="N92">
        <f>H92-E92</f>
        <v/>
      </c>
      <c r="O92">
        <f>H92-F92</f>
        <v/>
      </c>
      <c r="P92">
        <f>H92-G92</f>
        <v/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2</v>
      </c>
      <c r="F93" t="n">
        <v>1</v>
      </c>
      <c r="G93" t="n">
        <v>2</v>
      </c>
      <c r="H93">
        <f>SUM(B93:G93)</f>
        <v/>
      </c>
      <c r="I93">
        <f>B93+D93+F93</f>
        <v/>
      </c>
      <c r="J93">
        <f>C93+E93+G93</f>
        <v/>
      </c>
      <c r="K93">
        <f>H93-B93</f>
        <v/>
      </c>
      <c r="L93">
        <f>H93-C93</f>
        <v/>
      </c>
      <c r="M93">
        <f>H93-D93</f>
        <v/>
      </c>
      <c r="N93">
        <f>H93-E93</f>
        <v/>
      </c>
      <c r="O93">
        <f>H93-F93</f>
        <v/>
      </c>
      <c r="P93">
        <f>H93-G93</f>
        <v/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2</v>
      </c>
      <c r="G94" t="n">
        <v>2</v>
      </c>
      <c r="H94">
        <f>SUM(B94:G94)</f>
        <v/>
      </c>
      <c r="I94">
        <f>B94+D94+F94</f>
        <v/>
      </c>
      <c r="J94">
        <f>C94+E94+G94</f>
        <v/>
      </c>
      <c r="K94">
        <f>H94-B94</f>
        <v/>
      </c>
      <c r="L94">
        <f>H94-C94</f>
        <v/>
      </c>
      <c r="M94">
        <f>H94-D94</f>
        <v/>
      </c>
      <c r="N94">
        <f>H94-E94</f>
        <v/>
      </c>
      <c r="O94">
        <f>H94-F94</f>
        <v/>
      </c>
      <c r="P94">
        <f>H94-G94</f>
        <v/>
      </c>
    </row>
    <row r="95">
      <c r="A95" t="n">
        <v>94</v>
      </c>
      <c r="B95" t="n">
        <v>2</v>
      </c>
      <c r="C95" t="n">
        <v>1</v>
      </c>
      <c r="D95" t="n">
        <v>2</v>
      </c>
      <c r="E95" t="n">
        <v>2</v>
      </c>
      <c r="F95" t="n">
        <v>1</v>
      </c>
      <c r="G95" t="n">
        <v>2</v>
      </c>
      <c r="H95">
        <f>SUM(B95:G95)</f>
        <v/>
      </c>
      <c r="I95">
        <f>B95+D95+F95</f>
        <v/>
      </c>
      <c r="J95">
        <f>C95+E95+G95</f>
        <v/>
      </c>
      <c r="K95">
        <f>H95-B95</f>
        <v/>
      </c>
      <c r="L95">
        <f>H95-C95</f>
        <v/>
      </c>
      <c r="M95">
        <f>H95-D95</f>
        <v/>
      </c>
      <c r="N95">
        <f>H95-E95</f>
        <v/>
      </c>
      <c r="O95">
        <f>H95-F95</f>
        <v/>
      </c>
      <c r="P95">
        <f>H95-G95</f>
        <v/>
      </c>
    </row>
    <row r="96">
      <c r="A96" t="n">
        <v>95</v>
      </c>
      <c r="B96" t="n">
        <v>2</v>
      </c>
      <c r="C96" t="n">
        <v>3</v>
      </c>
      <c r="D96" t="n">
        <v>1</v>
      </c>
      <c r="E96" t="n">
        <v>1</v>
      </c>
      <c r="F96" t="n">
        <v>2</v>
      </c>
      <c r="G96" t="n">
        <v>2</v>
      </c>
      <c r="H96">
        <f>SUM(B96:G96)</f>
        <v/>
      </c>
      <c r="I96">
        <f>B96+D96+F96</f>
        <v/>
      </c>
      <c r="J96">
        <f>C96+E96+G96</f>
        <v/>
      </c>
      <c r="K96">
        <f>H96-B96</f>
        <v/>
      </c>
      <c r="L96">
        <f>H96-C96</f>
        <v/>
      </c>
      <c r="M96">
        <f>H96-D96</f>
        <v/>
      </c>
      <c r="N96">
        <f>H96-E96</f>
        <v/>
      </c>
      <c r="O96">
        <f>H96-F96</f>
        <v/>
      </c>
      <c r="P96">
        <f>H96-G96</f>
        <v/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2</v>
      </c>
      <c r="F97" t="n">
        <v>1</v>
      </c>
      <c r="G97" t="n">
        <v>2</v>
      </c>
      <c r="H97">
        <f>SUM(B97:G97)</f>
        <v/>
      </c>
      <c r="I97">
        <f>B97+D97+F97</f>
        <v/>
      </c>
      <c r="J97">
        <f>C97+E97+G97</f>
        <v/>
      </c>
      <c r="K97">
        <f>H97-B97</f>
        <v/>
      </c>
      <c r="L97">
        <f>H97-C97</f>
        <v/>
      </c>
      <c r="M97">
        <f>H97-D97</f>
        <v/>
      </c>
      <c r="N97">
        <f>H97-E97</f>
        <v/>
      </c>
      <c r="O97">
        <f>H97-F97</f>
        <v/>
      </c>
      <c r="P97">
        <f>H97-G97</f>
        <v/>
      </c>
    </row>
    <row r="98">
      <c r="A98" t="n">
        <v>97</v>
      </c>
      <c r="B98" t="n">
        <v>4</v>
      </c>
      <c r="C98" t="n">
        <v>5</v>
      </c>
      <c r="D98" t="n">
        <v>5</v>
      </c>
      <c r="E98" t="n">
        <v>4</v>
      </c>
      <c r="F98" t="n">
        <v>5</v>
      </c>
      <c r="G98" t="n">
        <v>5</v>
      </c>
      <c r="H98">
        <f>SUM(B98:G98)</f>
        <v/>
      </c>
      <c r="I98">
        <f>B98+D98+F98</f>
        <v/>
      </c>
      <c r="J98">
        <f>C98+E98+G98</f>
        <v/>
      </c>
      <c r="K98">
        <f>H98-B98</f>
        <v/>
      </c>
      <c r="L98">
        <f>H98-C98</f>
        <v/>
      </c>
      <c r="M98">
        <f>H98-D98</f>
        <v/>
      </c>
      <c r="N98">
        <f>H98-E98</f>
        <v/>
      </c>
      <c r="O98">
        <f>H98-F98</f>
        <v/>
      </c>
      <c r="P98">
        <f>H98-G98</f>
        <v/>
      </c>
    </row>
    <row r="99">
      <c r="A99" t="n">
        <v>98</v>
      </c>
      <c r="B99" t="n">
        <v>5</v>
      </c>
      <c r="C99" t="n">
        <v>5</v>
      </c>
      <c r="D99" t="n">
        <v>4</v>
      </c>
      <c r="E99" t="n">
        <v>4</v>
      </c>
      <c r="F99" t="n">
        <v>5</v>
      </c>
      <c r="G99" t="n">
        <v>4</v>
      </c>
      <c r="H99">
        <f>SUM(B99:G99)</f>
        <v/>
      </c>
      <c r="I99">
        <f>B99+D99+F99</f>
        <v/>
      </c>
      <c r="J99">
        <f>C99+E99+G99</f>
        <v/>
      </c>
      <c r="K99">
        <f>H99-B99</f>
        <v/>
      </c>
      <c r="L99">
        <f>H99-C99</f>
        <v/>
      </c>
      <c r="M99">
        <f>H99-D99</f>
        <v/>
      </c>
      <c r="N99">
        <f>H99-E99</f>
        <v/>
      </c>
      <c r="O99">
        <f>H99-F99</f>
        <v/>
      </c>
      <c r="P99">
        <f>H99-G99</f>
        <v/>
      </c>
    </row>
    <row r="100">
      <c r="A100" t="n">
        <v>99</v>
      </c>
      <c r="B100" t="n">
        <v>5</v>
      </c>
      <c r="C100" t="n">
        <v>5</v>
      </c>
      <c r="D100" t="n">
        <v>4</v>
      </c>
      <c r="E100" t="n">
        <v>4</v>
      </c>
      <c r="F100" t="n">
        <v>5</v>
      </c>
      <c r="G100" t="n">
        <v>5</v>
      </c>
      <c r="H100">
        <f>SUM(B100:G100)</f>
        <v/>
      </c>
      <c r="I100">
        <f>B100+D100+F100</f>
        <v/>
      </c>
      <c r="J100">
        <f>C100+E100+G100</f>
        <v/>
      </c>
      <c r="K100">
        <f>H100-B100</f>
        <v/>
      </c>
      <c r="L100">
        <f>H100-C100</f>
        <v/>
      </c>
      <c r="M100">
        <f>H100-D100</f>
        <v/>
      </c>
      <c r="N100">
        <f>H100-E100</f>
        <v/>
      </c>
      <c r="O100">
        <f>H100-F100</f>
        <v/>
      </c>
      <c r="P100">
        <f>H100-G100</f>
        <v/>
      </c>
    </row>
    <row r="101">
      <c r="A101" t="n">
        <v>100</v>
      </c>
      <c r="B101" t="n">
        <v>5</v>
      </c>
      <c r="C101" t="n">
        <v>5</v>
      </c>
      <c r="D101" t="n">
        <v>4</v>
      </c>
      <c r="E101" t="n">
        <v>4</v>
      </c>
      <c r="F101" t="n">
        <v>5</v>
      </c>
      <c r="G101" t="n">
        <v>4</v>
      </c>
      <c r="H101">
        <f>SUM(B101:G101)</f>
        <v/>
      </c>
      <c r="I101">
        <f>B101+D101+F101</f>
        <v/>
      </c>
      <c r="J101">
        <f>C101+E101+G101</f>
        <v/>
      </c>
      <c r="K101">
        <f>H101-B101</f>
        <v/>
      </c>
      <c r="L101">
        <f>H101-C101</f>
        <v/>
      </c>
      <c r="M101">
        <f>H101-D101</f>
        <v/>
      </c>
      <c r="N101">
        <f>H101-E101</f>
        <v/>
      </c>
      <c r="O101">
        <f>H101-F101</f>
        <v/>
      </c>
      <c r="P101">
        <f>H101-G101</f>
        <v/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4</v>
      </c>
      <c r="F102" t="n">
        <v>4</v>
      </c>
      <c r="G102" t="n">
        <v>5</v>
      </c>
      <c r="H102">
        <f>SUM(B102:G102)</f>
        <v/>
      </c>
      <c r="I102">
        <f>B102+D102+F102</f>
        <v/>
      </c>
      <c r="J102">
        <f>C102+E102+G102</f>
        <v/>
      </c>
      <c r="K102">
        <f>H102-B102</f>
        <v/>
      </c>
      <c r="L102">
        <f>H102-C102</f>
        <v/>
      </c>
      <c r="M102">
        <f>H102-D102</f>
        <v/>
      </c>
      <c r="N102">
        <f>H102-E102</f>
        <v/>
      </c>
      <c r="O102">
        <f>H102-F102</f>
        <v/>
      </c>
      <c r="P102">
        <f>H102-G102</f>
        <v/>
      </c>
    </row>
    <row r="103">
      <c r="A103" t="n">
        <v>102</v>
      </c>
      <c r="B103" t="n">
        <v>4</v>
      </c>
      <c r="C103" t="n">
        <v>3</v>
      </c>
      <c r="D103" t="n">
        <v>4</v>
      </c>
      <c r="E103" t="n">
        <v>5</v>
      </c>
      <c r="F103" t="n">
        <v>4</v>
      </c>
      <c r="G103" t="n">
        <v>5</v>
      </c>
      <c r="H103">
        <f>SUM(B103:G103)</f>
        <v/>
      </c>
      <c r="I103">
        <f>B103+D103+F103</f>
        <v/>
      </c>
      <c r="J103">
        <f>C103+E103+G103</f>
        <v/>
      </c>
      <c r="K103">
        <f>H103-B103</f>
        <v/>
      </c>
      <c r="L103">
        <f>H103-C103</f>
        <v/>
      </c>
      <c r="M103">
        <f>H103-D103</f>
        <v/>
      </c>
      <c r="N103">
        <f>H103-E103</f>
        <v/>
      </c>
      <c r="O103">
        <f>H103-F103</f>
        <v/>
      </c>
      <c r="P103">
        <f>H103-G103</f>
        <v/>
      </c>
    </row>
    <row r="104">
      <c r="A104" t="n">
        <v>103</v>
      </c>
      <c r="B104" t="n">
        <v>4</v>
      </c>
      <c r="C104" t="n">
        <v>4</v>
      </c>
      <c r="D104" t="n">
        <v>5</v>
      </c>
      <c r="E104" t="n">
        <v>5</v>
      </c>
      <c r="F104" t="n">
        <v>5</v>
      </c>
      <c r="G104" t="n">
        <v>5</v>
      </c>
      <c r="H104">
        <f>SUM(B104:G104)</f>
        <v/>
      </c>
      <c r="I104">
        <f>B104+D104+F104</f>
        <v/>
      </c>
      <c r="J104">
        <f>C104+E104+G104</f>
        <v/>
      </c>
      <c r="K104">
        <f>H104-B104</f>
        <v/>
      </c>
      <c r="L104">
        <f>H104-C104</f>
        <v/>
      </c>
      <c r="M104">
        <f>H104-D104</f>
        <v/>
      </c>
      <c r="N104">
        <f>H104-E104</f>
        <v/>
      </c>
      <c r="O104">
        <f>H104-F104</f>
        <v/>
      </c>
      <c r="P104">
        <f>H104-G104</f>
        <v/>
      </c>
    </row>
    <row r="105">
      <c r="A105" t="n">
        <v>104</v>
      </c>
      <c r="B105" t="n">
        <v>5</v>
      </c>
      <c r="C105" t="n">
        <v>4</v>
      </c>
      <c r="D105" t="n">
        <v>4</v>
      </c>
      <c r="E105" t="n">
        <v>4</v>
      </c>
      <c r="F105" t="n">
        <v>5</v>
      </c>
      <c r="G105" t="n">
        <v>5</v>
      </c>
      <c r="H105">
        <f>SUM(B105:G105)</f>
        <v/>
      </c>
      <c r="I105">
        <f>B105+D105+F105</f>
        <v/>
      </c>
      <c r="J105">
        <f>C105+E105+G105</f>
        <v/>
      </c>
      <c r="K105">
        <f>H105-B105</f>
        <v/>
      </c>
      <c r="L105">
        <f>H105-C105</f>
        <v/>
      </c>
      <c r="M105">
        <f>H105-D105</f>
        <v/>
      </c>
      <c r="N105">
        <f>H105-E105</f>
        <v/>
      </c>
      <c r="O105">
        <f>H105-F105</f>
        <v/>
      </c>
      <c r="P105">
        <f>H105-G105</f>
        <v/>
      </c>
    </row>
    <row r="106">
      <c r="A106" t="n">
        <v>105</v>
      </c>
      <c r="B106" t="n">
        <v>5</v>
      </c>
      <c r="C106" t="n">
        <v>4</v>
      </c>
      <c r="D106" t="n">
        <v>5</v>
      </c>
      <c r="E106" t="n">
        <v>5</v>
      </c>
      <c r="F106" t="n">
        <v>5</v>
      </c>
      <c r="G106" t="n">
        <v>5</v>
      </c>
      <c r="H106">
        <f>SUM(B106:G106)</f>
        <v/>
      </c>
      <c r="I106">
        <f>B106+D106+F106</f>
        <v/>
      </c>
      <c r="J106">
        <f>C106+E106+G106</f>
        <v/>
      </c>
      <c r="K106">
        <f>H106-B106</f>
        <v/>
      </c>
      <c r="L106">
        <f>H106-C106</f>
        <v/>
      </c>
      <c r="M106">
        <f>H106-D106</f>
        <v/>
      </c>
      <c r="N106">
        <f>H106-E106</f>
        <v/>
      </c>
      <c r="O106">
        <f>H106-F106</f>
        <v/>
      </c>
      <c r="P106">
        <f>H106-G106</f>
        <v/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5</v>
      </c>
      <c r="F107" t="n">
        <v>5</v>
      </c>
      <c r="G107" t="n">
        <v>4</v>
      </c>
      <c r="H107">
        <f>SUM(B107:G107)</f>
        <v/>
      </c>
      <c r="I107">
        <f>B107+D107+F107</f>
        <v/>
      </c>
      <c r="J107">
        <f>C107+E107+G107</f>
        <v/>
      </c>
      <c r="K107">
        <f>H107-B107</f>
        <v/>
      </c>
      <c r="L107">
        <f>H107-C107</f>
        <v/>
      </c>
      <c r="M107">
        <f>H107-D107</f>
        <v/>
      </c>
      <c r="N107">
        <f>H107-E107</f>
        <v/>
      </c>
      <c r="O107">
        <f>H107-F107</f>
        <v/>
      </c>
      <c r="P107">
        <f>H107-G107</f>
        <v/>
      </c>
    </row>
    <row r="108">
      <c r="A108" t="n">
        <v>107</v>
      </c>
      <c r="B108" t="n">
        <v>4</v>
      </c>
      <c r="C108" t="n">
        <v>4</v>
      </c>
      <c r="D108" t="n">
        <v>3</v>
      </c>
      <c r="E108" t="n">
        <v>4</v>
      </c>
      <c r="F108" t="n">
        <v>4</v>
      </c>
      <c r="G108" t="n">
        <v>4</v>
      </c>
      <c r="H108">
        <f>SUM(B108:G108)</f>
        <v/>
      </c>
      <c r="I108">
        <f>B108+D108+F108</f>
        <v/>
      </c>
      <c r="J108">
        <f>C108+E108+G108</f>
        <v/>
      </c>
      <c r="K108">
        <f>H108-B108</f>
        <v/>
      </c>
      <c r="L108">
        <f>H108-C108</f>
        <v/>
      </c>
      <c r="M108">
        <f>H108-D108</f>
        <v/>
      </c>
      <c r="N108">
        <f>H108-E108</f>
        <v/>
      </c>
      <c r="O108">
        <f>H108-F108</f>
        <v/>
      </c>
      <c r="P108">
        <f>H108-G108</f>
        <v/>
      </c>
    </row>
    <row r="109">
      <c r="A109" t="n">
        <v>108</v>
      </c>
      <c r="B109" t="n">
        <v>3</v>
      </c>
      <c r="C109" t="n">
        <v>3</v>
      </c>
      <c r="D109" t="n">
        <v>2</v>
      </c>
      <c r="E109" t="n">
        <v>3</v>
      </c>
      <c r="F109" t="n">
        <v>5</v>
      </c>
      <c r="G109" t="n">
        <v>5</v>
      </c>
      <c r="H109">
        <f>SUM(B109:G109)</f>
        <v/>
      </c>
      <c r="I109">
        <f>B109+D109+F109</f>
        <v/>
      </c>
      <c r="J109">
        <f>C109+E109+G109</f>
        <v/>
      </c>
      <c r="K109">
        <f>H109-B109</f>
        <v/>
      </c>
      <c r="L109">
        <f>H109-C109</f>
        <v/>
      </c>
      <c r="M109">
        <f>H109-D109</f>
        <v/>
      </c>
      <c r="N109">
        <f>H109-E109</f>
        <v/>
      </c>
      <c r="O109">
        <f>H109-F109</f>
        <v/>
      </c>
      <c r="P109">
        <f>H109-G109</f>
        <v/>
      </c>
    </row>
    <row r="110">
      <c r="A110" t="n">
        <v>109</v>
      </c>
      <c r="B110" t="n">
        <v>5</v>
      </c>
      <c r="C110" t="n">
        <v>4</v>
      </c>
      <c r="D110" t="n">
        <v>4</v>
      </c>
      <c r="E110" t="n">
        <v>5</v>
      </c>
      <c r="F110" t="n">
        <v>4</v>
      </c>
      <c r="G110" t="n">
        <v>3</v>
      </c>
      <c r="H110">
        <f>SUM(B110:G110)</f>
        <v/>
      </c>
      <c r="I110">
        <f>B110+D110+F110</f>
        <v/>
      </c>
      <c r="J110">
        <f>C110+E110+G110</f>
        <v/>
      </c>
      <c r="K110">
        <f>H110-B110</f>
        <v/>
      </c>
      <c r="L110">
        <f>H110-C110</f>
        <v/>
      </c>
      <c r="M110">
        <f>H110-D110</f>
        <v/>
      </c>
      <c r="N110">
        <f>H110-E110</f>
        <v/>
      </c>
      <c r="O110">
        <f>H110-F110</f>
        <v/>
      </c>
      <c r="P110">
        <f>H110-G110</f>
        <v/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3</v>
      </c>
      <c r="F111" t="n">
        <v>4</v>
      </c>
      <c r="G111" t="n">
        <v>3</v>
      </c>
      <c r="H111">
        <f>SUM(B111:G111)</f>
        <v/>
      </c>
      <c r="I111">
        <f>B111+D111+F111</f>
        <v/>
      </c>
      <c r="J111">
        <f>C111+E111+G111</f>
        <v/>
      </c>
      <c r="K111">
        <f>H111-B111</f>
        <v/>
      </c>
      <c r="L111">
        <f>H111-C111</f>
        <v/>
      </c>
      <c r="M111">
        <f>H111-D111</f>
        <v/>
      </c>
      <c r="N111">
        <f>H111-E111</f>
        <v/>
      </c>
      <c r="O111">
        <f>H111-F111</f>
        <v/>
      </c>
      <c r="P111">
        <f>H111-G111</f>
        <v/>
      </c>
    </row>
    <row r="112">
      <c r="A112" t="n">
        <v>111</v>
      </c>
      <c r="B112" t="n">
        <v>3</v>
      </c>
      <c r="C112" t="n">
        <v>4</v>
      </c>
      <c r="D112" t="n">
        <v>3</v>
      </c>
      <c r="E112" t="n">
        <v>4</v>
      </c>
      <c r="F112" t="n">
        <v>4</v>
      </c>
      <c r="G112" t="n">
        <v>4</v>
      </c>
      <c r="H112">
        <f>SUM(B112:G112)</f>
        <v/>
      </c>
      <c r="I112">
        <f>B112+D112+F112</f>
        <v/>
      </c>
      <c r="J112">
        <f>C112+E112+G112</f>
        <v/>
      </c>
      <c r="K112">
        <f>H112-B112</f>
        <v/>
      </c>
      <c r="L112">
        <f>H112-C112</f>
        <v/>
      </c>
      <c r="M112">
        <f>H112-D112</f>
        <v/>
      </c>
      <c r="N112">
        <f>H112-E112</f>
        <v/>
      </c>
      <c r="O112">
        <f>H112-F112</f>
        <v/>
      </c>
      <c r="P112">
        <f>H112-G112</f>
        <v/>
      </c>
    </row>
    <row r="113">
      <c r="A113" t="n">
        <v>112</v>
      </c>
      <c r="B113" t="n">
        <v>4</v>
      </c>
      <c r="C113" t="n">
        <v>5</v>
      </c>
      <c r="D113" t="n">
        <v>4</v>
      </c>
      <c r="E113" t="n">
        <v>4</v>
      </c>
      <c r="F113" t="n">
        <v>4</v>
      </c>
      <c r="G113" t="n">
        <v>4</v>
      </c>
      <c r="H113">
        <f>SUM(B113:G113)</f>
        <v/>
      </c>
      <c r="I113">
        <f>B113+D113+F113</f>
        <v/>
      </c>
      <c r="J113">
        <f>C113+E113+G113</f>
        <v/>
      </c>
      <c r="K113">
        <f>H113-B113</f>
        <v/>
      </c>
      <c r="L113">
        <f>H113-C113</f>
        <v/>
      </c>
      <c r="M113">
        <f>H113-D113</f>
        <v/>
      </c>
      <c r="N113">
        <f>H113-E113</f>
        <v/>
      </c>
      <c r="O113">
        <f>H113-F113</f>
        <v/>
      </c>
      <c r="P113">
        <f>H113-G113</f>
        <v/>
      </c>
    </row>
    <row r="114">
      <c r="A114" t="n">
        <v>113</v>
      </c>
      <c r="B114" t="n">
        <v>3</v>
      </c>
      <c r="C114" t="n">
        <v>5</v>
      </c>
      <c r="D114" t="n">
        <v>4</v>
      </c>
      <c r="E114" t="n">
        <v>5</v>
      </c>
      <c r="F114" t="n">
        <v>4</v>
      </c>
      <c r="G114" t="n">
        <v>3</v>
      </c>
      <c r="H114">
        <f>SUM(B114:G114)</f>
        <v/>
      </c>
      <c r="I114">
        <f>B114+D114+F114</f>
        <v/>
      </c>
      <c r="J114">
        <f>C114+E114+G114</f>
        <v/>
      </c>
      <c r="K114">
        <f>H114-B114</f>
        <v/>
      </c>
      <c r="L114">
        <f>H114-C114</f>
        <v/>
      </c>
      <c r="M114">
        <f>H114-D114</f>
        <v/>
      </c>
      <c r="N114">
        <f>H114-E114</f>
        <v/>
      </c>
      <c r="O114">
        <f>H114-F114</f>
        <v/>
      </c>
      <c r="P114">
        <f>H114-G114</f>
        <v/>
      </c>
    </row>
    <row r="115">
      <c r="A115" t="n">
        <v>114</v>
      </c>
      <c r="B115" t="n">
        <v>3</v>
      </c>
      <c r="C115" t="n">
        <v>4</v>
      </c>
      <c r="D115" t="n">
        <v>5</v>
      </c>
      <c r="E115" t="n">
        <v>4</v>
      </c>
      <c r="F115" t="n">
        <v>5</v>
      </c>
      <c r="G115" t="n">
        <v>5</v>
      </c>
      <c r="H115">
        <f>SUM(B115:G115)</f>
        <v/>
      </c>
      <c r="I115">
        <f>B115+D115+F115</f>
        <v/>
      </c>
      <c r="J115">
        <f>C115+E115+G115</f>
        <v/>
      </c>
      <c r="K115">
        <f>H115-B115</f>
        <v/>
      </c>
      <c r="L115">
        <f>H115-C115</f>
        <v/>
      </c>
      <c r="M115">
        <f>H115-D115</f>
        <v/>
      </c>
      <c r="N115">
        <f>H115-E115</f>
        <v/>
      </c>
      <c r="O115">
        <f>H115-F115</f>
        <v/>
      </c>
      <c r="P115">
        <f>H115-G115</f>
        <v/>
      </c>
    </row>
    <row r="116">
      <c r="A116" t="n">
        <v>115</v>
      </c>
      <c r="B116" t="n">
        <v>4</v>
      </c>
      <c r="C116" t="n">
        <v>5</v>
      </c>
      <c r="D116" t="n">
        <v>4</v>
      </c>
      <c r="E116" t="n">
        <v>4</v>
      </c>
      <c r="F116" t="n">
        <v>5</v>
      </c>
      <c r="G116" t="n">
        <v>5</v>
      </c>
      <c r="H116">
        <f>SUM(B116:G116)</f>
        <v/>
      </c>
      <c r="I116">
        <f>B116+D116+F116</f>
        <v/>
      </c>
      <c r="J116">
        <f>C116+E116+G116</f>
        <v/>
      </c>
      <c r="K116">
        <f>H116-B116</f>
        <v/>
      </c>
      <c r="L116">
        <f>H116-C116</f>
        <v/>
      </c>
      <c r="M116">
        <f>H116-D116</f>
        <v/>
      </c>
      <c r="N116">
        <f>H116-E116</f>
        <v/>
      </c>
      <c r="O116">
        <f>H116-F116</f>
        <v/>
      </c>
      <c r="P116">
        <f>H116-G116</f>
        <v/>
      </c>
    </row>
    <row r="117">
      <c r="A117" t="n">
        <v>116</v>
      </c>
      <c r="B117" t="n">
        <v>5</v>
      </c>
      <c r="C117" t="n">
        <v>5</v>
      </c>
      <c r="D117" t="n">
        <v>2</v>
      </c>
      <c r="E117" t="n">
        <v>5</v>
      </c>
      <c r="F117" t="n">
        <v>1</v>
      </c>
      <c r="G117" t="n">
        <v>4</v>
      </c>
      <c r="H117">
        <f>SUM(B117:G117)</f>
        <v/>
      </c>
      <c r="I117">
        <f>B117+D117+F117</f>
        <v/>
      </c>
      <c r="J117">
        <f>C117+E117+G117</f>
        <v/>
      </c>
      <c r="K117">
        <f>H117-B117</f>
        <v/>
      </c>
      <c r="L117">
        <f>H117-C117</f>
        <v/>
      </c>
      <c r="M117">
        <f>H117-D117</f>
        <v/>
      </c>
      <c r="N117">
        <f>H117-E117</f>
        <v/>
      </c>
      <c r="O117">
        <f>H117-F117</f>
        <v/>
      </c>
      <c r="P117">
        <f>H117-G117</f>
        <v/>
      </c>
    </row>
    <row r="118">
      <c r="A118" t="n">
        <v>117</v>
      </c>
      <c r="B118" t="n">
        <v>4</v>
      </c>
      <c r="C118" t="n">
        <v>3</v>
      </c>
      <c r="D118" t="n">
        <v>5</v>
      </c>
      <c r="E118" t="n">
        <v>5</v>
      </c>
      <c r="F118" t="n">
        <v>4</v>
      </c>
      <c r="G118" t="n">
        <v>4</v>
      </c>
      <c r="H118">
        <f>SUM(B118:G118)</f>
        <v/>
      </c>
      <c r="I118">
        <f>B118+D118+F118</f>
        <v/>
      </c>
      <c r="J118">
        <f>C118+E118+G118</f>
        <v/>
      </c>
      <c r="K118">
        <f>H118-B118</f>
        <v/>
      </c>
      <c r="L118">
        <f>H118-C118</f>
        <v/>
      </c>
      <c r="M118">
        <f>H118-D118</f>
        <v/>
      </c>
      <c r="N118">
        <f>H118-E118</f>
        <v/>
      </c>
      <c r="O118">
        <f>H118-F118</f>
        <v/>
      </c>
      <c r="P118">
        <f>H118-G118</f>
        <v/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3</v>
      </c>
      <c r="F119" t="n">
        <v>4</v>
      </c>
      <c r="G119" t="n">
        <v>5</v>
      </c>
      <c r="H119">
        <f>SUM(B119:G119)</f>
        <v/>
      </c>
      <c r="I119">
        <f>B119+D119+F119</f>
        <v/>
      </c>
      <c r="J119">
        <f>C119+E119+G119</f>
        <v/>
      </c>
      <c r="K119">
        <f>H119-B119</f>
        <v/>
      </c>
      <c r="L119">
        <f>H119-C119</f>
        <v/>
      </c>
      <c r="M119">
        <f>H119-D119</f>
        <v/>
      </c>
      <c r="N119">
        <f>H119-E119</f>
        <v/>
      </c>
      <c r="O119">
        <f>H119-F119</f>
        <v/>
      </c>
      <c r="P119">
        <f>H119-G119</f>
        <v/>
      </c>
    </row>
    <row r="120">
      <c r="A120" t="n">
        <v>119</v>
      </c>
      <c r="B120" t="n">
        <v>2</v>
      </c>
      <c r="C120" t="n">
        <v>4</v>
      </c>
      <c r="D120" t="n">
        <v>4</v>
      </c>
      <c r="E120" t="n">
        <v>2</v>
      </c>
      <c r="F120" t="n">
        <v>4</v>
      </c>
      <c r="G120" t="n">
        <v>5</v>
      </c>
      <c r="H120">
        <f>SUM(B120:G120)</f>
        <v/>
      </c>
      <c r="I120">
        <f>B120+D120+F120</f>
        <v/>
      </c>
      <c r="J120">
        <f>C120+E120+G120</f>
        <v/>
      </c>
      <c r="K120">
        <f>H120-B120</f>
        <v/>
      </c>
      <c r="L120">
        <f>H120-C120</f>
        <v/>
      </c>
      <c r="M120">
        <f>H120-D120</f>
        <v/>
      </c>
      <c r="N120">
        <f>H120-E120</f>
        <v/>
      </c>
      <c r="O120">
        <f>H120-F120</f>
        <v/>
      </c>
      <c r="P120">
        <f>H120-G120</f>
        <v/>
      </c>
    </row>
    <row r="121">
      <c r="A121" t="n">
        <v>120</v>
      </c>
      <c r="B121" t="n">
        <v>4</v>
      </c>
      <c r="C121" t="n">
        <v>4</v>
      </c>
      <c r="D121" t="n">
        <v>3</v>
      </c>
      <c r="E121" t="n">
        <v>4</v>
      </c>
      <c r="F121" t="n">
        <v>4</v>
      </c>
      <c r="G121" t="n">
        <v>5</v>
      </c>
      <c r="H121">
        <f>SUM(B121:G121)</f>
        <v/>
      </c>
      <c r="I121">
        <f>B121+D121+F121</f>
        <v/>
      </c>
      <c r="J121">
        <f>C121+E121+G121</f>
        <v/>
      </c>
      <c r="K121">
        <f>H121-B121</f>
        <v/>
      </c>
      <c r="L121">
        <f>H121-C121</f>
        <v/>
      </c>
      <c r="M121">
        <f>H121-D121</f>
        <v/>
      </c>
      <c r="N121">
        <f>H121-E121</f>
        <v/>
      </c>
      <c r="O121">
        <f>H121-F121</f>
        <v/>
      </c>
      <c r="P121">
        <f>H121-G121</f>
        <v/>
      </c>
    </row>
    <row r="122">
      <c r="A122" t="n">
        <v>121</v>
      </c>
      <c r="B122" t="n">
        <v>4</v>
      </c>
      <c r="C122" t="n">
        <v>2</v>
      </c>
      <c r="D122" t="n">
        <v>4</v>
      </c>
      <c r="E122" t="n">
        <v>4</v>
      </c>
      <c r="F122" t="n">
        <v>3</v>
      </c>
      <c r="G122" t="n">
        <v>3</v>
      </c>
      <c r="H122">
        <f>SUM(B122:G122)</f>
        <v/>
      </c>
      <c r="I122">
        <f>B122+D122+F122</f>
        <v/>
      </c>
      <c r="J122">
        <f>C122+E122+G122</f>
        <v/>
      </c>
      <c r="K122">
        <f>H122-B122</f>
        <v/>
      </c>
      <c r="L122">
        <f>H122-C122</f>
        <v/>
      </c>
      <c r="M122">
        <f>H122-D122</f>
        <v/>
      </c>
      <c r="N122">
        <f>H122-E122</f>
        <v/>
      </c>
      <c r="O122">
        <f>H122-F122</f>
        <v/>
      </c>
      <c r="P122">
        <f>H122-G122</f>
        <v/>
      </c>
    </row>
    <row r="123">
      <c r="A123" t="n">
        <v>122</v>
      </c>
      <c r="B123" t="n">
        <v>2</v>
      </c>
      <c r="C123" t="n">
        <v>4</v>
      </c>
      <c r="D123" t="n">
        <v>2</v>
      </c>
      <c r="E123" t="n">
        <v>4</v>
      </c>
      <c r="F123" t="n">
        <v>2</v>
      </c>
      <c r="G123" t="n">
        <v>3</v>
      </c>
      <c r="H123">
        <f>SUM(B123:G123)</f>
        <v/>
      </c>
      <c r="I123">
        <f>B123+D123+F123</f>
        <v/>
      </c>
      <c r="J123">
        <f>C123+E123+G123</f>
        <v/>
      </c>
      <c r="K123">
        <f>H123-B123</f>
        <v/>
      </c>
      <c r="L123">
        <f>H123-C123</f>
        <v/>
      </c>
      <c r="M123">
        <f>H123-D123</f>
        <v/>
      </c>
      <c r="N123">
        <f>H123-E123</f>
        <v/>
      </c>
      <c r="O123">
        <f>H123-F123</f>
        <v/>
      </c>
      <c r="P123">
        <f>H123-G123</f>
        <v/>
      </c>
    </row>
    <row r="124">
      <c r="A124" t="n">
        <v>123</v>
      </c>
      <c r="B124" t="n">
        <v>4</v>
      </c>
      <c r="C124" t="n">
        <v>4</v>
      </c>
      <c r="D124" t="n">
        <v>4</v>
      </c>
      <c r="E124" t="n">
        <v>4</v>
      </c>
      <c r="F124" t="n">
        <v>2</v>
      </c>
      <c r="G124" t="n">
        <v>5</v>
      </c>
      <c r="H124">
        <f>SUM(B124:G124)</f>
        <v/>
      </c>
      <c r="I124">
        <f>B124+D124+F124</f>
        <v/>
      </c>
      <c r="J124">
        <f>C124+E124+G124</f>
        <v/>
      </c>
      <c r="K124">
        <f>H124-B124</f>
        <v/>
      </c>
      <c r="L124">
        <f>H124-C124</f>
        <v/>
      </c>
      <c r="M124">
        <f>H124-D124</f>
        <v/>
      </c>
      <c r="N124">
        <f>H124-E124</f>
        <v/>
      </c>
      <c r="O124">
        <f>H124-F124</f>
        <v/>
      </c>
      <c r="P124">
        <f>H124-G124</f>
        <v/>
      </c>
    </row>
    <row r="125">
      <c r="A125" t="n">
        <v>124</v>
      </c>
      <c r="B125" t="n">
        <v>4</v>
      </c>
      <c r="C125" t="n">
        <v>4</v>
      </c>
      <c r="D125" t="n">
        <v>4</v>
      </c>
      <c r="E125" t="n">
        <v>4</v>
      </c>
      <c r="F125" t="n">
        <v>4</v>
      </c>
      <c r="G125" t="n">
        <v>3</v>
      </c>
      <c r="H125">
        <f>SUM(B125:G125)</f>
        <v/>
      </c>
      <c r="I125">
        <f>B125+D125+F125</f>
        <v/>
      </c>
      <c r="J125">
        <f>C125+E125+G125</f>
        <v/>
      </c>
      <c r="K125">
        <f>H125-B125</f>
        <v/>
      </c>
      <c r="L125">
        <f>H125-C125</f>
        <v/>
      </c>
      <c r="M125">
        <f>H125-D125</f>
        <v/>
      </c>
      <c r="N125">
        <f>H125-E125</f>
        <v/>
      </c>
      <c r="O125">
        <f>H125-F125</f>
        <v/>
      </c>
      <c r="P125">
        <f>H125-G125</f>
        <v/>
      </c>
    </row>
    <row r="126">
      <c r="A126" t="n">
        <v>125</v>
      </c>
      <c r="B126" t="n">
        <v>4</v>
      </c>
      <c r="C126" t="n">
        <v>4</v>
      </c>
      <c r="D126" t="n">
        <v>5</v>
      </c>
      <c r="E126" t="n">
        <v>4</v>
      </c>
      <c r="F126" t="n">
        <v>4</v>
      </c>
      <c r="G126" t="n">
        <v>4</v>
      </c>
      <c r="H126">
        <f>SUM(B126:G126)</f>
        <v/>
      </c>
      <c r="I126">
        <f>B126+D126+F126</f>
        <v/>
      </c>
      <c r="J126">
        <f>C126+E126+G126</f>
        <v/>
      </c>
      <c r="K126">
        <f>H126-B126</f>
        <v/>
      </c>
      <c r="L126">
        <f>H126-C126</f>
        <v/>
      </c>
      <c r="M126">
        <f>H126-D126</f>
        <v/>
      </c>
      <c r="N126">
        <f>H126-E126</f>
        <v/>
      </c>
      <c r="O126">
        <f>H126-F126</f>
        <v/>
      </c>
      <c r="P126">
        <f>H126-G126</f>
        <v/>
      </c>
    </row>
    <row r="127">
      <c r="A127" t="n">
        <v>126</v>
      </c>
      <c r="B127" t="n">
        <v>4</v>
      </c>
      <c r="C127" t="n">
        <v>3</v>
      </c>
      <c r="D127" t="n">
        <v>4</v>
      </c>
      <c r="E127" t="n">
        <v>4</v>
      </c>
      <c r="F127" t="n">
        <v>5</v>
      </c>
      <c r="G127" t="n">
        <v>4</v>
      </c>
      <c r="H127">
        <f>SUM(B127:G127)</f>
        <v/>
      </c>
      <c r="I127">
        <f>B127+D127+F127</f>
        <v/>
      </c>
      <c r="J127">
        <f>C127+E127+G127</f>
        <v/>
      </c>
      <c r="K127">
        <f>H127-B127</f>
        <v/>
      </c>
      <c r="L127">
        <f>H127-C127</f>
        <v/>
      </c>
      <c r="M127">
        <f>H127-D127</f>
        <v/>
      </c>
      <c r="N127">
        <f>H127-E127</f>
        <v/>
      </c>
      <c r="O127">
        <f>H127-F127</f>
        <v/>
      </c>
      <c r="P127">
        <f>H127-G127</f>
        <v/>
      </c>
    </row>
    <row r="128">
      <c r="A128" t="n">
        <v>127</v>
      </c>
      <c r="B128" t="n">
        <v>5</v>
      </c>
      <c r="C128" t="n">
        <v>5</v>
      </c>
      <c r="D128" t="n">
        <v>5</v>
      </c>
      <c r="E128" t="n">
        <v>4</v>
      </c>
      <c r="F128" t="n">
        <v>5</v>
      </c>
      <c r="G128" t="n">
        <v>5</v>
      </c>
      <c r="H128">
        <f>SUM(B128:G128)</f>
        <v/>
      </c>
      <c r="I128">
        <f>B128+D128+F128</f>
        <v/>
      </c>
      <c r="J128">
        <f>C128+E128+G128</f>
        <v/>
      </c>
      <c r="K128">
        <f>H128-B128</f>
        <v/>
      </c>
      <c r="L128">
        <f>H128-C128</f>
        <v/>
      </c>
      <c r="M128">
        <f>H128-D128</f>
        <v/>
      </c>
      <c r="N128">
        <f>H128-E128</f>
        <v/>
      </c>
      <c r="O128">
        <f>H128-F128</f>
        <v/>
      </c>
      <c r="P128">
        <f>H128-G128</f>
        <v/>
      </c>
    </row>
    <row r="129">
      <c r="A129" t="n">
        <v>128</v>
      </c>
      <c r="B129" t="n">
        <v>5</v>
      </c>
      <c r="C129" t="n">
        <v>4</v>
      </c>
      <c r="D129" t="n">
        <v>5</v>
      </c>
      <c r="E129" t="n">
        <v>5</v>
      </c>
      <c r="F129" t="n">
        <v>5</v>
      </c>
      <c r="G129" t="n">
        <v>5</v>
      </c>
      <c r="H129">
        <f>SUM(B129:G129)</f>
        <v/>
      </c>
      <c r="I129">
        <f>B129+D129+F129</f>
        <v/>
      </c>
      <c r="J129">
        <f>C129+E129+G129</f>
        <v/>
      </c>
      <c r="K129">
        <f>H129-B129</f>
        <v/>
      </c>
      <c r="L129">
        <f>H129-C129</f>
        <v/>
      </c>
      <c r="M129">
        <f>H129-D129</f>
        <v/>
      </c>
      <c r="N129">
        <f>H129-E129</f>
        <v/>
      </c>
      <c r="O129">
        <f>H129-F129</f>
        <v/>
      </c>
      <c r="P129">
        <f>H129-G129</f>
        <v/>
      </c>
    </row>
    <row r="130">
      <c r="A130" t="n">
        <v>129</v>
      </c>
      <c r="B130" t="n">
        <v>4</v>
      </c>
      <c r="C130" t="n">
        <v>3</v>
      </c>
      <c r="D130" t="n">
        <v>4</v>
      </c>
      <c r="E130" t="n">
        <v>3</v>
      </c>
      <c r="F130" t="n">
        <v>4</v>
      </c>
      <c r="G130" t="n">
        <v>2</v>
      </c>
      <c r="H130">
        <f>SUM(B130:G130)</f>
        <v/>
      </c>
      <c r="I130">
        <f>B130+D130+F130</f>
        <v/>
      </c>
      <c r="J130">
        <f>C130+E130+G130</f>
        <v/>
      </c>
      <c r="K130">
        <f>H130-B130</f>
        <v/>
      </c>
      <c r="L130">
        <f>H130-C130</f>
        <v/>
      </c>
      <c r="M130">
        <f>H130-D130</f>
        <v/>
      </c>
      <c r="N130">
        <f>H130-E130</f>
        <v/>
      </c>
      <c r="O130">
        <f>H130-F130</f>
        <v/>
      </c>
      <c r="P130">
        <f>H130-G130</f>
        <v/>
      </c>
    </row>
    <row r="131">
      <c r="A131" t="n">
        <v>130</v>
      </c>
      <c r="B131" t="n">
        <v>4</v>
      </c>
      <c r="C131" t="n">
        <v>5</v>
      </c>
      <c r="D131" t="n">
        <v>4</v>
      </c>
      <c r="E131" t="n">
        <v>5</v>
      </c>
      <c r="F131" t="n">
        <v>4</v>
      </c>
      <c r="G131" t="n">
        <v>4</v>
      </c>
      <c r="H131">
        <f>SUM(B131:G131)</f>
        <v/>
      </c>
      <c r="I131">
        <f>B131+D131+F131</f>
        <v/>
      </c>
      <c r="J131">
        <f>C131+E131+G131</f>
        <v/>
      </c>
      <c r="K131">
        <f>H131-B131</f>
        <v/>
      </c>
      <c r="L131">
        <f>H131-C131</f>
        <v/>
      </c>
      <c r="M131">
        <f>H131-D131</f>
        <v/>
      </c>
      <c r="N131">
        <f>H131-E131</f>
        <v/>
      </c>
      <c r="O131">
        <f>H131-F131</f>
        <v/>
      </c>
      <c r="P131">
        <f>H131-G131</f>
        <v/>
      </c>
    </row>
    <row r="132">
      <c r="A132" t="n">
        <v>131</v>
      </c>
      <c r="B132" t="n">
        <v>5</v>
      </c>
      <c r="C132" t="n">
        <v>4</v>
      </c>
      <c r="D132" t="n">
        <v>4</v>
      </c>
      <c r="E132" t="n">
        <v>4</v>
      </c>
      <c r="F132" t="n">
        <v>4</v>
      </c>
      <c r="G132" t="n">
        <v>3</v>
      </c>
      <c r="H132">
        <f>SUM(B132:G132)</f>
        <v/>
      </c>
      <c r="I132">
        <f>B132+D132+F132</f>
        <v/>
      </c>
      <c r="J132">
        <f>C132+E132+G132</f>
        <v/>
      </c>
      <c r="K132">
        <f>H132-B132</f>
        <v/>
      </c>
      <c r="L132">
        <f>H132-C132</f>
        <v/>
      </c>
      <c r="M132">
        <f>H132-D132</f>
        <v/>
      </c>
      <c r="N132">
        <f>H132-E132</f>
        <v/>
      </c>
      <c r="O132">
        <f>H132-F132</f>
        <v/>
      </c>
      <c r="P132">
        <f>H132-G132</f>
        <v/>
      </c>
    </row>
    <row r="133">
      <c r="A133" t="n">
        <v>132</v>
      </c>
      <c r="B133" t="n">
        <v>4</v>
      </c>
      <c r="C133" t="n">
        <v>3</v>
      </c>
      <c r="D133" t="n">
        <v>5</v>
      </c>
      <c r="E133" t="n">
        <v>4</v>
      </c>
      <c r="F133" t="n">
        <v>4</v>
      </c>
      <c r="G133" t="n">
        <v>3</v>
      </c>
      <c r="H133">
        <f>SUM(B133:G133)</f>
        <v/>
      </c>
      <c r="I133">
        <f>B133+D133+F133</f>
        <v/>
      </c>
      <c r="J133">
        <f>C133+E133+G133</f>
        <v/>
      </c>
      <c r="K133">
        <f>H133-B133</f>
        <v/>
      </c>
      <c r="L133">
        <f>H133-C133</f>
        <v/>
      </c>
      <c r="M133">
        <f>H133-D133</f>
        <v/>
      </c>
      <c r="N133">
        <f>H133-E133</f>
        <v/>
      </c>
      <c r="O133">
        <f>H133-F133</f>
        <v/>
      </c>
      <c r="P133">
        <f>H133-G133</f>
        <v/>
      </c>
    </row>
    <row r="134">
      <c r="A134" t="n">
        <v>133</v>
      </c>
      <c r="B134" t="n">
        <v>4</v>
      </c>
      <c r="C134" t="n">
        <v>5</v>
      </c>
      <c r="D134" t="n">
        <v>4</v>
      </c>
      <c r="E134" t="n">
        <v>4</v>
      </c>
      <c r="F134" t="n">
        <v>5</v>
      </c>
      <c r="G134" t="n">
        <v>5</v>
      </c>
      <c r="H134">
        <f>SUM(B134:G134)</f>
        <v/>
      </c>
      <c r="I134">
        <f>B134+D134+F134</f>
        <v/>
      </c>
      <c r="J134">
        <f>C134+E134+G134</f>
        <v/>
      </c>
      <c r="K134">
        <f>H134-B134</f>
        <v/>
      </c>
      <c r="L134">
        <f>H134-C134</f>
        <v/>
      </c>
      <c r="M134">
        <f>H134-D134</f>
        <v/>
      </c>
      <c r="N134">
        <f>H134-E134</f>
        <v/>
      </c>
      <c r="O134">
        <f>H134-F134</f>
        <v/>
      </c>
      <c r="P134">
        <f>H134-G134</f>
        <v/>
      </c>
    </row>
    <row r="135">
      <c r="A135" t="n">
        <v>134</v>
      </c>
      <c r="B135" t="n">
        <v>4</v>
      </c>
      <c r="C135" t="n">
        <v>5</v>
      </c>
      <c r="D135" t="n">
        <v>4</v>
      </c>
      <c r="E135" t="n">
        <v>4</v>
      </c>
      <c r="F135" t="n">
        <v>4</v>
      </c>
      <c r="G135" t="n">
        <v>4</v>
      </c>
      <c r="H135">
        <f>SUM(B135:G135)</f>
        <v/>
      </c>
      <c r="I135">
        <f>B135+D135+F135</f>
        <v/>
      </c>
      <c r="J135">
        <f>C135+E135+G135</f>
        <v/>
      </c>
      <c r="K135">
        <f>H135-B135</f>
        <v/>
      </c>
      <c r="L135">
        <f>H135-C135</f>
        <v/>
      </c>
      <c r="M135">
        <f>H135-D135</f>
        <v/>
      </c>
      <c r="N135">
        <f>H135-E135</f>
        <v/>
      </c>
      <c r="O135">
        <f>H135-F135</f>
        <v/>
      </c>
      <c r="P135">
        <f>H135-G135</f>
        <v/>
      </c>
    </row>
    <row r="136">
      <c r="A136" t="n">
        <v>135</v>
      </c>
      <c r="B136" t="n">
        <v>5</v>
      </c>
      <c r="C136" t="n">
        <v>4</v>
      </c>
      <c r="D136" t="n">
        <v>4</v>
      </c>
      <c r="E136" t="n">
        <v>4</v>
      </c>
      <c r="F136" t="n">
        <v>4</v>
      </c>
      <c r="G136" t="n">
        <v>4</v>
      </c>
      <c r="H136">
        <f>SUM(B136:G136)</f>
        <v/>
      </c>
      <c r="I136">
        <f>B136+D136+F136</f>
        <v/>
      </c>
      <c r="J136">
        <f>C136+E136+G136</f>
        <v/>
      </c>
      <c r="K136">
        <f>H136-B136</f>
        <v/>
      </c>
      <c r="L136">
        <f>H136-C136</f>
        <v/>
      </c>
      <c r="M136">
        <f>H136-D136</f>
        <v/>
      </c>
      <c r="N136">
        <f>H136-E136</f>
        <v/>
      </c>
      <c r="O136">
        <f>H136-F136</f>
        <v/>
      </c>
      <c r="P136">
        <f>H136-G136</f>
        <v/>
      </c>
    </row>
    <row r="137">
      <c r="A137" t="n">
        <v>136</v>
      </c>
      <c r="B137" t="n">
        <v>4</v>
      </c>
      <c r="C137" t="n">
        <v>5</v>
      </c>
      <c r="D137" t="n">
        <v>4</v>
      </c>
      <c r="E137" t="n">
        <v>4</v>
      </c>
      <c r="F137" t="n">
        <v>4</v>
      </c>
      <c r="G137" t="n">
        <v>4</v>
      </c>
      <c r="H137">
        <f>SUM(B137:G137)</f>
        <v/>
      </c>
      <c r="I137">
        <f>B137+D137+F137</f>
        <v/>
      </c>
      <c r="J137">
        <f>C137+E137+G137</f>
        <v/>
      </c>
      <c r="K137">
        <f>H137-B137</f>
        <v/>
      </c>
      <c r="L137">
        <f>H137-C137</f>
        <v/>
      </c>
      <c r="M137">
        <f>H137-D137</f>
        <v/>
      </c>
      <c r="N137">
        <f>H137-E137</f>
        <v/>
      </c>
      <c r="O137">
        <f>H137-F137</f>
        <v/>
      </c>
      <c r="P137">
        <f>H137-G137</f>
        <v/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5</v>
      </c>
      <c r="F138" t="n">
        <v>4</v>
      </c>
      <c r="G138" t="n">
        <v>4</v>
      </c>
      <c r="H138">
        <f>SUM(B138:G138)</f>
        <v/>
      </c>
      <c r="I138">
        <f>B138+D138+F138</f>
        <v/>
      </c>
      <c r="J138">
        <f>C138+E138+G138</f>
        <v/>
      </c>
      <c r="K138">
        <f>H138-B138</f>
        <v/>
      </c>
      <c r="L138">
        <f>H138-C138</f>
        <v/>
      </c>
      <c r="M138">
        <f>H138-D138</f>
        <v/>
      </c>
      <c r="N138">
        <f>H138-E138</f>
        <v/>
      </c>
      <c r="O138">
        <f>H138-F138</f>
        <v/>
      </c>
      <c r="P138">
        <f>H138-G138</f>
        <v/>
      </c>
    </row>
    <row r="139">
      <c r="A139" t="n">
        <v>138</v>
      </c>
      <c r="B139" t="n">
        <v>3</v>
      </c>
      <c r="C139" t="n">
        <v>5</v>
      </c>
      <c r="D139" t="n">
        <v>4</v>
      </c>
      <c r="E139" t="n">
        <v>4</v>
      </c>
      <c r="F139" t="n">
        <v>3</v>
      </c>
      <c r="G139" t="n">
        <v>4</v>
      </c>
      <c r="H139">
        <f>SUM(B139:G139)</f>
        <v/>
      </c>
      <c r="I139">
        <f>B139+D139+F139</f>
        <v/>
      </c>
      <c r="J139">
        <f>C139+E139+G139</f>
        <v/>
      </c>
      <c r="K139">
        <f>H139-B139</f>
        <v/>
      </c>
      <c r="L139">
        <f>H139-C139</f>
        <v/>
      </c>
      <c r="M139">
        <f>H139-D139</f>
        <v/>
      </c>
      <c r="N139">
        <f>H139-E139</f>
        <v/>
      </c>
      <c r="O139">
        <f>H139-F139</f>
        <v/>
      </c>
      <c r="P139">
        <f>H139-G139</f>
        <v/>
      </c>
    </row>
    <row r="140">
      <c r="A140" t="n">
        <v>139</v>
      </c>
      <c r="B140" t="n">
        <v>4</v>
      </c>
      <c r="C140" t="n">
        <v>4</v>
      </c>
      <c r="D140" t="n">
        <v>5</v>
      </c>
      <c r="E140" t="n">
        <v>3</v>
      </c>
      <c r="F140" t="n">
        <v>5</v>
      </c>
      <c r="G140" t="n">
        <v>5</v>
      </c>
      <c r="H140">
        <f>SUM(B140:G140)</f>
        <v/>
      </c>
      <c r="I140">
        <f>B140+D140+F140</f>
        <v/>
      </c>
      <c r="J140">
        <f>C140+E140+G140</f>
        <v/>
      </c>
      <c r="K140">
        <f>H140-B140</f>
        <v/>
      </c>
      <c r="L140">
        <f>H140-C140</f>
        <v/>
      </c>
      <c r="M140">
        <f>H140-D140</f>
        <v/>
      </c>
      <c r="N140">
        <f>H140-E140</f>
        <v/>
      </c>
      <c r="O140">
        <f>H140-F140</f>
        <v/>
      </c>
      <c r="P140">
        <f>H140-G140</f>
        <v/>
      </c>
    </row>
    <row r="141">
      <c r="A141" t="n">
        <v>140</v>
      </c>
      <c r="B141" t="n">
        <v>4</v>
      </c>
      <c r="C141" t="n">
        <v>4</v>
      </c>
      <c r="D141" t="n">
        <v>4</v>
      </c>
      <c r="E141" t="n">
        <v>5</v>
      </c>
      <c r="F141" t="n">
        <v>4</v>
      </c>
      <c r="G141" t="n">
        <v>4</v>
      </c>
      <c r="H141">
        <f>SUM(B141:G141)</f>
        <v/>
      </c>
      <c r="I141">
        <f>B141+D141+F141</f>
        <v/>
      </c>
      <c r="J141">
        <f>C141+E141+G141</f>
        <v/>
      </c>
      <c r="K141">
        <f>H141-B141</f>
        <v/>
      </c>
      <c r="L141">
        <f>H141-C141</f>
        <v/>
      </c>
      <c r="M141">
        <f>H141-D141</f>
        <v/>
      </c>
      <c r="N141">
        <f>H141-E141</f>
        <v/>
      </c>
      <c r="O141">
        <f>H141-F141</f>
        <v/>
      </c>
      <c r="P141">
        <f>H141-G141</f>
        <v/>
      </c>
    </row>
    <row r="142">
      <c r="A142" t="n">
        <v>141</v>
      </c>
      <c r="B142" t="n">
        <v>4</v>
      </c>
      <c r="C142" t="n">
        <v>5</v>
      </c>
      <c r="D142" t="n">
        <v>4</v>
      </c>
      <c r="E142" t="n">
        <v>5</v>
      </c>
      <c r="F142" t="n">
        <v>4</v>
      </c>
      <c r="G142" t="n">
        <v>5</v>
      </c>
      <c r="H142">
        <f>SUM(B142:G142)</f>
        <v/>
      </c>
      <c r="I142">
        <f>B142+D142+F142</f>
        <v/>
      </c>
      <c r="J142">
        <f>C142+E142+G142</f>
        <v/>
      </c>
      <c r="K142">
        <f>H142-B142</f>
        <v/>
      </c>
      <c r="L142">
        <f>H142-C142</f>
        <v/>
      </c>
      <c r="M142">
        <f>H142-D142</f>
        <v/>
      </c>
      <c r="N142">
        <f>H142-E142</f>
        <v/>
      </c>
      <c r="O142">
        <f>H142-F142</f>
        <v/>
      </c>
      <c r="P142">
        <f>H142-G142</f>
        <v/>
      </c>
    </row>
    <row r="143">
      <c r="A143" t="n">
        <v>142</v>
      </c>
      <c r="B143" t="n">
        <v>5</v>
      </c>
      <c r="C143" t="n">
        <v>4</v>
      </c>
      <c r="D143" t="n">
        <v>4</v>
      </c>
      <c r="E143" t="n">
        <v>4</v>
      </c>
      <c r="F143" t="n">
        <v>5</v>
      </c>
      <c r="G143" t="n">
        <v>3</v>
      </c>
      <c r="H143">
        <f>SUM(B143:G143)</f>
        <v/>
      </c>
      <c r="I143">
        <f>B143+D143+F143</f>
        <v/>
      </c>
      <c r="J143">
        <f>C143+E143+G143</f>
        <v/>
      </c>
      <c r="K143">
        <f>H143-B143</f>
        <v/>
      </c>
      <c r="L143">
        <f>H143-C143</f>
        <v/>
      </c>
      <c r="M143">
        <f>H143-D143</f>
        <v/>
      </c>
      <c r="N143">
        <f>H143-E143</f>
        <v/>
      </c>
      <c r="O143">
        <f>H143-F143</f>
        <v/>
      </c>
      <c r="P143">
        <f>H143-G143</f>
        <v/>
      </c>
    </row>
    <row r="144">
      <c r="A144" t="n">
        <v>143</v>
      </c>
      <c r="B144" t="n">
        <v>5</v>
      </c>
      <c r="C144" t="n">
        <v>5</v>
      </c>
      <c r="D144" t="n">
        <v>5</v>
      </c>
      <c r="E144" t="n">
        <v>4</v>
      </c>
      <c r="F144" t="n">
        <v>5</v>
      </c>
      <c r="G144" t="n">
        <v>4</v>
      </c>
      <c r="H144">
        <f>SUM(B144:G144)</f>
        <v/>
      </c>
      <c r="I144">
        <f>B144+D144+F144</f>
        <v/>
      </c>
      <c r="J144">
        <f>C144+E144+G144</f>
        <v/>
      </c>
      <c r="K144">
        <f>H144-B144</f>
        <v/>
      </c>
      <c r="L144">
        <f>H144-C144</f>
        <v/>
      </c>
      <c r="M144">
        <f>H144-D144</f>
        <v/>
      </c>
      <c r="N144">
        <f>H144-E144</f>
        <v/>
      </c>
      <c r="O144">
        <f>H144-F144</f>
        <v/>
      </c>
      <c r="P144">
        <f>H144-G144</f>
        <v/>
      </c>
    </row>
    <row r="145">
      <c r="A145" t="n">
        <v>144</v>
      </c>
      <c r="B145" t="n">
        <v>3</v>
      </c>
      <c r="C145" t="n">
        <v>3</v>
      </c>
      <c r="D145" t="n">
        <v>4</v>
      </c>
      <c r="E145" t="n">
        <v>3</v>
      </c>
      <c r="F145" t="n">
        <v>3</v>
      </c>
      <c r="G145" t="n">
        <v>3</v>
      </c>
      <c r="H145">
        <f>SUM(B145:G145)</f>
        <v/>
      </c>
      <c r="I145">
        <f>B145+D145+F145</f>
        <v/>
      </c>
      <c r="J145">
        <f>C145+E145+G145</f>
        <v/>
      </c>
      <c r="K145">
        <f>H145-B145</f>
        <v/>
      </c>
      <c r="L145">
        <f>H145-C145</f>
        <v/>
      </c>
      <c r="M145">
        <f>H145-D145</f>
        <v/>
      </c>
      <c r="N145">
        <f>H145-E145</f>
        <v/>
      </c>
      <c r="O145">
        <f>H145-F145</f>
        <v/>
      </c>
      <c r="P145">
        <f>H145-G145</f>
        <v/>
      </c>
    </row>
    <row r="146">
      <c r="A146" t="n">
        <v>145</v>
      </c>
      <c r="B146" t="n">
        <v>3</v>
      </c>
      <c r="C146" t="n">
        <v>4</v>
      </c>
      <c r="D146" t="n">
        <v>4</v>
      </c>
      <c r="E146" t="n">
        <v>5</v>
      </c>
      <c r="F146" t="n">
        <v>4</v>
      </c>
      <c r="G146" t="n">
        <v>4</v>
      </c>
      <c r="H146">
        <f>SUM(B146:G146)</f>
        <v/>
      </c>
      <c r="I146">
        <f>B146+D146+F146</f>
        <v/>
      </c>
      <c r="J146">
        <f>C146+E146+G146</f>
        <v/>
      </c>
      <c r="K146">
        <f>H146-B146</f>
        <v/>
      </c>
      <c r="L146">
        <f>H146-C146</f>
        <v/>
      </c>
      <c r="M146">
        <f>H146-D146</f>
        <v/>
      </c>
      <c r="N146">
        <f>H146-E146</f>
        <v/>
      </c>
      <c r="O146">
        <f>H146-F146</f>
        <v/>
      </c>
      <c r="P146">
        <f>H146-G146</f>
        <v/>
      </c>
    </row>
    <row r="147">
      <c r="A147" t="n">
        <v>146</v>
      </c>
      <c r="B147" t="n">
        <v>4</v>
      </c>
      <c r="C147" t="n">
        <v>4</v>
      </c>
      <c r="D147" t="n">
        <v>4</v>
      </c>
      <c r="E147" t="n">
        <v>4</v>
      </c>
      <c r="F147" t="n">
        <v>5</v>
      </c>
      <c r="G147" t="n">
        <v>4</v>
      </c>
      <c r="H147">
        <f>SUM(B147:G147)</f>
        <v/>
      </c>
      <c r="I147">
        <f>B147+D147+F147</f>
        <v/>
      </c>
      <c r="J147">
        <f>C147+E147+G147</f>
        <v/>
      </c>
      <c r="K147">
        <f>H147-B147</f>
        <v/>
      </c>
      <c r="L147">
        <f>H147-C147</f>
        <v/>
      </c>
      <c r="M147">
        <f>H147-D147</f>
        <v/>
      </c>
      <c r="N147">
        <f>H147-E147</f>
        <v/>
      </c>
      <c r="O147">
        <f>H147-F147</f>
        <v/>
      </c>
      <c r="P147">
        <f>H147-G147</f>
        <v/>
      </c>
    </row>
    <row r="148">
      <c r="A148" t="n">
        <v>147</v>
      </c>
      <c r="B148" t="n">
        <v>5</v>
      </c>
      <c r="C148" t="n">
        <v>4</v>
      </c>
      <c r="D148" t="n">
        <v>5</v>
      </c>
      <c r="E148" t="n">
        <v>4</v>
      </c>
      <c r="F148" t="n">
        <v>4</v>
      </c>
      <c r="G148" t="n">
        <v>5</v>
      </c>
      <c r="H148">
        <f>SUM(B148:G148)</f>
        <v/>
      </c>
      <c r="I148">
        <f>B148+D148+F148</f>
        <v/>
      </c>
      <c r="J148">
        <f>C148+E148+G148</f>
        <v/>
      </c>
      <c r="K148">
        <f>H148-B148</f>
        <v/>
      </c>
      <c r="L148">
        <f>H148-C148</f>
        <v/>
      </c>
      <c r="M148">
        <f>H148-D148</f>
        <v/>
      </c>
      <c r="N148">
        <f>H148-E148</f>
        <v/>
      </c>
      <c r="O148">
        <f>H148-F148</f>
        <v/>
      </c>
      <c r="P148">
        <f>H148-G148</f>
        <v/>
      </c>
    </row>
    <row r="149">
      <c r="A149" t="n">
        <v>148</v>
      </c>
      <c r="B149" t="n">
        <v>5</v>
      </c>
      <c r="C149" t="n">
        <v>4</v>
      </c>
      <c r="D149" t="n">
        <v>5</v>
      </c>
      <c r="E149" t="n">
        <v>4</v>
      </c>
      <c r="F149" t="n">
        <v>5</v>
      </c>
      <c r="G149" t="n">
        <v>4</v>
      </c>
      <c r="H149">
        <f>SUM(B149:G149)</f>
        <v/>
      </c>
      <c r="I149">
        <f>B149+D149+F149</f>
        <v/>
      </c>
      <c r="J149">
        <f>C149+E149+G149</f>
        <v/>
      </c>
      <c r="K149">
        <f>H149-B149</f>
        <v/>
      </c>
      <c r="L149">
        <f>H149-C149</f>
        <v/>
      </c>
      <c r="M149">
        <f>H149-D149</f>
        <v/>
      </c>
      <c r="N149">
        <f>H149-E149</f>
        <v/>
      </c>
      <c r="O149">
        <f>H149-F149</f>
        <v/>
      </c>
      <c r="P149">
        <f>H149-G149</f>
        <v/>
      </c>
    </row>
    <row r="150">
      <c r="A150" t="n">
        <v>149</v>
      </c>
      <c r="B150" t="n">
        <v>5</v>
      </c>
      <c r="C150" t="n">
        <v>4</v>
      </c>
      <c r="D150" t="n">
        <v>4</v>
      </c>
      <c r="E150" t="n">
        <v>5</v>
      </c>
      <c r="F150" t="n">
        <v>4</v>
      </c>
      <c r="G150" t="n">
        <v>4</v>
      </c>
      <c r="H150">
        <f>SUM(B150:G150)</f>
        <v/>
      </c>
      <c r="I150">
        <f>B150+D150+F150</f>
        <v/>
      </c>
      <c r="J150">
        <f>C150+E150+G150</f>
        <v/>
      </c>
      <c r="K150">
        <f>H150-B150</f>
        <v/>
      </c>
      <c r="L150">
        <f>H150-C150</f>
        <v/>
      </c>
      <c r="M150">
        <f>H150-D150</f>
        <v/>
      </c>
      <c r="N150">
        <f>H150-E150</f>
        <v/>
      </c>
      <c r="O150">
        <f>H150-F150</f>
        <v/>
      </c>
      <c r="P150">
        <f>H150-G150</f>
        <v/>
      </c>
    </row>
    <row r="151">
      <c r="A151" t="n">
        <v>150</v>
      </c>
      <c r="B151" t="n">
        <v>4</v>
      </c>
      <c r="C151" t="n">
        <v>3</v>
      </c>
      <c r="D151" t="n">
        <v>2</v>
      </c>
      <c r="E151" t="n">
        <v>4</v>
      </c>
      <c r="F151" t="n">
        <v>4</v>
      </c>
      <c r="G151" t="n">
        <v>5</v>
      </c>
      <c r="H151">
        <f>SUM(B151:G151)</f>
        <v/>
      </c>
      <c r="I151">
        <f>B151+D151+F151</f>
        <v/>
      </c>
      <c r="J151">
        <f>C151+E151+G151</f>
        <v/>
      </c>
      <c r="K151">
        <f>H151-B151</f>
        <v/>
      </c>
      <c r="L151">
        <f>H151-C151</f>
        <v/>
      </c>
      <c r="M151">
        <f>H151-D151</f>
        <v/>
      </c>
      <c r="N151">
        <f>H151-E151</f>
        <v/>
      </c>
      <c r="O151">
        <f>H151-F151</f>
        <v/>
      </c>
      <c r="P151">
        <f>H151-G151</f>
        <v/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5</v>
      </c>
      <c r="F152" t="n">
        <v>4</v>
      </c>
      <c r="G152" t="n">
        <v>4</v>
      </c>
      <c r="H152">
        <f>SUM(B152:G152)</f>
        <v/>
      </c>
      <c r="I152">
        <f>B152+D152+F152</f>
        <v/>
      </c>
      <c r="J152">
        <f>C152+E152+G152</f>
        <v/>
      </c>
      <c r="K152">
        <f>H152-B152</f>
        <v/>
      </c>
      <c r="L152">
        <f>H152-C152</f>
        <v/>
      </c>
      <c r="M152">
        <f>H152-D152</f>
        <v/>
      </c>
      <c r="N152">
        <f>H152-E152</f>
        <v/>
      </c>
      <c r="O152">
        <f>H152-F152</f>
        <v/>
      </c>
      <c r="P152">
        <f>H152-G152</f>
        <v/>
      </c>
    </row>
    <row r="153">
      <c r="A153" t="n">
        <v>152</v>
      </c>
      <c r="B153" t="n">
        <v>4</v>
      </c>
      <c r="C153" t="n">
        <v>4</v>
      </c>
      <c r="D153" t="n">
        <v>5</v>
      </c>
      <c r="E153" t="n">
        <v>4</v>
      </c>
      <c r="F153" t="n">
        <v>5</v>
      </c>
      <c r="G153" t="n">
        <v>5</v>
      </c>
      <c r="H153">
        <f>SUM(B153:G153)</f>
        <v/>
      </c>
      <c r="I153">
        <f>B153+D153+F153</f>
        <v/>
      </c>
      <c r="J153">
        <f>C153+E153+G153</f>
        <v/>
      </c>
      <c r="K153">
        <f>H153-B153</f>
        <v/>
      </c>
      <c r="L153">
        <f>H153-C153</f>
        <v/>
      </c>
      <c r="M153">
        <f>H153-D153</f>
        <v/>
      </c>
      <c r="N153">
        <f>H153-E153</f>
        <v/>
      </c>
      <c r="O153">
        <f>H153-F153</f>
        <v/>
      </c>
      <c r="P153">
        <f>H153-G153</f>
        <v/>
      </c>
    </row>
    <row r="154">
      <c r="A154" t="n">
        <v>153</v>
      </c>
      <c r="B154" t="n">
        <v>5</v>
      </c>
      <c r="C154" t="n">
        <v>4</v>
      </c>
      <c r="D154" t="n">
        <v>4</v>
      </c>
      <c r="E154" t="n">
        <v>5</v>
      </c>
      <c r="F154" t="n">
        <v>4</v>
      </c>
      <c r="G154" t="n">
        <v>4</v>
      </c>
      <c r="H154">
        <f>SUM(B154:G154)</f>
        <v/>
      </c>
      <c r="I154">
        <f>B154+D154+F154</f>
        <v/>
      </c>
      <c r="J154">
        <f>C154+E154+G154</f>
        <v/>
      </c>
      <c r="K154">
        <f>H154-B154</f>
        <v/>
      </c>
      <c r="L154">
        <f>H154-C154</f>
        <v/>
      </c>
      <c r="M154">
        <f>H154-D154</f>
        <v/>
      </c>
      <c r="N154">
        <f>H154-E154</f>
        <v/>
      </c>
      <c r="O154">
        <f>H154-F154</f>
        <v/>
      </c>
      <c r="P154">
        <f>H154-G154</f>
        <v/>
      </c>
    </row>
    <row r="155">
      <c r="A155" t="n">
        <v>154</v>
      </c>
      <c r="B155" t="n">
        <v>5</v>
      </c>
      <c r="C155" t="n">
        <v>5</v>
      </c>
      <c r="D155" t="n">
        <v>4</v>
      </c>
      <c r="E155" t="n">
        <v>5</v>
      </c>
      <c r="F155" t="n">
        <v>4</v>
      </c>
      <c r="G155" t="n">
        <v>5</v>
      </c>
      <c r="H155">
        <f>SUM(B155:G155)</f>
        <v/>
      </c>
      <c r="I155">
        <f>B155+D155+F155</f>
        <v/>
      </c>
      <c r="J155">
        <f>C155+E155+G155</f>
        <v/>
      </c>
      <c r="K155">
        <f>H155-B155</f>
        <v/>
      </c>
      <c r="L155">
        <f>H155-C155</f>
        <v/>
      </c>
      <c r="M155">
        <f>H155-D155</f>
        <v/>
      </c>
      <c r="N155">
        <f>H155-E155</f>
        <v/>
      </c>
      <c r="O155">
        <f>H155-F155</f>
        <v/>
      </c>
      <c r="P155">
        <f>H155-G155</f>
        <v/>
      </c>
    </row>
    <row r="156">
      <c r="A156" t="n">
        <v>155</v>
      </c>
      <c r="B156" t="n">
        <v>3</v>
      </c>
      <c r="C156" t="n">
        <v>4</v>
      </c>
      <c r="D156" t="n">
        <v>4</v>
      </c>
      <c r="E156" t="n">
        <v>5</v>
      </c>
      <c r="F156" t="n">
        <v>5</v>
      </c>
      <c r="G156" t="n">
        <v>4</v>
      </c>
      <c r="H156">
        <f>SUM(B156:G156)</f>
        <v/>
      </c>
      <c r="I156">
        <f>B156+D156+F156</f>
        <v/>
      </c>
      <c r="J156">
        <f>C156+E156+G156</f>
        <v/>
      </c>
      <c r="K156">
        <f>H156-B156</f>
        <v/>
      </c>
      <c r="L156">
        <f>H156-C156</f>
        <v/>
      </c>
      <c r="M156">
        <f>H156-D156</f>
        <v/>
      </c>
      <c r="N156">
        <f>H156-E156</f>
        <v/>
      </c>
      <c r="O156">
        <f>H156-F156</f>
        <v/>
      </c>
      <c r="P156">
        <f>H156-G156</f>
        <v/>
      </c>
    </row>
    <row r="157">
      <c r="A157" t="n">
        <v>156</v>
      </c>
      <c r="B157" t="n">
        <v>4</v>
      </c>
      <c r="C157" t="n">
        <v>5</v>
      </c>
      <c r="D157" t="n">
        <v>5</v>
      </c>
      <c r="E157" t="n">
        <v>5</v>
      </c>
      <c r="F157" t="n">
        <v>4</v>
      </c>
      <c r="G157" t="n">
        <v>4</v>
      </c>
      <c r="H157">
        <f>SUM(B157:G157)</f>
        <v/>
      </c>
      <c r="I157">
        <f>B157+D157+F157</f>
        <v/>
      </c>
      <c r="J157">
        <f>C157+E157+G157</f>
        <v/>
      </c>
      <c r="K157">
        <f>H157-B157</f>
        <v/>
      </c>
      <c r="L157">
        <f>H157-C157</f>
        <v/>
      </c>
      <c r="M157">
        <f>H157-D157</f>
        <v/>
      </c>
      <c r="N157">
        <f>H157-E157</f>
        <v/>
      </c>
      <c r="O157">
        <f>H157-F157</f>
        <v/>
      </c>
      <c r="P157">
        <f>H157-G157</f>
        <v/>
      </c>
    </row>
    <row r="158">
      <c r="A158" t="n">
        <v>157</v>
      </c>
      <c r="B158" t="n">
        <v>4</v>
      </c>
      <c r="C158" t="n">
        <v>5</v>
      </c>
      <c r="D158" t="n">
        <v>3</v>
      </c>
      <c r="E158" t="n">
        <v>4</v>
      </c>
      <c r="F158" t="n">
        <v>4</v>
      </c>
      <c r="G158" t="n">
        <v>3</v>
      </c>
      <c r="H158">
        <f>SUM(B158:G158)</f>
        <v/>
      </c>
      <c r="I158">
        <f>B158+D158+F158</f>
        <v/>
      </c>
      <c r="J158">
        <f>C158+E158+G158</f>
        <v/>
      </c>
      <c r="K158">
        <f>H158-B158</f>
        <v/>
      </c>
      <c r="L158">
        <f>H158-C158</f>
        <v/>
      </c>
      <c r="M158">
        <f>H158-D158</f>
        <v/>
      </c>
      <c r="N158">
        <f>H158-E158</f>
        <v/>
      </c>
      <c r="O158">
        <f>H158-F158</f>
        <v/>
      </c>
      <c r="P158">
        <f>H158-G158</f>
        <v/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5</v>
      </c>
      <c r="F159" t="n">
        <v>5</v>
      </c>
      <c r="G159" t="n">
        <v>5</v>
      </c>
      <c r="H159">
        <f>SUM(B159:G159)</f>
        <v/>
      </c>
      <c r="I159">
        <f>B159+D159+F159</f>
        <v/>
      </c>
      <c r="J159">
        <f>C159+E159+G159</f>
        <v/>
      </c>
      <c r="K159">
        <f>H159-B159</f>
        <v/>
      </c>
      <c r="L159">
        <f>H159-C159</f>
        <v/>
      </c>
      <c r="M159">
        <f>H159-D159</f>
        <v/>
      </c>
      <c r="N159">
        <f>H159-E159</f>
        <v/>
      </c>
      <c r="O159">
        <f>H159-F159</f>
        <v/>
      </c>
      <c r="P159">
        <f>H159-G159</f>
        <v/>
      </c>
    </row>
    <row r="160">
      <c r="A160" t="n">
        <v>159</v>
      </c>
      <c r="B160" t="n">
        <v>3</v>
      </c>
      <c r="C160" t="n">
        <v>5</v>
      </c>
      <c r="D160" t="n">
        <v>4</v>
      </c>
      <c r="E160" t="n">
        <v>4</v>
      </c>
      <c r="F160" t="n">
        <v>5</v>
      </c>
      <c r="G160" t="n">
        <v>4</v>
      </c>
      <c r="H160">
        <f>SUM(B160:G160)</f>
        <v/>
      </c>
      <c r="I160">
        <f>B160+D160+F160</f>
        <v/>
      </c>
      <c r="J160">
        <f>C160+E160+G160</f>
        <v/>
      </c>
      <c r="K160">
        <f>H160-B160</f>
        <v/>
      </c>
      <c r="L160">
        <f>H160-C160</f>
        <v/>
      </c>
      <c r="M160">
        <f>H160-D160</f>
        <v/>
      </c>
      <c r="N160">
        <f>H160-E160</f>
        <v/>
      </c>
      <c r="O160">
        <f>H160-F160</f>
        <v/>
      </c>
      <c r="P160">
        <f>H160-G160</f>
        <v/>
      </c>
    </row>
    <row r="161">
      <c r="A161" t="n">
        <v>160</v>
      </c>
      <c r="B161" t="n">
        <v>5</v>
      </c>
      <c r="C161" t="n">
        <v>4</v>
      </c>
      <c r="D161" t="n">
        <v>4</v>
      </c>
      <c r="E161" t="n">
        <v>3</v>
      </c>
      <c r="F161" t="n">
        <v>4</v>
      </c>
      <c r="G161" t="n">
        <v>5</v>
      </c>
      <c r="H161">
        <f>SUM(B161:G161)</f>
        <v/>
      </c>
      <c r="I161">
        <f>B161+D161+F161</f>
        <v/>
      </c>
      <c r="J161">
        <f>C161+E161+G161</f>
        <v/>
      </c>
      <c r="K161">
        <f>H161-B161</f>
        <v/>
      </c>
      <c r="L161">
        <f>H161-C161</f>
        <v/>
      </c>
      <c r="M161">
        <f>H161-D161</f>
        <v/>
      </c>
      <c r="N161">
        <f>H161-E161</f>
        <v/>
      </c>
      <c r="O161">
        <f>H161-F161</f>
        <v/>
      </c>
      <c r="P161">
        <f>H161-G161</f>
        <v/>
      </c>
    </row>
    <row r="162">
      <c r="A162" t="n">
        <v>161</v>
      </c>
      <c r="B162" t="n">
        <v>5</v>
      </c>
      <c r="C162" t="n">
        <v>5</v>
      </c>
      <c r="D162" t="n">
        <v>4</v>
      </c>
      <c r="E162" t="n">
        <v>4</v>
      </c>
      <c r="F162" t="n">
        <v>4</v>
      </c>
      <c r="G162" t="n">
        <v>4</v>
      </c>
      <c r="H162">
        <f>SUM(B162:G162)</f>
        <v/>
      </c>
      <c r="I162">
        <f>B162+D162+F162</f>
        <v/>
      </c>
      <c r="J162">
        <f>C162+E162+G162</f>
        <v/>
      </c>
      <c r="K162">
        <f>H162-B162</f>
        <v/>
      </c>
      <c r="L162">
        <f>H162-C162</f>
        <v/>
      </c>
      <c r="M162">
        <f>H162-D162</f>
        <v/>
      </c>
      <c r="N162">
        <f>H162-E162</f>
        <v/>
      </c>
      <c r="O162">
        <f>H162-F162</f>
        <v/>
      </c>
      <c r="P162">
        <f>H162-G162</f>
        <v/>
      </c>
    </row>
    <row r="163">
      <c r="A163" t="n">
        <v>162</v>
      </c>
      <c r="B163" t="n">
        <v>4</v>
      </c>
      <c r="C163" t="n">
        <v>5</v>
      </c>
      <c r="D163" t="n">
        <v>4</v>
      </c>
      <c r="E163" t="n">
        <v>4</v>
      </c>
      <c r="F163" t="n">
        <v>4</v>
      </c>
      <c r="G163" t="n">
        <v>4</v>
      </c>
      <c r="H163">
        <f>SUM(B163:G163)</f>
        <v/>
      </c>
      <c r="I163">
        <f>B163+D163+F163</f>
        <v/>
      </c>
      <c r="J163">
        <f>C163+E163+G163</f>
        <v/>
      </c>
      <c r="K163">
        <f>H163-B163</f>
        <v/>
      </c>
      <c r="L163">
        <f>H163-C163</f>
        <v/>
      </c>
      <c r="M163">
        <f>H163-D163</f>
        <v/>
      </c>
      <c r="N163">
        <f>H163-E163</f>
        <v/>
      </c>
      <c r="O163">
        <f>H163-F163</f>
        <v/>
      </c>
      <c r="P163">
        <f>H163-G163</f>
        <v/>
      </c>
    </row>
    <row r="164">
      <c r="A164" t="n">
        <v>163</v>
      </c>
      <c r="B164" t="n">
        <v>5</v>
      </c>
      <c r="C164" t="n">
        <v>4</v>
      </c>
      <c r="D164" t="n">
        <v>4</v>
      </c>
      <c r="E164" t="n">
        <v>5</v>
      </c>
      <c r="F164" t="n">
        <v>5</v>
      </c>
      <c r="G164" t="n">
        <v>4</v>
      </c>
      <c r="H164">
        <f>SUM(B164:G164)</f>
        <v/>
      </c>
      <c r="I164">
        <f>B164+D164+F164</f>
        <v/>
      </c>
      <c r="J164">
        <f>C164+E164+G164</f>
        <v/>
      </c>
      <c r="K164">
        <f>H164-B164</f>
        <v/>
      </c>
      <c r="L164">
        <f>H164-C164</f>
        <v/>
      </c>
      <c r="M164">
        <f>H164-D164</f>
        <v/>
      </c>
      <c r="N164">
        <f>H164-E164</f>
        <v/>
      </c>
      <c r="O164">
        <f>H164-F164</f>
        <v/>
      </c>
      <c r="P164">
        <f>H164-G164</f>
        <v/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n">
        <v>5</v>
      </c>
      <c r="H165">
        <f>SUM(B165:G165)</f>
        <v/>
      </c>
      <c r="I165">
        <f>B165+D165+F165</f>
        <v/>
      </c>
      <c r="J165">
        <f>C165+E165+G165</f>
        <v/>
      </c>
      <c r="K165">
        <f>H165-B165</f>
        <v/>
      </c>
      <c r="L165">
        <f>H165-C165</f>
        <v/>
      </c>
      <c r="M165">
        <f>H165-D165</f>
        <v/>
      </c>
      <c r="N165">
        <f>H165-E165</f>
        <v/>
      </c>
      <c r="O165">
        <f>H165-F165</f>
        <v/>
      </c>
      <c r="P165">
        <f>H165-G165</f>
        <v/>
      </c>
    </row>
    <row r="166">
      <c r="A166" t="n">
        <v>165</v>
      </c>
      <c r="B166" t="n">
        <v>4</v>
      </c>
      <c r="C166" t="n">
        <v>4</v>
      </c>
      <c r="D166" t="n">
        <v>4</v>
      </c>
      <c r="E166" t="n">
        <v>4</v>
      </c>
      <c r="F166" t="n">
        <v>4</v>
      </c>
      <c r="G166" t="n">
        <v>3</v>
      </c>
      <c r="H166">
        <f>SUM(B166:G166)</f>
        <v/>
      </c>
      <c r="I166">
        <f>B166+D166+F166</f>
        <v/>
      </c>
      <c r="J166">
        <f>C166+E166+G166</f>
        <v/>
      </c>
      <c r="K166">
        <f>H166-B166</f>
        <v/>
      </c>
      <c r="L166">
        <f>H166-C166</f>
        <v/>
      </c>
      <c r="M166">
        <f>H166-D166</f>
        <v/>
      </c>
      <c r="N166">
        <f>H166-E166</f>
        <v/>
      </c>
      <c r="O166">
        <f>H166-F166</f>
        <v/>
      </c>
      <c r="P166">
        <f>H166-G166</f>
        <v/>
      </c>
    </row>
    <row r="167">
      <c r="A167" t="n">
        <v>166</v>
      </c>
      <c r="B167" t="n">
        <v>5</v>
      </c>
      <c r="C167" t="n">
        <v>3</v>
      </c>
      <c r="D167" t="n">
        <v>4</v>
      </c>
      <c r="E167" t="n">
        <v>4</v>
      </c>
      <c r="F167" t="n">
        <v>5</v>
      </c>
      <c r="G167" t="n">
        <v>4</v>
      </c>
      <c r="H167">
        <f>SUM(B167:G167)</f>
        <v/>
      </c>
      <c r="I167">
        <f>B167+D167+F167</f>
        <v/>
      </c>
      <c r="J167">
        <f>C167+E167+G167</f>
        <v/>
      </c>
      <c r="K167">
        <f>H167-B167</f>
        <v/>
      </c>
      <c r="L167">
        <f>H167-C167</f>
        <v/>
      </c>
      <c r="M167">
        <f>H167-D167</f>
        <v/>
      </c>
      <c r="N167">
        <f>H167-E167</f>
        <v/>
      </c>
      <c r="O167">
        <f>H167-F167</f>
        <v/>
      </c>
      <c r="P167">
        <f>H167-G167</f>
        <v/>
      </c>
    </row>
    <row r="168">
      <c r="A168" t="n">
        <v>167</v>
      </c>
      <c r="B168" t="n">
        <v>4</v>
      </c>
      <c r="C168" t="n">
        <v>4</v>
      </c>
      <c r="D168" t="n">
        <v>4</v>
      </c>
      <c r="E168" t="n">
        <v>4</v>
      </c>
      <c r="F168" t="n">
        <v>4</v>
      </c>
      <c r="G168" t="n">
        <v>4</v>
      </c>
      <c r="H168">
        <f>SUM(B168:G168)</f>
        <v/>
      </c>
      <c r="I168">
        <f>B168+D168+F168</f>
        <v/>
      </c>
      <c r="J168">
        <f>C168+E168+G168</f>
        <v/>
      </c>
      <c r="K168">
        <f>H168-B168</f>
        <v/>
      </c>
      <c r="L168">
        <f>H168-C168</f>
        <v/>
      </c>
      <c r="M168">
        <f>H168-D168</f>
        <v/>
      </c>
      <c r="N168">
        <f>H168-E168</f>
        <v/>
      </c>
      <c r="O168">
        <f>H168-F168</f>
        <v/>
      </c>
      <c r="P168">
        <f>H168-G168</f>
        <v/>
      </c>
    </row>
    <row r="169">
      <c r="A169" t="n">
        <v>168</v>
      </c>
      <c r="B169" t="n">
        <v>4</v>
      </c>
      <c r="C169" t="n">
        <v>5</v>
      </c>
      <c r="D169" t="n">
        <v>5</v>
      </c>
      <c r="E169" t="n">
        <v>4</v>
      </c>
      <c r="F169" t="n">
        <v>5</v>
      </c>
      <c r="G169" t="n">
        <v>4</v>
      </c>
      <c r="H169">
        <f>SUM(B169:G169)</f>
        <v/>
      </c>
      <c r="I169">
        <f>B169+D169+F169</f>
        <v/>
      </c>
      <c r="J169">
        <f>C169+E169+G169</f>
        <v/>
      </c>
      <c r="K169">
        <f>H169-B169</f>
        <v/>
      </c>
      <c r="L169">
        <f>H169-C169</f>
        <v/>
      </c>
      <c r="M169">
        <f>H169-D169</f>
        <v/>
      </c>
      <c r="N169">
        <f>H169-E169</f>
        <v/>
      </c>
      <c r="O169">
        <f>H169-F169</f>
        <v/>
      </c>
      <c r="P169">
        <f>H169-G169</f>
        <v/>
      </c>
    </row>
    <row r="170">
      <c r="A170" t="n">
        <v>169</v>
      </c>
      <c r="B170" t="n">
        <v>3</v>
      </c>
      <c r="C170" t="n">
        <v>4</v>
      </c>
      <c r="D170" t="n">
        <v>4</v>
      </c>
      <c r="E170" t="n">
        <v>4</v>
      </c>
      <c r="F170" t="n">
        <v>5</v>
      </c>
      <c r="G170" t="n">
        <v>4</v>
      </c>
      <c r="H170">
        <f>SUM(B170:G170)</f>
        <v/>
      </c>
      <c r="I170">
        <f>B170+D170+F170</f>
        <v/>
      </c>
      <c r="J170">
        <f>C170+E170+G170</f>
        <v/>
      </c>
      <c r="K170">
        <f>H170-B170</f>
        <v/>
      </c>
      <c r="L170">
        <f>H170-C170</f>
        <v/>
      </c>
      <c r="M170">
        <f>H170-D170</f>
        <v/>
      </c>
      <c r="N170">
        <f>H170-E170</f>
        <v/>
      </c>
      <c r="O170">
        <f>H170-F170</f>
        <v/>
      </c>
      <c r="P170">
        <f>H170-G170</f>
        <v/>
      </c>
    </row>
    <row r="171">
      <c r="A171" t="n">
        <v>170</v>
      </c>
      <c r="B171" t="n">
        <v>4</v>
      </c>
      <c r="C171" t="n">
        <v>5</v>
      </c>
      <c r="D171" t="n">
        <v>5</v>
      </c>
      <c r="E171" t="n">
        <v>3</v>
      </c>
      <c r="F171" t="n">
        <v>4</v>
      </c>
      <c r="G171" t="n">
        <v>4</v>
      </c>
      <c r="H171">
        <f>SUM(B171:G171)</f>
        <v/>
      </c>
      <c r="I171">
        <f>B171+D171+F171</f>
        <v/>
      </c>
      <c r="J171">
        <f>C171+E171+G171</f>
        <v/>
      </c>
      <c r="K171">
        <f>H171-B171</f>
        <v/>
      </c>
      <c r="L171">
        <f>H171-C171</f>
        <v/>
      </c>
      <c r="M171">
        <f>H171-D171</f>
        <v/>
      </c>
      <c r="N171">
        <f>H171-E171</f>
        <v/>
      </c>
      <c r="O171">
        <f>H171-F171</f>
        <v/>
      </c>
      <c r="P171">
        <f>H171-G171</f>
        <v/>
      </c>
    </row>
    <row r="172">
      <c r="A172" t="n">
        <v>171</v>
      </c>
      <c r="B172" t="n">
        <v>5</v>
      </c>
      <c r="C172" t="n">
        <v>5</v>
      </c>
      <c r="D172" t="n">
        <v>5</v>
      </c>
      <c r="E172" t="n">
        <v>5</v>
      </c>
      <c r="F172" t="n">
        <v>4</v>
      </c>
      <c r="G172" t="n">
        <v>4</v>
      </c>
      <c r="H172">
        <f>SUM(B172:G172)</f>
        <v/>
      </c>
      <c r="I172">
        <f>B172+D172+F172</f>
        <v/>
      </c>
      <c r="J172">
        <f>C172+E172+G172</f>
        <v/>
      </c>
      <c r="K172">
        <f>H172-B172</f>
        <v/>
      </c>
      <c r="L172">
        <f>H172-C172</f>
        <v/>
      </c>
      <c r="M172">
        <f>H172-D172</f>
        <v/>
      </c>
      <c r="N172">
        <f>H172-E172</f>
        <v/>
      </c>
      <c r="O172">
        <f>H172-F172</f>
        <v/>
      </c>
      <c r="P172">
        <f>H172-G172</f>
        <v/>
      </c>
    </row>
    <row r="173">
      <c r="A173" t="n">
        <v>172</v>
      </c>
      <c r="B173" t="n">
        <v>4</v>
      </c>
      <c r="C173" t="n">
        <v>5</v>
      </c>
      <c r="D173" t="n">
        <v>4</v>
      </c>
      <c r="E173" t="n">
        <v>5</v>
      </c>
      <c r="F173" t="n">
        <v>5</v>
      </c>
      <c r="G173" t="n">
        <v>4</v>
      </c>
      <c r="H173">
        <f>SUM(B173:G173)</f>
        <v/>
      </c>
      <c r="I173">
        <f>B173+D173+F173</f>
        <v/>
      </c>
      <c r="J173">
        <f>C173+E173+G173</f>
        <v/>
      </c>
      <c r="K173">
        <f>H173-B173</f>
        <v/>
      </c>
      <c r="L173">
        <f>H173-C173</f>
        <v/>
      </c>
      <c r="M173">
        <f>H173-D173</f>
        <v/>
      </c>
      <c r="N173">
        <f>H173-E173</f>
        <v/>
      </c>
      <c r="O173">
        <f>H173-F173</f>
        <v/>
      </c>
      <c r="P173">
        <f>H173-G173</f>
        <v/>
      </c>
    </row>
    <row r="174">
      <c r="A174" t="n">
        <v>173</v>
      </c>
      <c r="B174" t="n">
        <v>5</v>
      </c>
      <c r="C174" t="n">
        <v>5</v>
      </c>
      <c r="D174" t="n">
        <v>4</v>
      </c>
      <c r="E174" t="n">
        <v>4</v>
      </c>
      <c r="F174" t="n">
        <v>4</v>
      </c>
      <c r="G174" t="n">
        <v>5</v>
      </c>
      <c r="H174">
        <f>SUM(B174:G174)</f>
        <v/>
      </c>
      <c r="I174">
        <f>B174+D174+F174</f>
        <v/>
      </c>
      <c r="J174">
        <f>C174+E174+G174</f>
        <v/>
      </c>
      <c r="K174">
        <f>H174-B174</f>
        <v/>
      </c>
      <c r="L174">
        <f>H174-C174</f>
        <v/>
      </c>
      <c r="M174">
        <f>H174-D174</f>
        <v/>
      </c>
      <c r="N174">
        <f>H174-E174</f>
        <v/>
      </c>
      <c r="O174">
        <f>H174-F174</f>
        <v/>
      </c>
      <c r="P174">
        <f>H174-G174</f>
        <v/>
      </c>
    </row>
    <row r="175">
      <c r="A175" t="n">
        <v>174</v>
      </c>
      <c r="B175" t="n">
        <v>4</v>
      </c>
      <c r="C175" t="n">
        <v>4</v>
      </c>
      <c r="D175" t="n">
        <v>5</v>
      </c>
      <c r="E175" t="n">
        <v>5</v>
      </c>
      <c r="F175" t="n">
        <v>4</v>
      </c>
      <c r="G175" t="n">
        <v>4</v>
      </c>
      <c r="H175">
        <f>SUM(B175:G175)</f>
        <v/>
      </c>
      <c r="I175">
        <f>B175+D175+F175</f>
        <v/>
      </c>
      <c r="J175">
        <f>C175+E175+G175</f>
        <v/>
      </c>
      <c r="K175">
        <f>H175-B175</f>
        <v/>
      </c>
      <c r="L175">
        <f>H175-C175</f>
        <v/>
      </c>
      <c r="M175">
        <f>H175-D175</f>
        <v/>
      </c>
      <c r="N175">
        <f>H175-E175</f>
        <v/>
      </c>
      <c r="O175">
        <f>H175-F175</f>
        <v/>
      </c>
      <c r="P175">
        <f>H175-G175</f>
        <v/>
      </c>
    </row>
    <row r="176">
      <c r="A176" t="n">
        <v>175</v>
      </c>
      <c r="B176" t="n">
        <v>4</v>
      </c>
      <c r="C176" t="n">
        <v>5</v>
      </c>
      <c r="D176" t="n">
        <v>4</v>
      </c>
      <c r="E176" t="n">
        <v>4</v>
      </c>
      <c r="F176" t="n">
        <v>5</v>
      </c>
      <c r="G176" t="n">
        <v>4</v>
      </c>
      <c r="H176">
        <f>SUM(B176:G176)</f>
        <v/>
      </c>
      <c r="I176">
        <f>B176+D176+F176</f>
        <v/>
      </c>
      <c r="J176">
        <f>C176+E176+G176</f>
        <v/>
      </c>
      <c r="K176">
        <f>H176-B176</f>
        <v/>
      </c>
      <c r="L176">
        <f>H176-C176</f>
        <v/>
      </c>
      <c r="M176">
        <f>H176-D176</f>
        <v/>
      </c>
      <c r="N176">
        <f>H176-E176</f>
        <v/>
      </c>
      <c r="O176">
        <f>H176-F176</f>
        <v/>
      </c>
      <c r="P176">
        <f>H176-G176</f>
        <v/>
      </c>
    </row>
    <row r="177">
      <c r="A177" t="n">
        <v>176</v>
      </c>
      <c r="B177" t="n">
        <v>4</v>
      </c>
      <c r="C177" t="n">
        <v>4</v>
      </c>
      <c r="D177" t="n">
        <v>5</v>
      </c>
      <c r="E177" t="n">
        <v>4</v>
      </c>
      <c r="F177" t="n">
        <v>4</v>
      </c>
      <c r="G177" t="n">
        <v>4</v>
      </c>
      <c r="H177">
        <f>SUM(B177:G177)</f>
        <v/>
      </c>
      <c r="I177">
        <f>B177+D177+F177</f>
        <v/>
      </c>
      <c r="J177">
        <f>C177+E177+G177</f>
        <v/>
      </c>
      <c r="K177">
        <f>H177-B177</f>
        <v/>
      </c>
      <c r="L177">
        <f>H177-C177</f>
        <v/>
      </c>
      <c r="M177">
        <f>H177-D177</f>
        <v/>
      </c>
      <c r="N177">
        <f>H177-E177</f>
        <v/>
      </c>
      <c r="O177">
        <f>H177-F177</f>
        <v/>
      </c>
      <c r="P177">
        <f>H177-G177</f>
        <v/>
      </c>
    </row>
    <row r="178">
      <c r="A178" t="n">
        <v>177</v>
      </c>
      <c r="B178" t="n">
        <v>5</v>
      </c>
      <c r="C178" t="n">
        <v>5</v>
      </c>
      <c r="D178" t="n">
        <v>4</v>
      </c>
      <c r="E178" t="n">
        <v>5</v>
      </c>
      <c r="F178" t="n">
        <v>4</v>
      </c>
      <c r="G178" t="n">
        <v>4</v>
      </c>
      <c r="H178">
        <f>SUM(B178:G178)</f>
        <v/>
      </c>
      <c r="I178">
        <f>B178+D178+F178</f>
        <v/>
      </c>
      <c r="J178">
        <f>C178+E178+G178</f>
        <v/>
      </c>
      <c r="K178">
        <f>H178-B178</f>
        <v/>
      </c>
      <c r="L178">
        <f>H178-C178</f>
        <v/>
      </c>
      <c r="M178">
        <f>H178-D178</f>
        <v/>
      </c>
      <c r="N178">
        <f>H178-E178</f>
        <v/>
      </c>
      <c r="O178">
        <f>H178-F178</f>
        <v/>
      </c>
      <c r="P178">
        <f>H178-G178</f>
        <v/>
      </c>
    </row>
    <row r="179">
      <c r="A179" t="n">
        <v>178</v>
      </c>
      <c r="B179" t="n">
        <v>4</v>
      </c>
      <c r="C179" t="n">
        <v>5</v>
      </c>
      <c r="D179" t="n">
        <v>4</v>
      </c>
      <c r="E179" t="n">
        <v>4</v>
      </c>
      <c r="F179" t="n">
        <v>4</v>
      </c>
      <c r="G179" t="n">
        <v>5</v>
      </c>
      <c r="H179">
        <f>SUM(B179:G179)</f>
        <v/>
      </c>
      <c r="I179">
        <f>B179+D179+F179</f>
        <v/>
      </c>
      <c r="J179">
        <f>C179+E179+G179</f>
        <v/>
      </c>
      <c r="K179">
        <f>H179-B179</f>
        <v/>
      </c>
      <c r="L179">
        <f>H179-C179</f>
        <v/>
      </c>
      <c r="M179">
        <f>H179-D179</f>
        <v/>
      </c>
      <c r="N179">
        <f>H179-E179</f>
        <v/>
      </c>
      <c r="O179">
        <f>H179-F179</f>
        <v/>
      </c>
      <c r="P179">
        <f>H179-G179</f>
        <v/>
      </c>
    </row>
    <row r="180">
      <c r="A180" t="n">
        <v>179</v>
      </c>
      <c r="B180" t="n">
        <v>3</v>
      </c>
      <c r="C180" t="n">
        <v>4</v>
      </c>
      <c r="D180" t="n">
        <v>4</v>
      </c>
      <c r="E180" t="n">
        <v>4</v>
      </c>
      <c r="F180" t="n">
        <v>5</v>
      </c>
      <c r="G180" t="n">
        <v>4</v>
      </c>
      <c r="H180">
        <f>SUM(B180:G180)</f>
        <v/>
      </c>
      <c r="I180">
        <f>B180+D180+F180</f>
        <v/>
      </c>
      <c r="J180">
        <f>C180+E180+G180</f>
        <v/>
      </c>
      <c r="K180">
        <f>H180-B180</f>
        <v/>
      </c>
      <c r="L180">
        <f>H180-C180</f>
        <v/>
      </c>
      <c r="M180">
        <f>H180-D180</f>
        <v/>
      </c>
      <c r="N180">
        <f>H180-E180</f>
        <v/>
      </c>
      <c r="O180">
        <f>H180-F180</f>
        <v/>
      </c>
      <c r="P180">
        <f>H180-G180</f>
        <v/>
      </c>
    </row>
    <row r="181">
      <c r="A181" t="n">
        <v>180</v>
      </c>
      <c r="B181" t="n">
        <v>4</v>
      </c>
      <c r="C181" t="n">
        <v>4</v>
      </c>
      <c r="D181" t="n">
        <v>5</v>
      </c>
      <c r="E181" t="n">
        <v>4</v>
      </c>
      <c r="F181" t="n">
        <v>3</v>
      </c>
      <c r="G181" t="n">
        <v>5</v>
      </c>
      <c r="H181">
        <f>SUM(B181:G181)</f>
        <v/>
      </c>
      <c r="I181">
        <f>B181+D181+F181</f>
        <v/>
      </c>
      <c r="J181">
        <f>C181+E181+G181</f>
        <v/>
      </c>
      <c r="K181">
        <f>H181-B181</f>
        <v/>
      </c>
      <c r="L181">
        <f>H181-C181</f>
        <v/>
      </c>
      <c r="M181">
        <f>H181-D181</f>
        <v/>
      </c>
      <c r="N181">
        <f>H181-E181</f>
        <v/>
      </c>
      <c r="O181">
        <f>H181-F181</f>
        <v/>
      </c>
      <c r="P181">
        <f>H181-G181</f>
        <v/>
      </c>
    </row>
    <row r="182">
      <c r="A182" t="n">
        <v>181</v>
      </c>
      <c r="B182" t="n">
        <v>4</v>
      </c>
      <c r="C182" t="n">
        <v>4</v>
      </c>
      <c r="D182" t="n">
        <v>5</v>
      </c>
      <c r="E182" t="n">
        <v>5</v>
      </c>
      <c r="F182" t="n">
        <v>3</v>
      </c>
      <c r="G182" t="n">
        <v>3</v>
      </c>
      <c r="H182">
        <f>SUM(B182:G182)</f>
        <v/>
      </c>
      <c r="I182">
        <f>B182+D182+F182</f>
        <v/>
      </c>
      <c r="J182">
        <f>C182+E182+G182</f>
        <v/>
      </c>
      <c r="K182">
        <f>H182-B182</f>
        <v/>
      </c>
      <c r="L182">
        <f>H182-C182</f>
        <v/>
      </c>
      <c r="M182">
        <f>H182-D182</f>
        <v/>
      </c>
      <c r="N182">
        <f>H182-E182</f>
        <v/>
      </c>
      <c r="O182">
        <f>H182-F182</f>
        <v/>
      </c>
      <c r="P182">
        <f>H182-G182</f>
        <v/>
      </c>
    </row>
    <row r="183">
      <c r="A183" t="n">
        <v>182</v>
      </c>
      <c r="B183" t="n">
        <v>5</v>
      </c>
      <c r="C183" t="n">
        <v>5</v>
      </c>
      <c r="D183" t="n">
        <v>5</v>
      </c>
      <c r="E183" t="n">
        <v>4</v>
      </c>
      <c r="F183" t="n">
        <v>5</v>
      </c>
      <c r="G183" t="n">
        <v>4</v>
      </c>
      <c r="H183">
        <f>SUM(B183:G183)</f>
        <v/>
      </c>
      <c r="I183">
        <f>B183+D183+F183</f>
        <v/>
      </c>
      <c r="J183">
        <f>C183+E183+G183</f>
        <v/>
      </c>
      <c r="K183">
        <f>H183-B183</f>
        <v/>
      </c>
      <c r="L183">
        <f>H183-C183</f>
        <v/>
      </c>
      <c r="M183">
        <f>H183-D183</f>
        <v/>
      </c>
      <c r="N183">
        <f>H183-E183</f>
        <v/>
      </c>
      <c r="O183">
        <f>H183-F183</f>
        <v/>
      </c>
      <c r="P183">
        <f>H183-G183</f>
        <v/>
      </c>
    </row>
    <row r="184">
      <c r="A184" t="n">
        <v>183</v>
      </c>
      <c r="B184" t="n">
        <v>5</v>
      </c>
      <c r="C184" t="n">
        <v>5</v>
      </c>
      <c r="D184" t="n">
        <v>4</v>
      </c>
      <c r="E184" t="n">
        <v>2</v>
      </c>
      <c r="F184" t="n">
        <v>4</v>
      </c>
      <c r="G184" t="n">
        <v>3</v>
      </c>
      <c r="H184">
        <f>SUM(B184:G184)</f>
        <v/>
      </c>
      <c r="I184">
        <f>B184+D184+F184</f>
        <v/>
      </c>
      <c r="J184">
        <f>C184+E184+G184</f>
        <v/>
      </c>
      <c r="K184">
        <f>H184-B184</f>
        <v/>
      </c>
      <c r="L184">
        <f>H184-C184</f>
        <v/>
      </c>
      <c r="M184">
        <f>H184-D184</f>
        <v/>
      </c>
      <c r="N184">
        <f>H184-E184</f>
        <v/>
      </c>
      <c r="O184">
        <f>H184-F184</f>
        <v/>
      </c>
      <c r="P184">
        <f>H184-G184</f>
        <v/>
      </c>
    </row>
    <row r="185">
      <c r="A185" t="n">
        <v>184</v>
      </c>
      <c r="B185" t="n">
        <v>5</v>
      </c>
      <c r="C185" t="n">
        <v>5</v>
      </c>
      <c r="D185" t="n">
        <v>5</v>
      </c>
      <c r="E185" t="n">
        <v>4</v>
      </c>
      <c r="F185" t="n">
        <v>5</v>
      </c>
      <c r="G185" t="n">
        <v>5</v>
      </c>
      <c r="H185">
        <f>SUM(B185:G185)</f>
        <v/>
      </c>
      <c r="I185">
        <f>B185+D185+F185</f>
        <v/>
      </c>
      <c r="J185">
        <f>C185+E185+G185</f>
        <v/>
      </c>
      <c r="K185">
        <f>H185-B185</f>
        <v/>
      </c>
      <c r="L185">
        <f>H185-C185</f>
        <v/>
      </c>
      <c r="M185">
        <f>H185-D185</f>
        <v/>
      </c>
      <c r="N185">
        <f>H185-E185</f>
        <v/>
      </c>
      <c r="O185">
        <f>H185-F185</f>
        <v/>
      </c>
      <c r="P185">
        <f>H185-G185</f>
        <v/>
      </c>
    </row>
    <row r="186">
      <c r="A186" t="n">
        <v>185</v>
      </c>
      <c r="B186" t="n">
        <v>3</v>
      </c>
      <c r="C186" t="n">
        <v>5</v>
      </c>
      <c r="D186" t="n">
        <v>4</v>
      </c>
      <c r="E186" t="n">
        <v>5</v>
      </c>
      <c r="F186" t="n">
        <v>4</v>
      </c>
      <c r="G186" t="n">
        <v>5</v>
      </c>
      <c r="H186">
        <f>SUM(B186:G186)</f>
        <v/>
      </c>
      <c r="I186">
        <f>B186+D186+F186</f>
        <v/>
      </c>
      <c r="J186">
        <f>C186+E186+G186</f>
        <v/>
      </c>
      <c r="K186">
        <f>H186-B186</f>
        <v/>
      </c>
      <c r="L186">
        <f>H186-C186</f>
        <v/>
      </c>
      <c r="M186">
        <f>H186-D186</f>
        <v/>
      </c>
      <c r="N186">
        <f>H186-E186</f>
        <v/>
      </c>
      <c r="O186">
        <f>H186-F186</f>
        <v/>
      </c>
      <c r="P186">
        <f>H186-G186</f>
        <v/>
      </c>
    </row>
    <row r="187">
      <c r="A187" t="n">
        <v>186</v>
      </c>
      <c r="B187" t="n">
        <v>4</v>
      </c>
      <c r="C187" t="n">
        <v>5</v>
      </c>
      <c r="D187" t="n">
        <v>5</v>
      </c>
      <c r="E187" t="n">
        <v>3</v>
      </c>
      <c r="F187" t="n">
        <v>4</v>
      </c>
      <c r="G187" t="n">
        <v>5</v>
      </c>
      <c r="H187">
        <f>SUM(B187:G187)</f>
        <v/>
      </c>
      <c r="I187">
        <f>B187+D187+F187</f>
        <v/>
      </c>
      <c r="J187">
        <f>C187+E187+G187</f>
        <v/>
      </c>
      <c r="K187">
        <f>H187-B187</f>
        <v/>
      </c>
      <c r="L187">
        <f>H187-C187</f>
        <v/>
      </c>
      <c r="M187">
        <f>H187-D187</f>
        <v/>
      </c>
      <c r="N187">
        <f>H187-E187</f>
        <v/>
      </c>
      <c r="O187">
        <f>H187-F187</f>
        <v/>
      </c>
      <c r="P187">
        <f>H187-G187</f>
        <v/>
      </c>
    </row>
    <row r="188">
      <c r="A188" t="n">
        <v>187</v>
      </c>
      <c r="B188" t="n">
        <v>5</v>
      </c>
      <c r="C188" t="n">
        <v>4</v>
      </c>
      <c r="D188" t="n">
        <v>4</v>
      </c>
      <c r="E188" t="n">
        <v>4</v>
      </c>
      <c r="F188" t="n">
        <v>5</v>
      </c>
      <c r="G188" t="n">
        <v>4</v>
      </c>
      <c r="H188">
        <f>SUM(B188:G188)</f>
        <v/>
      </c>
      <c r="I188">
        <f>B188+D188+F188</f>
        <v/>
      </c>
      <c r="J188">
        <f>C188+E188+G188</f>
        <v/>
      </c>
      <c r="K188">
        <f>H188-B188</f>
        <v/>
      </c>
      <c r="L188">
        <f>H188-C188</f>
        <v/>
      </c>
      <c r="M188">
        <f>H188-D188</f>
        <v/>
      </c>
      <c r="N188">
        <f>H188-E188</f>
        <v/>
      </c>
      <c r="O188">
        <f>H188-F188</f>
        <v/>
      </c>
      <c r="P188">
        <f>H188-G188</f>
        <v/>
      </c>
    </row>
    <row r="189">
      <c r="A189" t="n">
        <v>188</v>
      </c>
      <c r="B189" t="n">
        <v>4</v>
      </c>
      <c r="C189" t="n">
        <v>5</v>
      </c>
      <c r="D189" t="n">
        <v>5</v>
      </c>
      <c r="E189" t="n">
        <v>5</v>
      </c>
      <c r="F189" t="n">
        <v>5</v>
      </c>
      <c r="G189" t="n">
        <v>5</v>
      </c>
      <c r="H189">
        <f>SUM(B189:G189)</f>
        <v/>
      </c>
      <c r="I189">
        <f>B189+D189+F189</f>
        <v/>
      </c>
      <c r="J189">
        <f>C189+E189+G189</f>
        <v/>
      </c>
      <c r="K189">
        <f>H189-B189</f>
        <v/>
      </c>
      <c r="L189">
        <f>H189-C189</f>
        <v/>
      </c>
      <c r="M189">
        <f>H189-D189</f>
        <v/>
      </c>
      <c r="N189">
        <f>H189-E189</f>
        <v/>
      </c>
      <c r="O189">
        <f>H189-F189</f>
        <v/>
      </c>
      <c r="P189">
        <f>H189-G189</f>
        <v/>
      </c>
    </row>
    <row r="190">
      <c r="A190" t="n">
        <v>189</v>
      </c>
      <c r="B190" t="n">
        <v>5</v>
      </c>
      <c r="C190" t="n">
        <v>5</v>
      </c>
      <c r="D190" t="n">
        <v>3</v>
      </c>
      <c r="E190" t="n">
        <v>5</v>
      </c>
      <c r="F190" t="n">
        <v>5</v>
      </c>
      <c r="G190" t="n">
        <v>4</v>
      </c>
      <c r="H190">
        <f>SUM(B190:G190)</f>
        <v/>
      </c>
      <c r="I190">
        <f>B190+D190+F190</f>
        <v/>
      </c>
      <c r="J190">
        <f>C190+E190+G190</f>
        <v/>
      </c>
      <c r="K190">
        <f>H190-B190</f>
        <v/>
      </c>
      <c r="L190">
        <f>H190-C190</f>
        <v/>
      </c>
      <c r="M190">
        <f>H190-D190</f>
        <v/>
      </c>
      <c r="N190">
        <f>H190-E190</f>
        <v/>
      </c>
      <c r="O190">
        <f>H190-F190</f>
        <v/>
      </c>
      <c r="P190">
        <f>H190-G190</f>
        <v/>
      </c>
    </row>
    <row r="191">
      <c r="A191" t="n">
        <v>190</v>
      </c>
      <c r="B191" t="n">
        <v>4</v>
      </c>
      <c r="C191" t="n">
        <v>4</v>
      </c>
      <c r="D191" t="n">
        <v>4</v>
      </c>
      <c r="E191" t="n">
        <v>5</v>
      </c>
      <c r="F191" t="n">
        <v>5</v>
      </c>
      <c r="G191" t="n">
        <v>5</v>
      </c>
      <c r="H191">
        <f>SUM(B191:G191)</f>
        <v/>
      </c>
      <c r="I191">
        <f>B191+D191+F191</f>
        <v/>
      </c>
      <c r="J191">
        <f>C191+E191+G191</f>
        <v/>
      </c>
      <c r="K191">
        <f>H191-B191</f>
        <v/>
      </c>
      <c r="L191">
        <f>H191-C191</f>
        <v/>
      </c>
      <c r="M191">
        <f>H191-D191</f>
        <v/>
      </c>
      <c r="N191">
        <f>H191-E191</f>
        <v/>
      </c>
      <c r="O191">
        <f>H191-F191</f>
        <v/>
      </c>
      <c r="P191">
        <f>H191-G191</f>
        <v/>
      </c>
    </row>
    <row r="192">
      <c r="A192" t="n">
        <v>191</v>
      </c>
      <c r="B192" t="n">
        <v>4</v>
      </c>
      <c r="C192" t="n">
        <v>4</v>
      </c>
      <c r="D192" t="n">
        <v>4</v>
      </c>
      <c r="E192" t="n">
        <v>3</v>
      </c>
      <c r="F192" t="n">
        <v>4</v>
      </c>
      <c r="G192" t="n">
        <v>4</v>
      </c>
      <c r="H192">
        <f>SUM(B192:G192)</f>
        <v/>
      </c>
      <c r="I192">
        <f>B192+D192+F192</f>
        <v/>
      </c>
      <c r="J192">
        <f>C192+E192+G192</f>
        <v/>
      </c>
      <c r="K192">
        <f>H192-B192</f>
        <v/>
      </c>
      <c r="L192">
        <f>H192-C192</f>
        <v/>
      </c>
      <c r="M192">
        <f>H192-D192</f>
        <v/>
      </c>
      <c r="N192">
        <f>H192-E192</f>
        <v/>
      </c>
      <c r="O192">
        <f>H192-F192</f>
        <v/>
      </c>
      <c r="P192">
        <f>H192-G192</f>
        <v/>
      </c>
    </row>
    <row r="193">
      <c r="A193" t="n">
        <v>192</v>
      </c>
      <c r="B193" t="n">
        <v>4</v>
      </c>
      <c r="C193" t="n">
        <v>5</v>
      </c>
      <c r="D193" t="n">
        <v>4</v>
      </c>
      <c r="E193" t="n">
        <v>5</v>
      </c>
      <c r="F193" t="n">
        <v>5</v>
      </c>
      <c r="G193" t="n">
        <v>3</v>
      </c>
      <c r="H193">
        <f>SUM(B193:G193)</f>
        <v/>
      </c>
      <c r="I193">
        <f>B193+D193+F193</f>
        <v/>
      </c>
      <c r="J193">
        <f>C193+E193+G193</f>
        <v/>
      </c>
      <c r="K193">
        <f>H193-B193</f>
        <v/>
      </c>
      <c r="L193">
        <f>H193-C193</f>
        <v/>
      </c>
      <c r="M193">
        <f>H193-D193</f>
        <v/>
      </c>
      <c r="N193">
        <f>H193-E193</f>
        <v/>
      </c>
      <c r="O193">
        <f>H193-F193</f>
        <v/>
      </c>
      <c r="P193">
        <f>H193-G193</f>
        <v/>
      </c>
    </row>
    <row r="194">
      <c r="A194" t="n">
        <v>193</v>
      </c>
      <c r="B194" t="n">
        <v>5</v>
      </c>
      <c r="C194" t="n">
        <v>5</v>
      </c>
      <c r="D194" t="n">
        <v>4</v>
      </c>
      <c r="E194" t="n">
        <v>4</v>
      </c>
      <c r="F194" t="n">
        <v>5</v>
      </c>
      <c r="G194" t="n">
        <v>5</v>
      </c>
      <c r="H194">
        <f>SUM(B194:G194)</f>
        <v/>
      </c>
      <c r="I194">
        <f>B194+D194+F194</f>
        <v/>
      </c>
      <c r="J194">
        <f>C194+E194+G194</f>
        <v/>
      </c>
      <c r="K194">
        <f>H194-B194</f>
        <v/>
      </c>
      <c r="L194">
        <f>H194-C194</f>
        <v/>
      </c>
      <c r="M194">
        <f>H194-D194</f>
        <v/>
      </c>
      <c r="N194">
        <f>H194-E194</f>
        <v/>
      </c>
      <c r="O194">
        <f>H194-F194</f>
        <v/>
      </c>
      <c r="P194">
        <f>H194-G194</f>
        <v/>
      </c>
    </row>
    <row r="195">
      <c r="A195" t="n">
        <v>194</v>
      </c>
      <c r="B195" t="n">
        <v>1</v>
      </c>
      <c r="C195" t="n">
        <v>1</v>
      </c>
      <c r="D195" t="n">
        <v>2</v>
      </c>
      <c r="E195" t="n">
        <v>2</v>
      </c>
      <c r="F195" t="n">
        <v>1</v>
      </c>
      <c r="G195" t="n">
        <v>2</v>
      </c>
      <c r="H195">
        <f>SUM(B195:G195)</f>
        <v/>
      </c>
      <c r="I195">
        <f>B195+D195+F195</f>
        <v/>
      </c>
      <c r="J195">
        <f>C195+E195+G195</f>
        <v/>
      </c>
      <c r="K195">
        <f>H195-B195</f>
        <v/>
      </c>
      <c r="L195">
        <f>H195-C195</f>
        <v/>
      </c>
      <c r="M195">
        <f>H195-D195</f>
        <v/>
      </c>
      <c r="N195">
        <f>H195-E195</f>
        <v/>
      </c>
      <c r="O195">
        <f>H195-F195</f>
        <v/>
      </c>
      <c r="P195">
        <f>H195-G195</f>
        <v/>
      </c>
    </row>
    <row r="196">
      <c r="A196" t="n">
        <v>195</v>
      </c>
      <c r="B196" t="n">
        <v>1</v>
      </c>
      <c r="C196" t="n">
        <v>1</v>
      </c>
      <c r="D196" t="n">
        <v>2</v>
      </c>
      <c r="E196" t="n">
        <v>2</v>
      </c>
      <c r="F196" t="n">
        <v>1</v>
      </c>
      <c r="G196" t="n">
        <v>2</v>
      </c>
      <c r="H196">
        <f>SUM(B196:G196)</f>
        <v/>
      </c>
      <c r="I196">
        <f>B196+D196+F196</f>
        <v/>
      </c>
      <c r="J196">
        <f>C196+E196+G196</f>
        <v/>
      </c>
      <c r="K196">
        <f>H196-B196</f>
        <v/>
      </c>
      <c r="L196">
        <f>H196-C196</f>
        <v/>
      </c>
      <c r="M196">
        <f>H196-D196</f>
        <v/>
      </c>
      <c r="N196">
        <f>H196-E196</f>
        <v/>
      </c>
      <c r="O196">
        <f>H196-F196</f>
        <v/>
      </c>
      <c r="P196">
        <f>H196-G196</f>
        <v/>
      </c>
    </row>
    <row r="197">
      <c r="A197" t="n">
        <v>196</v>
      </c>
      <c r="B197" t="n">
        <v>2</v>
      </c>
      <c r="C197" t="n">
        <v>1</v>
      </c>
      <c r="D197" t="n">
        <v>1</v>
      </c>
      <c r="E197" t="n">
        <v>2</v>
      </c>
      <c r="F197" t="n">
        <v>2</v>
      </c>
      <c r="G197" t="n">
        <v>1</v>
      </c>
      <c r="H197">
        <f>SUM(B197:G197)</f>
        <v/>
      </c>
      <c r="I197">
        <f>B197+D197+F197</f>
        <v/>
      </c>
      <c r="J197">
        <f>C197+E197+G197</f>
        <v/>
      </c>
      <c r="K197">
        <f>H197-B197</f>
        <v/>
      </c>
      <c r="L197">
        <f>H197-C197</f>
        <v/>
      </c>
      <c r="M197">
        <f>H197-D197</f>
        <v/>
      </c>
      <c r="N197">
        <f>H197-E197</f>
        <v/>
      </c>
      <c r="O197">
        <f>H197-F197</f>
        <v/>
      </c>
      <c r="P197">
        <f>H197-G197</f>
        <v/>
      </c>
    </row>
    <row r="198">
      <c r="A198" t="n">
        <v>197</v>
      </c>
      <c r="B198" t="n">
        <v>2</v>
      </c>
      <c r="C198" t="n">
        <v>1</v>
      </c>
      <c r="D198" t="n">
        <v>1</v>
      </c>
      <c r="E198" t="n">
        <v>1</v>
      </c>
      <c r="F198" t="n">
        <v>2</v>
      </c>
      <c r="G198" t="n">
        <v>2</v>
      </c>
      <c r="H198">
        <f>SUM(B198:G198)</f>
        <v/>
      </c>
      <c r="I198">
        <f>B198+D198+F198</f>
        <v/>
      </c>
      <c r="J198">
        <f>C198+E198+G198</f>
        <v/>
      </c>
      <c r="K198">
        <f>H198-B198</f>
        <v/>
      </c>
      <c r="L198">
        <f>H198-C198</f>
        <v/>
      </c>
      <c r="M198">
        <f>H198-D198</f>
        <v/>
      </c>
      <c r="N198">
        <f>H198-E198</f>
        <v/>
      </c>
      <c r="O198">
        <f>H198-F198</f>
        <v/>
      </c>
      <c r="P198">
        <f>H198-G198</f>
        <v/>
      </c>
    </row>
    <row r="199">
      <c r="A199" t="n">
        <v>198</v>
      </c>
      <c r="B199" t="n">
        <v>2</v>
      </c>
      <c r="C199" t="n">
        <v>1</v>
      </c>
      <c r="D199" t="n">
        <v>2</v>
      </c>
      <c r="E199" t="n">
        <v>2</v>
      </c>
      <c r="F199" t="n">
        <v>1</v>
      </c>
      <c r="G199" t="n">
        <v>1</v>
      </c>
      <c r="H199">
        <f>SUM(B199:G199)</f>
        <v/>
      </c>
      <c r="I199">
        <f>B199+D199+F199</f>
        <v/>
      </c>
      <c r="J199">
        <f>C199+E199+G199</f>
        <v/>
      </c>
      <c r="K199">
        <f>H199-B199</f>
        <v/>
      </c>
      <c r="L199">
        <f>H199-C199</f>
        <v/>
      </c>
      <c r="M199">
        <f>H199-D199</f>
        <v/>
      </c>
      <c r="N199">
        <f>H199-E199</f>
        <v/>
      </c>
      <c r="O199">
        <f>H199-F199</f>
        <v/>
      </c>
      <c r="P199">
        <f>H199-G199</f>
        <v/>
      </c>
    </row>
    <row r="200">
      <c r="A200" t="n">
        <v>199</v>
      </c>
      <c r="B200" t="n">
        <v>2</v>
      </c>
      <c r="C200" t="n">
        <v>1</v>
      </c>
      <c r="D200" t="n">
        <v>2</v>
      </c>
      <c r="E200" t="n">
        <v>2</v>
      </c>
      <c r="F200" t="n">
        <v>1</v>
      </c>
      <c r="G200" t="n">
        <v>1</v>
      </c>
      <c r="H200">
        <f>SUM(B200:G200)</f>
        <v/>
      </c>
      <c r="I200">
        <f>B200+D200+F200</f>
        <v/>
      </c>
      <c r="J200">
        <f>C200+E200+G200</f>
        <v/>
      </c>
      <c r="K200">
        <f>H200-B200</f>
        <v/>
      </c>
      <c r="L200">
        <f>H200-C200</f>
        <v/>
      </c>
      <c r="M200">
        <f>H200-D200</f>
        <v/>
      </c>
      <c r="N200">
        <f>H200-E200</f>
        <v/>
      </c>
      <c r="O200">
        <f>H200-F200</f>
        <v/>
      </c>
      <c r="P200">
        <f>H200-G200</f>
        <v/>
      </c>
    </row>
    <row r="201">
      <c r="A201" t="n">
        <v>200</v>
      </c>
      <c r="B201" t="n">
        <v>2</v>
      </c>
      <c r="C201" t="n">
        <v>1</v>
      </c>
      <c r="D201" t="n">
        <v>2</v>
      </c>
      <c r="E201" t="n">
        <v>2</v>
      </c>
      <c r="F201" t="n">
        <v>1</v>
      </c>
      <c r="G201" t="n">
        <v>2</v>
      </c>
      <c r="H201">
        <f>SUM(B201:G201)</f>
        <v/>
      </c>
      <c r="I201">
        <f>B201+D201+F201</f>
        <v/>
      </c>
      <c r="J201">
        <f>C201+E201+G201</f>
        <v/>
      </c>
      <c r="K201">
        <f>H201-B201</f>
        <v/>
      </c>
      <c r="L201">
        <f>H201-C201</f>
        <v/>
      </c>
      <c r="M201">
        <f>H201-D201</f>
        <v/>
      </c>
      <c r="N201">
        <f>H201-E201</f>
        <v/>
      </c>
      <c r="O201">
        <f>H201-F201</f>
        <v/>
      </c>
      <c r="P201">
        <f>H201-G201</f>
        <v/>
      </c>
    </row>
    <row r="202">
      <c r="A202" t="n">
        <v>201</v>
      </c>
      <c r="B202" t="n">
        <v>2</v>
      </c>
      <c r="C202" t="n">
        <v>1</v>
      </c>
      <c r="D202" t="n">
        <v>1</v>
      </c>
      <c r="E202" t="n">
        <v>1</v>
      </c>
      <c r="F202" t="n">
        <v>2</v>
      </c>
      <c r="G202" t="n">
        <v>2</v>
      </c>
      <c r="H202">
        <f>SUM(B202:G202)</f>
        <v/>
      </c>
      <c r="I202">
        <f>B202+D202+F202</f>
        <v/>
      </c>
      <c r="J202">
        <f>C202+E202+G202</f>
        <v/>
      </c>
      <c r="K202">
        <f>H202-B202</f>
        <v/>
      </c>
      <c r="L202">
        <f>H202-C202</f>
        <v/>
      </c>
      <c r="M202">
        <f>H202-D202</f>
        <v/>
      </c>
      <c r="N202">
        <f>H202-E202</f>
        <v/>
      </c>
      <c r="O202">
        <f>H202-F202</f>
        <v/>
      </c>
      <c r="P202">
        <f>H202-G202</f>
        <v/>
      </c>
    </row>
    <row r="203">
      <c r="A203" t="n">
        <v>202</v>
      </c>
      <c r="B203" t="n">
        <v>2</v>
      </c>
      <c r="C203" t="n">
        <v>2</v>
      </c>
      <c r="D203" t="n">
        <v>1</v>
      </c>
      <c r="E203" t="n">
        <v>1</v>
      </c>
      <c r="F203" t="n">
        <v>2</v>
      </c>
      <c r="G203" t="n">
        <v>2</v>
      </c>
      <c r="H203">
        <f>SUM(B203:G203)</f>
        <v/>
      </c>
      <c r="I203">
        <f>B203+D203+F203</f>
        <v/>
      </c>
      <c r="J203">
        <f>C203+E203+G203</f>
        <v/>
      </c>
      <c r="K203">
        <f>H203-B203</f>
        <v/>
      </c>
      <c r="L203">
        <f>H203-C203</f>
        <v/>
      </c>
      <c r="M203">
        <f>H203-D203</f>
        <v/>
      </c>
      <c r="N203">
        <f>H203-E203</f>
        <v/>
      </c>
      <c r="O203">
        <f>H203-F203</f>
        <v/>
      </c>
      <c r="P203">
        <f>H203-G203</f>
        <v/>
      </c>
    </row>
    <row r="204">
      <c r="A204" t="n">
        <v>203</v>
      </c>
      <c r="B204" t="n">
        <v>2</v>
      </c>
      <c r="C204" t="n">
        <v>1</v>
      </c>
      <c r="D204" t="n">
        <v>2</v>
      </c>
      <c r="E204" t="n">
        <v>2</v>
      </c>
      <c r="F204" t="n">
        <v>1</v>
      </c>
      <c r="G204" t="n">
        <v>2</v>
      </c>
      <c r="H204">
        <f>SUM(B204:G204)</f>
        <v/>
      </c>
      <c r="I204">
        <f>B204+D204+F204</f>
        <v/>
      </c>
      <c r="J204">
        <f>C204+E204+G204</f>
        <v/>
      </c>
      <c r="K204">
        <f>H204-B204</f>
        <v/>
      </c>
      <c r="L204">
        <f>H204-C204</f>
        <v/>
      </c>
      <c r="M204">
        <f>H204-D204</f>
        <v/>
      </c>
      <c r="N204">
        <f>H204-E204</f>
        <v/>
      </c>
      <c r="O204">
        <f>H204-F204</f>
        <v/>
      </c>
      <c r="P204">
        <f>H204-G204</f>
        <v/>
      </c>
    </row>
    <row r="205">
      <c r="A205" t="n">
        <v>204</v>
      </c>
      <c r="B205" t="n">
        <v>2</v>
      </c>
      <c r="C205" t="n">
        <v>2</v>
      </c>
      <c r="D205" t="n">
        <v>1</v>
      </c>
      <c r="E205" t="n">
        <v>1</v>
      </c>
      <c r="F205" t="n">
        <v>2</v>
      </c>
      <c r="G205" t="n">
        <v>2</v>
      </c>
      <c r="H205">
        <f>SUM(B205:G205)</f>
        <v/>
      </c>
      <c r="I205">
        <f>B205+D205+F205</f>
        <v/>
      </c>
      <c r="J205">
        <f>C205+E205+G205</f>
        <v/>
      </c>
      <c r="K205">
        <f>H205-B205</f>
        <v/>
      </c>
      <c r="L205">
        <f>H205-C205</f>
        <v/>
      </c>
      <c r="M205">
        <f>H205-D205</f>
        <v/>
      </c>
      <c r="N205">
        <f>H205-E205</f>
        <v/>
      </c>
      <c r="O205">
        <f>H205-F205</f>
        <v/>
      </c>
      <c r="P205">
        <f>H205-G205</f>
        <v/>
      </c>
    </row>
    <row r="206">
      <c r="A206" t="n">
        <v>205</v>
      </c>
      <c r="B206" t="n">
        <v>2</v>
      </c>
      <c r="C206" t="n">
        <v>2</v>
      </c>
      <c r="D206" t="n">
        <v>1</v>
      </c>
      <c r="E206" t="n">
        <v>1</v>
      </c>
      <c r="F206" t="n">
        <v>2</v>
      </c>
      <c r="G206" t="n">
        <v>2</v>
      </c>
      <c r="H206">
        <f>SUM(B206:G206)</f>
        <v/>
      </c>
      <c r="I206">
        <f>B206+D206+F206</f>
        <v/>
      </c>
      <c r="J206">
        <f>C206+E206+G206</f>
        <v/>
      </c>
      <c r="K206">
        <f>H206-B206</f>
        <v/>
      </c>
      <c r="L206">
        <f>H206-C206</f>
        <v/>
      </c>
      <c r="M206">
        <f>H206-D206</f>
        <v/>
      </c>
      <c r="N206">
        <f>H206-E206</f>
        <v/>
      </c>
      <c r="O206">
        <f>H206-F206</f>
        <v/>
      </c>
      <c r="P206">
        <f>H206-G206</f>
        <v/>
      </c>
    </row>
    <row r="207">
      <c r="A207" t="n">
        <v>206</v>
      </c>
      <c r="B207" t="n">
        <v>1</v>
      </c>
      <c r="C207" t="n">
        <v>2</v>
      </c>
      <c r="D207" t="n">
        <v>2</v>
      </c>
      <c r="E207" t="n">
        <v>1</v>
      </c>
      <c r="F207" t="n">
        <v>1</v>
      </c>
      <c r="G207" t="n">
        <v>2</v>
      </c>
      <c r="H207">
        <f>SUM(B207:G207)</f>
        <v/>
      </c>
      <c r="I207">
        <f>B207+D207+F207</f>
        <v/>
      </c>
      <c r="J207">
        <f>C207+E207+G207</f>
        <v/>
      </c>
      <c r="K207">
        <f>H207-B207</f>
        <v/>
      </c>
      <c r="L207">
        <f>H207-C207</f>
        <v/>
      </c>
      <c r="M207">
        <f>H207-D207</f>
        <v/>
      </c>
      <c r="N207">
        <f>H207-E207</f>
        <v/>
      </c>
      <c r="O207">
        <f>H207-F207</f>
        <v/>
      </c>
      <c r="P207">
        <f>H207-G207</f>
        <v/>
      </c>
    </row>
    <row r="208">
      <c r="A208" t="n">
        <v>207</v>
      </c>
      <c r="B208" t="n">
        <v>1</v>
      </c>
      <c r="C208" t="n">
        <v>2</v>
      </c>
      <c r="D208" t="n">
        <v>2</v>
      </c>
      <c r="E208" t="n">
        <v>1</v>
      </c>
      <c r="F208" t="n">
        <v>1</v>
      </c>
      <c r="G208" t="n">
        <v>2</v>
      </c>
      <c r="H208">
        <f>SUM(B208:G208)</f>
        <v/>
      </c>
      <c r="I208">
        <f>B208+D208+F208</f>
        <v/>
      </c>
      <c r="J208">
        <f>C208+E208+G208</f>
        <v/>
      </c>
      <c r="K208">
        <f>H208-B208</f>
        <v/>
      </c>
      <c r="L208">
        <f>H208-C208</f>
        <v/>
      </c>
      <c r="M208">
        <f>H208-D208</f>
        <v/>
      </c>
      <c r="N208">
        <f>H208-E208</f>
        <v/>
      </c>
      <c r="O208">
        <f>H208-F208</f>
        <v/>
      </c>
      <c r="P208">
        <f>H208-G208</f>
        <v/>
      </c>
    </row>
    <row r="209">
      <c r="A209" t="n">
        <v>208</v>
      </c>
      <c r="B209" t="n">
        <v>2</v>
      </c>
      <c r="C209" t="n">
        <v>2</v>
      </c>
      <c r="D209" t="n">
        <v>1</v>
      </c>
      <c r="E209" t="n">
        <v>1</v>
      </c>
      <c r="F209" t="n">
        <v>2</v>
      </c>
      <c r="G209" t="n">
        <v>2</v>
      </c>
      <c r="H209">
        <f>SUM(B209:G209)</f>
        <v/>
      </c>
      <c r="I209">
        <f>B209+D209+F209</f>
        <v/>
      </c>
      <c r="J209">
        <f>C209+E209+G209</f>
        <v/>
      </c>
      <c r="K209">
        <f>H209-B209</f>
        <v/>
      </c>
      <c r="L209">
        <f>H209-C209</f>
        <v/>
      </c>
      <c r="M209">
        <f>H209-D209</f>
        <v/>
      </c>
      <c r="N209">
        <f>H209-E209</f>
        <v/>
      </c>
      <c r="O209">
        <f>H209-F209</f>
        <v/>
      </c>
      <c r="P209">
        <f>H209-G209</f>
        <v/>
      </c>
    </row>
    <row r="210">
      <c r="A210" t="n">
        <v>209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>
        <f>SUM(B210:G210)</f>
        <v/>
      </c>
      <c r="I210">
        <f>B210+D210+F210</f>
        <v/>
      </c>
      <c r="J210">
        <f>C210+E210+G210</f>
        <v/>
      </c>
      <c r="K210">
        <f>H210-B210</f>
        <v/>
      </c>
      <c r="L210">
        <f>H210-C210</f>
        <v/>
      </c>
      <c r="M210">
        <f>H210-D210</f>
        <v/>
      </c>
      <c r="N210">
        <f>H210-E210</f>
        <v/>
      </c>
      <c r="O210">
        <f>H210-F210</f>
        <v/>
      </c>
      <c r="P210">
        <f>H210-G210</f>
        <v/>
      </c>
    </row>
    <row r="211">
      <c r="A211" t="n">
        <v>210</v>
      </c>
      <c r="B211" t="n">
        <v>2</v>
      </c>
      <c r="C211" t="n">
        <v>1</v>
      </c>
      <c r="D211" t="n">
        <v>1</v>
      </c>
      <c r="E211" t="n">
        <v>2</v>
      </c>
      <c r="F211" t="n">
        <v>2</v>
      </c>
      <c r="G211" t="n">
        <v>1</v>
      </c>
      <c r="H211">
        <f>SUM(B211:G211)</f>
        <v/>
      </c>
      <c r="I211">
        <f>B211+D211+F211</f>
        <v/>
      </c>
      <c r="J211">
        <f>C211+E211+G211</f>
        <v/>
      </c>
      <c r="K211">
        <f>H211-B211</f>
        <v/>
      </c>
      <c r="L211">
        <f>H211-C211</f>
        <v/>
      </c>
      <c r="M211">
        <f>H211-D211</f>
        <v/>
      </c>
      <c r="N211">
        <f>H211-E211</f>
        <v/>
      </c>
      <c r="O211">
        <f>H211-F211</f>
        <v/>
      </c>
      <c r="P211">
        <f>H211-G211</f>
        <v/>
      </c>
    </row>
    <row r="212">
      <c r="A212" t="n">
        <v>211</v>
      </c>
      <c r="B212" t="n">
        <v>2</v>
      </c>
      <c r="C212" t="n">
        <v>2</v>
      </c>
      <c r="D212" t="n">
        <v>1</v>
      </c>
      <c r="E212" t="n">
        <v>1</v>
      </c>
      <c r="F212" t="n">
        <v>2</v>
      </c>
      <c r="G212" t="n">
        <v>2</v>
      </c>
      <c r="H212">
        <f>SUM(B212:G212)</f>
        <v/>
      </c>
      <c r="I212">
        <f>B212+D212+F212</f>
        <v/>
      </c>
      <c r="J212">
        <f>C212+E212+G212</f>
        <v/>
      </c>
      <c r="K212">
        <f>H212-B212</f>
        <v/>
      </c>
      <c r="L212">
        <f>H212-C212</f>
        <v/>
      </c>
      <c r="M212">
        <f>H212-D212</f>
        <v/>
      </c>
      <c r="N212">
        <f>H212-E212</f>
        <v/>
      </c>
      <c r="O212">
        <f>H212-F212</f>
        <v/>
      </c>
      <c r="P212">
        <f>H212-G212</f>
        <v/>
      </c>
    </row>
    <row r="213">
      <c r="A213" t="n">
        <v>212</v>
      </c>
      <c r="B213" t="n">
        <v>1</v>
      </c>
      <c r="C213" t="n">
        <v>1</v>
      </c>
      <c r="D213" t="n">
        <v>2</v>
      </c>
      <c r="E213" t="n">
        <v>2</v>
      </c>
      <c r="F213" t="n">
        <v>1</v>
      </c>
      <c r="G213" t="n">
        <v>1</v>
      </c>
      <c r="H213">
        <f>SUM(B213:G213)</f>
        <v/>
      </c>
      <c r="I213">
        <f>B213+D213+F213</f>
        <v/>
      </c>
      <c r="J213">
        <f>C213+E213+G213</f>
        <v/>
      </c>
      <c r="K213">
        <f>H213-B213</f>
        <v/>
      </c>
      <c r="L213">
        <f>H213-C213</f>
        <v/>
      </c>
      <c r="M213">
        <f>H213-D213</f>
        <v/>
      </c>
      <c r="N213">
        <f>H213-E213</f>
        <v/>
      </c>
      <c r="O213">
        <f>H213-F213</f>
        <v/>
      </c>
      <c r="P213">
        <f>H213-G213</f>
        <v/>
      </c>
    </row>
    <row r="214">
      <c r="A214" t="n">
        <v>213</v>
      </c>
      <c r="B214" t="n">
        <v>1</v>
      </c>
      <c r="C214" t="n">
        <v>2</v>
      </c>
      <c r="D214" t="n">
        <v>2</v>
      </c>
      <c r="E214" t="n">
        <v>2</v>
      </c>
      <c r="F214" t="n">
        <v>1</v>
      </c>
      <c r="G214" t="n">
        <v>2</v>
      </c>
      <c r="H214">
        <f>SUM(B214:G214)</f>
        <v/>
      </c>
      <c r="I214">
        <f>B214+D214+F214</f>
        <v/>
      </c>
      <c r="J214">
        <f>C214+E214+G214</f>
        <v/>
      </c>
      <c r="K214">
        <f>H214-B214</f>
        <v/>
      </c>
      <c r="L214">
        <f>H214-C214</f>
        <v/>
      </c>
      <c r="M214">
        <f>H214-D214</f>
        <v/>
      </c>
      <c r="N214">
        <f>H214-E214</f>
        <v/>
      </c>
      <c r="O214">
        <f>H214-F214</f>
        <v/>
      </c>
      <c r="P214">
        <f>H214-G214</f>
        <v/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2</v>
      </c>
      <c r="F215" t="n">
        <v>1</v>
      </c>
      <c r="G215" t="n">
        <v>1</v>
      </c>
      <c r="H215">
        <f>SUM(B215:G215)</f>
        <v/>
      </c>
      <c r="I215">
        <f>B215+D215+F215</f>
        <v/>
      </c>
      <c r="J215">
        <f>C215+E215+G215</f>
        <v/>
      </c>
      <c r="K215">
        <f>H215-B215</f>
        <v/>
      </c>
      <c r="L215">
        <f>H215-C215</f>
        <v/>
      </c>
      <c r="M215">
        <f>H215-D215</f>
        <v/>
      </c>
      <c r="N215">
        <f>H215-E215</f>
        <v/>
      </c>
      <c r="O215">
        <f>H215-F215</f>
        <v/>
      </c>
      <c r="P215">
        <f>H215-G215</f>
        <v/>
      </c>
    </row>
    <row r="216">
      <c r="A216" t="n">
        <v>215</v>
      </c>
      <c r="B216" t="n">
        <v>2</v>
      </c>
      <c r="C216" t="n">
        <v>1</v>
      </c>
      <c r="D216" t="n">
        <v>2</v>
      </c>
      <c r="E216" t="n">
        <v>2</v>
      </c>
      <c r="F216" t="n">
        <v>1</v>
      </c>
      <c r="G216" t="n">
        <v>2</v>
      </c>
      <c r="H216">
        <f>SUM(B216:G216)</f>
        <v/>
      </c>
      <c r="I216">
        <f>B216+D216+F216</f>
        <v/>
      </c>
      <c r="J216">
        <f>C216+E216+G216</f>
        <v/>
      </c>
      <c r="K216">
        <f>H216-B216</f>
        <v/>
      </c>
      <c r="L216">
        <f>H216-C216</f>
        <v/>
      </c>
      <c r="M216">
        <f>H216-D216</f>
        <v/>
      </c>
      <c r="N216">
        <f>H216-E216</f>
        <v/>
      </c>
      <c r="O216">
        <f>H216-F216</f>
        <v/>
      </c>
      <c r="P216">
        <f>H216-G216</f>
        <v/>
      </c>
    </row>
    <row r="217">
      <c r="A217" t="n">
        <v>216</v>
      </c>
      <c r="B217" t="n">
        <v>1</v>
      </c>
      <c r="C217" t="n">
        <v>2</v>
      </c>
      <c r="D217" t="n">
        <v>2</v>
      </c>
      <c r="E217" t="n">
        <v>1</v>
      </c>
      <c r="F217" t="n">
        <v>1</v>
      </c>
      <c r="G217" t="n">
        <v>2</v>
      </c>
      <c r="H217">
        <f>SUM(B217:G217)</f>
        <v/>
      </c>
      <c r="I217">
        <f>B217+D217+F217</f>
        <v/>
      </c>
      <c r="J217">
        <f>C217+E217+G217</f>
        <v/>
      </c>
      <c r="K217">
        <f>H217-B217</f>
        <v/>
      </c>
      <c r="L217">
        <f>H217-C217</f>
        <v/>
      </c>
      <c r="M217">
        <f>H217-D217</f>
        <v/>
      </c>
      <c r="N217">
        <f>H217-E217</f>
        <v/>
      </c>
      <c r="O217">
        <f>H217-F217</f>
        <v/>
      </c>
      <c r="P217">
        <f>H217-G217</f>
        <v/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2</v>
      </c>
      <c r="F218" t="n">
        <v>2</v>
      </c>
      <c r="G218" t="n">
        <v>1</v>
      </c>
      <c r="H218">
        <f>SUM(B218:G218)</f>
        <v/>
      </c>
      <c r="I218">
        <f>B218+D218+F218</f>
        <v/>
      </c>
      <c r="J218">
        <f>C218+E218+G218</f>
        <v/>
      </c>
      <c r="K218">
        <f>H218-B218</f>
        <v/>
      </c>
      <c r="L218">
        <f>H218-C218</f>
        <v/>
      </c>
      <c r="M218">
        <f>H218-D218</f>
        <v/>
      </c>
      <c r="N218">
        <f>H218-E218</f>
        <v/>
      </c>
      <c r="O218">
        <f>H218-F218</f>
        <v/>
      </c>
      <c r="P218">
        <f>H218-G218</f>
        <v/>
      </c>
    </row>
    <row r="219">
      <c r="A219" t="n">
        <v>218</v>
      </c>
      <c r="B219" t="n">
        <v>2</v>
      </c>
      <c r="C219" t="n">
        <v>1</v>
      </c>
      <c r="D219" t="n">
        <v>1</v>
      </c>
      <c r="E219" t="n">
        <v>2</v>
      </c>
      <c r="F219" t="n">
        <v>2</v>
      </c>
      <c r="G219" t="n">
        <v>2</v>
      </c>
      <c r="H219">
        <f>SUM(B219:G219)</f>
        <v/>
      </c>
      <c r="I219">
        <f>B219+D219+F219</f>
        <v/>
      </c>
      <c r="J219">
        <f>C219+E219+G219</f>
        <v/>
      </c>
      <c r="K219">
        <f>H219-B219</f>
        <v/>
      </c>
      <c r="L219">
        <f>H219-C219</f>
        <v/>
      </c>
      <c r="M219">
        <f>H219-D219</f>
        <v/>
      </c>
      <c r="N219">
        <f>H219-E219</f>
        <v/>
      </c>
      <c r="O219">
        <f>H219-F219</f>
        <v/>
      </c>
      <c r="P219">
        <f>H219-G219</f>
        <v/>
      </c>
    </row>
    <row r="220">
      <c r="A220" t="n">
        <v>219</v>
      </c>
      <c r="B220" t="n">
        <v>2</v>
      </c>
      <c r="C220" t="n">
        <v>1</v>
      </c>
      <c r="D220" t="n">
        <v>1</v>
      </c>
      <c r="E220" t="n">
        <v>2</v>
      </c>
      <c r="F220" t="n">
        <v>2</v>
      </c>
      <c r="G220" t="n">
        <v>1</v>
      </c>
      <c r="H220">
        <f>SUM(B220:G220)</f>
        <v/>
      </c>
      <c r="I220">
        <f>B220+D220+F220</f>
        <v/>
      </c>
      <c r="J220">
        <f>C220+E220+G220</f>
        <v/>
      </c>
      <c r="K220">
        <f>H220-B220</f>
        <v/>
      </c>
      <c r="L220">
        <f>H220-C220</f>
        <v/>
      </c>
      <c r="M220">
        <f>H220-D220</f>
        <v/>
      </c>
      <c r="N220">
        <f>H220-E220</f>
        <v/>
      </c>
      <c r="O220">
        <f>H220-F220</f>
        <v/>
      </c>
      <c r="P220">
        <f>H220-G220</f>
        <v/>
      </c>
    </row>
    <row r="221">
      <c r="A221" t="n">
        <v>220</v>
      </c>
      <c r="B221" t="n">
        <v>2</v>
      </c>
      <c r="C221" t="n">
        <v>2</v>
      </c>
      <c r="D221" t="n">
        <v>2</v>
      </c>
      <c r="E221" t="n">
        <v>1</v>
      </c>
      <c r="F221" t="n">
        <v>2</v>
      </c>
      <c r="G221" t="n">
        <v>2</v>
      </c>
      <c r="H221">
        <f>SUM(B221:G221)</f>
        <v/>
      </c>
      <c r="I221">
        <f>B221+D221+F221</f>
        <v/>
      </c>
      <c r="J221">
        <f>C221+E221+G221</f>
        <v/>
      </c>
      <c r="K221">
        <f>H221-B221</f>
        <v/>
      </c>
      <c r="L221">
        <f>H221-C221</f>
        <v/>
      </c>
      <c r="M221">
        <f>H221-D221</f>
        <v/>
      </c>
      <c r="N221">
        <f>H221-E221</f>
        <v/>
      </c>
      <c r="O221">
        <f>H221-F221</f>
        <v/>
      </c>
      <c r="P221">
        <f>H221-G221</f>
        <v/>
      </c>
    </row>
    <row r="222">
      <c r="A222" t="n">
        <v>221</v>
      </c>
      <c r="B222" t="n">
        <v>1</v>
      </c>
      <c r="C222" t="n">
        <v>1</v>
      </c>
      <c r="D222" t="n">
        <v>2</v>
      </c>
      <c r="E222" t="n">
        <v>2</v>
      </c>
      <c r="F222" t="n">
        <v>1</v>
      </c>
      <c r="G222" t="n">
        <v>1</v>
      </c>
      <c r="H222">
        <f>SUM(B222:G222)</f>
        <v/>
      </c>
      <c r="I222">
        <f>B222+D222+F222</f>
        <v/>
      </c>
      <c r="J222">
        <f>C222+E222+G222</f>
        <v/>
      </c>
      <c r="K222">
        <f>H222-B222</f>
        <v/>
      </c>
      <c r="L222">
        <f>H222-C222</f>
        <v/>
      </c>
      <c r="M222">
        <f>H222-D222</f>
        <v/>
      </c>
      <c r="N222">
        <f>H222-E222</f>
        <v/>
      </c>
      <c r="O222">
        <f>H222-F222</f>
        <v/>
      </c>
      <c r="P222">
        <f>H222-G222</f>
        <v/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2</v>
      </c>
      <c r="F223" t="n">
        <v>1</v>
      </c>
      <c r="G223" t="n">
        <v>1</v>
      </c>
      <c r="H223">
        <f>SUM(B223:G223)</f>
        <v/>
      </c>
      <c r="I223">
        <f>B223+D223+F223</f>
        <v/>
      </c>
      <c r="J223">
        <f>C223+E223+G223</f>
        <v/>
      </c>
      <c r="K223">
        <f>H223-B223</f>
        <v/>
      </c>
      <c r="L223">
        <f>H223-C223</f>
        <v/>
      </c>
      <c r="M223">
        <f>H223-D223</f>
        <v/>
      </c>
      <c r="N223">
        <f>H223-E223</f>
        <v/>
      </c>
      <c r="O223">
        <f>H223-F223</f>
        <v/>
      </c>
      <c r="P223">
        <f>H223-G223</f>
        <v/>
      </c>
    </row>
    <row r="224">
      <c r="A224" t="n">
        <v>223</v>
      </c>
      <c r="B224" t="n">
        <v>2</v>
      </c>
      <c r="C224" t="n">
        <v>1</v>
      </c>
      <c r="D224" t="n">
        <v>1</v>
      </c>
      <c r="E224" t="n">
        <v>2</v>
      </c>
      <c r="F224" t="n">
        <v>2</v>
      </c>
      <c r="G224" t="n">
        <v>2</v>
      </c>
      <c r="H224">
        <f>SUM(B224:G224)</f>
        <v/>
      </c>
      <c r="I224">
        <f>B224+D224+F224</f>
        <v/>
      </c>
      <c r="J224">
        <f>C224+E224+G224</f>
        <v/>
      </c>
      <c r="K224">
        <f>H224-B224</f>
        <v/>
      </c>
      <c r="L224">
        <f>H224-C224</f>
        <v/>
      </c>
      <c r="M224">
        <f>H224-D224</f>
        <v/>
      </c>
      <c r="N224">
        <f>H224-E224</f>
        <v/>
      </c>
      <c r="O224">
        <f>H224-F224</f>
        <v/>
      </c>
      <c r="P224">
        <f>H224-G224</f>
        <v/>
      </c>
    </row>
    <row r="225">
      <c r="A225" t="n">
        <v>224</v>
      </c>
      <c r="B225" t="n">
        <v>1</v>
      </c>
      <c r="C225" t="n">
        <v>1</v>
      </c>
      <c r="D225" t="n">
        <v>2</v>
      </c>
      <c r="E225" t="n">
        <v>2</v>
      </c>
      <c r="F225" t="n">
        <v>1</v>
      </c>
      <c r="G225" t="n">
        <v>1</v>
      </c>
      <c r="H225">
        <f>SUM(B225:G225)</f>
        <v/>
      </c>
      <c r="I225">
        <f>B225+D225+F225</f>
        <v/>
      </c>
      <c r="J225">
        <f>C225+E225+G225</f>
        <v/>
      </c>
      <c r="K225">
        <f>H225-B225</f>
        <v/>
      </c>
      <c r="L225">
        <f>H225-C225</f>
        <v/>
      </c>
      <c r="M225">
        <f>H225-D225</f>
        <v/>
      </c>
      <c r="N225">
        <f>H225-E225</f>
        <v/>
      </c>
      <c r="O225">
        <f>H225-F225</f>
        <v/>
      </c>
      <c r="P225">
        <f>H225-G225</f>
        <v/>
      </c>
    </row>
    <row r="226">
      <c r="A226" t="n">
        <v>225</v>
      </c>
      <c r="B226" t="n">
        <v>2</v>
      </c>
      <c r="C226" t="n">
        <v>2</v>
      </c>
      <c r="D226" t="n">
        <v>2</v>
      </c>
      <c r="E226" t="n">
        <v>1</v>
      </c>
      <c r="F226" t="n">
        <v>2</v>
      </c>
      <c r="G226" t="n">
        <v>1</v>
      </c>
      <c r="H226">
        <f>SUM(B226:G226)</f>
        <v/>
      </c>
      <c r="I226">
        <f>B226+D226+F226</f>
        <v/>
      </c>
      <c r="J226">
        <f>C226+E226+G226</f>
        <v/>
      </c>
      <c r="K226">
        <f>H226-B226</f>
        <v/>
      </c>
      <c r="L226">
        <f>H226-C226</f>
        <v/>
      </c>
      <c r="M226">
        <f>H226-D226</f>
        <v/>
      </c>
      <c r="N226">
        <f>H226-E226</f>
        <v/>
      </c>
      <c r="O226">
        <f>H226-F226</f>
        <v/>
      </c>
      <c r="P226">
        <f>H226-G226</f>
        <v/>
      </c>
    </row>
    <row r="227">
      <c r="A227" t="n">
        <v>226</v>
      </c>
      <c r="B227" t="n">
        <v>2</v>
      </c>
      <c r="C227" t="n">
        <v>1</v>
      </c>
      <c r="D227" t="n">
        <v>1</v>
      </c>
      <c r="E227" t="n">
        <v>2</v>
      </c>
      <c r="F227" t="n">
        <v>2</v>
      </c>
      <c r="G227" t="n">
        <v>2</v>
      </c>
      <c r="H227">
        <f>SUM(B227:G227)</f>
        <v/>
      </c>
      <c r="I227">
        <f>B227+D227+F227</f>
        <v/>
      </c>
      <c r="J227">
        <f>C227+E227+G227</f>
        <v/>
      </c>
      <c r="K227">
        <f>H227-B227</f>
        <v/>
      </c>
      <c r="L227">
        <f>H227-C227</f>
        <v/>
      </c>
      <c r="M227">
        <f>H227-D227</f>
        <v/>
      </c>
      <c r="N227">
        <f>H227-E227</f>
        <v/>
      </c>
      <c r="O227">
        <f>H227-F227</f>
        <v/>
      </c>
      <c r="P227">
        <f>H227-G227</f>
        <v/>
      </c>
    </row>
    <row r="228">
      <c r="A228" t="n">
        <v>227</v>
      </c>
      <c r="B228" t="n">
        <v>2</v>
      </c>
      <c r="C228" t="n">
        <v>2</v>
      </c>
      <c r="D228" t="n">
        <v>1</v>
      </c>
      <c r="E228" t="n">
        <v>1</v>
      </c>
      <c r="F228" t="n">
        <v>2</v>
      </c>
      <c r="G228" t="n">
        <v>2</v>
      </c>
      <c r="H228">
        <f>SUM(B228:G228)</f>
        <v/>
      </c>
      <c r="I228">
        <f>B228+D228+F228</f>
        <v/>
      </c>
      <c r="J228">
        <f>C228+E228+G228</f>
        <v/>
      </c>
      <c r="K228">
        <f>H228-B228</f>
        <v/>
      </c>
      <c r="L228">
        <f>H228-C228</f>
        <v/>
      </c>
      <c r="M228">
        <f>H228-D228</f>
        <v/>
      </c>
      <c r="N228">
        <f>H228-E228</f>
        <v/>
      </c>
      <c r="O228">
        <f>H228-F228</f>
        <v/>
      </c>
      <c r="P228">
        <f>H228-G228</f>
        <v/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2</v>
      </c>
      <c r="G229" t="n">
        <v>2</v>
      </c>
      <c r="H229">
        <f>SUM(B229:G229)</f>
        <v/>
      </c>
      <c r="I229">
        <f>B229+D229+F229</f>
        <v/>
      </c>
      <c r="J229">
        <f>C229+E229+G229</f>
        <v/>
      </c>
      <c r="K229">
        <f>H229-B229</f>
        <v/>
      </c>
      <c r="L229">
        <f>H229-C229</f>
        <v/>
      </c>
      <c r="M229">
        <f>H229-D229</f>
        <v/>
      </c>
      <c r="N229">
        <f>H229-E229</f>
        <v/>
      </c>
      <c r="O229">
        <f>H229-F229</f>
        <v/>
      </c>
      <c r="P229">
        <f>H229-G229</f>
        <v/>
      </c>
    </row>
    <row r="230">
      <c r="A230" t="n">
        <v>229</v>
      </c>
      <c r="B230" t="n">
        <v>1</v>
      </c>
      <c r="C230" t="n">
        <v>1</v>
      </c>
      <c r="D230" t="n">
        <v>2</v>
      </c>
      <c r="E230" t="n">
        <v>2</v>
      </c>
      <c r="F230" t="n">
        <v>1</v>
      </c>
      <c r="G230" t="n">
        <v>1</v>
      </c>
      <c r="H230">
        <f>SUM(B230:G230)</f>
        <v/>
      </c>
      <c r="I230">
        <f>B230+D230+F230</f>
        <v/>
      </c>
      <c r="J230">
        <f>C230+E230+G230</f>
        <v/>
      </c>
      <c r="K230">
        <f>H230-B230</f>
        <v/>
      </c>
      <c r="L230">
        <f>H230-C230</f>
        <v/>
      </c>
      <c r="M230">
        <f>H230-D230</f>
        <v/>
      </c>
      <c r="N230">
        <f>H230-E230</f>
        <v/>
      </c>
      <c r="O230">
        <f>H230-F230</f>
        <v/>
      </c>
      <c r="P230">
        <f>H230-G230</f>
        <v/>
      </c>
    </row>
    <row r="231">
      <c r="A231" t="n">
        <v>230</v>
      </c>
      <c r="B231" t="n">
        <v>2</v>
      </c>
      <c r="C231" t="n">
        <v>2</v>
      </c>
      <c r="D231" t="n">
        <v>1</v>
      </c>
      <c r="E231" t="n">
        <v>1</v>
      </c>
      <c r="F231" t="n">
        <v>2</v>
      </c>
      <c r="G231" t="n">
        <v>2</v>
      </c>
      <c r="H231">
        <f>SUM(B231:G231)</f>
        <v/>
      </c>
      <c r="I231">
        <f>B231+D231+F231</f>
        <v/>
      </c>
      <c r="J231">
        <f>C231+E231+G231</f>
        <v/>
      </c>
      <c r="K231">
        <f>H231-B231</f>
        <v/>
      </c>
      <c r="L231">
        <f>H231-C231</f>
        <v/>
      </c>
      <c r="M231">
        <f>H231-D231</f>
        <v/>
      </c>
      <c r="N231">
        <f>H231-E231</f>
        <v/>
      </c>
      <c r="O231">
        <f>H231-F231</f>
        <v/>
      </c>
      <c r="P231">
        <f>H231-G231</f>
        <v/>
      </c>
    </row>
    <row r="232">
      <c r="A232" t="n">
        <v>231</v>
      </c>
      <c r="B232" t="n">
        <v>1</v>
      </c>
      <c r="C232" t="n">
        <v>2</v>
      </c>
      <c r="D232" t="n">
        <v>2</v>
      </c>
      <c r="E232" t="n">
        <v>1</v>
      </c>
      <c r="F232" t="n">
        <v>1</v>
      </c>
      <c r="G232" t="n">
        <v>2</v>
      </c>
      <c r="H232">
        <f>SUM(B232:G232)</f>
        <v/>
      </c>
      <c r="I232">
        <f>B232+D232+F232</f>
        <v/>
      </c>
      <c r="J232">
        <f>C232+E232+G232</f>
        <v/>
      </c>
      <c r="K232">
        <f>H232-B232</f>
        <v/>
      </c>
      <c r="L232">
        <f>H232-C232</f>
        <v/>
      </c>
      <c r="M232">
        <f>H232-D232</f>
        <v/>
      </c>
      <c r="N232">
        <f>H232-E232</f>
        <v/>
      </c>
      <c r="O232">
        <f>H232-F232</f>
        <v/>
      </c>
      <c r="P232">
        <f>H232-G232</f>
        <v/>
      </c>
    </row>
    <row r="233">
      <c r="A233" t="n">
        <v>232</v>
      </c>
      <c r="B233" t="n">
        <v>2</v>
      </c>
      <c r="C233" t="n">
        <v>2</v>
      </c>
      <c r="D233" t="n">
        <v>1</v>
      </c>
      <c r="E233" t="n">
        <v>1</v>
      </c>
      <c r="F233" t="n">
        <v>2</v>
      </c>
      <c r="G233" t="n">
        <v>2</v>
      </c>
      <c r="H233">
        <f>SUM(B233:G233)</f>
        <v/>
      </c>
      <c r="I233">
        <f>B233+D233+F233</f>
        <v/>
      </c>
      <c r="J233">
        <f>C233+E233+G233</f>
        <v/>
      </c>
      <c r="K233">
        <f>H233-B233</f>
        <v/>
      </c>
      <c r="L233">
        <f>H233-C233</f>
        <v/>
      </c>
      <c r="M233">
        <f>H233-D233</f>
        <v/>
      </c>
      <c r="N233">
        <f>H233-E233</f>
        <v/>
      </c>
      <c r="O233">
        <f>H233-F233</f>
        <v/>
      </c>
      <c r="P233">
        <f>H233-G233</f>
        <v/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2</v>
      </c>
      <c r="F234" t="n">
        <v>1</v>
      </c>
      <c r="G234" t="n">
        <v>1</v>
      </c>
      <c r="H234">
        <f>SUM(B234:G234)</f>
        <v/>
      </c>
      <c r="I234">
        <f>B234+D234+F234</f>
        <v/>
      </c>
      <c r="J234">
        <f>C234+E234+G234</f>
        <v/>
      </c>
      <c r="K234">
        <f>H234-B234</f>
        <v/>
      </c>
      <c r="L234">
        <f>H234-C234</f>
        <v/>
      </c>
      <c r="M234">
        <f>H234-D234</f>
        <v/>
      </c>
      <c r="N234">
        <f>H234-E234</f>
        <v/>
      </c>
      <c r="O234">
        <f>H234-F234</f>
        <v/>
      </c>
      <c r="P234">
        <f>H234-G234</f>
        <v/>
      </c>
    </row>
    <row r="235">
      <c r="A235" t="n">
        <v>234</v>
      </c>
      <c r="B235" t="n">
        <v>2</v>
      </c>
      <c r="C235" t="n">
        <v>2</v>
      </c>
      <c r="D235" t="n">
        <v>1</v>
      </c>
      <c r="E235" t="n">
        <v>1</v>
      </c>
      <c r="F235" t="n">
        <v>2</v>
      </c>
      <c r="G235" t="n">
        <v>2</v>
      </c>
      <c r="H235">
        <f>SUM(B235:G235)</f>
        <v/>
      </c>
      <c r="I235">
        <f>B235+D235+F235</f>
        <v/>
      </c>
      <c r="J235">
        <f>C235+E235+G235</f>
        <v/>
      </c>
      <c r="K235">
        <f>H235-B235</f>
        <v/>
      </c>
      <c r="L235">
        <f>H235-C235</f>
        <v/>
      </c>
      <c r="M235">
        <f>H235-D235</f>
        <v/>
      </c>
      <c r="N235">
        <f>H235-E235</f>
        <v/>
      </c>
      <c r="O235">
        <f>H235-F235</f>
        <v/>
      </c>
      <c r="P235">
        <f>H235-G235</f>
        <v/>
      </c>
    </row>
    <row r="236">
      <c r="A236" t="n">
        <v>235</v>
      </c>
      <c r="B236" t="n">
        <v>1</v>
      </c>
      <c r="C236" t="n">
        <v>2</v>
      </c>
      <c r="D236" t="n">
        <v>2</v>
      </c>
      <c r="E236" t="n">
        <v>1</v>
      </c>
      <c r="F236" t="n">
        <v>2</v>
      </c>
      <c r="G236" t="n">
        <v>1</v>
      </c>
      <c r="H236">
        <f>SUM(B236:G236)</f>
        <v/>
      </c>
      <c r="I236">
        <f>B236+D236+F236</f>
        <v/>
      </c>
      <c r="J236">
        <f>C236+E236+G236</f>
        <v/>
      </c>
      <c r="K236">
        <f>H236-B236</f>
        <v/>
      </c>
      <c r="L236">
        <f>H236-C236</f>
        <v/>
      </c>
      <c r="M236">
        <f>H236-D236</f>
        <v/>
      </c>
      <c r="N236">
        <f>H236-E236</f>
        <v/>
      </c>
      <c r="O236">
        <f>H236-F236</f>
        <v/>
      </c>
      <c r="P236">
        <f>H236-G236</f>
        <v/>
      </c>
    </row>
    <row r="237">
      <c r="A237" t="n">
        <v>236</v>
      </c>
      <c r="B237" t="n">
        <v>1</v>
      </c>
      <c r="C237" t="n">
        <v>1</v>
      </c>
      <c r="D237" t="n">
        <v>2</v>
      </c>
      <c r="E237" t="n">
        <v>2</v>
      </c>
      <c r="F237" t="n">
        <v>1</v>
      </c>
      <c r="G237" t="n">
        <v>1</v>
      </c>
      <c r="H237">
        <f>SUM(B237:G237)</f>
        <v/>
      </c>
      <c r="I237">
        <f>B237+D237+F237</f>
        <v/>
      </c>
      <c r="J237">
        <f>C237+E237+G237</f>
        <v/>
      </c>
      <c r="K237">
        <f>H237-B237</f>
        <v/>
      </c>
      <c r="L237">
        <f>H237-C237</f>
        <v/>
      </c>
      <c r="M237">
        <f>H237-D237</f>
        <v/>
      </c>
      <c r="N237">
        <f>H237-E237</f>
        <v/>
      </c>
      <c r="O237">
        <f>H237-F237</f>
        <v/>
      </c>
      <c r="P237">
        <f>H237-G237</f>
        <v/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2</v>
      </c>
      <c r="F238" t="n">
        <v>1</v>
      </c>
      <c r="G238" t="n">
        <v>1</v>
      </c>
      <c r="H238">
        <f>SUM(B238:G238)</f>
        <v/>
      </c>
      <c r="I238">
        <f>B238+D238+F238</f>
        <v/>
      </c>
      <c r="J238">
        <f>C238+E238+G238</f>
        <v/>
      </c>
      <c r="K238">
        <f>H238-B238</f>
        <v/>
      </c>
      <c r="L238">
        <f>H238-C238</f>
        <v/>
      </c>
      <c r="M238">
        <f>H238-D238</f>
        <v/>
      </c>
      <c r="N238">
        <f>H238-E238</f>
        <v/>
      </c>
      <c r="O238">
        <f>H238-F238</f>
        <v/>
      </c>
      <c r="P238">
        <f>H238-G238</f>
        <v/>
      </c>
    </row>
    <row r="239">
      <c r="A239" t="n">
        <v>238</v>
      </c>
      <c r="B239" t="n">
        <v>1</v>
      </c>
      <c r="C239" t="n">
        <v>1</v>
      </c>
      <c r="D239" t="n">
        <v>2</v>
      </c>
      <c r="E239" t="n">
        <v>2</v>
      </c>
      <c r="F239" t="n">
        <v>1</v>
      </c>
      <c r="G239" t="n">
        <v>1</v>
      </c>
      <c r="H239">
        <f>SUM(B239:G239)</f>
        <v/>
      </c>
      <c r="I239">
        <f>B239+D239+F239</f>
        <v/>
      </c>
      <c r="J239">
        <f>C239+E239+G239</f>
        <v/>
      </c>
      <c r="K239">
        <f>H239-B239</f>
        <v/>
      </c>
      <c r="L239">
        <f>H239-C239</f>
        <v/>
      </c>
      <c r="M239">
        <f>H239-D239</f>
        <v/>
      </c>
      <c r="N239">
        <f>H239-E239</f>
        <v/>
      </c>
      <c r="O239">
        <f>H239-F239</f>
        <v/>
      </c>
      <c r="P239">
        <f>H239-G239</f>
        <v/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1</v>
      </c>
      <c r="F240" t="n">
        <v>1</v>
      </c>
      <c r="G240" t="n">
        <v>2</v>
      </c>
      <c r="H240">
        <f>SUM(B240:G240)</f>
        <v/>
      </c>
      <c r="I240">
        <f>B240+D240+F240</f>
        <v/>
      </c>
      <c r="J240">
        <f>C240+E240+G240</f>
        <v/>
      </c>
      <c r="K240">
        <f>H240-B240</f>
        <v/>
      </c>
      <c r="L240">
        <f>H240-C240</f>
        <v/>
      </c>
      <c r="M240">
        <f>H240-D240</f>
        <v/>
      </c>
      <c r="N240">
        <f>H240-E240</f>
        <v/>
      </c>
      <c r="O240">
        <f>H240-F240</f>
        <v/>
      </c>
      <c r="P240">
        <f>H240-G240</f>
        <v/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1</v>
      </c>
      <c r="F241" t="n">
        <v>1</v>
      </c>
      <c r="G241" t="n">
        <v>2</v>
      </c>
      <c r="H241">
        <f>SUM(B241:G241)</f>
        <v/>
      </c>
      <c r="I241">
        <f>B241+D241+F241</f>
        <v/>
      </c>
      <c r="J241">
        <f>C241+E241+G241</f>
        <v/>
      </c>
      <c r="K241">
        <f>H241-B241</f>
        <v/>
      </c>
      <c r="L241">
        <f>H241-C241</f>
        <v/>
      </c>
      <c r="M241">
        <f>H241-D241</f>
        <v/>
      </c>
      <c r="N241">
        <f>H241-E241</f>
        <v/>
      </c>
      <c r="O241">
        <f>H241-F241</f>
        <v/>
      </c>
      <c r="P241">
        <f>H241-G241</f>
        <v/>
      </c>
    </row>
    <row r="242">
      <c r="A242" t="n">
        <v>241</v>
      </c>
      <c r="B242" t="n">
        <v>1</v>
      </c>
      <c r="C242" t="n">
        <v>2</v>
      </c>
      <c r="D242" t="n">
        <v>2</v>
      </c>
      <c r="E242" t="n">
        <v>1</v>
      </c>
      <c r="F242" t="n">
        <v>1</v>
      </c>
      <c r="G242" t="n">
        <v>2</v>
      </c>
      <c r="H242">
        <f>SUM(B242:G242)</f>
        <v/>
      </c>
      <c r="I242">
        <f>B242+D242+F242</f>
        <v/>
      </c>
      <c r="J242">
        <f>C242+E242+G242</f>
        <v/>
      </c>
      <c r="K242">
        <f>H242-B242</f>
        <v/>
      </c>
      <c r="L242">
        <f>H242-C242</f>
        <v/>
      </c>
      <c r="M242">
        <f>H242-D242</f>
        <v/>
      </c>
      <c r="N242">
        <f>H242-E242</f>
        <v/>
      </c>
      <c r="O242">
        <f>H242-F242</f>
        <v/>
      </c>
      <c r="P242">
        <f>H242-G242</f>
        <v/>
      </c>
    </row>
    <row r="243">
      <c r="A243" t="n">
        <v>242</v>
      </c>
      <c r="B243" t="n">
        <v>1</v>
      </c>
      <c r="C243" t="n">
        <v>2</v>
      </c>
      <c r="D243" t="n">
        <v>2</v>
      </c>
      <c r="E243" t="n">
        <v>1</v>
      </c>
      <c r="F243" t="n">
        <v>2</v>
      </c>
      <c r="G243" t="n">
        <v>2</v>
      </c>
      <c r="H243">
        <f>SUM(B243:G243)</f>
        <v/>
      </c>
      <c r="I243">
        <f>B243+D243+F243</f>
        <v/>
      </c>
      <c r="J243">
        <f>C243+E243+G243</f>
        <v/>
      </c>
      <c r="K243">
        <f>H243-B243</f>
        <v/>
      </c>
      <c r="L243">
        <f>H243-C243</f>
        <v/>
      </c>
      <c r="M243">
        <f>H243-D243</f>
        <v/>
      </c>
      <c r="N243">
        <f>H243-E243</f>
        <v/>
      </c>
      <c r="O243">
        <f>H243-F243</f>
        <v/>
      </c>
      <c r="P243">
        <f>H243-G243</f>
        <v/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2</v>
      </c>
      <c r="F244" t="n">
        <v>2</v>
      </c>
      <c r="G244" t="n">
        <v>1</v>
      </c>
      <c r="H244">
        <f>SUM(B244:G244)</f>
        <v/>
      </c>
      <c r="I244">
        <f>B244+D244+F244</f>
        <v/>
      </c>
      <c r="J244">
        <f>C244+E244+G244</f>
        <v/>
      </c>
      <c r="K244">
        <f>H244-B244</f>
        <v/>
      </c>
      <c r="L244">
        <f>H244-C244</f>
        <v/>
      </c>
      <c r="M244">
        <f>H244-D244</f>
        <v/>
      </c>
      <c r="N244">
        <f>H244-E244</f>
        <v/>
      </c>
      <c r="O244">
        <f>H244-F244</f>
        <v/>
      </c>
      <c r="P244">
        <f>H244-G244</f>
        <v/>
      </c>
    </row>
    <row r="245">
      <c r="A245" t="n">
        <v>244</v>
      </c>
      <c r="B245" t="n">
        <v>1</v>
      </c>
      <c r="C245" t="n">
        <v>2</v>
      </c>
      <c r="D245" t="n">
        <v>2</v>
      </c>
      <c r="E245" t="n">
        <v>1</v>
      </c>
      <c r="F245" t="n">
        <v>1</v>
      </c>
      <c r="G245" t="n">
        <v>2</v>
      </c>
      <c r="H245">
        <f>SUM(B245:G245)</f>
        <v/>
      </c>
      <c r="I245">
        <f>B245+D245+F245</f>
        <v/>
      </c>
      <c r="J245">
        <f>C245+E245+G245</f>
        <v/>
      </c>
      <c r="K245">
        <f>H245-B245</f>
        <v/>
      </c>
      <c r="L245">
        <f>H245-C245</f>
        <v/>
      </c>
      <c r="M245">
        <f>H245-D245</f>
        <v/>
      </c>
      <c r="N245">
        <f>H245-E245</f>
        <v/>
      </c>
      <c r="O245">
        <f>H245-F245</f>
        <v/>
      </c>
      <c r="P245">
        <f>H245-G245</f>
        <v/>
      </c>
    </row>
    <row r="246">
      <c r="A246" t="n">
        <v>245</v>
      </c>
      <c r="B246" t="n">
        <v>2</v>
      </c>
      <c r="C246" t="n">
        <v>1</v>
      </c>
      <c r="D246" t="n">
        <v>2</v>
      </c>
      <c r="E246" t="n">
        <v>2</v>
      </c>
      <c r="F246" t="n">
        <v>1</v>
      </c>
      <c r="G246" t="n">
        <v>2</v>
      </c>
      <c r="H246">
        <f>SUM(B246:G246)</f>
        <v/>
      </c>
      <c r="I246">
        <f>B246+D246+F246</f>
        <v/>
      </c>
      <c r="J246">
        <f>C246+E246+G246</f>
        <v/>
      </c>
      <c r="K246">
        <f>H246-B246</f>
        <v/>
      </c>
      <c r="L246">
        <f>H246-C246</f>
        <v/>
      </c>
      <c r="M246">
        <f>H246-D246</f>
        <v/>
      </c>
      <c r="N246">
        <f>H246-E246</f>
        <v/>
      </c>
      <c r="O246">
        <f>H246-F246</f>
        <v/>
      </c>
      <c r="P246">
        <f>H246-G246</f>
        <v/>
      </c>
    </row>
    <row r="247">
      <c r="A247" t="n">
        <v>246</v>
      </c>
      <c r="B247" t="n">
        <v>2</v>
      </c>
      <c r="C247" t="n">
        <v>2</v>
      </c>
      <c r="D247" t="n">
        <v>1</v>
      </c>
      <c r="E247" t="n">
        <v>1</v>
      </c>
      <c r="F247" t="n">
        <v>2</v>
      </c>
      <c r="G247" t="n">
        <v>2</v>
      </c>
      <c r="H247">
        <f>SUM(B247:G247)</f>
        <v/>
      </c>
      <c r="I247">
        <f>B247+D247+F247</f>
        <v/>
      </c>
      <c r="J247">
        <f>C247+E247+G247</f>
        <v/>
      </c>
      <c r="K247">
        <f>H247-B247</f>
        <v/>
      </c>
      <c r="L247">
        <f>H247-C247</f>
        <v/>
      </c>
      <c r="M247">
        <f>H247-D247</f>
        <v/>
      </c>
      <c r="N247">
        <f>H247-E247</f>
        <v/>
      </c>
      <c r="O247">
        <f>H247-F247</f>
        <v/>
      </c>
      <c r="P247">
        <f>H247-G247</f>
        <v/>
      </c>
    </row>
    <row r="248">
      <c r="A248" t="n">
        <v>247</v>
      </c>
      <c r="B248" t="n">
        <v>1</v>
      </c>
      <c r="C248" t="n">
        <v>2</v>
      </c>
      <c r="D248" t="n">
        <v>2</v>
      </c>
      <c r="E248" t="n">
        <v>1</v>
      </c>
      <c r="F248" t="n">
        <v>2</v>
      </c>
      <c r="G248" t="n">
        <v>2</v>
      </c>
      <c r="H248">
        <f>SUM(B248:G248)</f>
        <v/>
      </c>
      <c r="I248">
        <f>B248+D248+F248</f>
        <v/>
      </c>
      <c r="J248">
        <f>C248+E248+G248</f>
        <v/>
      </c>
      <c r="K248">
        <f>H248-B248</f>
        <v/>
      </c>
      <c r="L248">
        <f>H248-C248</f>
        <v/>
      </c>
      <c r="M248">
        <f>H248-D248</f>
        <v/>
      </c>
      <c r="N248">
        <f>H248-E248</f>
        <v/>
      </c>
      <c r="O248">
        <f>H248-F248</f>
        <v/>
      </c>
      <c r="P248">
        <f>H248-G248</f>
        <v/>
      </c>
    </row>
    <row r="249">
      <c r="A249" t="n">
        <v>248</v>
      </c>
      <c r="B249" t="n">
        <v>2</v>
      </c>
      <c r="C249" t="n">
        <v>2</v>
      </c>
      <c r="D249" t="n">
        <v>1</v>
      </c>
      <c r="E249" t="n">
        <v>2</v>
      </c>
      <c r="F249" t="n">
        <v>2</v>
      </c>
      <c r="G249" t="n">
        <v>2</v>
      </c>
      <c r="H249">
        <f>SUM(B249:G249)</f>
        <v/>
      </c>
      <c r="I249">
        <f>B249+D249+F249</f>
        <v/>
      </c>
      <c r="J249">
        <f>C249+E249+G249</f>
        <v/>
      </c>
      <c r="K249">
        <f>H249-B249</f>
        <v/>
      </c>
      <c r="L249">
        <f>H249-C249</f>
        <v/>
      </c>
      <c r="M249">
        <f>H249-D249</f>
        <v/>
      </c>
      <c r="N249">
        <f>H249-E249</f>
        <v/>
      </c>
      <c r="O249">
        <f>H249-F249</f>
        <v/>
      </c>
      <c r="P249">
        <f>H249-G249</f>
        <v/>
      </c>
    </row>
    <row r="251">
      <c r="A251" t="inlineStr">
        <is>
          <t>Variance (n-1)</t>
        </is>
      </c>
      <c r="B251">
        <f>VAR(B2:B249)</f>
        <v/>
      </c>
      <c r="C251">
        <f>VAR(C2:C249)</f>
        <v/>
      </c>
      <c r="D251">
        <f>VAR(D2:D249)</f>
        <v/>
      </c>
      <c r="E251">
        <f>VAR(E2:E249)</f>
        <v/>
      </c>
      <c r="F251">
        <f>VAR(F2:F249)</f>
        <v/>
      </c>
      <c r="G251">
        <f>VAR(G2:G249)</f>
        <v/>
      </c>
      <c r="H251">
        <f>VAR(H2:H249)</f>
        <v/>
      </c>
    </row>
    <row r="252">
      <c r="A252" t="inlineStr">
        <is>
          <t>Corrected item-total r</t>
        </is>
      </c>
      <c r="B252">
        <f>CORREL(B2:B249,K2:K249)</f>
        <v/>
      </c>
      <c r="C252">
        <f>CORREL(C2:C249,L2:L249)</f>
        <v/>
      </c>
      <c r="D252">
        <f>CORREL(D2:D249,M2:M249)</f>
        <v/>
      </c>
      <c r="E252">
        <f>CORREL(E2:E249,N2:N249)</f>
        <v/>
      </c>
      <c r="F252">
        <f>CORREL(F2:F249,O2:O249)</f>
        <v/>
      </c>
      <c r="G252">
        <f>CORREL(G2:G249,P2:P249)</f>
        <v/>
      </c>
    </row>
    <row r="253">
      <c r="A253" t="inlineStr">
        <is>
          <t>Cronbach alpha</t>
        </is>
      </c>
      <c r="B253">
        <f>6/5*(1-SUM(B251:G251)/H251)</f>
        <v/>
      </c>
    </row>
    <row r="254">
      <c r="A254" t="inlineStr">
        <is>
          <t>Odd-even r</t>
        </is>
      </c>
      <c r="B254">
        <f>CORREL(I2:I249,J2:J249)</f>
        <v/>
      </c>
    </row>
    <row r="255">
      <c r="A255" t="inlineStr">
        <is>
          <t>Spearman-Brown</t>
        </is>
      </c>
      <c r="B255">
        <f>2*B254/(1+B254)</f>
        <v/>
      </c>
    </row>
    <row r="257">
      <c r="A257" t="inlineStr">
        <is>
          <t>Source: Zenodo 10.5281/zenodo.22057938, DATAUPDATE.csv, columns SCR1-SCR6 (real respondent data, n=248). No simulated data.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0" t="inlineStr">
        <is>
          <t>SCRMC1</t>
        </is>
      </c>
      <c r="B1" s="10" t="inlineStr">
        <is>
          <t>SCRMC2</t>
        </is>
      </c>
      <c r="C1" s="10" t="inlineStr">
        <is>
          <t>SCRMC3</t>
        </is>
      </c>
      <c r="D1" s="10" t="inlineStr">
        <is>
          <t>SCRMC4</t>
        </is>
      </c>
      <c r="E1" s="10" t="inlineStr">
        <is>
          <t>SCA1</t>
        </is>
      </c>
      <c r="F1" s="10" t="inlineStr">
        <is>
          <t>SCA2</t>
        </is>
      </c>
      <c r="G1" s="10" t="inlineStr">
        <is>
          <t>SCA3</t>
        </is>
      </c>
      <c r="H1" s="10" t="inlineStr">
        <is>
          <t>SCA4</t>
        </is>
      </c>
      <c r="I1" s="10" t="inlineStr">
        <is>
          <t>SCR1</t>
        </is>
      </c>
      <c r="J1" s="10" t="inlineStr">
        <is>
          <t>SCR2</t>
        </is>
      </c>
      <c r="K1" s="10" t="inlineStr">
        <is>
          <t>SCR3</t>
        </is>
      </c>
      <c r="L1" s="10" t="inlineStr">
        <is>
          <t>SCR4</t>
        </is>
      </c>
      <c r="M1" s="10" t="inlineStr">
        <is>
          <t>SCR5</t>
        </is>
      </c>
      <c r="N1" s="10" t="inlineStr">
        <is>
          <t>SCR6</t>
        </is>
      </c>
      <c r="O1" s="10" t="inlineStr">
        <is>
          <t>BP1</t>
        </is>
      </c>
      <c r="P1" s="10" t="inlineStr">
        <is>
          <t>BP2</t>
        </is>
      </c>
      <c r="Q1" s="10" t="inlineStr">
        <is>
          <t>BP3</t>
        </is>
      </c>
      <c r="R1" s="10" t="inlineStr">
        <is>
          <t>BP4</t>
        </is>
      </c>
    </row>
    <row r="2">
      <c r="A2" t="n">
        <v>5</v>
      </c>
      <c r="B2" t="n">
        <v>4</v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A3" t="n">
        <v>5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</row>
    <row r="4">
      <c r="A4" t="n">
        <v>5</v>
      </c>
      <c r="B4" t="n">
        <v>4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1</v>
      </c>
      <c r="J4" t="n">
        <v>1</v>
      </c>
      <c r="K4" t="n">
        <v>2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5</v>
      </c>
      <c r="R4" t="n">
        <v>5</v>
      </c>
    </row>
    <row r="5">
      <c r="A5" t="n">
        <v>5</v>
      </c>
      <c r="B5" t="n">
        <v>4</v>
      </c>
      <c r="C5" t="n">
        <v>5</v>
      </c>
      <c r="D5" t="n">
        <v>4</v>
      </c>
      <c r="E5" t="n">
        <v>3</v>
      </c>
      <c r="F5" t="n">
        <v>4</v>
      </c>
      <c r="G5" t="n">
        <v>5</v>
      </c>
      <c r="H5" t="n">
        <v>5</v>
      </c>
      <c r="I5" t="n">
        <v>2</v>
      </c>
      <c r="J5" t="n">
        <v>1</v>
      </c>
      <c r="K5" t="n">
        <v>1</v>
      </c>
      <c r="L5" t="n">
        <v>5</v>
      </c>
      <c r="M5" t="n">
        <v>5</v>
      </c>
      <c r="N5" t="n">
        <v>4</v>
      </c>
      <c r="O5" t="n">
        <v>4</v>
      </c>
      <c r="P5" t="n">
        <v>3</v>
      </c>
      <c r="Q5" t="n">
        <v>4</v>
      </c>
      <c r="R5" t="n">
        <v>5</v>
      </c>
    </row>
    <row r="6">
      <c r="A6" t="n">
        <v>5</v>
      </c>
      <c r="B6" t="n">
        <v>4</v>
      </c>
      <c r="C6" t="n">
        <v>4</v>
      </c>
      <c r="D6" t="n">
        <v>5</v>
      </c>
      <c r="E6" t="n">
        <v>3</v>
      </c>
      <c r="F6" t="n">
        <v>4</v>
      </c>
      <c r="G6" t="n">
        <v>4</v>
      </c>
      <c r="H6" t="n">
        <v>5</v>
      </c>
      <c r="I6" t="n">
        <v>1</v>
      </c>
      <c r="J6" t="n">
        <v>3</v>
      </c>
      <c r="K6" t="n">
        <v>1</v>
      </c>
      <c r="L6" t="n">
        <v>5</v>
      </c>
      <c r="M6" t="n">
        <v>5</v>
      </c>
      <c r="N6" t="n">
        <v>4</v>
      </c>
      <c r="O6" t="n">
        <v>4</v>
      </c>
      <c r="P6" t="n">
        <v>3</v>
      </c>
      <c r="Q6" t="n">
        <v>5</v>
      </c>
      <c r="R6" t="n">
        <v>4</v>
      </c>
    </row>
    <row r="7">
      <c r="A7" t="n">
        <v>5</v>
      </c>
      <c r="B7" t="n">
        <v>4</v>
      </c>
      <c r="C7" t="n">
        <v>3</v>
      </c>
      <c r="D7" t="n">
        <v>4</v>
      </c>
      <c r="E7" t="n">
        <v>5</v>
      </c>
      <c r="F7" t="n">
        <v>5</v>
      </c>
      <c r="G7" t="n">
        <v>4</v>
      </c>
      <c r="H7" t="n">
        <v>5</v>
      </c>
      <c r="I7" t="n">
        <v>2</v>
      </c>
      <c r="J7" t="n">
        <v>2</v>
      </c>
      <c r="K7" t="n">
        <v>1</v>
      </c>
      <c r="L7" t="n">
        <v>4</v>
      </c>
      <c r="M7" t="n">
        <v>5</v>
      </c>
      <c r="N7" t="n">
        <v>4</v>
      </c>
      <c r="O7" t="n">
        <v>4</v>
      </c>
      <c r="P7" t="n">
        <v>3</v>
      </c>
      <c r="Q7" t="n">
        <v>4</v>
      </c>
      <c r="R7" t="n">
        <v>5</v>
      </c>
    </row>
    <row r="8">
      <c r="A8" t="n">
        <v>5</v>
      </c>
      <c r="B8" t="n">
        <v>4</v>
      </c>
      <c r="C8" t="n">
        <v>3</v>
      </c>
      <c r="D8" t="n">
        <v>4</v>
      </c>
      <c r="E8" t="n">
        <v>5</v>
      </c>
      <c r="F8" t="n">
        <v>4</v>
      </c>
      <c r="G8" t="n">
        <v>3</v>
      </c>
      <c r="H8" t="n">
        <v>4</v>
      </c>
      <c r="I8" t="n">
        <v>2</v>
      </c>
      <c r="J8" t="n">
        <v>1</v>
      </c>
      <c r="K8" t="n">
        <v>1</v>
      </c>
      <c r="L8" t="n">
        <v>5</v>
      </c>
      <c r="M8" t="n">
        <v>5</v>
      </c>
      <c r="N8" t="n">
        <v>4</v>
      </c>
      <c r="O8" t="n">
        <v>4</v>
      </c>
      <c r="P8" t="n">
        <v>4</v>
      </c>
      <c r="Q8" t="n">
        <v>4</v>
      </c>
      <c r="R8" t="n">
        <v>5</v>
      </c>
    </row>
    <row r="9">
      <c r="A9" t="n">
        <v>5</v>
      </c>
      <c r="B9" t="n">
        <v>4</v>
      </c>
      <c r="C9" t="n">
        <v>3</v>
      </c>
      <c r="D9" t="n">
        <v>4</v>
      </c>
      <c r="E9" t="n">
        <v>5</v>
      </c>
      <c r="F9" t="n">
        <v>5</v>
      </c>
      <c r="G9" t="n">
        <v>4</v>
      </c>
      <c r="H9" t="n">
        <v>4</v>
      </c>
      <c r="I9" t="n">
        <v>1</v>
      </c>
      <c r="J9" t="n">
        <v>3</v>
      </c>
      <c r="K9" t="n">
        <v>1</v>
      </c>
      <c r="L9" t="n">
        <v>5</v>
      </c>
      <c r="M9" t="n">
        <v>5</v>
      </c>
      <c r="N9" t="n">
        <v>4</v>
      </c>
      <c r="O9" t="n">
        <v>4</v>
      </c>
      <c r="P9" t="n">
        <v>3</v>
      </c>
      <c r="Q9" t="n">
        <v>5</v>
      </c>
      <c r="R9" t="n">
        <v>5</v>
      </c>
    </row>
    <row r="10">
      <c r="A10" t="n">
        <v>5</v>
      </c>
      <c r="B10" t="n">
        <v>4</v>
      </c>
      <c r="C10" t="n">
        <v>4</v>
      </c>
      <c r="D10" t="n">
        <v>5</v>
      </c>
      <c r="E10" t="n">
        <v>4</v>
      </c>
      <c r="F10" t="n">
        <v>5</v>
      </c>
      <c r="G10" t="n">
        <v>4</v>
      </c>
      <c r="H10" t="n">
        <v>3</v>
      </c>
      <c r="I10" t="n">
        <v>1</v>
      </c>
      <c r="J10" t="n">
        <v>1</v>
      </c>
      <c r="K10" t="n">
        <v>2</v>
      </c>
      <c r="L10" t="n">
        <v>4</v>
      </c>
      <c r="M10" t="n">
        <v>5</v>
      </c>
      <c r="N10" t="n">
        <v>4</v>
      </c>
      <c r="O10" t="n">
        <v>4</v>
      </c>
      <c r="P10" t="n">
        <v>3</v>
      </c>
      <c r="Q10" t="n">
        <v>4</v>
      </c>
      <c r="R10" t="n">
        <v>5</v>
      </c>
    </row>
    <row r="11">
      <c r="A11" t="n">
        <v>5</v>
      </c>
      <c r="B11" t="n">
        <v>4</v>
      </c>
      <c r="C11" t="n">
        <v>4</v>
      </c>
      <c r="D11" t="n">
        <v>5</v>
      </c>
      <c r="E11" t="n">
        <v>5</v>
      </c>
      <c r="F11" t="n">
        <v>4</v>
      </c>
      <c r="G11" t="n">
        <v>3</v>
      </c>
      <c r="H11" t="n">
        <v>4</v>
      </c>
      <c r="I11" t="n">
        <v>1</v>
      </c>
      <c r="J11" t="n">
        <v>3</v>
      </c>
      <c r="K11" t="n">
        <v>1</v>
      </c>
      <c r="L11" t="n">
        <v>4</v>
      </c>
      <c r="M11" t="n">
        <v>5</v>
      </c>
      <c r="N11" t="n">
        <v>5</v>
      </c>
      <c r="O11" t="n">
        <v>4</v>
      </c>
      <c r="P11" t="n">
        <v>3</v>
      </c>
      <c r="Q11" t="n">
        <v>4</v>
      </c>
      <c r="R11" t="n">
        <v>5</v>
      </c>
    </row>
    <row r="12">
      <c r="A12" t="n">
        <v>5</v>
      </c>
      <c r="B12" t="n">
        <v>3</v>
      </c>
      <c r="C12" t="n">
        <v>5</v>
      </c>
      <c r="D12" t="n">
        <v>5</v>
      </c>
      <c r="E12" t="n">
        <v>4</v>
      </c>
      <c r="F12" t="n">
        <v>4</v>
      </c>
      <c r="G12" t="n">
        <v>5</v>
      </c>
      <c r="H12" t="n">
        <v>4</v>
      </c>
      <c r="I12" t="n">
        <v>2</v>
      </c>
      <c r="J12" t="n">
        <v>1</v>
      </c>
      <c r="K12" t="n">
        <v>3</v>
      </c>
      <c r="L12" t="n">
        <v>4</v>
      </c>
      <c r="M12" t="n">
        <v>4</v>
      </c>
      <c r="N12" t="n">
        <v>5</v>
      </c>
      <c r="O12" t="n">
        <v>4</v>
      </c>
      <c r="P12" t="n">
        <v>3</v>
      </c>
      <c r="Q12" t="n">
        <v>4</v>
      </c>
      <c r="R12" t="n">
        <v>5</v>
      </c>
    </row>
    <row r="13">
      <c r="A13" t="n">
        <v>5</v>
      </c>
      <c r="B13" t="n">
        <v>4</v>
      </c>
      <c r="C13" t="n">
        <v>3</v>
      </c>
      <c r="D13" t="n">
        <v>4</v>
      </c>
      <c r="E13" t="n">
        <v>5</v>
      </c>
      <c r="F13" t="n">
        <v>5</v>
      </c>
      <c r="G13" t="n">
        <v>4</v>
      </c>
      <c r="H13" t="n">
        <v>4</v>
      </c>
      <c r="I13" t="n">
        <v>2</v>
      </c>
      <c r="J13" t="n">
        <v>1</v>
      </c>
      <c r="K13" t="n">
        <v>2</v>
      </c>
      <c r="L13" t="n">
        <v>4</v>
      </c>
      <c r="M13" t="n">
        <v>3</v>
      </c>
      <c r="N13" t="n">
        <v>4</v>
      </c>
      <c r="O13" t="n">
        <v>5</v>
      </c>
      <c r="P13" t="n">
        <v>5</v>
      </c>
      <c r="Q13" t="n">
        <v>4</v>
      </c>
      <c r="R13" t="n">
        <v>5</v>
      </c>
    </row>
    <row r="14">
      <c r="A14" t="n">
        <v>5</v>
      </c>
      <c r="B14" t="n">
        <v>3</v>
      </c>
      <c r="C14" t="n">
        <v>4</v>
      </c>
      <c r="D14" t="n">
        <v>5</v>
      </c>
      <c r="E14" t="n">
        <v>4</v>
      </c>
      <c r="F14" t="n">
        <v>5</v>
      </c>
      <c r="G14" t="n">
        <v>3</v>
      </c>
      <c r="H14" t="n">
        <v>4</v>
      </c>
      <c r="I14" t="n">
        <v>2</v>
      </c>
      <c r="J14" t="n">
        <v>1</v>
      </c>
      <c r="K14" t="n">
        <v>3</v>
      </c>
      <c r="L14" t="n">
        <v>4</v>
      </c>
      <c r="M14" t="n">
        <v>5</v>
      </c>
      <c r="N14" t="n">
        <v>4</v>
      </c>
      <c r="O14" t="n">
        <v>4</v>
      </c>
      <c r="P14" t="n">
        <v>5</v>
      </c>
      <c r="Q14" t="n">
        <v>4</v>
      </c>
      <c r="R14" t="n">
        <v>4</v>
      </c>
    </row>
    <row r="15">
      <c r="A15" t="n">
        <v>4</v>
      </c>
      <c r="B15" t="n">
        <v>5</v>
      </c>
      <c r="C15" t="n">
        <v>5</v>
      </c>
      <c r="D15" t="n">
        <v>5</v>
      </c>
      <c r="E15" t="n">
        <v>3</v>
      </c>
      <c r="F15" t="n">
        <v>5</v>
      </c>
      <c r="G15" t="n">
        <v>4</v>
      </c>
      <c r="H15" t="n">
        <v>5</v>
      </c>
      <c r="I15" t="n">
        <v>2</v>
      </c>
      <c r="J15" t="n">
        <v>2</v>
      </c>
      <c r="K15" t="n">
        <v>1</v>
      </c>
      <c r="L15" t="n">
        <v>5</v>
      </c>
      <c r="M15" t="n">
        <v>5</v>
      </c>
      <c r="N15" t="n">
        <v>4</v>
      </c>
      <c r="O15" t="n">
        <v>5</v>
      </c>
      <c r="P15" t="n">
        <v>5</v>
      </c>
      <c r="Q15" t="n">
        <v>4</v>
      </c>
      <c r="R15" t="n">
        <v>4</v>
      </c>
    </row>
    <row r="16">
      <c r="A16" t="n">
        <v>5</v>
      </c>
      <c r="B16" t="n">
        <v>4</v>
      </c>
      <c r="C16" t="n">
        <v>3</v>
      </c>
      <c r="D16" t="n">
        <v>5</v>
      </c>
      <c r="E16" t="n">
        <v>4</v>
      </c>
      <c r="F16" t="n">
        <v>5</v>
      </c>
      <c r="G16" t="n">
        <v>4</v>
      </c>
      <c r="H16" t="n">
        <v>5</v>
      </c>
      <c r="I16" t="n">
        <v>2</v>
      </c>
      <c r="J16" t="n">
        <v>2</v>
      </c>
      <c r="K16" t="n">
        <v>1</v>
      </c>
      <c r="L16" t="n">
        <v>4</v>
      </c>
      <c r="M16" t="n">
        <v>4</v>
      </c>
      <c r="N16" t="n">
        <v>4</v>
      </c>
      <c r="O16" t="n">
        <v>5</v>
      </c>
      <c r="P16" t="n">
        <v>4</v>
      </c>
      <c r="Q16" t="n">
        <v>4</v>
      </c>
      <c r="R16" t="n">
        <v>5</v>
      </c>
    </row>
    <row r="17">
      <c r="A17" t="n">
        <v>5</v>
      </c>
      <c r="B17" t="n">
        <v>3</v>
      </c>
      <c r="C17" t="n">
        <v>4</v>
      </c>
      <c r="D17" t="n">
        <v>5</v>
      </c>
      <c r="E17" t="n">
        <v>4</v>
      </c>
      <c r="F17" t="n">
        <v>5</v>
      </c>
      <c r="G17" t="n">
        <v>4</v>
      </c>
      <c r="H17" t="n">
        <v>4</v>
      </c>
      <c r="I17" t="n">
        <v>2</v>
      </c>
      <c r="J17" t="n">
        <v>1</v>
      </c>
      <c r="K17" t="n">
        <v>1</v>
      </c>
      <c r="L17" t="n">
        <v>3</v>
      </c>
      <c r="M17" t="n">
        <v>4</v>
      </c>
      <c r="N17" t="n">
        <v>5</v>
      </c>
      <c r="O17" t="n">
        <v>5</v>
      </c>
      <c r="P17" t="n">
        <v>4</v>
      </c>
      <c r="Q17" t="n">
        <v>4</v>
      </c>
      <c r="R17" t="n">
        <v>5</v>
      </c>
    </row>
    <row r="18">
      <c r="A18" t="n">
        <v>5</v>
      </c>
      <c r="B18" t="n">
        <v>4</v>
      </c>
      <c r="C18" t="n">
        <v>5</v>
      </c>
      <c r="D18" t="n">
        <v>5</v>
      </c>
      <c r="E18" t="n">
        <v>4</v>
      </c>
      <c r="F18" t="n">
        <v>5</v>
      </c>
      <c r="G18" t="n">
        <v>5</v>
      </c>
      <c r="H18" t="n">
        <v>5</v>
      </c>
      <c r="I18" t="n">
        <v>2</v>
      </c>
      <c r="J18" t="n">
        <v>2</v>
      </c>
      <c r="K18" t="n">
        <v>1</v>
      </c>
      <c r="L18" t="n">
        <v>4</v>
      </c>
      <c r="M18" t="n">
        <v>5</v>
      </c>
      <c r="N18" t="n">
        <v>4</v>
      </c>
      <c r="O18" t="n">
        <v>4</v>
      </c>
      <c r="P18" t="n">
        <v>3</v>
      </c>
      <c r="Q18" t="n">
        <v>4</v>
      </c>
      <c r="R18" t="n">
        <v>5</v>
      </c>
    </row>
    <row r="19">
      <c r="A19" t="n">
        <v>5</v>
      </c>
      <c r="B19" t="n">
        <v>3</v>
      </c>
      <c r="C19" t="n">
        <v>4</v>
      </c>
      <c r="D19" t="n">
        <v>5</v>
      </c>
      <c r="E19" t="n">
        <v>4</v>
      </c>
      <c r="F19" t="n">
        <v>3</v>
      </c>
      <c r="G19" t="n">
        <v>4</v>
      </c>
      <c r="H19" t="n">
        <v>5</v>
      </c>
      <c r="I19" t="n">
        <v>4</v>
      </c>
      <c r="J19" t="n">
        <v>5</v>
      </c>
      <c r="K19" t="n">
        <v>4</v>
      </c>
      <c r="L19" t="n">
        <v>4</v>
      </c>
      <c r="M19" t="n">
        <v>5</v>
      </c>
      <c r="N19" t="n">
        <v>4</v>
      </c>
      <c r="O19" t="n">
        <v>4</v>
      </c>
      <c r="P19" t="n">
        <v>3</v>
      </c>
      <c r="Q19" t="n">
        <v>4</v>
      </c>
      <c r="R19" t="n">
        <v>5</v>
      </c>
    </row>
    <row r="20">
      <c r="A20" t="n">
        <v>5</v>
      </c>
      <c r="B20" t="n">
        <v>3</v>
      </c>
      <c r="C20" t="n">
        <v>4</v>
      </c>
      <c r="D20" t="n">
        <v>5</v>
      </c>
      <c r="E20" t="n">
        <v>5</v>
      </c>
      <c r="F20" t="n">
        <v>3</v>
      </c>
      <c r="G20" t="n">
        <v>4</v>
      </c>
      <c r="H20" t="n">
        <v>5</v>
      </c>
      <c r="I20" t="n">
        <v>4</v>
      </c>
      <c r="J20" t="n">
        <v>3</v>
      </c>
      <c r="K20" t="n">
        <v>4</v>
      </c>
      <c r="L20" t="n">
        <v>5</v>
      </c>
      <c r="M20" t="n">
        <v>5</v>
      </c>
      <c r="N20" t="n">
        <v>4</v>
      </c>
      <c r="O20" t="n">
        <v>4</v>
      </c>
      <c r="P20" t="n">
        <v>3</v>
      </c>
      <c r="Q20" t="n">
        <v>5</v>
      </c>
      <c r="R20" t="n">
        <v>5</v>
      </c>
    </row>
    <row r="21">
      <c r="A21" t="n">
        <v>5</v>
      </c>
      <c r="B21" t="n">
        <v>4</v>
      </c>
      <c r="C21" t="n">
        <v>3</v>
      </c>
      <c r="D21" t="n">
        <v>4</v>
      </c>
      <c r="E21" t="n">
        <v>5</v>
      </c>
      <c r="F21" t="n">
        <v>4</v>
      </c>
      <c r="G21" t="n">
        <v>5</v>
      </c>
      <c r="H21" t="n">
        <v>4</v>
      </c>
      <c r="I21" t="n">
        <v>4</v>
      </c>
      <c r="J21" t="n">
        <v>5</v>
      </c>
      <c r="K21" t="n">
        <v>4</v>
      </c>
      <c r="L21" t="n">
        <v>3</v>
      </c>
      <c r="M21" t="n">
        <v>4</v>
      </c>
      <c r="N21" t="n">
        <v>5</v>
      </c>
      <c r="O21" t="n">
        <v>4</v>
      </c>
      <c r="P21" t="n">
        <v>3</v>
      </c>
      <c r="Q21" t="n">
        <v>5</v>
      </c>
      <c r="R21" t="n">
        <v>5</v>
      </c>
    </row>
    <row r="22">
      <c r="A22" t="n">
        <v>2</v>
      </c>
      <c r="B22" t="n">
        <v>1</v>
      </c>
      <c r="C22" t="n">
        <v>2</v>
      </c>
      <c r="D22" t="n">
        <v>2</v>
      </c>
      <c r="E22" t="n">
        <v>2</v>
      </c>
      <c r="F22" t="n">
        <v>1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2</v>
      </c>
      <c r="N22" t="n">
        <v>1</v>
      </c>
      <c r="O22" t="n">
        <v>1</v>
      </c>
      <c r="P22" t="n">
        <v>3</v>
      </c>
      <c r="Q22" t="n">
        <v>2</v>
      </c>
      <c r="R22" t="n">
        <v>2</v>
      </c>
    </row>
    <row r="23">
      <c r="A23" t="n">
        <v>2</v>
      </c>
      <c r="B23" t="n">
        <v>1</v>
      </c>
      <c r="C23" t="n">
        <v>3</v>
      </c>
      <c r="D23" t="n">
        <v>2</v>
      </c>
      <c r="E23" t="n">
        <v>1</v>
      </c>
      <c r="F23" t="n">
        <v>3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1</v>
      </c>
      <c r="M23" t="n">
        <v>2</v>
      </c>
      <c r="N23" t="n">
        <v>1</v>
      </c>
      <c r="O23" t="n">
        <v>1</v>
      </c>
      <c r="P23" t="n">
        <v>3</v>
      </c>
      <c r="Q23" t="n">
        <v>1</v>
      </c>
      <c r="R23" t="n">
        <v>2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1</v>
      </c>
      <c r="L24" t="n">
        <v>1</v>
      </c>
      <c r="M24" t="n">
        <v>2</v>
      </c>
      <c r="N24" t="n">
        <v>1</v>
      </c>
      <c r="O24" t="n">
        <v>1</v>
      </c>
      <c r="P24" t="n">
        <v>3</v>
      </c>
      <c r="Q24" t="n">
        <v>1</v>
      </c>
      <c r="R24" t="n">
        <v>2</v>
      </c>
    </row>
    <row r="25">
      <c r="A25" t="n">
        <v>2</v>
      </c>
      <c r="B25" t="n">
        <v>3</v>
      </c>
      <c r="C25" t="n">
        <v>1</v>
      </c>
      <c r="D25" t="n">
        <v>2</v>
      </c>
      <c r="E25" t="n">
        <v>1</v>
      </c>
      <c r="F25" t="n">
        <v>1</v>
      </c>
      <c r="G25" t="n">
        <v>2</v>
      </c>
      <c r="H25" t="n">
        <v>1</v>
      </c>
      <c r="I25" t="n">
        <v>3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1</v>
      </c>
      <c r="P25" t="n">
        <v>1</v>
      </c>
      <c r="Q25" t="n">
        <v>2</v>
      </c>
      <c r="R25" t="n">
        <v>2</v>
      </c>
    </row>
    <row r="26">
      <c r="A26" t="n">
        <v>2</v>
      </c>
      <c r="B26" t="n">
        <v>1</v>
      </c>
      <c r="C26" t="n">
        <v>3</v>
      </c>
      <c r="D26" t="n">
        <v>2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3</v>
      </c>
      <c r="K26" t="n">
        <v>1</v>
      </c>
      <c r="L26" t="n">
        <v>1</v>
      </c>
      <c r="M26" t="n">
        <v>2</v>
      </c>
      <c r="N26" t="n">
        <v>2</v>
      </c>
      <c r="O26" t="n">
        <v>1</v>
      </c>
      <c r="P26" t="n">
        <v>3</v>
      </c>
      <c r="Q26" t="n">
        <v>1</v>
      </c>
      <c r="R26" t="n">
        <v>2</v>
      </c>
    </row>
    <row r="27">
      <c r="A27" t="n">
        <v>2</v>
      </c>
      <c r="B27" t="n">
        <v>1</v>
      </c>
      <c r="C27" t="n">
        <v>3</v>
      </c>
      <c r="D27" t="n">
        <v>1</v>
      </c>
      <c r="E27" t="n">
        <v>2</v>
      </c>
      <c r="F27" t="n">
        <v>1</v>
      </c>
      <c r="G27" t="n">
        <v>2</v>
      </c>
      <c r="H27" t="n">
        <v>1</v>
      </c>
      <c r="I27" t="n">
        <v>2</v>
      </c>
      <c r="J27" t="n">
        <v>2</v>
      </c>
      <c r="K27" t="n">
        <v>3</v>
      </c>
      <c r="L27" t="n">
        <v>1</v>
      </c>
      <c r="M27" t="n">
        <v>3</v>
      </c>
      <c r="N27" t="n">
        <v>1</v>
      </c>
      <c r="O27" t="n">
        <v>2</v>
      </c>
      <c r="P27" t="n">
        <v>2</v>
      </c>
      <c r="Q27" t="n">
        <v>1</v>
      </c>
      <c r="R27" t="n">
        <v>2</v>
      </c>
    </row>
    <row r="28">
      <c r="A28" t="n">
        <v>2</v>
      </c>
      <c r="B28" t="n">
        <v>3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1</v>
      </c>
      <c r="L28" t="n">
        <v>2</v>
      </c>
      <c r="M28" t="n">
        <v>2</v>
      </c>
      <c r="N28" t="n">
        <v>1</v>
      </c>
      <c r="O28" t="n">
        <v>1</v>
      </c>
      <c r="P28" t="n">
        <v>3</v>
      </c>
      <c r="Q28" t="n">
        <v>1</v>
      </c>
      <c r="R28" t="n">
        <v>2</v>
      </c>
    </row>
    <row r="29">
      <c r="A29" t="n">
        <v>2</v>
      </c>
      <c r="B29" t="n">
        <v>1</v>
      </c>
      <c r="C29" t="n">
        <v>3</v>
      </c>
      <c r="D29" t="n">
        <v>2</v>
      </c>
      <c r="E29" t="n">
        <v>1</v>
      </c>
      <c r="F29" t="n">
        <v>2</v>
      </c>
      <c r="G29" t="n">
        <v>2</v>
      </c>
      <c r="H29" t="n">
        <v>1</v>
      </c>
      <c r="I29" t="n">
        <v>2</v>
      </c>
      <c r="J29" t="n">
        <v>2</v>
      </c>
      <c r="K29" t="n">
        <v>1</v>
      </c>
      <c r="L29" t="n">
        <v>1</v>
      </c>
      <c r="M29" t="n">
        <v>2</v>
      </c>
      <c r="N29" t="n">
        <v>1</v>
      </c>
      <c r="O29" t="n">
        <v>1</v>
      </c>
      <c r="P29" t="n">
        <v>3</v>
      </c>
      <c r="Q29" t="n">
        <v>1</v>
      </c>
      <c r="R29" t="n">
        <v>2</v>
      </c>
    </row>
    <row r="30">
      <c r="A30" t="n">
        <v>2</v>
      </c>
      <c r="B30" t="n">
        <v>1</v>
      </c>
      <c r="C30" t="n">
        <v>3</v>
      </c>
      <c r="D30" t="n">
        <v>1</v>
      </c>
      <c r="E30" t="n">
        <v>1</v>
      </c>
      <c r="F30" t="n">
        <v>1</v>
      </c>
      <c r="G30" t="n">
        <v>2</v>
      </c>
      <c r="H30" t="n">
        <v>3</v>
      </c>
      <c r="I30" t="n">
        <v>1</v>
      </c>
      <c r="J30" t="n">
        <v>2</v>
      </c>
      <c r="K30" t="n">
        <v>1</v>
      </c>
      <c r="L30" t="n">
        <v>3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n">
        <v>2</v>
      </c>
    </row>
    <row r="31">
      <c r="A31" t="n">
        <v>2</v>
      </c>
      <c r="B31" t="n">
        <v>3</v>
      </c>
      <c r="C31" t="n">
        <v>2</v>
      </c>
      <c r="D31" t="n">
        <v>1</v>
      </c>
      <c r="E31" t="n">
        <v>3</v>
      </c>
      <c r="F31" t="n">
        <v>2</v>
      </c>
      <c r="G31" t="n">
        <v>2</v>
      </c>
      <c r="H31" t="n">
        <v>1</v>
      </c>
      <c r="I31" t="n">
        <v>1</v>
      </c>
      <c r="J31" t="n">
        <v>3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3</v>
      </c>
      <c r="Q31" t="n">
        <v>1</v>
      </c>
      <c r="R31" t="n">
        <v>2</v>
      </c>
    </row>
    <row r="32">
      <c r="A32" t="n">
        <v>5</v>
      </c>
      <c r="B32" t="n">
        <v>3</v>
      </c>
      <c r="C32" t="n">
        <v>4</v>
      </c>
      <c r="D32" t="n">
        <v>5</v>
      </c>
      <c r="E32" t="n">
        <v>4</v>
      </c>
      <c r="F32" t="n">
        <v>5</v>
      </c>
      <c r="G32" t="n">
        <v>4</v>
      </c>
      <c r="H32" t="n">
        <v>4</v>
      </c>
      <c r="I32" t="n">
        <v>5</v>
      </c>
      <c r="J32" t="n">
        <v>4</v>
      </c>
      <c r="K32" t="n">
        <v>4</v>
      </c>
      <c r="L32" t="n">
        <v>5</v>
      </c>
      <c r="M32" t="n">
        <v>5</v>
      </c>
      <c r="N32" t="n">
        <v>4</v>
      </c>
      <c r="O32" t="n">
        <v>4</v>
      </c>
      <c r="P32" t="n">
        <v>3</v>
      </c>
      <c r="Q32" t="n">
        <v>5</v>
      </c>
      <c r="R32" t="n">
        <v>5</v>
      </c>
    </row>
    <row r="33">
      <c r="A33" t="n">
        <v>5</v>
      </c>
      <c r="B33" t="n">
        <v>3</v>
      </c>
      <c r="C33" t="n">
        <v>4</v>
      </c>
      <c r="D33" t="n">
        <v>4</v>
      </c>
      <c r="E33" t="n">
        <v>5</v>
      </c>
      <c r="F33" t="n">
        <v>4</v>
      </c>
      <c r="G33" t="n">
        <v>3</v>
      </c>
      <c r="H33" t="n">
        <v>5</v>
      </c>
      <c r="I33" t="n">
        <v>4</v>
      </c>
      <c r="J33" t="n">
        <v>3</v>
      </c>
      <c r="K33" t="n">
        <v>5</v>
      </c>
      <c r="L33" t="n">
        <v>5</v>
      </c>
      <c r="M33" t="n">
        <v>4</v>
      </c>
      <c r="N33" t="n">
        <v>4</v>
      </c>
      <c r="O33" t="n">
        <v>5</v>
      </c>
      <c r="P33" t="n">
        <v>5</v>
      </c>
      <c r="Q33" t="n">
        <v>4</v>
      </c>
      <c r="R33" t="n">
        <v>5</v>
      </c>
    </row>
    <row r="34">
      <c r="A34" t="n">
        <v>5</v>
      </c>
      <c r="B34" t="n">
        <v>3</v>
      </c>
      <c r="C34" t="n">
        <v>4</v>
      </c>
      <c r="D34" t="n">
        <v>4</v>
      </c>
      <c r="E34" t="n">
        <v>5</v>
      </c>
      <c r="F34" t="n">
        <v>5</v>
      </c>
      <c r="G34" t="n">
        <v>4</v>
      </c>
      <c r="H34" t="n">
        <v>4</v>
      </c>
      <c r="I34" t="n">
        <v>4</v>
      </c>
      <c r="J34" t="n">
        <v>3</v>
      </c>
      <c r="K34" t="n">
        <v>4</v>
      </c>
      <c r="L34" t="n">
        <v>4</v>
      </c>
      <c r="M34" t="n">
        <v>5</v>
      </c>
      <c r="N34" t="n">
        <v>4</v>
      </c>
      <c r="O34" t="n">
        <v>4</v>
      </c>
      <c r="P34" t="n">
        <v>3</v>
      </c>
      <c r="Q34" t="n">
        <v>4</v>
      </c>
      <c r="R34" t="n">
        <v>5</v>
      </c>
    </row>
    <row r="35">
      <c r="A35" t="n">
        <v>5</v>
      </c>
      <c r="B35" t="n">
        <v>3</v>
      </c>
      <c r="C35" t="n">
        <v>4</v>
      </c>
      <c r="D35" t="n">
        <v>5</v>
      </c>
      <c r="E35" t="n">
        <v>4</v>
      </c>
      <c r="F35" t="n">
        <v>5</v>
      </c>
      <c r="G35" t="n">
        <v>3</v>
      </c>
      <c r="H35" t="n">
        <v>4</v>
      </c>
      <c r="I35" t="n">
        <v>4</v>
      </c>
      <c r="J35" t="n">
        <v>3</v>
      </c>
      <c r="K35" t="n">
        <v>4</v>
      </c>
      <c r="L35" t="n">
        <v>4</v>
      </c>
      <c r="M35" t="n">
        <v>5</v>
      </c>
      <c r="N35" t="n">
        <v>4</v>
      </c>
      <c r="O35" t="n">
        <v>4</v>
      </c>
      <c r="P35" t="n">
        <v>3</v>
      </c>
      <c r="Q35" t="n">
        <v>4</v>
      </c>
      <c r="R35" t="n">
        <v>5</v>
      </c>
    </row>
    <row r="36">
      <c r="A36" t="n">
        <v>5</v>
      </c>
      <c r="B36" t="n">
        <v>4</v>
      </c>
      <c r="C36" t="n">
        <v>3</v>
      </c>
      <c r="D36" t="n">
        <v>4</v>
      </c>
      <c r="E36" t="n">
        <v>5</v>
      </c>
      <c r="F36" t="n">
        <v>5</v>
      </c>
      <c r="G36" t="n">
        <v>4</v>
      </c>
      <c r="H36" t="n">
        <v>3</v>
      </c>
      <c r="I36" t="n">
        <v>4</v>
      </c>
      <c r="J36" t="n">
        <v>5</v>
      </c>
      <c r="K36" t="n">
        <v>4</v>
      </c>
      <c r="L36" t="n">
        <v>4</v>
      </c>
      <c r="M36" t="n">
        <v>5</v>
      </c>
      <c r="N36" t="n">
        <v>4</v>
      </c>
      <c r="O36" t="n">
        <v>3</v>
      </c>
      <c r="P36" t="n">
        <v>3</v>
      </c>
      <c r="Q36" t="n">
        <v>5</v>
      </c>
      <c r="R36" t="n">
        <v>5</v>
      </c>
    </row>
    <row r="37">
      <c r="A37" t="n">
        <v>5</v>
      </c>
      <c r="B37" t="n">
        <v>4</v>
      </c>
      <c r="C37" t="n">
        <v>4</v>
      </c>
      <c r="D37" t="n">
        <v>4</v>
      </c>
      <c r="E37" t="n">
        <v>4</v>
      </c>
      <c r="F37" t="n">
        <v>5</v>
      </c>
      <c r="G37" t="n">
        <v>5</v>
      </c>
      <c r="H37" t="n">
        <v>3</v>
      </c>
      <c r="I37" t="n">
        <v>4</v>
      </c>
      <c r="J37" t="n">
        <v>5</v>
      </c>
      <c r="K37" t="n">
        <v>4</v>
      </c>
      <c r="L37" t="n">
        <v>5</v>
      </c>
      <c r="M37" t="n">
        <v>4</v>
      </c>
      <c r="N37" t="n">
        <v>3</v>
      </c>
      <c r="O37" t="n">
        <v>4</v>
      </c>
      <c r="P37" t="n">
        <v>4</v>
      </c>
      <c r="Q37" t="n">
        <v>5</v>
      </c>
      <c r="R37" t="n">
        <v>5</v>
      </c>
    </row>
    <row r="38">
      <c r="A38" t="n">
        <v>5</v>
      </c>
      <c r="B38" t="n">
        <v>4</v>
      </c>
      <c r="C38" t="n">
        <v>3</v>
      </c>
      <c r="D38" t="n">
        <v>4</v>
      </c>
      <c r="E38" t="n">
        <v>5</v>
      </c>
      <c r="F38" t="n">
        <v>3</v>
      </c>
      <c r="G38" t="n">
        <v>4</v>
      </c>
      <c r="H38" t="n">
        <v>5</v>
      </c>
      <c r="I38" t="n">
        <v>4</v>
      </c>
      <c r="J38" t="n">
        <v>4</v>
      </c>
      <c r="K38" t="n">
        <v>5</v>
      </c>
      <c r="L38" t="n">
        <v>5</v>
      </c>
      <c r="M38" t="n">
        <v>5</v>
      </c>
      <c r="N38" t="n">
        <v>5</v>
      </c>
      <c r="O38" t="n">
        <v>4</v>
      </c>
      <c r="P38" t="n">
        <v>3</v>
      </c>
      <c r="Q38" t="n">
        <v>5</v>
      </c>
      <c r="R38" t="n">
        <v>5</v>
      </c>
    </row>
    <row r="39">
      <c r="A39" t="n">
        <v>5</v>
      </c>
      <c r="B39" t="n">
        <v>3</v>
      </c>
      <c r="C39" t="n">
        <v>4</v>
      </c>
      <c r="D39" t="n">
        <v>4</v>
      </c>
      <c r="E39" t="n">
        <v>5</v>
      </c>
      <c r="F39" t="n">
        <v>5</v>
      </c>
      <c r="G39" t="n">
        <v>4</v>
      </c>
      <c r="H39" t="n">
        <v>5</v>
      </c>
      <c r="I39" t="n">
        <v>4</v>
      </c>
      <c r="J39" t="n">
        <v>4</v>
      </c>
      <c r="K39" t="n">
        <v>3</v>
      </c>
      <c r="L39" t="n">
        <v>5</v>
      </c>
      <c r="M39" t="n">
        <v>5</v>
      </c>
      <c r="N39" t="n">
        <v>4</v>
      </c>
      <c r="O39" t="n">
        <v>4</v>
      </c>
      <c r="P39" t="n">
        <v>4</v>
      </c>
      <c r="Q39" t="n">
        <v>4</v>
      </c>
      <c r="R39" t="n">
        <v>5</v>
      </c>
    </row>
    <row r="40">
      <c r="A40" t="n">
        <v>5</v>
      </c>
      <c r="B40" t="n">
        <v>2</v>
      </c>
      <c r="C40" t="n">
        <v>4</v>
      </c>
      <c r="D40" t="n">
        <v>5</v>
      </c>
      <c r="E40" t="n">
        <v>5</v>
      </c>
      <c r="F40" t="n">
        <v>4</v>
      </c>
      <c r="G40" t="n">
        <v>4</v>
      </c>
      <c r="H40" t="n">
        <v>5</v>
      </c>
      <c r="I40" t="n">
        <v>4</v>
      </c>
      <c r="J40" t="n">
        <v>3</v>
      </c>
      <c r="K40" t="n">
        <v>5</v>
      </c>
      <c r="L40" t="n">
        <v>5</v>
      </c>
      <c r="M40" t="n">
        <v>5</v>
      </c>
      <c r="N40" t="n">
        <v>4</v>
      </c>
      <c r="O40" t="n">
        <v>4</v>
      </c>
      <c r="P40" t="n">
        <v>2</v>
      </c>
      <c r="Q40" t="n">
        <v>5</v>
      </c>
      <c r="R40" t="n">
        <v>1</v>
      </c>
    </row>
    <row r="41">
      <c r="A41" t="n">
        <v>5</v>
      </c>
      <c r="B41" t="n">
        <v>4</v>
      </c>
      <c r="C41" t="n">
        <v>3</v>
      </c>
      <c r="D41" t="n">
        <v>4</v>
      </c>
      <c r="E41" t="n">
        <v>5</v>
      </c>
      <c r="F41" t="n">
        <v>4</v>
      </c>
      <c r="G41" t="n">
        <v>5</v>
      </c>
      <c r="H41" t="n">
        <v>5</v>
      </c>
      <c r="I41" t="n">
        <v>1</v>
      </c>
      <c r="J41" t="n">
        <v>5</v>
      </c>
      <c r="K41" t="n">
        <v>5</v>
      </c>
      <c r="L41" t="n">
        <v>4</v>
      </c>
      <c r="M41" t="n">
        <v>5</v>
      </c>
      <c r="N41" t="n">
        <v>4</v>
      </c>
      <c r="O41" t="n">
        <v>4</v>
      </c>
      <c r="P41" t="n">
        <v>3</v>
      </c>
      <c r="Q41" t="n">
        <v>4</v>
      </c>
      <c r="R41" t="n">
        <v>5</v>
      </c>
    </row>
    <row r="42">
      <c r="A42" t="n">
        <v>5</v>
      </c>
      <c r="B42" t="n">
        <v>4</v>
      </c>
      <c r="C42" t="n">
        <v>3</v>
      </c>
      <c r="D42" t="n">
        <v>4</v>
      </c>
      <c r="E42" t="n">
        <v>5</v>
      </c>
      <c r="F42" t="n">
        <v>5</v>
      </c>
      <c r="G42" t="n">
        <v>4</v>
      </c>
      <c r="H42" t="n">
        <v>5</v>
      </c>
      <c r="I42" t="n">
        <v>1</v>
      </c>
      <c r="J42" t="n">
        <v>4</v>
      </c>
      <c r="K42" t="n">
        <v>5</v>
      </c>
      <c r="L42" t="n">
        <v>5</v>
      </c>
      <c r="M42" t="n">
        <v>5</v>
      </c>
      <c r="N42" t="n">
        <v>4</v>
      </c>
      <c r="O42" t="n">
        <v>4</v>
      </c>
      <c r="P42" t="n">
        <v>3</v>
      </c>
      <c r="Q42" t="n">
        <v>5</v>
      </c>
      <c r="R42" t="n">
        <v>5</v>
      </c>
    </row>
    <row r="43">
      <c r="A43" t="n">
        <v>5</v>
      </c>
      <c r="B43" t="n">
        <v>4</v>
      </c>
      <c r="C43" t="n">
        <v>3</v>
      </c>
      <c r="D43" t="n">
        <v>4</v>
      </c>
      <c r="E43" t="n">
        <v>4</v>
      </c>
      <c r="F43" t="n">
        <v>5</v>
      </c>
      <c r="G43" t="n">
        <v>5</v>
      </c>
      <c r="H43" t="n">
        <v>5</v>
      </c>
      <c r="I43" t="n">
        <v>5</v>
      </c>
      <c r="J43" t="n">
        <v>4</v>
      </c>
      <c r="K43" t="n">
        <v>4</v>
      </c>
      <c r="L43" t="n">
        <v>3</v>
      </c>
      <c r="M43" t="n">
        <v>5</v>
      </c>
      <c r="N43" t="n">
        <v>4</v>
      </c>
      <c r="O43" t="n">
        <v>5</v>
      </c>
      <c r="P43" t="n">
        <v>5</v>
      </c>
      <c r="Q43" t="n">
        <v>4</v>
      </c>
      <c r="R43" t="n">
        <v>5</v>
      </c>
    </row>
    <row r="44">
      <c r="A44" t="n">
        <v>5</v>
      </c>
      <c r="B44" t="n">
        <v>3</v>
      </c>
      <c r="C44" t="n">
        <v>4</v>
      </c>
      <c r="D44" t="n">
        <v>5</v>
      </c>
      <c r="E44" t="n">
        <v>4</v>
      </c>
      <c r="F44" t="n">
        <v>5</v>
      </c>
      <c r="G44" t="n">
        <v>5</v>
      </c>
      <c r="H44" t="n">
        <v>3</v>
      </c>
      <c r="I44" t="n">
        <v>1</v>
      </c>
      <c r="J44" t="n">
        <v>5</v>
      </c>
      <c r="K44" t="n">
        <v>4</v>
      </c>
      <c r="L44" t="n">
        <v>4</v>
      </c>
      <c r="M44" t="n">
        <v>5</v>
      </c>
      <c r="N44" t="n">
        <v>5</v>
      </c>
      <c r="O44" t="n">
        <v>4</v>
      </c>
      <c r="P44" t="n">
        <v>5</v>
      </c>
      <c r="Q44" t="n">
        <v>5</v>
      </c>
      <c r="R44" t="n">
        <v>5</v>
      </c>
    </row>
    <row r="45">
      <c r="A45" t="n">
        <v>5</v>
      </c>
      <c r="B45" t="n">
        <v>3</v>
      </c>
      <c r="C45" t="n">
        <v>4</v>
      </c>
      <c r="D45" t="n">
        <v>5</v>
      </c>
      <c r="E45" t="n">
        <v>4</v>
      </c>
      <c r="F45" t="n">
        <v>5</v>
      </c>
      <c r="G45" t="n">
        <v>4</v>
      </c>
      <c r="H45" t="n">
        <v>4</v>
      </c>
      <c r="I45" t="n">
        <v>5</v>
      </c>
      <c r="J45" t="n">
        <v>4</v>
      </c>
      <c r="K45" t="n">
        <v>4</v>
      </c>
      <c r="L45" t="n">
        <v>5</v>
      </c>
      <c r="M45" t="n">
        <v>5</v>
      </c>
      <c r="N45" t="n">
        <v>4</v>
      </c>
      <c r="O45" t="n">
        <v>4</v>
      </c>
      <c r="P45" t="n">
        <v>3</v>
      </c>
      <c r="Q45" t="n">
        <v>4</v>
      </c>
      <c r="R45" t="n">
        <v>5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4</v>
      </c>
      <c r="F46" t="n">
        <v>3</v>
      </c>
      <c r="G46" t="n">
        <v>4</v>
      </c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5</v>
      </c>
      <c r="N46" t="n">
        <v>4</v>
      </c>
      <c r="O46" t="n">
        <v>4</v>
      </c>
      <c r="P46" t="n">
        <v>3</v>
      </c>
      <c r="Q46" t="n">
        <v>4</v>
      </c>
      <c r="R46" t="n">
        <v>5</v>
      </c>
    </row>
    <row r="47">
      <c r="A47" t="n">
        <v>4</v>
      </c>
      <c r="B47" t="n">
        <v>3</v>
      </c>
      <c r="C47" t="n">
        <v>5</v>
      </c>
      <c r="D47" t="n">
        <v>5</v>
      </c>
      <c r="E47" t="n">
        <v>4</v>
      </c>
      <c r="F47" t="n">
        <v>5</v>
      </c>
      <c r="G47" t="n">
        <v>4</v>
      </c>
      <c r="H47" t="n">
        <v>5</v>
      </c>
      <c r="I47" t="n">
        <v>1</v>
      </c>
      <c r="J47" t="n">
        <v>3</v>
      </c>
      <c r="K47" t="n">
        <v>4</v>
      </c>
      <c r="L47" t="n">
        <v>5</v>
      </c>
      <c r="M47" t="n">
        <v>5</v>
      </c>
      <c r="N47" t="n">
        <v>4</v>
      </c>
      <c r="O47" t="n">
        <v>4</v>
      </c>
      <c r="P47" t="n">
        <v>3</v>
      </c>
      <c r="Q47" t="n">
        <v>4</v>
      </c>
      <c r="R47" t="n">
        <v>5</v>
      </c>
    </row>
    <row r="48">
      <c r="A48" t="n">
        <v>5</v>
      </c>
      <c r="B48" t="n">
        <v>4</v>
      </c>
      <c r="C48" t="n">
        <v>5</v>
      </c>
      <c r="D48" t="n">
        <v>4</v>
      </c>
      <c r="E48" t="n">
        <v>4</v>
      </c>
      <c r="F48" t="n">
        <v>5</v>
      </c>
      <c r="G48" t="n">
        <v>5</v>
      </c>
      <c r="H48" t="n">
        <v>4</v>
      </c>
      <c r="I48" t="n">
        <v>5</v>
      </c>
      <c r="J48" t="n">
        <v>5</v>
      </c>
      <c r="K48" t="n">
        <v>4</v>
      </c>
      <c r="L48" t="n">
        <v>4</v>
      </c>
      <c r="M48" t="n">
        <v>5</v>
      </c>
      <c r="N48" t="n">
        <v>4</v>
      </c>
      <c r="O48" t="n">
        <v>4</v>
      </c>
      <c r="P48" t="n">
        <v>3</v>
      </c>
      <c r="Q48" t="n">
        <v>4</v>
      </c>
      <c r="R48" t="n">
        <v>5</v>
      </c>
    </row>
    <row r="49">
      <c r="A49" t="n">
        <v>5</v>
      </c>
      <c r="B49" t="n">
        <v>4</v>
      </c>
      <c r="C49" t="n">
        <v>3</v>
      </c>
      <c r="D49" t="n">
        <v>4</v>
      </c>
      <c r="E49" t="n">
        <v>5</v>
      </c>
      <c r="F49" t="n">
        <v>5</v>
      </c>
      <c r="G49" t="n">
        <v>5</v>
      </c>
      <c r="H49" t="n">
        <v>4</v>
      </c>
      <c r="I49" t="n">
        <v>3</v>
      </c>
      <c r="J49" t="n">
        <v>4</v>
      </c>
      <c r="K49" t="n">
        <v>5</v>
      </c>
      <c r="L49" t="n">
        <v>5</v>
      </c>
      <c r="M49" t="n">
        <v>4</v>
      </c>
      <c r="N49" t="n">
        <v>5</v>
      </c>
      <c r="O49" t="n">
        <v>5</v>
      </c>
      <c r="P49" t="n">
        <v>4</v>
      </c>
      <c r="Q49" t="n">
        <v>5</v>
      </c>
      <c r="R49" t="n">
        <v>5</v>
      </c>
    </row>
    <row r="50">
      <c r="A50" t="n">
        <v>5</v>
      </c>
      <c r="B50" t="n">
        <v>3</v>
      </c>
      <c r="C50" t="n">
        <v>4</v>
      </c>
      <c r="D50" t="n">
        <v>5</v>
      </c>
      <c r="E50" t="n">
        <v>5</v>
      </c>
      <c r="F50" t="n">
        <v>4</v>
      </c>
      <c r="G50" t="n">
        <v>3</v>
      </c>
      <c r="H50" t="n">
        <v>4</v>
      </c>
      <c r="I50" t="n">
        <v>1</v>
      </c>
      <c r="J50" t="n">
        <v>5</v>
      </c>
      <c r="K50" t="n">
        <v>5</v>
      </c>
      <c r="L50" t="n">
        <v>5</v>
      </c>
      <c r="M50" t="n">
        <v>4</v>
      </c>
      <c r="N50" t="n">
        <v>4</v>
      </c>
      <c r="O50" t="n">
        <v>5</v>
      </c>
      <c r="P50" t="n">
        <v>4</v>
      </c>
      <c r="Q50" t="n">
        <v>5</v>
      </c>
      <c r="R50" t="n">
        <v>4</v>
      </c>
    </row>
    <row r="51">
      <c r="A51" t="n">
        <v>4</v>
      </c>
      <c r="B51" t="n">
        <v>5</v>
      </c>
      <c r="C51" t="n">
        <v>4</v>
      </c>
      <c r="D51" t="n">
        <v>5</v>
      </c>
      <c r="E51" t="n">
        <v>4</v>
      </c>
      <c r="F51" t="n">
        <v>3</v>
      </c>
      <c r="G51" t="n">
        <v>4</v>
      </c>
      <c r="H51" t="n">
        <v>5</v>
      </c>
      <c r="I51" t="n">
        <v>5</v>
      </c>
      <c r="J51" t="n">
        <v>3</v>
      </c>
      <c r="K51" t="n">
        <v>4</v>
      </c>
      <c r="L51" t="n">
        <v>5</v>
      </c>
      <c r="M51" t="n">
        <v>4</v>
      </c>
      <c r="N51" t="n">
        <v>5</v>
      </c>
      <c r="O51" t="n">
        <v>3</v>
      </c>
      <c r="P51" t="n">
        <v>5</v>
      </c>
      <c r="Q51" t="n">
        <v>4</v>
      </c>
      <c r="R51" t="n">
        <v>5</v>
      </c>
    </row>
    <row r="52">
      <c r="A52" t="n">
        <v>5</v>
      </c>
      <c r="B52" t="n">
        <v>4</v>
      </c>
      <c r="C52" t="n">
        <v>5</v>
      </c>
      <c r="D52" t="n">
        <v>5</v>
      </c>
      <c r="E52" t="n">
        <v>5</v>
      </c>
      <c r="F52" t="n">
        <v>5</v>
      </c>
      <c r="G52" t="n">
        <v>4</v>
      </c>
      <c r="H52" t="n">
        <v>5</v>
      </c>
      <c r="I52" t="n">
        <v>1</v>
      </c>
      <c r="J52" t="n">
        <v>4</v>
      </c>
      <c r="K52" t="n">
        <v>5</v>
      </c>
      <c r="L52" t="n">
        <v>5</v>
      </c>
      <c r="M52" t="n">
        <v>5</v>
      </c>
      <c r="N52" t="n">
        <v>4</v>
      </c>
      <c r="O52" t="n">
        <v>4</v>
      </c>
      <c r="P52" t="n">
        <v>3</v>
      </c>
      <c r="Q52" t="n">
        <v>5</v>
      </c>
      <c r="R52" t="n">
        <v>5</v>
      </c>
    </row>
    <row r="53">
      <c r="A53" t="n">
        <v>5</v>
      </c>
      <c r="B53" t="n">
        <v>4</v>
      </c>
      <c r="C53" t="n">
        <v>5</v>
      </c>
      <c r="D53" t="n">
        <v>5</v>
      </c>
      <c r="E53" t="n">
        <v>4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4</v>
      </c>
      <c r="L53" t="n">
        <v>4</v>
      </c>
      <c r="M53" t="n">
        <v>5</v>
      </c>
      <c r="N53" t="n">
        <v>4</v>
      </c>
      <c r="O53" t="n">
        <v>4</v>
      </c>
      <c r="P53" t="n">
        <v>3</v>
      </c>
      <c r="Q53" t="n">
        <v>4</v>
      </c>
      <c r="R53" t="n">
        <v>5</v>
      </c>
    </row>
    <row r="54">
      <c r="A54" t="n">
        <v>5</v>
      </c>
      <c r="B54" t="n">
        <v>5</v>
      </c>
      <c r="C54" t="n">
        <v>3</v>
      </c>
      <c r="D54" t="n">
        <v>4</v>
      </c>
      <c r="E54" t="n">
        <v>4</v>
      </c>
      <c r="F54" t="n">
        <v>5</v>
      </c>
      <c r="G54" t="n">
        <v>5</v>
      </c>
      <c r="H54" t="n">
        <v>4</v>
      </c>
      <c r="I54" t="n">
        <v>5</v>
      </c>
      <c r="J54" t="n">
        <v>5</v>
      </c>
      <c r="K54" t="n">
        <v>4</v>
      </c>
      <c r="L54" t="n">
        <v>5</v>
      </c>
      <c r="M54" t="n">
        <v>5</v>
      </c>
      <c r="N54" t="n">
        <v>5</v>
      </c>
      <c r="O54" t="n">
        <v>4</v>
      </c>
      <c r="P54" t="n">
        <v>3</v>
      </c>
      <c r="Q54" t="n">
        <v>4</v>
      </c>
      <c r="R54" t="n">
        <v>5</v>
      </c>
    </row>
    <row r="55">
      <c r="A55" t="n">
        <v>5</v>
      </c>
      <c r="B55" t="n">
        <v>4</v>
      </c>
      <c r="C55" t="n">
        <v>3</v>
      </c>
      <c r="D55" t="n">
        <v>4</v>
      </c>
      <c r="E55" t="n">
        <v>5</v>
      </c>
      <c r="F55" t="n">
        <v>5</v>
      </c>
      <c r="G55" t="n">
        <v>4</v>
      </c>
      <c r="H55" t="n">
        <v>5</v>
      </c>
      <c r="I55" t="n">
        <v>5</v>
      </c>
      <c r="J55" t="n">
        <v>5</v>
      </c>
      <c r="K55" t="n">
        <v>4</v>
      </c>
      <c r="L55" t="n">
        <v>4</v>
      </c>
      <c r="M55" t="n">
        <v>5</v>
      </c>
      <c r="N55" t="n">
        <v>4</v>
      </c>
      <c r="O55" t="n">
        <v>4</v>
      </c>
      <c r="P55" t="n">
        <v>3</v>
      </c>
      <c r="Q55" t="n">
        <v>4</v>
      </c>
      <c r="R55" t="n">
        <v>5</v>
      </c>
    </row>
    <row r="56">
      <c r="A56" t="n">
        <v>4</v>
      </c>
      <c r="B56" t="n">
        <v>4</v>
      </c>
      <c r="C56" t="n">
        <v>5</v>
      </c>
      <c r="D56" t="n">
        <v>4</v>
      </c>
      <c r="E56" t="n">
        <v>4</v>
      </c>
      <c r="F56" t="n">
        <v>5</v>
      </c>
      <c r="G56" t="n">
        <v>4</v>
      </c>
      <c r="H56" t="n">
        <v>5</v>
      </c>
      <c r="I56" t="n">
        <v>4</v>
      </c>
      <c r="J56" t="n">
        <v>5</v>
      </c>
      <c r="K56" t="n">
        <v>4</v>
      </c>
      <c r="L56" t="n">
        <v>4</v>
      </c>
      <c r="M56" t="n">
        <v>3</v>
      </c>
      <c r="N56" t="n">
        <v>5</v>
      </c>
      <c r="O56" t="n">
        <v>5</v>
      </c>
      <c r="P56" t="n">
        <v>4</v>
      </c>
      <c r="Q56" t="n">
        <v>5</v>
      </c>
      <c r="R56" t="n">
        <v>5</v>
      </c>
    </row>
    <row r="57">
      <c r="A57" t="n">
        <v>5</v>
      </c>
      <c r="B57" t="n">
        <v>4</v>
      </c>
      <c r="C57" t="n">
        <v>5</v>
      </c>
      <c r="D57" t="n">
        <v>5</v>
      </c>
      <c r="E57" t="n">
        <v>4</v>
      </c>
      <c r="F57" t="n">
        <v>4</v>
      </c>
      <c r="G57" t="n">
        <v>5</v>
      </c>
      <c r="H57" t="n">
        <v>5</v>
      </c>
      <c r="I57" t="n">
        <v>4</v>
      </c>
      <c r="J57" t="n">
        <v>3</v>
      </c>
      <c r="K57" t="n">
        <v>4</v>
      </c>
      <c r="L57" t="n">
        <v>5</v>
      </c>
      <c r="M57" t="n">
        <v>5</v>
      </c>
      <c r="N57" t="n">
        <v>4</v>
      </c>
      <c r="O57" t="n">
        <v>4</v>
      </c>
      <c r="P57" t="n">
        <v>3</v>
      </c>
      <c r="Q57" t="n">
        <v>4</v>
      </c>
      <c r="R57" t="n">
        <v>5</v>
      </c>
    </row>
    <row r="58">
      <c r="A58" t="n">
        <v>5</v>
      </c>
      <c r="B58" t="n">
        <v>3</v>
      </c>
      <c r="C58" t="n">
        <v>5</v>
      </c>
      <c r="D58" t="n">
        <v>4</v>
      </c>
      <c r="E58" t="n">
        <v>4</v>
      </c>
      <c r="F58" t="n">
        <v>5</v>
      </c>
      <c r="G58" t="n">
        <v>5</v>
      </c>
      <c r="H58" t="n">
        <v>4</v>
      </c>
      <c r="I58" t="n">
        <v>4</v>
      </c>
      <c r="J58" t="n">
        <v>5</v>
      </c>
      <c r="K58" t="n">
        <v>4</v>
      </c>
      <c r="L58" t="n">
        <v>4</v>
      </c>
      <c r="M58" t="n">
        <v>5</v>
      </c>
      <c r="N58" t="n">
        <v>4</v>
      </c>
      <c r="O58" t="n">
        <v>4</v>
      </c>
      <c r="P58" t="n">
        <v>3</v>
      </c>
      <c r="Q58" t="n">
        <v>4</v>
      </c>
      <c r="R58" t="n">
        <v>5</v>
      </c>
    </row>
    <row r="59">
      <c r="A59" t="n">
        <v>5</v>
      </c>
      <c r="B59" t="n">
        <v>3</v>
      </c>
      <c r="C59" t="n">
        <v>5</v>
      </c>
      <c r="D59" t="n">
        <v>5</v>
      </c>
      <c r="E59" t="n">
        <v>5</v>
      </c>
      <c r="F59" t="n">
        <v>5</v>
      </c>
      <c r="G59" t="n">
        <v>4</v>
      </c>
      <c r="H59" t="n">
        <v>5</v>
      </c>
      <c r="I59" t="n">
        <v>3</v>
      </c>
      <c r="J59" t="n">
        <v>4</v>
      </c>
      <c r="K59" t="n">
        <v>4</v>
      </c>
      <c r="L59" t="n">
        <v>5</v>
      </c>
      <c r="M59" t="n">
        <v>4</v>
      </c>
      <c r="N59" t="n">
        <v>4</v>
      </c>
      <c r="O59" t="n">
        <v>4</v>
      </c>
      <c r="P59" t="n">
        <v>3</v>
      </c>
      <c r="Q59" t="n">
        <v>4</v>
      </c>
      <c r="R59" t="n">
        <v>5</v>
      </c>
    </row>
    <row r="60">
      <c r="A60" t="n">
        <v>5</v>
      </c>
      <c r="B60" t="n">
        <v>3</v>
      </c>
      <c r="C60" t="n">
        <v>4</v>
      </c>
      <c r="D60" t="n">
        <v>5</v>
      </c>
      <c r="E60" t="n">
        <v>4</v>
      </c>
      <c r="F60" t="n">
        <v>5</v>
      </c>
      <c r="G60" t="n">
        <v>4</v>
      </c>
      <c r="H60" t="n">
        <v>4</v>
      </c>
      <c r="I60" t="n">
        <v>5</v>
      </c>
      <c r="J60" t="n">
        <v>5</v>
      </c>
      <c r="K60" t="n">
        <v>4</v>
      </c>
      <c r="L60" t="n">
        <v>4</v>
      </c>
      <c r="M60" t="n">
        <v>5</v>
      </c>
      <c r="N60" t="n">
        <v>4</v>
      </c>
      <c r="O60" t="n">
        <v>4</v>
      </c>
      <c r="P60" t="n">
        <v>3</v>
      </c>
      <c r="Q60" t="n">
        <v>5</v>
      </c>
      <c r="R60" t="n">
        <v>5</v>
      </c>
    </row>
    <row r="61">
      <c r="A61" t="n">
        <v>5</v>
      </c>
      <c r="B61" t="n">
        <v>3</v>
      </c>
      <c r="C61" t="n">
        <v>4</v>
      </c>
      <c r="D61" t="n">
        <v>5</v>
      </c>
      <c r="E61" t="n">
        <v>4</v>
      </c>
      <c r="F61" t="n">
        <v>5</v>
      </c>
      <c r="G61" t="n">
        <v>4</v>
      </c>
      <c r="H61" t="n">
        <v>3</v>
      </c>
      <c r="I61" t="n">
        <v>5</v>
      </c>
      <c r="J61" t="n">
        <v>5</v>
      </c>
      <c r="K61" t="n">
        <v>4</v>
      </c>
      <c r="L61" t="n">
        <v>4</v>
      </c>
      <c r="M61" t="n">
        <v>3</v>
      </c>
      <c r="N61" t="n">
        <v>4</v>
      </c>
      <c r="O61" t="n">
        <v>5</v>
      </c>
      <c r="P61" t="n">
        <v>5</v>
      </c>
      <c r="Q61" t="n">
        <v>4</v>
      </c>
      <c r="R61" t="n">
        <v>5</v>
      </c>
    </row>
    <row r="62">
      <c r="A62" t="n">
        <v>5</v>
      </c>
      <c r="B62" t="n">
        <v>4</v>
      </c>
      <c r="C62" t="n">
        <v>5</v>
      </c>
      <c r="D62" t="n">
        <v>4</v>
      </c>
      <c r="E62" t="n">
        <v>5</v>
      </c>
      <c r="F62" t="n">
        <v>5</v>
      </c>
      <c r="G62" t="n">
        <v>4</v>
      </c>
      <c r="H62" t="n">
        <v>4</v>
      </c>
      <c r="I62" t="n">
        <v>4</v>
      </c>
      <c r="J62" t="n">
        <v>3</v>
      </c>
      <c r="K62" t="n">
        <v>4</v>
      </c>
      <c r="L62" t="n">
        <v>5</v>
      </c>
      <c r="M62" t="n">
        <v>5</v>
      </c>
      <c r="N62" t="n">
        <v>4</v>
      </c>
      <c r="O62" t="n">
        <v>4</v>
      </c>
      <c r="P62" t="n">
        <v>3</v>
      </c>
      <c r="Q62" t="n">
        <v>4</v>
      </c>
      <c r="R62" t="n">
        <v>5</v>
      </c>
    </row>
    <row r="63">
      <c r="A63" t="n">
        <v>5</v>
      </c>
      <c r="B63" t="n">
        <v>3</v>
      </c>
      <c r="C63" t="n">
        <v>4</v>
      </c>
      <c r="D63" t="n">
        <v>5</v>
      </c>
      <c r="E63" t="n">
        <v>4</v>
      </c>
      <c r="F63" t="n">
        <v>5</v>
      </c>
      <c r="G63" t="n">
        <v>4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5</v>
      </c>
      <c r="O63" t="n">
        <v>5</v>
      </c>
      <c r="P63" t="n">
        <v>3</v>
      </c>
      <c r="Q63" t="n">
        <v>4</v>
      </c>
      <c r="R63" t="n">
        <v>5</v>
      </c>
    </row>
    <row r="64">
      <c r="A64" t="n">
        <v>5</v>
      </c>
      <c r="B64" t="n">
        <v>4</v>
      </c>
      <c r="C64" t="n">
        <v>5</v>
      </c>
      <c r="D64" t="n">
        <v>5</v>
      </c>
      <c r="E64" t="n">
        <v>4</v>
      </c>
      <c r="F64" t="n">
        <v>5</v>
      </c>
      <c r="G64" t="n">
        <v>5</v>
      </c>
      <c r="H64" t="n">
        <v>4</v>
      </c>
      <c r="I64" t="n">
        <v>4</v>
      </c>
      <c r="J64" t="n">
        <v>5</v>
      </c>
      <c r="K64" t="n">
        <v>4</v>
      </c>
      <c r="L64" t="n">
        <v>4</v>
      </c>
      <c r="M64" t="n">
        <v>3</v>
      </c>
      <c r="N64" t="n">
        <v>4</v>
      </c>
      <c r="O64" t="n">
        <v>5</v>
      </c>
      <c r="P64" t="n">
        <v>5</v>
      </c>
      <c r="Q64" t="n">
        <v>4</v>
      </c>
      <c r="R64" t="n">
        <v>1</v>
      </c>
    </row>
    <row r="65">
      <c r="A65" t="n">
        <v>5</v>
      </c>
      <c r="B65" t="n">
        <v>4</v>
      </c>
      <c r="C65" t="n">
        <v>5</v>
      </c>
      <c r="D65" t="n">
        <v>5</v>
      </c>
      <c r="E65" t="n">
        <v>4</v>
      </c>
      <c r="F65" t="n">
        <v>4</v>
      </c>
      <c r="G65" t="n">
        <v>5</v>
      </c>
      <c r="H65" t="n">
        <v>5</v>
      </c>
      <c r="I65" t="n">
        <v>3</v>
      </c>
      <c r="J65" t="n">
        <v>4</v>
      </c>
      <c r="K65" t="n">
        <v>4</v>
      </c>
      <c r="L65" t="n">
        <v>5</v>
      </c>
      <c r="M65" t="n">
        <v>5</v>
      </c>
      <c r="N65" t="n">
        <v>4</v>
      </c>
      <c r="O65" t="n">
        <v>4</v>
      </c>
      <c r="P65" t="n">
        <v>3</v>
      </c>
      <c r="Q65" t="n">
        <v>4</v>
      </c>
      <c r="R65" t="n">
        <v>5</v>
      </c>
    </row>
    <row r="66">
      <c r="A66" t="n">
        <v>5</v>
      </c>
      <c r="B66" t="n">
        <v>3</v>
      </c>
      <c r="C66" t="n">
        <v>4</v>
      </c>
      <c r="D66" t="n">
        <v>5</v>
      </c>
      <c r="E66" t="n">
        <v>4</v>
      </c>
      <c r="F66" t="n">
        <v>3</v>
      </c>
      <c r="G66" t="n">
        <v>4</v>
      </c>
      <c r="H66" t="n">
        <v>5</v>
      </c>
      <c r="I66" t="n">
        <v>4</v>
      </c>
      <c r="J66" t="n">
        <v>5</v>
      </c>
      <c r="K66" t="n">
        <v>4</v>
      </c>
      <c r="L66" t="n">
        <v>4</v>
      </c>
      <c r="M66" t="n">
        <v>5</v>
      </c>
      <c r="N66" t="n">
        <v>4</v>
      </c>
      <c r="O66" t="n">
        <v>4</v>
      </c>
      <c r="P66" t="n">
        <v>3</v>
      </c>
      <c r="Q66" t="n">
        <v>4</v>
      </c>
      <c r="R66" t="n">
        <v>5</v>
      </c>
    </row>
    <row r="67">
      <c r="A67" t="n">
        <v>5</v>
      </c>
      <c r="B67" t="n">
        <v>3</v>
      </c>
      <c r="C67" t="n">
        <v>3</v>
      </c>
      <c r="D67" t="n">
        <v>5</v>
      </c>
      <c r="E67" t="n">
        <v>3</v>
      </c>
      <c r="F67" t="n">
        <v>5</v>
      </c>
      <c r="G67" t="n">
        <v>4</v>
      </c>
      <c r="H67" t="n">
        <v>5</v>
      </c>
      <c r="I67" t="n">
        <v>5</v>
      </c>
      <c r="J67" t="n">
        <v>5</v>
      </c>
      <c r="K67" t="n">
        <v>4</v>
      </c>
      <c r="L67" t="n">
        <v>5</v>
      </c>
      <c r="M67" t="n">
        <v>4</v>
      </c>
      <c r="N67" t="n">
        <v>4</v>
      </c>
      <c r="O67" t="n">
        <v>5</v>
      </c>
      <c r="P67" t="n">
        <v>5</v>
      </c>
      <c r="Q67" t="n">
        <v>4</v>
      </c>
      <c r="R67" t="n">
        <v>5</v>
      </c>
    </row>
    <row r="68">
      <c r="A68" t="n">
        <v>5</v>
      </c>
      <c r="B68" t="n">
        <v>4</v>
      </c>
      <c r="C68" t="n">
        <v>3</v>
      </c>
      <c r="D68" t="n">
        <v>4</v>
      </c>
      <c r="E68" t="n">
        <v>4</v>
      </c>
      <c r="F68" t="n">
        <v>5</v>
      </c>
      <c r="G68" t="n">
        <v>4</v>
      </c>
      <c r="H68" t="n">
        <v>3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5</v>
      </c>
      <c r="O68" t="n">
        <v>5</v>
      </c>
      <c r="P68" t="n">
        <v>4</v>
      </c>
      <c r="Q68" t="n">
        <v>4</v>
      </c>
      <c r="R68" t="n">
        <v>5</v>
      </c>
    </row>
    <row r="69">
      <c r="A69" t="n">
        <v>5</v>
      </c>
      <c r="B69" t="n">
        <v>4</v>
      </c>
      <c r="C69" t="n">
        <v>5</v>
      </c>
      <c r="D69" t="n">
        <v>5</v>
      </c>
      <c r="E69" t="n">
        <v>4</v>
      </c>
      <c r="F69" t="n">
        <v>5</v>
      </c>
      <c r="G69" t="n">
        <v>4</v>
      </c>
      <c r="H69" t="n">
        <v>4</v>
      </c>
      <c r="I69" t="n">
        <v>4</v>
      </c>
      <c r="J69" t="n">
        <v>4</v>
      </c>
      <c r="K69" t="n">
        <v>3</v>
      </c>
      <c r="L69" t="n">
        <v>4</v>
      </c>
      <c r="M69" t="n">
        <v>5</v>
      </c>
      <c r="N69" t="n">
        <v>5</v>
      </c>
      <c r="O69" t="n">
        <v>4</v>
      </c>
      <c r="P69" t="n">
        <v>3</v>
      </c>
      <c r="Q69" t="n">
        <v>4</v>
      </c>
      <c r="R69" t="n">
        <v>5</v>
      </c>
    </row>
    <row r="70">
      <c r="A70" t="n">
        <v>5</v>
      </c>
      <c r="B70" t="n">
        <v>3</v>
      </c>
      <c r="C70" t="n">
        <v>5</v>
      </c>
      <c r="D70" t="n">
        <v>4</v>
      </c>
      <c r="E70" t="n">
        <v>4</v>
      </c>
      <c r="F70" t="n">
        <v>3</v>
      </c>
      <c r="G70" t="n">
        <v>5</v>
      </c>
      <c r="H70" t="n">
        <v>5</v>
      </c>
      <c r="I70" t="n">
        <v>4</v>
      </c>
      <c r="J70" t="n">
        <v>4</v>
      </c>
      <c r="K70" t="n">
        <v>5</v>
      </c>
      <c r="L70" t="n">
        <v>4</v>
      </c>
      <c r="M70" t="n">
        <v>4</v>
      </c>
      <c r="N70" t="n">
        <v>5</v>
      </c>
      <c r="O70" t="n">
        <v>4</v>
      </c>
      <c r="P70" t="n">
        <v>3</v>
      </c>
      <c r="Q70" t="n">
        <v>4</v>
      </c>
      <c r="R70" t="n">
        <v>5</v>
      </c>
    </row>
    <row r="71">
      <c r="A71" t="n">
        <v>5</v>
      </c>
      <c r="B71" t="n">
        <v>3</v>
      </c>
      <c r="C71" t="n">
        <v>4</v>
      </c>
      <c r="D71" t="n">
        <v>5</v>
      </c>
      <c r="E71" t="n">
        <v>4</v>
      </c>
      <c r="F71" t="n">
        <v>5</v>
      </c>
      <c r="G71" t="n">
        <v>4</v>
      </c>
      <c r="H71" t="n">
        <v>5</v>
      </c>
      <c r="I71" t="n">
        <v>4</v>
      </c>
      <c r="J71" t="n">
        <v>4</v>
      </c>
      <c r="K71" t="n">
        <v>3</v>
      </c>
      <c r="L71" t="n">
        <v>4</v>
      </c>
      <c r="M71" t="n">
        <v>5</v>
      </c>
      <c r="N71" t="n">
        <v>4</v>
      </c>
      <c r="O71" t="n">
        <v>5</v>
      </c>
      <c r="P71" t="n">
        <v>5</v>
      </c>
      <c r="Q71" t="n">
        <v>4</v>
      </c>
      <c r="R71" t="n">
        <v>5</v>
      </c>
    </row>
    <row r="72">
      <c r="A72" t="n">
        <v>5</v>
      </c>
      <c r="B72" t="n">
        <v>3</v>
      </c>
      <c r="C72" t="n">
        <v>4</v>
      </c>
      <c r="D72" t="n">
        <v>5</v>
      </c>
      <c r="E72" t="n">
        <v>4</v>
      </c>
      <c r="F72" t="n">
        <v>5</v>
      </c>
      <c r="G72" t="n">
        <v>4</v>
      </c>
      <c r="H72" t="n">
        <v>4</v>
      </c>
      <c r="I72" t="n">
        <v>4</v>
      </c>
      <c r="J72" t="n">
        <v>3</v>
      </c>
      <c r="K72" t="n">
        <v>4</v>
      </c>
      <c r="L72" t="n">
        <v>5</v>
      </c>
      <c r="M72" t="n">
        <v>5</v>
      </c>
      <c r="N72" t="n">
        <v>4</v>
      </c>
      <c r="O72" t="n">
        <v>4</v>
      </c>
      <c r="P72" t="n">
        <v>3</v>
      </c>
      <c r="Q72" t="n">
        <v>4</v>
      </c>
      <c r="R72" t="n">
        <v>5</v>
      </c>
    </row>
    <row r="73">
      <c r="A73" t="n">
        <v>5</v>
      </c>
      <c r="B73" t="n">
        <v>3</v>
      </c>
      <c r="C73" t="n">
        <v>4</v>
      </c>
      <c r="D73" t="n">
        <v>5</v>
      </c>
      <c r="E73" t="n">
        <v>5</v>
      </c>
      <c r="F73" t="n">
        <v>4</v>
      </c>
      <c r="G73" t="n">
        <v>5</v>
      </c>
      <c r="H73" t="n">
        <v>3</v>
      </c>
      <c r="I73" t="n">
        <v>5</v>
      </c>
      <c r="J73" t="n">
        <v>5</v>
      </c>
      <c r="K73" t="n">
        <v>4</v>
      </c>
      <c r="L73" t="n">
        <v>3</v>
      </c>
      <c r="M73" t="n">
        <v>4</v>
      </c>
      <c r="N73" t="n">
        <v>5</v>
      </c>
      <c r="O73" t="n">
        <v>4</v>
      </c>
      <c r="P73" t="n">
        <v>4</v>
      </c>
      <c r="Q73" t="n">
        <v>4</v>
      </c>
      <c r="R73" t="n">
        <v>5</v>
      </c>
    </row>
    <row r="74">
      <c r="A74" t="n">
        <v>5</v>
      </c>
      <c r="B74" t="n">
        <v>4</v>
      </c>
      <c r="C74" t="n">
        <v>5</v>
      </c>
      <c r="D74" t="n">
        <v>5</v>
      </c>
      <c r="E74" t="n">
        <v>5</v>
      </c>
      <c r="F74" t="n">
        <v>4</v>
      </c>
      <c r="G74" t="n">
        <v>3</v>
      </c>
      <c r="H74" t="n">
        <v>4</v>
      </c>
      <c r="I74" t="n">
        <v>4</v>
      </c>
      <c r="J74" t="n">
        <v>4</v>
      </c>
      <c r="K74" t="n">
        <v>3</v>
      </c>
      <c r="L74" t="n">
        <v>4</v>
      </c>
      <c r="M74" t="n">
        <v>5</v>
      </c>
      <c r="N74" t="n">
        <v>4</v>
      </c>
      <c r="O74" t="n">
        <v>4</v>
      </c>
      <c r="P74" t="n">
        <v>3</v>
      </c>
      <c r="Q74" t="n">
        <v>4</v>
      </c>
      <c r="R74" t="n">
        <v>5</v>
      </c>
    </row>
    <row r="75">
      <c r="A75" t="n">
        <v>5</v>
      </c>
      <c r="B75" t="n">
        <v>3</v>
      </c>
      <c r="C75" t="n">
        <v>3</v>
      </c>
      <c r="D75" t="n">
        <v>4</v>
      </c>
      <c r="E75" t="n">
        <v>5</v>
      </c>
      <c r="F75" t="n">
        <v>4</v>
      </c>
      <c r="G75" t="n">
        <v>5</v>
      </c>
      <c r="H75" t="n">
        <v>3</v>
      </c>
      <c r="I75" t="n">
        <v>5</v>
      </c>
      <c r="J75" t="n">
        <v>5</v>
      </c>
      <c r="K75" t="n">
        <v>4</v>
      </c>
      <c r="L75" t="n">
        <v>5</v>
      </c>
      <c r="M75" t="n">
        <v>5</v>
      </c>
      <c r="N75" t="n">
        <v>4</v>
      </c>
      <c r="O75" t="n">
        <v>4</v>
      </c>
      <c r="P75" t="n">
        <v>3</v>
      </c>
      <c r="Q75" t="n">
        <v>4</v>
      </c>
      <c r="R75" t="n">
        <v>5</v>
      </c>
    </row>
    <row r="76">
      <c r="A76" t="n">
        <v>5</v>
      </c>
      <c r="B76" t="n">
        <v>4</v>
      </c>
      <c r="C76" t="n">
        <v>5</v>
      </c>
      <c r="D76" t="n">
        <v>5</v>
      </c>
      <c r="E76" t="n">
        <v>4</v>
      </c>
      <c r="F76" t="n">
        <v>5</v>
      </c>
      <c r="G76" t="n">
        <v>3</v>
      </c>
      <c r="H76" t="n">
        <v>4</v>
      </c>
      <c r="I76" t="n">
        <v>5</v>
      </c>
      <c r="J76" t="n">
        <v>4</v>
      </c>
      <c r="K76" t="n">
        <v>5</v>
      </c>
      <c r="L76" t="n">
        <v>5</v>
      </c>
      <c r="M76" t="n">
        <v>4</v>
      </c>
      <c r="N76" t="n">
        <v>4</v>
      </c>
      <c r="O76" t="n">
        <v>5</v>
      </c>
      <c r="P76" t="n">
        <v>4</v>
      </c>
      <c r="Q76" t="n">
        <v>5</v>
      </c>
      <c r="R76" t="n">
        <v>5</v>
      </c>
    </row>
    <row r="77">
      <c r="A77" t="n">
        <v>5</v>
      </c>
      <c r="B77" t="n">
        <v>4</v>
      </c>
      <c r="C77" t="n">
        <v>3</v>
      </c>
      <c r="D77" t="n">
        <v>4</v>
      </c>
      <c r="E77" t="n">
        <v>5</v>
      </c>
      <c r="F77" t="n">
        <v>4</v>
      </c>
      <c r="G77" t="n">
        <v>5</v>
      </c>
      <c r="H77" t="n">
        <v>4</v>
      </c>
      <c r="I77" t="n">
        <v>3</v>
      </c>
      <c r="J77" t="n">
        <v>4</v>
      </c>
      <c r="K77" t="n">
        <v>5</v>
      </c>
      <c r="L77" t="n">
        <v>4</v>
      </c>
      <c r="M77" t="n">
        <v>5</v>
      </c>
      <c r="N77" t="n">
        <v>3</v>
      </c>
      <c r="O77" t="n">
        <v>4</v>
      </c>
      <c r="P77" t="n">
        <v>5</v>
      </c>
      <c r="Q77" t="n">
        <v>4</v>
      </c>
      <c r="R77" t="n">
        <v>5</v>
      </c>
    </row>
    <row r="78">
      <c r="A78" t="n">
        <v>5</v>
      </c>
      <c r="B78" t="n">
        <v>3</v>
      </c>
      <c r="C78" t="n">
        <v>4</v>
      </c>
      <c r="D78" t="n">
        <v>5</v>
      </c>
      <c r="E78" t="n">
        <v>5</v>
      </c>
      <c r="F78" t="n">
        <v>4</v>
      </c>
      <c r="G78" t="n">
        <v>3</v>
      </c>
      <c r="H78" t="n">
        <v>5</v>
      </c>
      <c r="I78" t="n">
        <v>4</v>
      </c>
      <c r="J78" t="n">
        <v>5</v>
      </c>
      <c r="K78" t="n">
        <v>3</v>
      </c>
      <c r="L78" t="n">
        <v>5</v>
      </c>
      <c r="M78" t="n">
        <v>3</v>
      </c>
      <c r="N78" t="n">
        <v>4</v>
      </c>
      <c r="O78" t="n">
        <v>5</v>
      </c>
      <c r="P78" t="n">
        <v>4</v>
      </c>
      <c r="Q78" t="n">
        <v>4</v>
      </c>
      <c r="R78" t="n">
        <v>5</v>
      </c>
    </row>
    <row r="79">
      <c r="A79" t="n">
        <v>4</v>
      </c>
      <c r="B79" t="n">
        <v>4</v>
      </c>
      <c r="C79" t="n">
        <v>5</v>
      </c>
      <c r="D79" t="n">
        <v>5</v>
      </c>
      <c r="E79" t="n">
        <v>4</v>
      </c>
      <c r="F79" t="n">
        <v>5</v>
      </c>
      <c r="G79" t="n">
        <v>5</v>
      </c>
      <c r="H79" t="n">
        <v>4</v>
      </c>
      <c r="I79" t="n">
        <v>5</v>
      </c>
      <c r="J79" t="n">
        <v>4</v>
      </c>
      <c r="K79" t="n">
        <v>5</v>
      </c>
      <c r="L79" t="n">
        <v>3</v>
      </c>
      <c r="M79" t="n">
        <v>4</v>
      </c>
      <c r="N79" t="n">
        <v>5</v>
      </c>
      <c r="O79" t="n">
        <v>1</v>
      </c>
      <c r="P79" t="n">
        <v>2</v>
      </c>
      <c r="Q79" t="n">
        <v>2</v>
      </c>
      <c r="R79" t="n">
        <v>1</v>
      </c>
    </row>
    <row r="80">
      <c r="A80" t="n">
        <v>5</v>
      </c>
      <c r="B80" t="n">
        <v>3</v>
      </c>
      <c r="C80" t="n">
        <v>4</v>
      </c>
      <c r="D80" t="n">
        <v>5</v>
      </c>
      <c r="E80" t="n">
        <v>5</v>
      </c>
      <c r="F80" t="n">
        <v>5</v>
      </c>
      <c r="G80" t="n">
        <v>4</v>
      </c>
      <c r="H80" t="n">
        <v>3</v>
      </c>
      <c r="I80" t="n">
        <v>5</v>
      </c>
      <c r="J80" t="n">
        <v>5</v>
      </c>
      <c r="K80" t="n">
        <v>4</v>
      </c>
      <c r="L80" t="n">
        <v>4</v>
      </c>
      <c r="M80" t="n">
        <v>3</v>
      </c>
      <c r="N80" t="n">
        <v>4</v>
      </c>
      <c r="O80" t="n">
        <v>1</v>
      </c>
      <c r="P80" t="n">
        <v>1</v>
      </c>
      <c r="Q80" t="n">
        <v>2</v>
      </c>
      <c r="R80" t="n">
        <v>1</v>
      </c>
    </row>
    <row r="81">
      <c r="A81" t="n">
        <v>5</v>
      </c>
      <c r="B81" t="n">
        <v>3</v>
      </c>
      <c r="C81" t="n">
        <v>4</v>
      </c>
      <c r="D81" t="n">
        <v>4</v>
      </c>
      <c r="E81" t="n">
        <v>4</v>
      </c>
      <c r="F81" t="n">
        <v>5</v>
      </c>
      <c r="G81" t="n">
        <v>4</v>
      </c>
      <c r="H81" t="n">
        <v>3</v>
      </c>
      <c r="I81" t="n">
        <v>5</v>
      </c>
      <c r="J81" t="n">
        <v>4</v>
      </c>
      <c r="K81" t="n">
        <v>4</v>
      </c>
      <c r="L81" t="n">
        <v>4</v>
      </c>
      <c r="M81" t="n">
        <v>5</v>
      </c>
      <c r="N81" t="n">
        <v>4</v>
      </c>
      <c r="O81" t="n">
        <v>1</v>
      </c>
      <c r="P81" t="n">
        <v>1</v>
      </c>
      <c r="Q81" t="n">
        <v>2</v>
      </c>
      <c r="R81" t="n">
        <v>1</v>
      </c>
    </row>
    <row r="82">
      <c r="A82" t="n">
        <v>5</v>
      </c>
      <c r="B82" t="n">
        <v>3</v>
      </c>
      <c r="C82" t="n">
        <v>4</v>
      </c>
      <c r="D82" t="n">
        <v>5</v>
      </c>
      <c r="E82" t="n">
        <v>4</v>
      </c>
      <c r="F82" t="n">
        <v>3</v>
      </c>
      <c r="G82" t="n">
        <v>5</v>
      </c>
      <c r="H82" t="n">
        <v>4</v>
      </c>
      <c r="I82" t="n">
        <v>5</v>
      </c>
      <c r="J82" t="n">
        <v>4</v>
      </c>
      <c r="K82" t="n">
        <v>3</v>
      </c>
      <c r="L82" t="n">
        <v>5</v>
      </c>
      <c r="M82" t="n">
        <v>4</v>
      </c>
      <c r="N82" t="n">
        <v>5</v>
      </c>
      <c r="O82" t="n">
        <v>1</v>
      </c>
      <c r="P82" t="n">
        <v>1</v>
      </c>
      <c r="Q82" t="n">
        <v>3</v>
      </c>
      <c r="R82" t="n">
        <v>1</v>
      </c>
    </row>
    <row r="83">
      <c r="A83" t="n">
        <v>5</v>
      </c>
      <c r="B83" t="n">
        <v>4</v>
      </c>
      <c r="C83" t="n">
        <v>4</v>
      </c>
      <c r="D83" t="n">
        <v>5</v>
      </c>
      <c r="E83" t="n">
        <v>4</v>
      </c>
      <c r="F83" t="n">
        <v>5</v>
      </c>
      <c r="G83" t="n">
        <v>4</v>
      </c>
      <c r="H83" t="n">
        <v>5</v>
      </c>
      <c r="I83" t="n">
        <v>4</v>
      </c>
      <c r="J83" t="n">
        <v>4</v>
      </c>
      <c r="K83" t="n">
        <v>5</v>
      </c>
      <c r="L83" t="n">
        <v>4</v>
      </c>
      <c r="M83" t="n">
        <v>4</v>
      </c>
      <c r="N83" t="n">
        <v>5</v>
      </c>
      <c r="O83" t="n">
        <v>2</v>
      </c>
      <c r="P83" t="n">
        <v>3</v>
      </c>
      <c r="Q83" t="n">
        <v>2</v>
      </c>
      <c r="R83" t="n">
        <v>1</v>
      </c>
    </row>
    <row r="84">
      <c r="A84" t="n">
        <v>5</v>
      </c>
      <c r="B84" t="n">
        <v>3</v>
      </c>
      <c r="C84" t="n">
        <v>3</v>
      </c>
      <c r="D84" t="n">
        <v>5</v>
      </c>
      <c r="E84" t="n">
        <v>4</v>
      </c>
      <c r="F84" t="n">
        <v>5</v>
      </c>
      <c r="G84" t="n">
        <v>5</v>
      </c>
      <c r="H84" t="n">
        <v>4</v>
      </c>
      <c r="I84" t="n">
        <v>5</v>
      </c>
      <c r="J84" t="n">
        <v>5</v>
      </c>
      <c r="K84" t="n">
        <v>4</v>
      </c>
      <c r="L84" t="n">
        <v>4</v>
      </c>
      <c r="M84" t="n">
        <v>5</v>
      </c>
      <c r="N84" t="n">
        <v>4</v>
      </c>
      <c r="O84" t="n">
        <v>2</v>
      </c>
      <c r="P84" t="n">
        <v>3</v>
      </c>
      <c r="Q84" t="n">
        <v>2</v>
      </c>
      <c r="R84" t="n">
        <v>1</v>
      </c>
    </row>
    <row r="85">
      <c r="A85" t="n">
        <v>5</v>
      </c>
      <c r="B85" t="n">
        <v>4</v>
      </c>
      <c r="C85" t="n">
        <v>5</v>
      </c>
      <c r="D85" t="n">
        <v>5</v>
      </c>
      <c r="E85" t="n">
        <v>3</v>
      </c>
      <c r="F85" t="n">
        <v>4</v>
      </c>
      <c r="G85" t="n">
        <v>5</v>
      </c>
      <c r="H85" t="n">
        <v>4</v>
      </c>
      <c r="I85" t="n">
        <v>5</v>
      </c>
      <c r="J85" t="n">
        <v>4</v>
      </c>
      <c r="K85" t="n">
        <v>4</v>
      </c>
      <c r="L85" t="n">
        <v>3</v>
      </c>
      <c r="M85" t="n">
        <v>5</v>
      </c>
      <c r="N85" t="n">
        <v>4</v>
      </c>
      <c r="O85" t="n">
        <v>1</v>
      </c>
      <c r="P85" t="n">
        <v>1</v>
      </c>
      <c r="Q85" t="n">
        <v>2</v>
      </c>
      <c r="R85" t="n">
        <v>1</v>
      </c>
    </row>
    <row r="86">
      <c r="A86" t="n">
        <v>5</v>
      </c>
      <c r="B86" t="n">
        <v>4</v>
      </c>
      <c r="C86" t="n">
        <v>5</v>
      </c>
      <c r="D86" t="n">
        <v>5</v>
      </c>
      <c r="E86" t="n">
        <v>2</v>
      </c>
      <c r="F86" t="n">
        <v>3</v>
      </c>
      <c r="G86" t="n">
        <v>2</v>
      </c>
      <c r="H86" t="n">
        <v>2</v>
      </c>
      <c r="I86" t="n">
        <v>4</v>
      </c>
      <c r="J86" t="n">
        <v>4</v>
      </c>
      <c r="K86" t="n">
        <v>5</v>
      </c>
      <c r="L86" t="n">
        <v>4</v>
      </c>
      <c r="M86" t="n">
        <v>5</v>
      </c>
      <c r="N86" t="n">
        <v>5</v>
      </c>
      <c r="O86" t="n">
        <v>5</v>
      </c>
      <c r="P86" t="n">
        <v>3</v>
      </c>
      <c r="Q86" t="n">
        <v>4</v>
      </c>
      <c r="R86" t="n">
        <v>1</v>
      </c>
    </row>
    <row r="87">
      <c r="A87" t="n">
        <v>5</v>
      </c>
      <c r="B87" t="n">
        <v>3</v>
      </c>
      <c r="C87" t="n">
        <v>5</v>
      </c>
      <c r="D87" t="n">
        <v>5</v>
      </c>
      <c r="E87" t="n">
        <v>2</v>
      </c>
      <c r="F87" t="n">
        <v>1</v>
      </c>
      <c r="G87" t="n">
        <v>2</v>
      </c>
      <c r="H87" t="n">
        <v>3</v>
      </c>
      <c r="I87" t="n">
        <v>5</v>
      </c>
      <c r="J87" t="n">
        <v>4</v>
      </c>
      <c r="K87" t="n">
        <v>3</v>
      </c>
      <c r="L87" t="n">
        <v>5</v>
      </c>
      <c r="M87" t="n">
        <v>4</v>
      </c>
      <c r="N87" t="n">
        <v>5</v>
      </c>
      <c r="O87" t="n">
        <v>4</v>
      </c>
      <c r="P87" t="n">
        <v>3</v>
      </c>
      <c r="Q87" t="n">
        <v>4</v>
      </c>
      <c r="R87" t="n">
        <v>4</v>
      </c>
    </row>
    <row r="88">
      <c r="A88" t="n">
        <v>5</v>
      </c>
      <c r="B88" t="n">
        <v>3</v>
      </c>
      <c r="C88" t="n">
        <v>4</v>
      </c>
      <c r="D88" t="n">
        <v>5</v>
      </c>
      <c r="E88" t="n">
        <v>1</v>
      </c>
      <c r="F88" t="n">
        <v>2</v>
      </c>
      <c r="G88" t="n">
        <v>3</v>
      </c>
      <c r="H88" t="n">
        <v>2</v>
      </c>
      <c r="I88" t="n">
        <v>4</v>
      </c>
      <c r="J88" t="n">
        <v>3</v>
      </c>
      <c r="K88" t="n">
        <v>4</v>
      </c>
      <c r="L88" t="n">
        <v>5</v>
      </c>
      <c r="M88" t="n">
        <v>5</v>
      </c>
      <c r="N88" t="n">
        <v>4</v>
      </c>
      <c r="O88" t="n">
        <v>4</v>
      </c>
      <c r="P88" t="n">
        <v>3</v>
      </c>
      <c r="Q88" t="n">
        <v>4</v>
      </c>
      <c r="R88" t="n">
        <v>5</v>
      </c>
    </row>
    <row r="89">
      <c r="A89" t="n">
        <v>5</v>
      </c>
      <c r="B89" t="n">
        <v>3</v>
      </c>
      <c r="C89" t="n">
        <v>4</v>
      </c>
      <c r="D89" t="n">
        <v>5</v>
      </c>
      <c r="E89" t="n">
        <v>2</v>
      </c>
      <c r="F89" t="n">
        <v>2</v>
      </c>
      <c r="G89" t="n">
        <v>3</v>
      </c>
      <c r="H89" t="n">
        <v>1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4</v>
      </c>
      <c r="O89" t="n">
        <v>4</v>
      </c>
      <c r="P89" t="n">
        <v>3</v>
      </c>
      <c r="Q89" t="n">
        <v>5</v>
      </c>
      <c r="R89" t="n">
        <v>4</v>
      </c>
    </row>
    <row r="90">
      <c r="A90" t="n">
        <v>5</v>
      </c>
      <c r="B90" t="n">
        <v>4</v>
      </c>
      <c r="C90" t="n">
        <v>5</v>
      </c>
      <c r="D90" t="n">
        <v>5</v>
      </c>
      <c r="E90" t="n">
        <v>1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2</v>
      </c>
      <c r="L90" t="n">
        <v>1</v>
      </c>
      <c r="M90" t="n">
        <v>1</v>
      </c>
      <c r="N90" t="n">
        <v>2</v>
      </c>
      <c r="O90" t="n">
        <v>4</v>
      </c>
      <c r="P90" t="n">
        <v>3</v>
      </c>
      <c r="Q90" t="n">
        <v>5</v>
      </c>
      <c r="R90" t="n">
        <v>5</v>
      </c>
    </row>
    <row r="91">
      <c r="A91" t="n">
        <v>3</v>
      </c>
      <c r="B91" t="n">
        <v>5</v>
      </c>
      <c r="C91" t="n">
        <v>5</v>
      </c>
      <c r="D91" t="n">
        <v>4</v>
      </c>
      <c r="E91" t="n">
        <v>1</v>
      </c>
      <c r="F91" t="n">
        <v>2</v>
      </c>
      <c r="G91" t="n">
        <v>2</v>
      </c>
      <c r="H91" t="n">
        <v>1</v>
      </c>
      <c r="I91" t="n">
        <v>2</v>
      </c>
      <c r="J91" t="n">
        <v>3</v>
      </c>
      <c r="K91" t="n">
        <v>2</v>
      </c>
      <c r="L91" t="n">
        <v>1</v>
      </c>
      <c r="M91" t="n">
        <v>1</v>
      </c>
      <c r="N91" t="n">
        <v>2</v>
      </c>
      <c r="O91" t="n">
        <v>4</v>
      </c>
      <c r="P91" t="n">
        <v>3</v>
      </c>
      <c r="Q91" t="n">
        <v>5</v>
      </c>
      <c r="R91" t="n">
        <v>5</v>
      </c>
    </row>
    <row r="92">
      <c r="A92" t="n">
        <v>5</v>
      </c>
      <c r="B92" t="n">
        <v>3</v>
      </c>
      <c r="C92" t="n">
        <v>4</v>
      </c>
      <c r="D92" t="n">
        <v>4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1</v>
      </c>
      <c r="K92" t="n">
        <v>2</v>
      </c>
      <c r="L92" t="n">
        <v>2</v>
      </c>
      <c r="M92" t="n">
        <v>1</v>
      </c>
      <c r="N92" t="n">
        <v>2</v>
      </c>
      <c r="O92" t="n">
        <v>4</v>
      </c>
      <c r="P92" t="n">
        <v>3</v>
      </c>
      <c r="Q92" t="n">
        <v>4</v>
      </c>
      <c r="R92" t="n">
        <v>5</v>
      </c>
    </row>
    <row r="93">
      <c r="A93" t="n">
        <v>5</v>
      </c>
      <c r="B93" t="n">
        <v>4</v>
      </c>
      <c r="C93" t="n">
        <v>3</v>
      </c>
      <c r="D93" t="n">
        <v>4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1</v>
      </c>
      <c r="K93" t="n">
        <v>2</v>
      </c>
      <c r="L93" t="n">
        <v>2</v>
      </c>
      <c r="M93" t="n">
        <v>1</v>
      </c>
      <c r="N93" t="n">
        <v>2</v>
      </c>
      <c r="O93" t="n">
        <v>4</v>
      </c>
      <c r="P93" t="n">
        <v>3</v>
      </c>
      <c r="Q93" t="n">
        <v>4</v>
      </c>
      <c r="R93" t="n">
        <v>5</v>
      </c>
    </row>
    <row r="94">
      <c r="A94" t="n">
        <v>2</v>
      </c>
      <c r="B94" t="n">
        <v>2</v>
      </c>
      <c r="C94" t="n">
        <v>1</v>
      </c>
      <c r="D94" t="n">
        <v>2</v>
      </c>
      <c r="E94" t="n">
        <v>5</v>
      </c>
      <c r="F94" t="n">
        <v>5</v>
      </c>
      <c r="G94" t="n">
        <v>5</v>
      </c>
      <c r="H94" t="n">
        <v>4</v>
      </c>
      <c r="I94" t="n">
        <v>1</v>
      </c>
      <c r="J94" t="n">
        <v>2</v>
      </c>
      <c r="K94" t="n">
        <v>1</v>
      </c>
      <c r="L94" t="n">
        <v>1</v>
      </c>
      <c r="M94" t="n">
        <v>2</v>
      </c>
      <c r="N94" t="n">
        <v>2</v>
      </c>
      <c r="O94" t="n">
        <v>4</v>
      </c>
      <c r="P94" t="n">
        <v>3</v>
      </c>
      <c r="Q94" t="n">
        <v>5</v>
      </c>
      <c r="R94" t="n">
        <v>5</v>
      </c>
    </row>
    <row r="95">
      <c r="A95" t="n">
        <v>1</v>
      </c>
      <c r="B95" t="n">
        <v>3</v>
      </c>
      <c r="C95" t="n">
        <v>2</v>
      </c>
      <c r="D95" t="n">
        <v>2</v>
      </c>
      <c r="E95" t="n">
        <v>5</v>
      </c>
      <c r="F95" t="n">
        <v>5</v>
      </c>
      <c r="G95" t="n">
        <v>4</v>
      </c>
      <c r="H95" t="n">
        <v>4</v>
      </c>
      <c r="I95" t="n">
        <v>2</v>
      </c>
      <c r="J95" t="n">
        <v>1</v>
      </c>
      <c r="K95" t="n">
        <v>2</v>
      </c>
      <c r="L95" t="n">
        <v>2</v>
      </c>
      <c r="M95" t="n">
        <v>1</v>
      </c>
      <c r="N95" t="n">
        <v>2</v>
      </c>
      <c r="O95" t="n">
        <v>4</v>
      </c>
      <c r="P95" t="n">
        <v>3</v>
      </c>
      <c r="Q95" t="n">
        <v>4</v>
      </c>
      <c r="R95" t="n">
        <v>5</v>
      </c>
    </row>
    <row r="96">
      <c r="A96" t="n">
        <v>1</v>
      </c>
      <c r="B96" t="n">
        <v>1</v>
      </c>
      <c r="C96" t="n">
        <v>2</v>
      </c>
      <c r="D96" t="n">
        <v>1</v>
      </c>
      <c r="E96" t="n">
        <v>4</v>
      </c>
      <c r="F96" t="n">
        <v>5</v>
      </c>
      <c r="G96" t="n">
        <v>4</v>
      </c>
      <c r="H96" t="n">
        <v>4</v>
      </c>
      <c r="I96" t="n">
        <v>2</v>
      </c>
      <c r="J96" t="n">
        <v>3</v>
      </c>
      <c r="K96" t="n">
        <v>1</v>
      </c>
      <c r="L96" t="n">
        <v>1</v>
      </c>
      <c r="M96" t="n">
        <v>2</v>
      </c>
      <c r="N96" t="n">
        <v>2</v>
      </c>
      <c r="O96" t="n">
        <v>5</v>
      </c>
      <c r="P96" t="n">
        <v>5</v>
      </c>
      <c r="Q96" t="n">
        <v>4</v>
      </c>
      <c r="R96" t="n">
        <v>4</v>
      </c>
    </row>
    <row r="97">
      <c r="A97" t="n">
        <v>2</v>
      </c>
      <c r="B97" t="n">
        <v>2</v>
      </c>
      <c r="C97" t="n">
        <v>1</v>
      </c>
      <c r="D97" t="n">
        <v>3</v>
      </c>
      <c r="E97" t="n">
        <v>4</v>
      </c>
      <c r="F97" t="n">
        <v>5</v>
      </c>
      <c r="G97" t="n">
        <v>5</v>
      </c>
      <c r="H97" t="n">
        <v>4</v>
      </c>
      <c r="I97" t="n">
        <v>1</v>
      </c>
      <c r="J97" t="n">
        <v>1</v>
      </c>
      <c r="K97" t="n">
        <v>2</v>
      </c>
      <c r="L97" t="n">
        <v>2</v>
      </c>
      <c r="M97" t="n">
        <v>1</v>
      </c>
      <c r="N97" t="n">
        <v>2</v>
      </c>
      <c r="O97" t="n">
        <v>4</v>
      </c>
      <c r="P97" t="n">
        <v>3</v>
      </c>
      <c r="Q97" t="n">
        <v>4</v>
      </c>
      <c r="R97" t="n">
        <v>5</v>
      </c>
    </row>
    <row r="98">
      <c r="A98" t="n">
        <v>2</v>
      </c>
      <c r="B98" t="n">
        <v>2</v>
      </c>
      <c r="C98" t="n">
        <v>3</v>
      </c>
      <c r="D98" t="n">
        <v>2</v>
      </c>
      <c r="E98" t="n">
        <v>4</v>
      </c>
      <c r="F98" t="n">
        <v>4</v>
      </c>
      <c r="G98" t="n">
        <v>5</v>
      </c>
      <c r="H98" t="n">
        <v>5</v>
      </c>
      <c r="I98" t="n">
        <v>4</v>
      </c>
      <c r="J98" t="n">
        <v>5</v>
      </c>
      <c r="K98" t="n">
        <v>5</v>
      </c>
      <c r="L98" t="n">
        <v>4</v>
      </c>
      <c r="M98" t="n">
        <v>5</v>
      </c>
      <c r="N98" t="n">
        <v>5</v>
      </c>
      <c r="O98" t="n">
        <v>4</v>
      </c>
      <c r="P98" t="n">
        <v>3</v>
      </c>
      <c r="Q98" t="n">
        <v>4</v>
      </c>
      <c r="R98" t="n">
        <v>5</v>
      </c>
    </row>
    <row r="99">
      <c r="A99" t="n">
        <v>2</v>
      </c>
      <c r="B99" t="n">
        <v>3</v>
      </c>
      <c r="C99" t="n">
        <v>2</v>
      </c>
      <c r="D99" t="n">
        <v>2</v>
      </c>
      <c r="E99" t="n">
        <v>4</v>
      </c>
      <c r="F99" t="n">
        <v>3</v>
      </c>
      <c r="G99" t="n">
        <v>4</v>
      </c>
      <c r="H99" t="n">
        <v>5</v>
      </c>
      <c r="I99" t="n">
        <v>5</v>
      </c>
      <c r="J99" t="n">
        <v>5</v>
      </c>
      <c r="K99" t="n">
        <v>4</v>
      </c>
      <c r="L99" t="n">
        <v>4</v>
      </c>
      <c r="M99" t="n">
        <v>5</v>
      </c>
      <c r="N99" t="n">
        <v>4</v>
      </c>
      <c r="O99" t="n">
        <v>4</v>
      </c>
      <c r="P99" t="n">
        <v>3</v>
      </c>
      <c r="Q99" t="n">
        <v>4</v>
      </c>
      <c r="R99" t="n">
        <v>5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3</v>
      </c>
      <c r="F100" t="n">
        <v>4</v>
      </c>
      <c r="G100" t="n">
        <v>4</v>
      </c>
      <c r="H100" t="n">
        <v>5</v>
      </c>
      <c r="I100" t="n">
        <v>5</v>
      </c>
      <c r="J100" t="n">
        <v>5</v>
      </c>
      <c r="K100" t="n">
        <v>4</v>
      </c>
      <c r="L100" t="n">
        <v>4</v>
      </c>
      <c r="M100" t="n">
        <v>5</v>
      </c>
      <c r="N100" t="n">
        <v>5</v>
      </c>
      <c r="O100" t="n">
        <v>4</v>
      </c>
      <c r="P100" t="n">
        <v>3</v>
      </c>
      <c r="Q100" t="n">
        <v>4</v>
      </c>
      <c r="R100" t="n">
        <v>5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3</v>
      </c>
      <c r="F101" t="n">
        <v>5</v>
      </c>
      <c r="G101" t="n">
        <v>5</v>
      </c>
      <c r="H101" t="n">
        <v>4</v>
      </c>
      <c r="I101" t="n">
        <v>5</v>
      </c>
      <c r="J101" t="n">
        <v>5</v>
      </c>
      <c r="K101" t="n">
        <v>4</v>
      </c>
      <c r="L101" t="n">
        <v>4</v>
      </c>
      <c r="M101" t="n">
        <v>5</v>
      </c>
      <c r="N101" t="n">
        <v>4</v>
      </c>
      <c r="O101" t="n">
        <v>4</v>
      </c>
      <c r="P101" t="n">
        <v>3</v>
      </c>
      <c r="Q101" t="n">
        <v>4</v>
      </c>
      <c r="R101" t="n">
        <v>5</v>
      </c>
    </row>
    <row r="102">
      <c r="A102" t="n">
        <v>2</v>
      </c>
      <c r="B102" t="n">
        <v>2</v>
      </c>
      <c r="C102" t="n">
        <v>2</v>
      </c>
      <c r="D102" t="n">
        <v>2</v>
      </c>
      <c r="E102" t="n">
        <v>4</v>
      </c>
      <c r="F102" t="n">
        <v>4</v>
      </c>
      <c r="G102" t="n">
        <v>5</v>
      </c>
      <c r="H102" t="n">
        <v>5</v>
      </c>
      <c r="I102" t="n">
        <v>4</v>
      </c>
      <c r="J102" t="n">
        <v>5</v>
      </c>
      <c r="K102" t="n">
        <v>5</v>
      </c>
      <c r="L102" t="n">
        <v>4</v>
      </c>
      <c r="M102" t="n">
        <v>4</v>
      </c>
      <c r="N102" t="n">
        <v>5</v>
      </c>
      <c r="O102" t="n">
        <v>5</v>
      </c>
      <c r="P102" t="n">
        <v>4</v>
      </c>
      <c r="Q102" t="n">
        <v>4</v>
      </c>
      <c r="R102" t="n">
        <v>5</v>
      </c>
    </row>
    <row r="103">
      <c r="A103" t="n">
        <v>2</v>
      </c>
      <c r="B103" t="n">
        <v>3</v>
      </c>
      <c r="C103" t="n">
        <v>2</v>
      </c>
      <c r="D103" t="n">
        <v>2</v>
      </c>
      <c r="E103" t="n">
        <v>5</v>
      </c>
      <c r="F103" t="n">
        <v>4</v>
      </c>
      <c r="G103" t="n">
        <v>4</v>
      </c>
      <c r="H103" t="n">
        <v>5</v>
      </c>
      <c r="I103" t="n">
        <v>4</v>
      </c>
      <c r="J103" t="n">
        <v>3</v>
      </c>
      <c r="K103" t="n">
        <v>4</v>
      </c>
      <c r="L103" t="n">
        <v>5</v>
      </c>
      <c r="M103" t="n">
        <v>4</v>
      </c>
      <c r="N103" t="n">
        <v>5</v>
      </c>
      <c r="O103" t="n">
        <v>5</v>
      </c>
      <c r="P103" t="n">
        <v>3</v>
      </c>
      <c r="Q103" t="n">
        <v>4</v>
      </c>
      <c r="R103" t="n">
        <v>5</v>
      </c>
    </row>
    <row r="104">
      <c r="A104" t="n">
        <v>2</v>
      </c>
      <c r="B104" t="n">
        <v>2</v>
      </c>
      <c r="C104" t="n">
        <v>2</v>
      </c>
      <c r="D104" t="n">
        <v>4</v>
      </c>
      <c r="E104" t="n">
        <v>4</v>
      </c>
      <c r="F104" t="n">
        <v>4</v>
      </c>
      <c r="G104" t="n">
        <v>4</v>
      </c>
      <c r="H104" t="n">
        <v>4</v>
      </c>
      <c r="I104" t="n">
        <v>4</v>
      </c>
      <c r="J104" t="n">
        <v>4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5</v>
      </c>
      <c r="Q104" t="n">
        <v>5</v>
      </c>
      <c r="R104" t="n">
        <v>5</v>
      </c>
    </row>
    <row r="105">
      <c r="A105" t="n">
        <v>2</v>
      </c>
      <c r="B105" t="n">
        <v>2</v>
      </c>
      <c r="C105" t="n">
        <v>4</v>
      </c>
      <c r="D105" t="n">
        <v>4</v>
      </c>
      <c r="E105" t="n">
        <v>4</v>
      </c>
      <c r="F105" t="n">
        <v>4</v>
      </c>
      <c r="G105" t="n">
        <v>5</v>
      </c>
      <c r="H105" t="n">
        <v>5</v>
      </c>
      <c r="I105" t="n">
        <v>5</v>
      </c>
      <c r="J105" t="n">
        <v>4</v>
      </c>
      <c r="K105" t="n">
        <v>4</v>
      </c>
      <c r="L105" t="n">
        <v>4</v>
      </c>
      <c r="M105" t="n">
        <v>5</v>
      </c>
      <c r="N105" t="n">
        <v>5</v>
      </c>
      <c r="O105" t="n">
        <v>4</v>
      </c>
      <c r="P105" t="n">
        <v>5</v>
      </c>
      <c r="Q105" t="n">
        <v>5</v>
      </c>
      <c r="R105" t="n">
        <v>5</v>
      </c>
    </row>
    <row r="106">
      <c r="A106" t="n">
        <v>2</v>
      </c>
      <c r="B106" t="n">
        <v>2</v>
      </c>
      <c r="C106" t="n">
        <v>2</v>
      </c>
      <c r="D106" t="n">
        <v>2</v>
      </c>
      <c r="E106" t="n">
        <v>5</v>
      </c>
      <c r="F106" t="n">
        <v>4</v>
      </c>
      <c r="G106" t="n">
        <v>4</v>
      </c>
      <c r="H106" t="n">
        <v>4</v>
      </c>
      <c r="I106" t="n">
        <v>5</v>
      </c>
      <c r="J106" t="n">
        <v>4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</row>
    <row r="107">
      <c r="A107" t="n">
        <v>2</v>
      </c>
      <c r="B107" t="n">
        <v>2</v>
      </c>
      <c r="C107" t="n">
        <v>2</v>
      </c>
      <c r="D107" t="n">
        <v>2</v>
      </c>
      <c r="E107" t="n">
        <v>5</v>
      </c>
      <c r="F107" t="n">
        <v>5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5</v>
      </c>
      <c r="M107" t="n">
        <v>5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</row>
    <row r="108">
      <c r="A108" t="n">
        <v>4</v>
      </c>
      <c r="B108" t="n">
        <v>4</v>
      </c>
      <c r="C108" t="n">
        <v>4</v>
      </c>
      <c r="D108" t="n">
        <v>4</v>
      </c>
      <c r="E108" t="n">
        <v>3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3</v>
      </c>
      <c r="L108" t="n">
        <v>4</v>
      </c>
      <c r="M108" t="n">
        <v>4</v>
      </c>
      <c r="N108" t="n">
        <v>4</v>
      </c>
      <c r="O108" t="n">
        <v>3</v>
      </c>
      <c r="P108" t="n">
        <v>3</v>
      </c>
      <c r="Q108" t="n">
        <v>4</v>
      </c>
      <c r="R108" t="n">
        <v>4</v>
      </c>
    </row>
    <row r="109">
      <c r="A109" t="n">
        <v>4</v>
      </c>
      <c r="B109" t="n">
        <v>4</v>
      </c>
      <c r="C109" t="n">
        <v>3</v>
      </c>
      <c r="D109" t="n">
        <v>4</v>
      </c>
      <c r="E109" t="n">
        <v>5</v>
      </c>
      <c r="F109" t="n">
        <v>4</v>
      </c>
      <c r="G109" t="n">
        <v>4</v>
      </c>
      <c r="H109" t="n">
        <v>5</v>
      </c>
      <c r="I109" t="n">
        <v>3</v>
      </c>
      <c r="J109" t="n">
        <v>3</v>
      </c>
      <c r="K109" t="n">
        <v>2</v>
      </c>
      <c r="L109" t="n">
        <v>3</v>
      </c>
      <c r="M109" t="n">
        <v>5</v>
      </c>
      <c r="N109" t="n">
        <v>5</v>
      </c>
      <c r="O109" t="n">
        <v>4</v>
      </c>
      <c r="P109" t="n">
        <v>5</v>
      </c>
      <c r="Q109" t="n">
        <v>4</v>
      </c>
      <c r="R109" t="n">
        <v>4</v>
      </c>
    </row>
    <row r="110">
      <c r="A110" t="n">
        <v>3</v>
      </c>
      <c r="B110" t="n">
        <v>4</v>
      </c>
      <c r="C110" t="n">
        <v>2</v>
      </c>
      <c r="D110" t="n">
        <v>4</v>
      </c>
      <c r="E110" t="n">
        <v>4</v>
      </c>
      <c r="F110" t="n">
        <v>5</v>
      </c>
      <c r="G110" t="n">
        <v>4</v>
      </c>
      <c r="H110" t="n">
        <v>4</v>
      </c>
      <c r="I110" t="n">
        <v>5</v>
      </c>
      <c r="J110" t="n">
        <v>4</v>
      </c>
      <c r="K110" t="n">
        <v>4</v>
      </c>
      <c r="L110" t="n">
        <v>5</v>
      </c>
      <c r="M110" t="n">
        <v>4</v>
      </c>
      <c r="N110" t="n">
        <v>3</v>
      </c>
      <c r="O110" t="n">
        <v>4</v>
      </c>
      <c r="P110" t="n">
        <v>5</v>
      </c>
      <c r="Q110" t="n">
        <v>5</v>
      </c>
      <c r="R110" t="n">
        <v>4</v>
      </c>
    </row>
    <row r="111">
      <c r="A111" t="n">
        <v>4</v>
      </c>
      <c r="B111" t="n">
        <v>4</v>
      </c>
      <c r="C111" t="n">
        <v>4</v>
      </c>
      <c r="D111" t="n">
        <v>3</v>
      </c>
      <c r="E111" t="n">
        <v>4</v>
      </c>
      <c r="F111" t="n">
        <v>2</v>
      </c>
      <c r="G111" t="n">
        <v>2</v>
      </c>
      <c r="H111" t="n">
        <v>2</v>
      </c>
      <c r="I111" t="n">
        <v>4</v>
      </c>
      <c r="J111" t="n">
        <v>4</v>
      </c>
      <c r="K111" t="n">
        <v>4</v>
      </c>
      <c r="L111" t="n">
        <v>3</v>
      </c>
      <c r="M111" t="n">
        <v>4</v>
      </c>
      <c r="N111" t="n">
        <v>3</v>
      </c>
      <c r="O111" t="n">
        <v>4</v>
      </c>
      <c r="P111" t="n">
        <v>2</v>
      </c>
      <c r="Q111" t="n">
        <v>4</v>
      </c>
      <c r="R111" t="n">
        <v>1</v>
      </c>
    </row>
    <row r="112">
      <c r="A112" t="n">
        <v>3</v>
      </c>
      <c r="B112" t="n">
        <v>4</v>
      </c>
      <c r="C112" t="n">
        <v>4</v>
      </c>
      <c r="D112" t="n">
        <v>4</v>
      </c>
      <c r="E112" t="n">
        <v>4</v>
      </c>
      <c r="F112" t="n">
        <v>4</v>
      </c>
      <c r="G112" t="n">
        <v>1</v>
      </c>
      <c r="H112" t="n">
        <v>4</v>
      </c>
      <c r="I112" t="n">
        <v>3</v>
      </c>
      <c r="J112" t="n">
        <v>4</v>
      </c>
      <c r="K112" t="n">
        <v>3</v>
      </c>
      <c r="L112" t="n">
        <v>4</v>
      </c>
      <c r="M112" t="n">
        <v>4</v>
      </c>
      <c r="N112" t="n">
        <v>4</v>
      </c>
      <c r="O112" t="n">
        <v>4</v>
      </c>
      <c r="P112" t="n">
        <v>5</v>
      </c>
      <c r="Q112" t="n">
        <v>4</v>
      </c>
      <c r="R112" t="n">
        <v>4</v>
      </c>
    </row>
    <row r="113">
      <c r="A113" t="n">
        <v>4</v>
      </c>
      <c r="B113" t="n">
        <v>4</v>
      </c>
      <c r="C113" t="n">
        <v>4</v>
      </c>
      <c r="D113" t="n">
        <v>4</v>
      </c>
      <c r="E113" t="n">
        <v>3</v>
      </c>
      <c r="F113" t="n">
        <v>4</v>
      </c>
      <c r="G113" t="n">
        <v>4</v>
      </c>
      <c r="H113" t="n">
        <v>4</v>
      </c>
      <c r="I113" t="n">
        <v>4</v>
      </c>
      <c r="J113" t="n">
        <v>5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</row>
    <row r="114">
      <c r="A114" t="n">
        <v>4</v>
      </c>
      <c r="B114" t="n">
        <v>5</v>
      </c>
      <c r="C114" t="n">
        <v>5</v>
      </c>
      <c r="D114" t="n">
        <v>4</v>
      </c>
      <c r="E114" t="n">
        <v>3</v>
      </c>
      <c r="F114" t="n">
        <v>2</v>
      </c>
      <c r="G114" t="n">
        <v>4</v>
      </c>
      <c r="H114" t="n">
        <v>4</v>
      </c>
      <c r="I114" t="n">
        <v>3</v>
      </c>
      <c r="J114" t="n">
        <v>5</v>
      </c>
      <c r="K114" t="n">
        <v>4</v>
      </c>
      <c r="L114" t="n">
        <v>5</v>
      </c>
      <c r="M114" t="n">
        <v>4</v>
      </c>
      <c r="N114" t="n">
        <v>3</v>
      </c>
      <c r="O114" t="n">
        <v>2</v>
      </c>
      <c r="P114" t="n">
        <v>2</v>
      </c>
      <c r="Q114" t="n">
        <v>4</v>
      </c>
      <c r="R114" t="n">
        <v>4</v>
      </c>
    </row>
    <row r="115">
      <c r="A115" t="n">
        <v>5</v>
      </c>
      <c r="B115" t="n">
        <v>5</v>
      </c>
      <c r="C115" t="n">
        <v>4</v>
      </c>
      <c r="D115" t="n">
        <v>4</v>
      </c>
      <c r="E115" t="n">
        <v>4</v>
      </c>
      <c r="F115" t="n">
        <v>4</v>
      </c>
      <c r="G115" t="n">
        <v>3</v>
      </c>
      <c r="H115" t="n">
        <v>4</v>
      </c>
      <c r="I115" t="n">
        <v>3</v>
      </c>
      <c r="J115" t="n">
        <v>4</v>
      </c>
      <c r="K115" t="n">
        <v>5</v>
      </c>
      <c r="L115" t="n">
        <v>4</v>
      </c>
      <c r="M115" t="n">
        <v>5</v>
      </c>
      <c r="N115" t="n">
        <v>5</v>
      </c>
      <c r="O115" t="n">
        <v>4</v>
      </c>
      <c r="P115" t="n">
        <v>5</v>
      </c>
      <c r="Q115" t="n">
        <v>5</v>
      </c>
      <c r="R115" t="n">
        <v>4</v>
      </c>
    </row>
    <row r="116">
      <c r="A116" t="n">
        <v>4</v>
      </c>
      <c r="B116" t="n">
        <v>5</v>
      </c>
      <c r="C116" t="n">
        <v>4</v>
      </c>
      <c r="D116" t="n">
        <v>3</v>
      </c>
      <c r="E116" t="n">
        <v>4</v>
      </c>
      <c r="F116" t="n">
        <v>4</v>
      </c>
      <c r="G116" t="n">
        <v>4</v>
      </c>
      <c r="H116" t="n">
        <v>2</v>
      </c>
      <c r="I116" t="n">
        <v>4</v>
      </c>
      <c r="J116" t="n">
        <v>5</v>
      </c>
      <c r="K116" t="n">
        <v>4</v>
      </c>
      <c r="L116" t="n">
        <v>4</v>
      </c>
      <c r="M116" t="n">
        <v>5</v>
      </c>
      <c r="N116" t="n">
        <v>5</v>
      </c>
      <c r="O116" t="n">
        <v>5</v>
      </c>
      <c r="P116" t="n">
        <v>4</v>
      </c>
      <c r="Q116" t="n">
        <v>4</v>
      </c>
      <c r="R116" t="n">
        <v>4</v>
      </c>
    </row>
    <row r="117">
      <c r="A117" t="n">
        <v>4</v>
      </c>
      <c r="B117" t="n">
        <v>4</v>
      </c>
      <c r="C117" t="n">
        <v>5</v>
      </c>
      <c r="D117" t="n">
        <v>3</v>
      </c>
      <c r="E117" t="n">
        <v>3</v>
      </c>
      <c r="F117" t="n">
        <v>4</v>
      </c>
      <c r="G117" t="n">
        <v>4</v>
      </c>
      <c r="H117" t="n">
        <v>2</v>
      </c>
      <c r="I117" t="n">
        <v>5</v>
      </c>
      <c r="J117" t="n">
        <v>5</v>
      </c>
      <c r="K117" t="n">
        <v>2</v>
      </c>
      <c r="L117" t="n">
        <v>5</v>
      </c>
      <c r="M117" t="n">
        <v>1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</row>
    <row r="118">
      <c r="A118" t="n">
        <v>4</v>
      </c>
      <c r="B118" t="n">
        <v>5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  <c r="H118" t="n">
        <v>4</v>
      </c>
      <c r="I118" t="n">
        <v>4</v>
      </c>
      <c r="J118" t="n">
        <v>3</v>
      </c>
      <c r="K118" t="n">
        <v>5</v>
      </c>
      <c r="L118" t="n">
        <v>5</v>
      </c>
      <c r="M118" t="n">
        <v>4</v>
      </c>
      <c r="N118" t="n">
        <v>4</v>
      </c>
      <c r="O118" t="n">
        <v>5</v>
      </c>
      <c r="P118" t="n">
        <v>3</v>
      </c>
      <c r="Q118" t="n">
        <v>3</v>
      </c>
      <c r="R118" t="n">
        <v>5</v>
      </c>
    </row>
    <row r="119">
      <c r="A119" t="n">
        <v>5</v>
      </c>
      <c r="B119" t="n">
        <v>4</v>
      </c>
      <c r="C119" t="n">
        <v>3</v>
      </c>
      <c r="D119" t="n">
        <v>2</v>
      </c>
      <c r="E119" t="n">
        <v>2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3</v>
      </c>
      <c r="M119" t="n">
        <v>4</v>
      </c>
      <c r="N119" t="n">
        <v>5</v>
      </c>
      <c r="O119" t="n">
        <v>3</v>
      </c>
      <c r="P119" t="n">
        <v>4</v>
      </c>
      <c r="Q119" t="n">
        <v>4</v>
      </c>
      <c r="R119" t="n">
        <v>4</v>
      </c>
    </row>
    <row r="120">
      <c r="A120" t="n">
        <v>4</v>
      </c>
      <c r="B120" t="n">
        <v>5</v>
      </c>
      <c r="C120" t="n">
        <v>5</v>
      </c>
      <c r="D120" t="n">
        <v>5</v>
      </c>
      <c r="E120" t="n">
        <v>4</v>
      </c>
      <c r="F120" t="n">
        <v>3</v>
      </c>
      <c r="G120" t="n">
        <v>2</v>
      </c>
      <c r="H120" t="n">
        <v>5</v>
      </c>
      <c r="I120" t="n">
        <v>2</v>
      </c>
      <c r="J120" t="n">
        <v>4</v>
      </c>
      <c r="K120" t="n">
        <v>4</v>
      </c>
      <c r="L120" t="n">
        <v>2</v>
      </c>
      <c r="M120" t="n">
        <v>4</v>
      </c>
      <c r="N120" t="n">
        <v>5</v>
      </c>
      <c r="O120" t="n">
        <v>5</v>
      </c>
      <c r="P120" t="n">
        <v>4</v>
      </c>
      <c r="Q120" t="n">
        <v>5</v>
      </c>
      <c r="R120" t="n">
        <v>5</v>
      </c>
    </row>
    <row r="121">
      <c r="A121" t="n">
        <v>4</v>
      </c>
      <c r="B121" t="n">
        <v>5</v>
      </c>
      <c r="C121" t="n">
        <v>5</v>
      </c>
      <c r="D121" t="n">
        <v>4</v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3</v>
      </c>
      <c r="L121" t="n">
        <v>4</v>
      </c>
      <c r="M121" t="n">
        <v>4</v>
      </c>
      <c r="N121" t="n">
        <v>5</v>
      </c>
      <c r="O121" t="n">
        <v>3</v>
      </c>
      <c r="P121" t="n">
        <v>4</v>
      </c>
      <c r="Q121" t="n">
        <v>2</v>
      </c>
      <c r="R121" t="n">
        <v>5</v>
      </c>
    </row>
    <row r="122">
      <c r="A122" t="n">
        <v>3</v>
      </c>
      <c r="B122" t="n">
        <v>4</v>
      </c>
      <c r="C122" t="n">
        <v>4</v>
      </c>
      <c r="D122" t="n">
        <v>3</v>
      </c>
      <c r="E122" t="n">
        <v>5</v>
      </c>
      <c r="F122" t="n">
        <v>5</v>
      </c>
      <c r="G122" t="n">
        <v>4</v>
      </c>
      <c r="H122" t="n">
        <v>3</v>
      </c>
      <c r="I122" t="n">
        <v>4</v>
      </c>
      <c r="J122" t="n">
        <v>2</v>
      </c>
      <c r="K122" t="n">
        <v>4</v>
      </c>
      <c r="L122" t="n">
        <v>4</v>
      </c>
      <c r="M122" t="n">
        <v>3</v>
      </c>
      <c r="N122" t="n">
        <v>3</v>
      </c>
      <c r="O122" t="n">
        <v>4</v>
      </c>
      <c r="P122" t="n">
        <v>5</v>
      </c>
      <c r="Q122" t="n">
        <v>5</v>
      </c>
      <c r="R122" t="n">
        <v>4</v>
      </c>
    </row>
    <row r="123">
      <c r="A123" t="n">
        <v>3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n">
        <v>5</v>
      </c>
      <c r="H123" t="n">
        <v>3</v>
      </c>
      <c r="I123" t="n">
        <v>2</v>
      </c>
      <c r="J123" t="n">
        <v>4</v>
      </c>
      <c r="K123" t="n">
        <v>2</v>
      </c>
      <c r="L123" t="n">
        <v>4</v>
      </c>
      <c r="M123" t="n">
        <v>2</v>
      </c>
      <c r="N123" t="n">
        <v>3</v>
      </c>
      <c r="O123" t="n">
        <v>5</v>
      </c>
      <c r="P123" t="n">
        <v>3</v>
      </c>
      <c r="Q123" t="n">
        <v>5</v>
      </c>
      <c r="R123" t="n">
        <v>4</v>
      </c>
    </row>
    <row r="124">
      <c r="A124" t="n">
        <v>4</v>
      </c>
      <c r="B124" t="n">
        <v>4</v>
      </c>
      <c r="C124" t="n">
        <v>5</v>
      </c>
      <c r="D124" t="n">
        <v>5</v>
      </c>
      <c r="E124" t="n">
        <v>2</v>
      </c>
      <c r="F124" t="n">
        <v>4</v>
      </c>
      <c r="G124" t="n">
        <v>4</v>
      </c>
      <c r="H124" t="n">
        <v>3</v>
      </c>
      <c r="I124" t="n">
        <v>4</v>
      </c>
      <c r="J124" t="n">
        <v>4</v>
      </c>
      <c r="K124" t="n">
        <v>4</v>
      </c>
      <c r="L124" t="n">
        <v>4</v>
      </c>
      <c r="M124" t="n">
        <v>2</v>
      </c>
      <c r="N124" t="n">
        <v>5</v>
      </c>
      <c r="O124" t="n">
        <v>4</v>
      </c>
      <c r="P124" t="n">
        <v>4</v>
      </c>
      <c r="Q124" t="n">
        <v>5</v>
      </c>
      <c r="R124" t="n">
        <v>4</v>
      </c>
    </row>
    <row r="125">
      <c r="A125" t="n">
        <v>4</v>
      </c>
      <c r="B125" t="n">
        <v>5</v>
      </c>
      <c r="C125" t="n">
        <v>4</v>
      </c>
      <c r="D125" t="n">
        <v>4</v>
      </c>
      <c r="E125" t="n">
        <v>3</v>
      </c>
      <c r="F125" t="n">
        <v>4</v>
      </c>
      <c r="G125" t="n">
        <v>4</v>
      </c>
      <c r="H125" t="n">
        <v>3</v>
      </c>
      <c r="I125" t="n">
        <v>4</v>
      </c>
      <c r="J125" t="n">
        <v>4</v>
      </c>
      <c r="K125" t="n">
        <v>4</v>
      </c>
      <c r="L125" t="n">
        <v>4</v>
      </c>
      <c r="M125" t="n">
        <v>4</v>
      </c>
      <c r="N125" t="n">
        <v>3</v>
      </c>
      <c r="O125" t="n">
        <v>4</v>
      </c>
      <c r="P125" t="n">
        <v>4</v>
      </c>
      <c r="Q125" t="n">
        <v>4</v>
      </c>
      <c r="R125" t="n">
        <v>5</v>
      </c>
    </row>
    <row r="126">
      <c r="A126" t="n">
        <v>4</v>
      </c>
      <c r="B126" t="n">
        <v>4</v>
      </c>
      <c r="C126" t="n">
        <v>4</v>
      </c>
      <c r="D126" t="n">
        <v>4</v>
      </c>
      <c r="E126" t="n">
        <v>4</v>
      </c>
      <c r="F126" t="n">
        <v>5</v>
      </c>
      <c r="G126" t="n">
        <v>5</v>
      </c>
      <c r="H126" t="n">
        <v>5</v>
      </c>
      <c r="I126" t="n">
        <v>4</v>
      </c>
      <c r="J126" t="n">
        <v>4</v>
      </c>
      <c r="K126" t="n">
        <v>5</v>
      </c>
      <c r="L126" t="n">
        <v>4</v>
      </c>
      <c r="M126" t="n">
        <v>4</v>
      </c>
      <c r="N126" t="n">
        <v>4</v>
      </c>
      <c r="O126" t="n">
        <v>2</v>
      </c>
      <c r="P126" t="n">
        <v>3</v>
      </c>
      <c r="Q126" t="n">
        <v>2</v>
      </c>
      <c r="R126" t="n">
        <v>4</v>
      </c>
    </row>
    <row r="127">
      <c r="A127" t="n">
        <v>5</v>
      </c>
      <c r="B127" t="n">
        <v>4</v>
      </c>
      <c r="C127" t="n">
        <v>3</v>
      </c>
      <c r="D127" t="n">
        <v>2</v>
      </c>
      <c r="E127" t="n">
        <v>2</v>
      </c>
      <c r="F127" t="n">
        <v>4</v>
      </c>
      <c r="G127" t="n">
        <v>5</v>
      </c>
      <c r="H127" t="n">
        <v>4</v>
      </c>
      <c r="I127" t="n">
        <v>4</v>
      </c>
      <c r="J127" t="n">
        <v>3</v>
      </c>
      <c r="K127" t="n">
        <v>4</v>
      </c>
      <c r="L127" t="n">
        <v>4</v>
      </c>
      <c r="M127" t="n">
        <v>5</v>
      </c>
      <c r="N127" t="n">
        <v>4</v>
      </c>
      <c r="O127" t="n">
        <v>4</v>
      </c>
      <c r="P127" t="n">
        <v>4</v>
      </c>
      <c r="Q127" t="n">
        <v>2</v>
      </c>
      <c r="R127" t="n">
        <v>4</v>
      </c>
    </row>
    <row r="128">
      <c r="A128" t="n">
        <v>3</v>
      </c>
      <c r="B128" t="n">
        <v>4</v>
      </c>
      <c r="C128" t="n">
        <v>5</v>
      </c>
      <c r="D128" t="n">
        <v>4</v>
      </c>
      <c r="E128" t="n">
        <v>4</v>
      </c>
      <c r="F128" t="n">
        <v>4</v>
      </c>
      <c r="G128" t="n">
        <v>4</v>
      </c>
      <c r="H128" t="n">
        <v>5</v>
      </c>
      <c r="I128" t="n">
        <v>5</v>
      </c>
      <c r="J128" t="n">
        <v>5</v>
      </c>
      <c r="K128" t="n">
        <v>5</v>
      </c>
      <c r="L128" t="n">
        <v>4</v>
      </c>
      <c r="M128" t="n">
        <v>5</v>
      </c>
      <c r="N128" t="n">
        <v>5</v>
      </c>
      <c r="O128" t="n">
        <v>4</v>
      </c>
      <c r="P128" t="n">
        <v>4</v>
      </c>
      <c r="Q128" t="n">
        <v>4</v>
      </c>
      <c r="R128" t="n">
        <v>4</v>
      </c>
    </row>
    <row r="129">
      <c r="A129" t="n">
        <v>4</v>
      </c>
      <c r="B129" t="n">
        <v>3</v>
      </c>
      <c r="C129" t="n">
        <v>4</v>
      </c>
      <c r="D129" t="n">
        <v>5</v>
      </c>
      <c r="E129" t="n">
        <v>5</v>
      </c>
      <c r="F129" t="n">
        <v>4</v>
      </c>
      <c r="G129" t="n">
        <v>5</v>
      </c>
      <c r="H129" t="n">
        <v>4</v>
      </c>
      <c r="I129" t="n">
        <v>5</v>
      </c>
      <c r="J129" t="n">
        <v>4</v>
      </c>
      <c r="K129" t="n">
        <v>5</v>
      </c>
      <c r="L129" t="n">
        <v>5</v>
      </c>
      <c r="M129" t="n">
        <v>5</v>
      </c>
      <c r="N129" t="n">
        <v>5</v>
      </c>
      <c r="O129" t="n">
        <v>4</v>
      </c>
      <c r="P129" t="n">
        <v>2</v>
      </c>
      <c r="Q129" t="n">
        <v>4</v>
      </c>
      <c r="R129" t="n">
        <v>2</v>
      </c>
    </row>
    <row r="130">
      <c r="A130" t="n">
        <v>5</v>
      </c>
      <c r="B130" t="n">
        <v>5</v>
      </c>
      <c r="C130" t="n">
        <v>4</v>
      </c>
      <c r="D130" t="n">
        <v>3</v>
      </c>
      <c r="E130" t="n">
        <v>4</v>
      </c>
      <c r="F130" t="n">
        <v>5</v>
      </c>
      <c r="G130" t="n">
        <v>4</v>
      </c>
      <c r="H130" t="n">
        <v>4</v>
      </c>
      <c r="I130" t="n">
        <v>4</v>
      </c>
      <c r="J130" t="n">
        <v>3</v>
      </c>
      <c r="K130" t="n">
        <v>4</v>
      </c>
      <c r="L130" t="n">
        <v>3</v>
      </c>
      <c r="M130" t="n">
        <v>4</v>
      </c>
      <c r="N130" t="n">
        <v>2</v>
      </c>
      <c r="O130" t="n">
        <v>2</v>
      </c>
      <c r="P130" t="n">
        <v>4</v>
      </c>
      <c r="Q130" t="n">
        <v>4</v>
      </c>
      <c r="R130" t="n">
        <v>4</v>
      </c>
    </row>
    <row r="131">
      <c r="A131" t="n">
        <v>4</v>
      </c>
      <c r="B131" t="n">
        <v>4</v>
      </c>
      <c r="C131" t="n">
        <v>4</v>
      </c>
      <c r="D131" t="n">
        <v>3</v>
      </c>
      <c r="E131" t="n">
        <v>5</v>
      </c>
      <c r="F131" t="n">
        <v>5</v>
      </c>
      <c r="G131" t="n">
        <v>3</v>
      </c>
      <c r="H131" t="n">
        <v>4</v>
      </c>
      <c r="I131" t="n">
        <v>4</v>
      </c>
      <c r="J131" t="n">
        <v>5</v>
      </c>
      <c r="K131" t="n">
        <v>4</v>
      </c>
      <c r="L131" t="n">
        <v>5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  <c r="R131" t="n">
        <v>4</v>
      </c>
    </row>
    <row r="132">
      <c r="A132" t="n">
        <v>4</v>
      </c>
      <c r="B132" t="n">
        <v>5</v>
      </c>
      <c r="C132" t="n">
        <v>4</v>
      </c>
      <c r="D132" t="n">
        <v>3</v>
      </c>
      <c r="E132" t="n">
        <v>3</v>
      </c>
      <c r="F132" t="n">
        <v>4</v>
      </c>
      <c r="G132" t="n">
        <v>4</v>
      </c>
      <c r="H132" t="n">
        <v>4</v>
      </c>
      <c r="I132" t="n">
        <v>5</v>
      </c>
      <c r="J132" t="n">
        <v>4</v>
      </c>
      <c r="K132" t="n">
        <v>4</v>
      </c>
      <c r="L132" t="n">
        <v>4</v>
      </c>
      <c r="M132" t="n">
        <v>4</v>
      </c>
      <c r="N132" t="n">
        <v>3</v>
      </c>
      <c r="O132" t="n">
        <v>4</v>
      </c>
      <c r="P132" t="n">
        <v>4</v>
      </c>
      <c r="Q132" t="n">
        <v>5</v>
      </c>
      <c r="R132" t="n">
        <v>4</v>
      </c>
    </row>
    <row r="133">
      <c r="A133" t="n">
        <v>4</v>
      </c>
      <c r="B133" t="n">
        <v>4</v>
      </c>
      <c r="C133" t="n">
        <v>5</v>
      </c>
      <c r="D133" t="n">
        <v>3</v>
      </c>
      <c r="E133" t="n">
        <v>5</v>
      </c>
      <c r="F133" t="n">
        <v>4</v>
      </c>
      <c r="G133" t="n">
        <v>4</v>
      </c>
      <c r="H133" t="n">
        <v>5</v>
      </c>
      <c r="I133" t="n">
        <v>4</v>
      </c>
      <c r="J133" t="n">
        <v>3</v>
      </c>
      <c r="K133" t="n">
        <v>5</v>
      </c>
      <c r="L133" t="n">
        <v>4</v>
      </c>
      <c r="M133" t="n">
        <v>4</v>
      </c>
      <c r="N133" t="n">
        <v>3</v>
      </c>
      <c r="O133" t="n">
        <v>3</v>
      </c>
      <c r="P133" t="n">
        <v>4</v>
      </c>
      <c r="Q133" t="n">
        <v>4</v>
      </c>
      <c r="R133" t="n">
        <v>3</v>
      </c>
    </row>
    <row r="134">
      <c r="A134" t="n">
        <v>3</v>
      </c>
      <c r="B134" t="n">
        <v>4</v>
      </c>
      <c r="C134" t="n">
        <v>2</v>
      </c>
      <c r="D134" t="n">
        <v>4</v>
      </c>
      <c r="E134" t="n">
        <v>4</v>
      </c>
      <c r="F134" t="n">
        <v>4</v>
      </c>
      <c r="G134" t="n">
        <v>4</v>
      </c>
      <c r="H134" t="n">
        <v>4</v>
      </c>
      <c r="I134" t="n">
        <v>4</v>
      </c>
      <c r="J134" t="n">
        <v>5</v>
      </c>
      <c r="K134" t="n">
        <v>4</v>
      </c>
      <c r="L134" t="n">
        <v>4</v>
      </c>
      <c r="M134" t="n">
        <v>5</v>
      </c>
      <c r="N134" t="n">
        <v>5</v>
      </c>
      <c r="O134" t="n">
        <v>4</v>
      </c>
      <c r="P134" t="n">
        <v>5</v>
      </c>
      <c r="Q134" t="n">
        <v>3</v>
      </c>
      <c r="R134" t="n">
        <v>4</v>
      </c>
    </row>
    <row r="135">
      <c r="A135" t="n">
        <v>4</v>
      </c>
      <c r="B135" t="n">
        <v>3</v>
      </c>
      <c r="C135" t="n">
        <v>4</v>
      </c>
      <c r="D135" t="n">
        <v>4</v>
      </c>
      <c r="E135" t="n">
        <v>4</v>
      </c>
      <c r="F135" t="n">
        <v>5</v>
      </c>
      <c r="G135" t="n">
        <v>5</v>
      </c>
      <c r="H135" t="n">
        <v>4</v>
      </c>
      <c r="I135" t="n">
        <v>4</v>
      </c>
      <c r="J135" t="n">
        <v>5</v>
      </c>
      <c r="K135" t="n">
        <v>4</v>
      </c>
      <c r="L135" t="n">
        <v>4</v>
      </c>
      <c r="M135" t="n">
        <v>4</v>
      </c>
      <c r="N135" t="n">
        <v>4</v>
      </c>
      <c r="O135" t="n">
        <v>3</v>
      </c>
      <c r="P135" t="n">
        <v>4</v>
      </c>
      <c r="Q135" t="n">
        <v>4</v>
      </c>
      <c r="R135" t="n">
        <v>5</v>
      </c>
    </row>
    <row r="136">
      <c r="A136" t="n">
        <v>4</v>
      </c>
      <c r="B136" t="n">
        <v>3</v>
      </c>
      <c r="C136" t="n">
        <v>4</v>
      </c>
      <c r="D136" t="n">
        <v>4</v>
      </c>
      <c r="E136" t="n">
        <v>5</v>
      </c>
      <c r="F136" t="n">
        <v>5</v>
      </c>
      <c r="G136" t="n">
        <v>4</v>
      </c>
      <c r="H136" t="n">
        <v>3</v>
      </c>
      <c r="I136" t="n">
        <v>5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3</v>
      </c>
      <c r="P136" t="n">
        <v>3</v>
      </c>
      <c r="Q136" t="n">
        <v>5</v>
      </c>
      <c r="R136" t="n">
        <v>4</v>
      </c>
    </row>
    <row r="137">
      <c r="A137" t="n">
        <v>4</v>
      </c>
      <c r="B137" t="n">
        <v>5</v>
      </c>
      <c r="C137" t="n">
        <v>4</v>
      </c>
      <c r="D137" t="n">
        <v>4</v>
      </c>
      <c r="E137" t="n">
        <v>4</v>
      </c>
      <c r="F137" t="n">
        <v>4</v>
      </c>
      <c r="G137" t="n">
        <v>5</v>
      </c>
      <c r="H137" t="n">
        <v>4</v>
      </c>
      <c r="I137" t="n">
        <v>4</v>
      </c>
      <c r="J137" t="n">
        <v>5</v>
      </c>
      <c r="K137" t="n">
        <v>4</v>
      </c>
      <c r="L137" t="n">
        <v>4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</row>
    <row r="138">
      <c r="A138" t="n">
        <v>3</v>
      </c>
      <c r="B138" t="n">
        <v>4</v>
      </c>
      <c r="C138" t="n">
        <v>3</v>
      </c>
      <c r="D138" t="n">
        <v>2</v>
      </c>
      <c r="E138" t="n">
        <v>4</v>
      </c>
      <c r="F138" t="n">
        <v>5</v>
      </c>
      <c r="G138" t="n">
        <v>4</v>
      </c>
      <c r="H138" t="n">
        <v>4</v>
      </c>
      <c r="I138" t="n">
        <v>4</v>
      </c>
      <c r="J138" t="n">
        <v>5</v>
      </c>
      <c r="K138" t="n">
        <v>5</v>
      </c>
      <c r="L138" t="n">
        <v>5</v>
      </c>
      <c r="M138" t="n">
        <v>4</v>
      </c>
      <c r="N138" t="n">
        <v>4</v>
      </c>
      <c r="O138" t="n">
        <v>4</v>
      </c>
      <c r="P138" t="n">
        <v>4</v>
      </c>
      <c r="Q138" t="n">
        <v>4</v>
      </c>
      <c r="R138" t="n">
        <v>5</v>
      </c>
    </row>
    <row r="139">
      <c r="A139" t="n">
        <v>4</v>
      </c>
      <c r="B139" t="n">
        <v>5</v>
      </c>
      <c r="C139" t="n">
        <v>4</v>
      </c>
      <c r="D139" t="n">
        <v>4</v>
      </c>
      <c r="E139" t="n">
        <v>4</v>
      </c>
      <c r="F139" t="n">
        <v>4</v>
      </c>
      <c r="G139" t="n">
        <v>4</v>
      </c>
      <c r="H139" t="n">
        <v>4</v>
      </c>
      <c r="I139" t="n">
        <v>3</v>
      </c>
      <c r="J139" t="n">
        <v>5</v>
      </c>
      <c r="K139" t="n">
        <v>4</v>
      </c>
      <c r="L139" t="n">
        <v>4</v>
      </c>
      <c r="M139" t="n">
        <v>3</v>
      </c>
      <c r="N139" t="n">
        <v>4</v>
      </c>
      <c r="O139" t="n">
        <v>4</v>
      </c>
      <c r="P139" t="n">
        <v>5</v>
      </c>
      <c r="Q139" t="n">
        <v>4</v>
      </c>
      <c r="R139" t="n">
        <v>4</v>
      </c>
    </row>
    <row r="140">
      <c r="A140" t="n">
        <v>4</v>
      </c>
      <c r="B140" t="n">
        <v>4</v>
      </c>
      <c r="C140" t="n">
        <v>4</v>
      </c>
      <c r="D140" t="n">
        <v>3</v>
      </c>
      <c r="E140" t="n">
        <v>5</v>
      </c>
      <c r="F140" t="n">
        <v>5</v>
      </c>
      <c r="G140" t="n">
        <v>4</v>
      </c>
      <c r="H140" t="n">
        <v>4</v>
      </c>
      <c r="I140" t="n">
        <v>4</v>
      </c>
      <c r="J140" t="n">
        <v>4</v>
      </c>
      <c r="K140" t="n">
        <v>5</v>
      </c>
      <c r="L140" t="n">
        <v>3</v>
      </c>
      <c r="M140" t="n">
        <v>5</v>
      </c>
      <c r="N140" t="n">
        <v>5</v>
      </c>
      <c r="O140" t="n">
        <v>5</v>
      </c>
      <c r="P140" t="n">
        <v>4</v>
      </c>
      <c r="Q140" t="n">
        <v>4</v>
      </c>
      <c r="R140" t="n">
        <v>4</v>
      </c>
    </row>
    <row r="141">
      <c r="A141" t="n">
        <v>4</v>
      </c>
      <c r="B141" t="n">
        <v>4</v>
      </c>
      <c r="C141" t="n">
        <v>4</v>
      </c>
      <c r="D141" t="n">
        <v>3</v>
      </c>
      <c r="E141" t="n">
        <v>5</v>
      </c>
      <c r="F141" t="n">
        <v>5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5</v>
      </c>
      <c r="M141" t="n">
        <v>4</v>
      </c>
      <c r="N141" t="n">
        <v>4</v>
      </c>
      <c r="O141" t="n">
        <v>4</v>
      </c>
      <c r="P141" t="n">
        <v>4</v>
      </c>
      <c r="Q141" t="n">
        <v>3</v>
      </c>
      <c r="R141" t="n">
        <v>4</v>
      </c>
    </row>
    <row r="142">
      <c r="A142" t="n">
        <v>4</v>
      </c>
      <c r="B142" t="n">
        <v>3</v>
      </c>
      <c r="C142" t="n">
        <v>4</v>
      </c>
      <c r="D142" t="n">
        <v>4</v>
      </c>
      <c r="E142" t="n">
        <v>5</v>
      </c>
      <c r="F142" t="n">
        <v>5</v>
      </c>
      <c r="G142" t="n">
        <v>4</v>
      </c>
      <c r="H142" t="n">
        <v>4</v>
      </c>
      <c r="I142" t="n">
        <v>4</v>
      </c>
      <c r="J142" t="n">
        <v>5</v>
      </c>
      <c r="K142" t="n">
        <v>4</v>
      </c>
      <c r="L142" t="n">
        <v>5</v>
      </c>
      <c r="M142" t="n">
        <v>4</v>
      </c>
      <c r="N142" t="n">
        <v>5</v>
      </c>
      <c r="O142" t="n">
        <v>5</v>
      </c>
      <c r="P142" t="n">
        <v>4</v>
      </c>
      <c r="Q142" t="n">
        <v>5</v>
      </c>
      <c r="R142" t="n">
        <v>4</v>
      </c>
    </row>
    <row r="143">
      <c r="A143" t="n">
        <v>4</v>
      </c>
      <c r="B143" t="n">
        <v>4</v>
      </c>
      <c r="C143" t="n">
        <v>5</v>
      </c>
      <c r="D143" t="n">
        <v>5</v>
      </c>
      <c r="E143" t="n">
        <v>4</v>
      </c>
      <c r="F143" t="n">
        <v>5</v>
      </c>
      <c r="G143" t="n">
        <v>4</v>
      </c>
      <c r="H143" t="n">
        <v>5</v>
      </c>
      <c r="I143" t="n">
        <v>5</v>
      </c>
      <c r="J143" t="n">
        <v>4</v>
      </c>
      <c r="K143" t="n">
        <v>4</v>
      </c>
      <c r="L143" t="n">
        <v>4</v>
      </c>
      <c r="M143" t="n">
        <v>5</v>
      </c>
      <c r="N143" t="n">
        <v>3</v>
      </c>
      <c r="O143" t="n">
        <v>5</v>
      </c>
      <c r="P143" t="n">
        <v>4</v>
      </c>
      <c r="Q143" t="n">
        <v>5</v>
      </c>
      <c r="R143" t="n">
        <v>4</v>
      </c>
    </row>
    <row r="144">
      <c r="A144" t="n">
        <v>4</v>
      </c>
      <c r="B144" t="n">
        <v>4</v>
      </c>
      <c r="C144" t="n">
        <v>3</v>
      </c>
      <c r="D144" t="n">
        <v>1</v>
      </c>
      <c r="E144" t="n">
        <v>4</v>
      </c>
      <c r="F144" t="n">
        <v>4</v>
      </c>
      <c r="G144" t="n">
        <v>4</v>
      </c>
      <c r="H144" t="n">
        <v>4</v>
      </c>
      <c r="I144" t="n">
        <v>5</v>
      </c>
      <c r="J144" t="n">
        <v>5</v>
      </c>
      <c r="K144" t="n">
        <v>5</v>
      </c>
      <c r="L144" t="n">
        <v>4</v>
      </c>
      <c r="M144" t="n">
        <v>5</v>
      </c>
      <c r="N144" t="n">
        <v>4</v>
      </c>
      <c r="O144" t="n">
        <v>5</v>
      </c>
      <c r="P144" t="n">
        <v>4</v>
      </c>
      <c r="Q144" t="n">
        <v>4</v>
      </c>
      <c r="R144" t="n">
        <v>4</v>
      </c>
    </row>
    <row r="145">
      <c r="A145" t="n">
        <v>4</v>
      </c>
      <c r="B145" t="n">
        <v>5</v>
      </c>
      <c r="C145" t="n">
        <v>4</v>
      </c>
      <c r="D145" t="n">
        <v>5</v>
      </c>
      <c r="E145" t="n">
        <v>4</v>
      </c>
      <c r="F145" t="n">
        <v>4</v>
      </c>
      <c r="G145" t="n">
        <v>3</v>
      </c>
      <c r="H145" t="n">
        <v>5</v>
      </c>
      <c r="I145" t="n">
        <v>3</v>
      </c>
      <c r="J145" t="n">
        <v>3</v>
      </c>
      <c r="K145" t="n">
        <v>4</v>
      </c>
      <c r="L145" t="n">
        <v>3</v>
      </c>
      <c r="M145" t="n">
        <v>3</v>
      </c>
      <c r="N145" t="n">
        <v>3</v>
      </c>
      <c r="O145" t="n">
        <v>2</v>
      </c>
      <c r="P145" t="n">
        <v>4</v>
      </c>
      <c r="Q145" t="n">
        <v>3</v>
      </c>
      <c r="R145" t="n">
        <v>3</v>
      </c>
    </row>
    <row r="146">
      <c r="A146" t="n">
        <v>3</v>
      </c>
      <c r="B146" t="n">
        <v>4</v>
      </c>
      <c r="C146" t="n">
        <v>3</v>
      </c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3</v>
      </c>
      <c r="J146" t="n">
        <v>4</v>
      </c>
      <c r="K146" t="n">
        <v>4</v>
      </c>
      <c r="L146" t="n">
        <v>5</v>
      </c>
      <c r="M146" t="n">
        <v>4</v>
      </c>
      <c r="N146" t="n">
        <v>4</v>
      </c>
      <c r="O146" t="n">
        <v>5</v>
      </c>
      <c r="P146" t="n">
        <v>5</v>
      </c>
      <c r="Q146" t="n">
        <v>4</v>
      </c>
      <c r="R146" t="n">
        <v>4</v>
      </c>
    </row>
    <row r="147">
      <c r="A147" t="n">
        <v>4</v>
      </c>
      <c r="B147" t="n">
        <v>4</v>
      </c>
      <c r="C147" t="n">
        <v>3</v>
      </c>
      <c r="D147" t="n">
        <v>3</v>
      </c>
      <c r="E147" t="n">
        <v>4</v>
      </c>
      <c r="F147" t="n">
        <v>3</v>
      </c>
      <c r="G147" t="n">
        <v>4</v>
      </c>
      <c r="H147" t="n">
        <v>3</v>
      </c>
      <c r="I147" t="n">
        <v>4</v>
      </c>
      <c r="J147" t="n">
        <v>4</v>
      </c>
      <c r="K147" t="n">
        <v>4</v>
      </c>
      <c r="L147" t="n">
        <v>4</v>
      </c>
      <c r="M147" t="n">
        <v>5</v>
      </c>
      <c r="N147" t="n">
        <v>4</v>
      </c>
      <c r="O147" t="n">
        <v>4</v>
      </c>
      <c r="P147" t="n">
        <v>4</v>
      </c>
      <c r="Q147" t="n">
        <v>4</v>
      </c>
      <c r="R147" t="n">
        <v>4</v>
      </c>
    </row>
    <row r="148">
      <c r="A148" t="n">
        <v>4</v>
      </c>
      <c r="B148" t="n">
        <v>3</v>
      </c>
      <c r="C148" t="n">
        <v>4</v>
      </c>
      <c r="D148" t="n">
        <v>4</v>
      </c>
      <c r="E148" t="n">
        <v>4</v>
      </c>
      <c r="F148" t="n">
        <v>5</v>
      </c>
      <c r="G148" t="n">
        <v>4</v>
      </c>
      <c r="H148" t="n">
        <v>5</v>
      </c>
      <c r="I148" t="n">
        <v>5</v>
      </c>
      <c r="J148" t="n">
        <v>4</v>
      </c>
      <c r="K148" t="n">
        <v>5</v>
      </c>
      <c r="L148" t="n">
        <v>4</v>
      </c>
      <c r="M148" t="n">
        <v>4</v>
      </c>
      <c r="N148" t="n">
        <v>5</v>
      </c>
      <c r="O148" t="n">
        <v>5</v>
      </c>
      <c r="P148" t="n">
        <v>5</v>
      </c>
      <c r="Q148" t="n">
        <v>4</v>
      </c>
      <c r="R148" t="n">
        <v>4</v>
      </c>
    </row>
    <row r="149">
      <c r="A149" t="n">
        <v>3</v>
      </c>
      <c r="B149" t="n">
        <v>4</v>
      </c>
      <c r="C149" t="n">
        <v>5</v>
      </c>
      <c r="D149" t="n">
        <v>4</v>
      </c>
      <c r="E149" t="n">
        <v>5</v>
      </c>
      <c r="F149" t="n">
        <v>4</v>
      </c>
      <c r="G149" t="n">
        <v>4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  <c r="R149" t="n">
        <v>4</v>
      </c>
    </row>
    <row r="150">
      <c r="A150" t="n">
        <v>4</v>
      </c>
      <c r="B150" t="n">
        <v>5</v>
      </c>
      <c r="C150" t="n">
        <v>4</v>
      </c>
      <c r="D150" t="n">
        <v>5</v>
      </c>
      <c r="E150" t="n">
        <v>4</v>
      </c>
      <c r="F150" t="n">
        <v>3</v>
      </c>
      <c r="G150" t="n">
        <v>4</v>
      </c>
      <c r="H150" t="n">
        <v>4</v>
      </c>
      <c r="I150" t="n">
        <v>5</v>
      </c>
      <c r="J150" t="n">
        <v>4</v>
      </c>
      <c r="K150" t="n">
        <v>4</v>
      </c>
      <c r="L150" t="n">
        <v>5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5</v>
      </c>
    </row>
    <row r="151">
      <c r="A151" t="n">
        <v>5</v>
      </c>
      <c r="B151" t="n">
        <v>5</v>
      </c>
      <c r="C151" t="n">
        <v>3</v>
      </c>
      <c r="D151" t="n">
        <v>3</v>
      </c>
      <c r="E151" t="n">
        <v>4</v>
      </c>
      <c r="F151" t="n">
        <v>4</v>
      </c>
      <c r="G151" t="n">
        <v>4</v>
      </c>
      <c r="H151" t="n">
        <v>5</v>
      </c>
      <c r="I151" t="n">
        <v>4</v>
      </c>
      <c r="J151" t="n">
        <v>3</v>
      </c>
      <c r="K151" t="n">
        <v>2</v>
      </c>
      <c r="L151" t="n">
        <v>4</v>
      </c>
      <c r="M151" t="n">
        <v>4</v>
      </c>
      <c r="N151" t="n">
        <v>5</v>
      </c>
      <c r="O151" t="n">
        <v>4</v>
      </c>
      <c r="P151" t="n">
        <v>4</v>
      </c>
      <c r="Q151" t="n">
        <v>3</v>
      </c>
      <c r="R151" t="n">
        <v>5</v>
      </c>
    </row>
    <row r="152">
      <c r="A152" t="n">
        <v>4</v>
      </c>
      <c r="B152" t="n">
        <v>4</v>
      </c>
      <c r="C152" t="n">
        <v>5</v>
      </c>
      <c r="D152" t="n">
        <v>4</v>
      </c>
      <c r="E152" t="n">
        <v>4</v>
      </c>
      <c r="F152" t="n">
        <v>2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5</v>
      </c>
      <c r="M152" t="n">
        <v>4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</row>
    <row r="153">
      <c r="A153" t="n">
        <v>5</v>
      </c>
      <c r="B153" t="n">
        <v>5</v>
      </c>
      <c r="C153" t="n">
        <v>4</v>
      </c>
      <c r="D153" t="n">
        <v>4</v>
      </c>
      <c r="E153" t="n">
        <v>5</v>
      </c>
      <c r="F153" t="n">
        <v>4</v>
      </c>
      <c r="G153" t="n">
        <v>4</v>
      </c>
      <c r="H153" t="n">
        <v>3</v>
      </c>
      <c r="I153" t="n">
        <v>4</v>
      </c>
      <c r="J153" t="n">
        <v>4</v>
      </c>
      <c r="K153" t="n">
        <v>5</v>
      </c>
      <c r="L153" t="n">
        <v>4</v>
      </c>
      <c r="M153" t="n">
        <v>5</v>
      </c>
      <c r="N153" t="n">
        <v>5</v>
      </c>
      <c r="O153" t="n">
        <v>5</v>
      </c>
      <c r="P153" t="n">
        <v>5</v>
      </c>
      <c r="Q153" t="n">
        <v>4</v>
      </c>
      <c r="R153" t="n">
        <v>5</v>
      </c>
    </row>
    <row r="154">
      <c r="A154" t="n">
        <v>4</v>
      </c>
      <c r="B154" t="n">
        <v>4</v>
      </c>
      <c r="C154" t="n">
        <v>4</v>
      </c>
      <c r="D154" t="n">
        <v>3</v>
      </c>
      <c r="E154" t="n">
        <v>4</v>
      </c>
      <c r="F154" t="n">
        <v>5</v>
      </c>
      <c r="G154" t="n">
        <v>4</v>
      </c>
      <c r="H154" t="n">
        <v>4</v>
      </c>
      <c r="I154" t="n">
        <v>5</v>
      </c>
      <c r="J154" t="n">
        <v>4</v>
      </c>
      <c r="K154" t="n">
        <v>4</v>
      </c>
      <c r="L154" t="n">
        <v>5</v>
      </c>
      <c r="M154" t="n">
        <v>4</v>
      </c>
      <c r="N154" t="n">
        <v>4</v>
      </c>
      <c r="O154" t="n">
        <v>5</v>
      </c>
      <c r="P154" t="n">
        <v>4</v>
      </c>
      <c r="Q154" t="n">
        <v>4</v>
      </c>
      <c r="R154" t="n">
        <v>4</v>
      </c>
    </row>
    <row r="155">
      <c r="A155" t="n">
        <v>5</v>
      </c>
      <c r="B155" t="n">
        <v>4</v>
      </c>
      <c r="C155" t="n">
        <v>5</v>
      </c>
      <c r="D155" t="n">
        <v>4</v>
      </c>
      <c r="E155" t="n">
        <v>5</v>
      </c>
      <c r="F155" t="n">
        <v>4</v>
      </c>
      <c r="G155" t="n">
        <v>5</v>
      </c>
      <c r="H155" t="n">
        <v>4</v>
      </c>
      <c r="I155" t="n">
        <v>5</v>
      </c>
      <c r="J155" t="n">
        <v>5</v>
      </c>
      <c r="K155" t="n">
        <v>4</v>
      </c>
      <c r="L155" t="n">
        <v>5</v>
      </c>
      <c r="M155" t="n">
        <v>4</v>
      </c>
      <c r="N155" t="n">
        <v>5</v>
      </c>
      <c r="O155" t="n">
        <v>4</v>
      </c>
      <c r="P155" t="n">
        <v>5</v>
      </c>
      <c r="Q155" t="n">
        <v>4</v>
      </c>
      <c r="R155" t="n">
        <v>5</v>
      </c>
    </row>
    <row r="156">
      <c r="A156" t="n">
        <v>5</v>
      </c>
      <c r="B156" t="n">
        <v>4</v>
      </c>
      <c r="C156" t="n">
        <v>4</v>
      </c>
      <c r="D156" t="n">
        <v>3</v>
      </c>
      <c r="E156" t="n">
        <v>4</v>
      </c>
      <c r="F156" t="n">
        <v>4</v>
      </c>
      <c r="G156" t="n">
        <v>4</v>
      </c>
      <c r="H156" t="n">
        <v>5</v>
      </c>
      <c r="I156" t="n">
        <v>3</v>
      </c>
      <c r="J156" t="n">
        <v>4</v>
      </c>
      <c r="K156" t="n">
        <v>4</v>
      </c>
      <c r="L156" t="n">
        <v>5</v>
      </c>
      <c r="M156" t="n">
        <v>5</v>
      </c>
      <c r="N156" t="n">
        <v>4</v>
      </c>
      <c r="O156" t="n">
        <v>4</v>
      </c>
      <c r="P156" t="n">
        <v>3</v>
      </c>
      <c r="Q156" t="n">
        <v>5</v>
      </c>
      <c r="R156" t="n">
        <v>5</v>
      </c>
    </row>
    <row r="157">
      <c r="A157" t="n">
        <v>4</v>
      </c>
      <c r="B157" t="n">
        <v>4</v>
      </c>
      <c r="C157" t="n">
        <v>5</v>
      </c>
      <c r="D157" t="n">
        <v>4</v>
      </c>
      <c r="E157" t="n">
        <v>5</v>
      </c>
      <c r="F157" t="n">
        <v>4</v>
      </c>
      <c r="G157" t="n">
        <v>5</v>
      </c>
      <c r="H157" t="n">
        <v>5</v>
      </c>
      <c r="I157" t="n">
        <v>4</v>
      </c>
      <c r="J157" t="n">
        <v>5</v>
      </c>
      <c r="K157" t="n">
        <v>5</v>
      </c>
      <c r="L157" t="n">
        <v>5</v>
      </c>
      <c r="M157" t="n">
        <v>4</v>
      </c>
      <c r="N157" t="n">
        <v>4</v>
      </c>
      <c r="O157" t="n">
        <v>5</v>
      </c>
      <c r="P157" t="n">
        <v>4</v>
      </c>
      <c r="Q157" t="n">
        <v>4</v>
      </c>
      <c r="R157" t="n">
        <v>4</v>
      </c>
    </row>
    <row r="158">
      <c r="A158" t="n">
        <v>3</v>
      </c>
      <c r="B158" t="n">
        <v>4</v>
      </c>
      <c r="C158" t="n">
        <v>5</v>
      </c>
      <c r="D158" t="n">
        <v>2</v>
      </c>
      <c r="E158" t="n">
        <v>4</v>
      </c>
      <c r="F158" t="n">
        <v>3</v>
      </c>
      <c r="G158" t="n">
        <v>5</v>
      </c>
      <c r="H158" t="n">
        <v>4</v>
      </c>
      <c r="I158" t="n">
        <v>4</v>
      </c>
      <c r="J158" t="n">
        <v>5</v>
      </c>
      <c r="K158" t="n">
        <v>3</v>
      </c>
      <c r="L158" t="n">
        <v>4</v>
      </c>
      <c r="M158" t="n">
        <v>4</v>
      </c>
      <c r="N158" t="n">
        <v>3</v>
      </c>
      <c r="O158" t="n">
        <v>5</v>
      </c>
      <c r="P158" t="n">
        <v>3</v>
      </c>
      <c r="Q158" t="n">
        <v>5</v>
      </c>
      <c r="R158" t="n">
        <v>5</v>
      </c>
    </row>
    <row r="159">
      <c r="A159" t="n">
        <v>4</v>
      </c>
      <c r="B159" t="n">
        <v>5</v>
      </c>
      <c r="C159" t="n">
        <v>4</v>
      </c>
      <c r="D159" t="n">
        <v>4</v>
      </c>
      <c r="E159" t="n">
        <v>4</v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  <c r="K159" t="n">
        <v>3</v>
      </c>
      <c r="L159" t="n">
        <v>5</v>
      </c>
      <c r="M159" t="n">
        <v>5</v>
      </c>
      <c r="N159" t="n">
        <v>5</v>
      </c>
      <c r="O159" t="n">
        <v>4</v>
      </c>
      <c r="P159" t="n">
        <v>4</v>
      </c>
      <c r="Q159" t="n">
        <v>5</v>
      </c>
      <c r="R159" t="n">
        <v>4</v>
      </c>
    </row>
    <row r="160">
      <c r="A160" t="n">
        <v>4</v>
      </c>
      <c r="B160" t="n">
        <v>5</v>
      </c>
      <c r="C160" t="n">
        <v>4</v>
      </c>
      <c r="D160" t="n">
        <v>4</v>
      </c>
      <c r="E160" t="n">
        <v>4</v>
      </c>
      <c r="F160" t="n">
        <v>4</v>
      </c>
      <c r="G160" t="n">
        <v>4</v>
      </c>
      <c r="H160" t="n">
        <v>4</v>
      </c>
      <c r="I160" t="n">
        <v>3</v>
      </c>
      <c r="J160" t="n">
        <v>5</v>
      </c>
      <c r="K160" t="n">
        <v>4</v>
      </c>
      <c r="L160" t="n">
        <v>4</v>
      </c>
      <c r="M160" t="n">
        <v>5</v>
      </c>
      <c r="N160" t="n">
        <v>4</v>
      </c>
      <c r="O160" t="n">
        <v>5</v>
      </c>
      <c r="P160" t="n">
        <v>4</v>
      </c>
      <c r="Q160" t="n">
        <v>4</v>
      </c>
      <c r="R160" t="n">
        <v>4</v>
      </c>
    </row>
    <row r="161">
      <c r="A161" t="n">
        <v>4</v>
      </c>
      <c r="B161" t="n">
        <v>4</v>
      </c>
      <c r="C161" t="n">
        <v>5</v>
      </c>
      <c r="D161" t="n">
        <v>4</v>
      </c>
      <c r="E161" t="n">
        <v>4</v>
      </c>
      <c r="F161" t="n">
        <v>4</v>
      </c>
      <c r="G161" t="n">
        <v>4</v>
      </c>
      <c r="H161" t="n">
        <v>4</v>
      </c>
      <c r="I161" t="n">
        <v>5</v>
      </c>
      <c r="J161" t="n">
        <v>4</v>
      </c>
      <c r="K161" t="n">
        <v>4</v>
      </c>
      <c r="L161" t="n">
        <v>3</v>
      </c>
      <c r="M161" t="n">
        <v>4</v>
      </c>
      <c r="N161" t="n">
        <v>5</v>
      </c>
      <c r="O161" t="n">
        <v>4</v>
      </c>
      <c r="P161" t="n">
        <v>4</v>
      </c>
      <c r="Q161" t="n">
        <v>5</v>
      </c>
      <c r="R161" t="n">
        <v>4</v>
      </c>
    </row>
    <row r="162">
      <c r="A162" t="n">
        <v>4</v>
      </c>
      <c r="B162" t="n">
        <v>4</v>
      </c>
      <c r="C162" t="n">
        <v>4</v>
      </c>
      <c r="D162" t="n">
        <v>4</v>
      </c>
      <c r="E162" t="n">
        <v>4</v>
      </c>
      <c r="F162" t="n">
        <v>3</v>
      </c>
      <c r="G162" t="n">
        <v>2</v>
      </c>
      <c r="H162" t="n">
        <v>3</v>
      </c>
      <c r="I162" t="n">
        <v>5</v>
      </c>
      <c r="J162" t="n">
        <v>5</v>
      </c>
      <c r="K162" t="n">
        <v>4</v>
      </c>
      <c r="L162" t="n">
        <v>4</v>
      </c>
      <c r="M162" t="n">
        <v>4</v>
      </c>
      <c r="N162" t="n">
        <v>4</v>
      </c>
      <c r="O162" t="n">
        <v>5</v>
      </c>
      <c r="P162" t="n">
        <v>4</v>
      </c>
      <c r="Q162" t="n">
        <v>4</v>
      </c>
      <c r="R162" t="n">
        <v>4</v>
      </c>
    </row>
    <row r="163">
      <c r="A163" t="n">
        <v>4</v>
      </c>
      <c r="B163" t="n">
        <v>4</v>
      </c>
      <c r="C163" t="n">
        <v>5</v>
      </c>
      <c r="D163" t="n">
        <v>4</v>
      </c>
      <c r="E163" t="n">
        <v>4</v>
      </c>
      <c r="F163" t="n">
        <v>4</v>
      </c>
      <c r="G163" t="n">
        <v>4</v>
      </c>
      <c r="H163" t="n">
        <v>4</v>
      </c>
      <c r="I163" t="n">
        <v>4</v>
      </c>
      <c r="J163" t="n">
        <v>5</v>
      </c>
      <c r="K163" t="n">
        <v>4</v>
      </c>
      <c r="L163" t="n">
        <v>4</v>
      </c>
      <c r="M163" t="n">
        <v>4</v>
      </c>
      <c r="N163" t="n">
        <v>4</v>
      </c>
      <c r="O163" t="n">
        <v>3</v>
      </c>
      <c r="P163" t="n">
        <v>5</v>
      </c>
      <c r="Q163" t="n">
        <v>5</v>
      </c>
      <c r="R163" t="n">
        <v>5</v>
      </c>
    </row>
    <row r="164">
      <c r="A164" t="n">
        <v>4</v>
      </c>
      <c r="B164" t="n">
        <v>5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5</v>
      </c>
      <c r="I164" t="n">
        <v>5</v>
      </c>
      <c r="J164" t="n">
        <v>4</v>
      </c>
      <c r="K164" t="n">
        <v>4</v>
      </c>
      <c r="L164" t="n">
        <v>5</v>
      </c>
      <c r="M164" t="n">
        <v>5</v>
      </c>
      <c r="N164" t="n">
        <v>4</v>
      </c>
      <c r="O164" t="n">
        <v>3</v>
      </c>
      <c r="P164" t="n">
        <v>2</v>
      </c>
      <c r="Q164" t="n">
        <v>3</v>
      </c>
      <c r="R164" t="n">
        <v>4</v>
      </c>
    </row>
    <row r="165">
      <c r="A165" t="n">
        <v>4</v>
      </c>
      <c r="B165" t="n">
        <v>4</v>
      </c>
      <c r="C165" t="n">
        <v>4</v>
      </c>
      <c r="D165" t="n">
        <v>4</v>
      </c>
      <c r="E165" t="n">
        <v>5</v>
      </c>
      <c r="F165" t="n">
        <v>5</v>
      </c>
      <c r="G165" t="n">
        <v>5</v>
      </c>
      <c r="H165" t="n">
        <v>3</v>
      </c>
      <c r="I165" t="n">
        <v>4</v>
      </c>
      <c r="J165" t="n">
        <v>4</v>
      </c>
      <c r="K165" t="n">
        <v>4</v>
      </c>
      <c r="L165" t="n">
        <v>4</v>
      </c>
      <c r="M165" t="n">
        <v>4</v>
      </c>
      <c r="N165" t="n">
        <v>5</v>
      </c>
      <c r="O165" t="n">
        <v>4</v>
      </c>
      <c r="P165" t="n">
        <v>5</v>
      </c>
      <c r="Q165" t="n">
        <v>4</v>
      </c>
      <c r="R165" t="n">
        <v>4</v>
      </c>
    </row>
    <row r="166">
      <c r="A166" t="n">
        <v>4</v>
      </c>
      <c r="B166" t="n">
        <v>4</v>
      </c>
      <c r="C166" t="n">
        <v>4</v>
      </c>
      <c r="D166" t="n">
        <v>3</v>
      </c>
      <c r="E166" t="n">
        <v>5</v>
      </c>
      <c r="F166" t="n">
        <v>5</v>
      </c>
      <c r="G166" t="n">
        <v>4</v>
      </c>
      <c r="H166" t="n">
        <v>5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3</v>
      </c>
      <c r="O166" t="n">
        <v>5</v>
      </c>
      <c r="P166" t="n">
        <v>5</v>
      </c>
      <c r="Q166" t="n">
        <v>3</v>
      </c>
      <c r="R166" t="n">
        <v>4</v>
      </c>
    </row>
    <row r="167">
      <c r="A167" t="n">
        <v>4</v>
      </c>
      <c r="B167" t="n">
        <v>4</v>
      </c>
      <c r="C167" t="n">
        <v>4</v>
      </c>
      <c r="D167" t="n">
        <v>4</v>
      </c>
      <c r="E167" t="n">
        <v>3</v>
      </c>
      <c r="F167" t="n">
        <v>4</v>
      </c>
      <c r="G167" t="n">
        <v>4</v>
      </c>
      <c r="H167" t="n">
        <v>5</v>
      </c>
      <c r="I167" t="n">
        <v>5</v>
      </c>
      <c r="J167" t="n">
        <v>3</v>
      </c>
      <c r="K167" t="n">
        <v>4</v>
      </c>
      <c r="L167" t="n">
        <v>4</v>
      </c>
      <c r="M167" t="n">
        <v>5</v>
      </c>
      <c r="N167" t="n">
        <v>4</v>
      </c>
      <c r="O167" t="n">
        <v>4</v>
      </c>
      <c r="P167" t="n">
        <v>3</v>
      </c>
      <c r="Q167" t="n">
        <v>2</v>
      </c>
      <c r="R167" t="n">
        <v>4</v>
      </c>
    </row>
    <row r="168">
      <c r="A168" t="n">
        <v>4</v>
      </c>
      <c r="B168" t="n">
        <v>5</v>
      </c>
      <c r="C168" t="n">
        <v>5</v>
      </c>
      <c r="D168" t="n">
        <v>4</v>
      </c>
      <c r="E168" t="n">
        <v>4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5</v>
      </c>
      <c r="Q168" t="n">
        <v>3</v>
      </c>
      <c r="R168" t="n">
        <v>4</v>
      </c>
    </row>
    <row r="169">
      <c r="A169" t="n">
        <v>4</v>
      </c>
      <c r="B169" t="n">
        <v>4</v>
      </c>
      <c r="C169" t="n">
        <v>3</v>
      </c>
      <c r="D169" t="n">
        <v>2</v>
      </c>
      <c r="E169" t="n">
        <v>3</v>
      </c>
      <c r="F169" t="n">
        <v>4</v>
      </c>
      <c r="G169" t="n">
        <v>5</v>
      </c>
      <c r="H169" t="n">
        <v>5</v>
      </c>
      <c r="I169" t="n">
        <v>4</v>
      </c>
      <c r="J169" t="n">
        <v>5</v>
      </c>
      <c r="K169" t="n">
        <v>5</v>
      </c>
      <c r="L169" t="n">
        <v>4</v>
      </c>
      <c r="M169" t="n">
        <v>5</v>
      </c>
      <c r="N169" t="n">
        <v>4</v>
      </c>
      <c r="O169" t="n">
        <v>5</v>
      </c>
      <c r="P169" t="n">
        <v>4</v>
      </c>
      <c r="Q169" t="n">
        <v>4</v>
      </c>
      <c r="R169" t="n">
        <v>4</v>
      </c>
    </row>
    <row r="170">
      <c r="A170" t="n">
        <v>4</v>
      </c>
      <c r="B170" t="n">
        <v>5</v>
      </c>
      <c r="C170" t="n">
        <v>5</v>
      </c>
      <c r="D170" t="n">
        <v>4</v>
      </c>
      <c r="E170" t="n">
        <v>5</v>
      </c>
      <c r="F170" t="n">
        <v>5</v>
      </c>
      <c r="G170" t="n">
        <v>4</v>
      </c>
      <c r="H170" t="n">
        <v>4</v>
      </c>
      <c r="I170" t="n">
        <v>3</v>
      </c>
      <c r="J170" t="n">
        <v>4</v>
      </c>
      <c r="K170" t="n">
        <v>4</v>
      </c>
      <c r="L170" t="n">
        <v>4</v>
      </c>
      <c r="M170" t="n">
        <v>5</v>
      </c>
      <c r="N170" t="n">
        <v>4</v>
      </c>
      <c r="O170" t="n">
        <v>5</v>
      </c>
      <c r="P170" t="n">
        <v>4</v>
      </c>
      <c r="Q170" t="n">
        <v>5</v>
      </c>
      <c r="R170" t="n">
        <v>3</v>
      </c>
    </row>
    <row r="171">
      <c r="A171" t="n">
        <v>4</v>
      </c>
      <c r="B171" t="n">
        <v>4</v>
      </c>
      <c r="C171" t="n">
        <v>4</v>
      </c>
      <c r="D171" t="n">
        <v>3</v>
      </c>
      <c r="E171" t="n">
        <v>4</v>
      </c>
      <c r="F171" t="n">
        <v>5</v>
      </c>
      <c r="G171" t="n">
        <v>5</v>
      </c>
      <c r="H171" t="n">
        <v>4</v>
      </c>
      <c r="I171" t="n">
        <v>4</v>
      </c>
      <c r="J171" t="n">
        <v>5</v>
      </c>
      <c r="K171" t="n">
        <v>5</v>
      </c>
      <c r="L171" t="n">
        <v>3</v>
      </c>
      <c r="M171" t="n">
        <v>4</v>
      </c>
      <c r="N171" t="n">
        <v>4</v>
      </c>
      <c r="O171" t="n">
        <v>4</v>
      </c>
      <c r="P171" t="n">
        <v>4</v>
      </c>
      <c r="Q171" t="n">
        <v>5</v>
      </c>
      <c r="R171" t="n">
        <v>4</v>
      </c>
    </row>
    <row r="172">
      <c r="A172" t="n">
        <v>4</v>
      </c>
      <c r="B172" t="n">
        <v>4</v>
      </c>
      <c r="C172" t="n">
        <v>5</v>
      </c>
      <c r="D172" t="n">
        <v>4</v>
      </c>
      <c r="E172" t="n">
        <v>4</v>
      </c>
      <c r="F172" t="n">
        <v>5</v>
      </c>
      <c r="G172" t="n">
        <v>4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4</v>
      </c>
      <c r="N172" t="n">
        <v>4</v>
      </c>
      <c r="O172" t="n">
        <v>5</v>
      </c>
      <c r="P172" t="n">
        <v>4</v>
      </c>
      <c r="Q172" t="n">
        <v>5</v>
      </c>
      <c r="R172" t="n">
        <v>4</v>
      </c>
    </row>
    <row r="173">
      <c r="A173" t="n">
        <v>4</v>
      </c>
      <c r="B173" t="n">
        <v>4</v>
      </c>
      <c r="C173" t="n">
        <v>4</v>
      </c>
      <c r="D173" t="n">
        <v>5</v>
      </c>
      <c r="E173" t="n">
        <v>4</v>
      </c>
      <c r="F173" t="n">
        <v>4</v>
      </c>
      <c r="G173" t="n">
        <v>4</v>
      </c>
      <c r="H173" t="n">
        <v>4</v>
      </c>
      <c r="I173" t="n">
        <v>4</v>
      </c>
      <c r="J173" t="n">
        <v>5</v>
      </c>
      <c r="K173" t="n">
        <v>4</v>
      </c>
      <c r="L173" t="n">
        <v>5</v>
      </c>
      <c r="M173" t="n">
        <v>5</v>
      </c>
      <c r="N173" t="n">
        <v>4</v>
      </c>
      <c r="O173" t="n">
        <v>5</v>
      </c>
      <c r="P173" t="n">
        <v>4</v>
      </c>
      <c r="Q173" t="n">
        <v>5</v>
      </c>
      <c r="R173" t="n">
        <v>3</v>
      </c>
    </row>
    <row r="174">
      <c r="A174" t="n">
        <v>5</v>
      </c>
      <c r="B174" t="n">
        <v>4</v>
      </c>
      <c r="C174" t="n">
        <v>5</v>
      </c>
      <c r="D174" t="n">
        <v>3</v>
      </c>
      <c r="E174" t="n">
        <v>4</v>
      </c>
      <c r="F174" t="n">
        <v>5</v>
      </c>
      <c r="G174" t="n">
        <v>5</v>
      </c>
      <c r="H174" t="n">
        <v>4</v>
      </c>
      <c r="I174" t="n">
        <v>5</v>
      </c>
      <c r="J174" t="n">
        <v>5</v>
      </c>
      <c r="K174" t="n">
        <v>4</v>
      </c>
      <c r="L174" t="n">
        <v>4</v>
      </c>
      <c r="M174" t="n">
        <v>4</v>
      </c>
      <c r="N174" t="n">
        <v>5</v>
      </c>
      <c r="O174" t="n">
        <v>4</v>
      </c>
      <c r="P174" t="n">
        <v>4</v>
      </c>
      <c r="Q174" t="n">
        <v>3</v>
      </c>
      <c r="R174" t="n">
        <v>4</v>
      </c>
    </row>
    <row r="175">
      <c r="A175" t="n">
        <v>5</v>
      </c>
      <c r="B175" t="n">
        <v>4</v>
      </c>
      <c r="C175" t="n">
        <v>4</v>
      </c>
      <c r="D175" t="n">
        <v>4</v>
      </c>
      <c r="E175" t="n">
        <v>4</v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5</v>
      </c>
      <c r="L175" t="n">
        <v>5</v>
      </c>
      <c r="M175" t="n">
        <v>4</v>
      </c>
      <c r="N175" t="n">
        <v>4</v>
      </c>
      <c r="O175" t="n">
        <v>5</v>
      </c>
      <c r="P175" t="n">
        <v>5</v>
      </c>
      <c r="Q175" t="n">
        <v>4</v>
      </c>
      <c r="R175" t="n">
        <v>4</v>
      </c>
    </row>
    <row r="176">
      <c r="A176" t="n">
        <v>3</v>
      </c>
      <c r="B176" t="n">
        <v>5</v>
      </c>
      <c r="C176" t="n">
        <v>4</v>
      </c>
      <c r="D176" t="n">
        <v>4</v>
      </c>
      <c r="E176" t="n">
        <v>5</v>
      </c>
      <c r="F176" t="n">
        <v>4</v>
      </c>
      <c r="G176" t="n">
        <v>4</v>
      </c>
      <c r="H176" t="n">
        <v>4</v>
      </c>
      <c r="I176" t="n">
        <v>4</v>
      </c>
      <c r="J176" t="n">
        <v>5</v>
      </c>
      <c r="K176" t="n">
        <v>4</v>
      </c>
      <c r="L176" t="n">
        <v>4</v>
      </c>
      <c r="M176" t="n">
        <v>5</v>
      </c>
      <c r="N176" t="n">
        <v>4</v>
      </c>
      <c r="O176" t="n">
        <v>4</v>
      </c>
      <c r="P176" t="n">
        <v>5</v>
      </c>
      <c r="Q176" t="n">
        <v>3</v>
      </c>
      <c r="R176" t="n">
        <v>4</v>
      </c>
    </row>
    <row r="177">
      <c r="A177" t="n">
        <v>3</v>
      </c>
      <c r="B177" t="n">
        <v>3</v>
      </c>
      <c r="C177" t="n">
        <v>4</v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4</v>
      </c>
      <c r="N177" t="n">
        <v>4</v>
      </c>
      <c r="O177" t="n">
        <v>3</v>
      </c>
      <c r="P177" t="n">
        <v>4</v>
      </c>
      <c r="Q177" t="n">
        <v>4</v>
      </c>
      <c r="R177" t="n">
        <v>5</v>
      </c>
    </row>
    <row r="178">
      <c r="A178" t="n">
        <v>4</v>
      </c>
      <c r="B178" t="n">
        <v>4</v>
      </c>
      <c r="C178" t="n">
        <v>5</v>
      </c>
      <c r="D178" t="n">
        <v>5</v>
      </c>
      <c r="E178" t="n">
        <v>5</v>
      </c>
      <c r="F178" t="n">
        <v>4</v>
      </c>
      <c r="G178" t="n">
        <v>4</v>
      </c>
      <c r="H178" t="n">
        <v>4</v>
      </c>
      <c r="I178" t="n">
        <v>5</v>
      </c>
      <c r="J178" t="n">
        <v>5</v>
      </c>
      <c r="K178" t="n">
        <v>4</v>
      </c>
      <c r="L178" t="n">
        <v>5</v>
      </c>
      <c r="M178" t="n">
        <v>4</v>
      </c>
      <c r="N178" t="n">
        <v>4</v>
      </c>
      <c r="O178" t="n">
        <v>5</v>
      </c>
      <c r="P178" t="n">
        <v>5</v>
      </c>
      <c r="Q178" t="n">
        <v>4</v>
      </c>
      <c r="R178" t="n">
        <v>4</v>
      </c>
    </row>
    <row r="179">
      <c r="A179" t="n">
        <v>4</v>
      </c>
      <c r="B179" t="n">
        <v>5</v>
      </c>
      <c r="C179" t="n">
        <v>3</v>
      </c>
      <c r="D179" t="n">
        <v>4</v>
      </c>
      <c r="E179" t="n">
        <v>4</v>
      </c>
      <c r="F179" t="n">
        <v>3</v>
      </c>
      <c r="G179" t="n">
        <v>4</v>
      </c>
      <c r="H179" t="n">
        <v>5</v>
      </c>
      <c r="I179" t="n">
        <v>4</v>
      </c>
      <c r="J179" t="n">
        <v>5</v>
      </c>
      <c r="K179" t="n">
        <v>4</v>
      </c>
      <c r="L179" t="n">
        <v>4</v>
      </c>
      <c r="M179" t="n">
        <v>4</v>
      </c>
      <c r="N179" t="n">
        <v>5</v>
      </c>
      <c r="O179" t="n">
        <v>3</v>
      </c>
      <c r="P179" t="n">
        <v>4</v>
      </c>
      <c r="Q179" t="n">
        <v>3</v>
      </c>
      <c r="R179" t="n">
        <v>4</v>
      </c>
    </row>
    <row r="180">
      <c r="A180" t="n">
        <v>5</v>
      </c>
      <c r="B180" t="n">
        <v>4</v>
      </c>
      <c r="C180" t="n">
        <v>5</v>
      </c>
      <c r="D180" t="n">
        <v>2</v>
      </c>
      <c r="E180" t="n">
        <v>5</v>
      </c>
      <c r="F180" t="n">
        <v>5</v>
      </c>
      <c r="G180" t="n">
        <v>5</v>
      </c>
      <c r="H180" t="n">
        <v>4</v>
      </c>
      <c r="I180" t="n">
        <v>3</v>
      </c>
      <c r="J180" t="n">
        <v>4</v>
      </c>
      <c r="K180" t="n">
        <v>4</v>
      </c>
      <c r="L180" t="n">
        <v>4</v>
      </c>
      <c r="M180" t="n">
        <v>5</v>
      </c>
      <c r="N180" t="n">
        <v>4</v>
      </c>
      <c r="O180" t="n">
        <v>4</v>
      </c>
      <c r="P180" t="n">
        <v>5</v>
      </c>
      <c r="Q180" t="n">
        <v>5</v>
      </c>
      <c r="R180" t="n">
        <v>4</v>
      </c>
    </row>
    <row r="181">
      <c r="A181" t="n">
        <v>4</v>
      </c>
      <c r="B181" t="n">
        <v>4</v>
      </c>
      <c r="C181" t="n">
        <v>4</v>
      </c>
      <c r="D181" t="n">
        <v>5</v>
      </c>
      <c r="E181" t="n">
        <v>4</v>
      </c>
      <c r="F181" t="n">
        <v>5</v>
      </c>
      <c r="G181" t="n">
        <v>5</v>
      </c>
      <c r="H181" t="n">
        <v>4</v>
      </c>
      <c r="I181" t="n">
        <v>4</v>
      </c>
      <c r="J181" t="n">
        <v>4</v>
      </c>
      <c r="K181" t="n">
        <v>5</v>
      </c>
      <c r="L181" t="n">
        <v>4</v>
      </c>
      <c r="M181" t="n">
        <v>3</v>
      </c>
      <c r="N181" t="n">
        <v>5</v>
      </c>
      <c r="O181" t="n">
        <v>5</v>
      </c>
      <c r="P181" t="n">
        <v>5</v>
      </c>
      <c r="Q181" t="n">
        <v>4</v>
      </c>
      <c r="R181" t="n">
        <v>4</v>
      </c>
    </row>
    <row r="182">
      <c r="A182" t="n">
        <v>5</v>
      </c>
      <c r="B182" t="n">
        <v>4</v>
      </c>
      <c r="C182" t="n">
        <v>5</v>
      </c>
      <c r="D182" t="n">
        <v>4</v>
      </c>
      <c r="E182" t="n">
        <v>3</v>
      </c>
      <c r="F182" t="n">
        <v>4</v>
      </c>
      <c r="G182" t="n">
        <v>2</v>
      </c>
      <c r="H182" t="n">
        <v>4</v>
      </c>
      <c r="I182" t="n">
        <v>4</v>
      </c>
      <c r="J182" t="n">
        <v>4</v>
      </c>
      <c r="K182" t="n">
        <v>5</v>
      </c>
      <c r="L182" t="n">
        <v>5</v>
      </c>
      <c r="M182" t="n">
        <v>3</v>
      </c>
      <c r="N182" t="n">
        <v>3</v>
      </c>
      <c r="O182" t="n">
        <v>4</v>
      </c>
      <c r="P182" t="n">
        <v>4</v>
      </c>
      <c r="Q182" t="n">
        <v>4</v>
      </c>
      <c r="R182" t="n">
        <v>1</v>
      </c>
    </row>
    <row r="183">
      <c r="A183" t="n">
        <v>4</v>
      </c>
      <c r="B183" t="n">
        <v>5</v>
      </c>
      <c r="C183" t="n">
        <v>3</v>
      </c>
      <c r="D183" t="n">
        <v>4</v>
      </c>
      <c r="E183" t="n">
        <v>5</v>
      </c>
      <c r="F183" t="n">
        <v>4</v>
      </c>
      <c r="G183" t="n">
        <v>5</v>
      </c>
      <c r="H183" t="n">
        <v>3</v>
      </c>
      <c r="I183" t="n">
        <v>5</v>
      </c>
      <c r="J183" t="n">
        <v>5</v>
      </c>
      <c r="K183" t="n">
        <v>5</v>
      </c>
      <c r="L183" t="n">
        <v>4</v>
      </c>
      <c r="M183" t="n">
        <v>5</v>
      </c>
      <c r="N183" t="n">
        <v>4</v>
      </c>
      <c r="O183" t="n">
        <v>4</v>
      </c>
      <c r="P183" t="n">
        <v>4</v>
      </c>
      <c r="Q183" t="n">
        <v>5</v>
      </c>
      <c r="R183" t="n">
        <v>5</v>
      </c>
    </row>
    <row r="184">
      <c r="A184" t="n">
        <v>5</v>
      </c>
      <c r="B184" t="n">
        <v>3</v>
      </c>
      <c r="C184" t="n">
        <v>5</v>
      </c>
      <c r="D184" t="n">
        <v>4</v>
      </c>
      <c r="E184" t="n">
        <v>4</v>
      </c>
      <c r="F184" t="n">
        <v>3</v>
      </c>
      <c r="G184" t="n">
        <v>2</v>
      </c>
      <c r="H184" t="n">
        <v>4</v>
      </c>
      <c r="I184" t="n">
        <v>5</v>
      </c>
      <c r="J184" t="n">
        <v>5</v>
      </c>
      <c r="K184" t="n">
        <v>4</v>
      </c>
      <c r="L184" t="n">
        <v>2</v>
      </c>
      <c r="M184" t="n">
        <v>4</v>
      </c>
      <c r="N184" t="n">
        <v>3</v>
      </c>
      <c r="O184" t="n">
        <v>5</v>
      </c>
      <c r="P184" t="n">
        <v>5</v>
      </c>
      <c r="Q184" t="n">
        <v>4</v>
      </c>
      <c r="R184" t="n">
        <v>4</v>
      </c>
    </row>
    <row r="185">
      <c r="A185" t="n">
        <v>4</v>
      </c>
      <c r="B185" t="n">
        <v>5</v>
      </c>
      <c r="C185" t="n">
        <v>4</v>
      </c>
      <c r="D185" t="n">
        <v>4</v>
      </c>
      <c r="E185" t="n">
        <v>4</v>
      </c>
      <c r="F185" t="n">
        <v>4</v>
      </c>
      <c r="G185" t="n">
        <v>4</v>
      </c>
      <c r="H185" t="n">
        <v>4</v>
      </c>
      <c r="I185" t="n">
        <v>5</v>
      </c>
      <c r="J185" t="n">
        <v>5</v>
      </c>
      <c r="K185" t="n">
        <v>5</v>
      </c>
      <c r="L185" t="n">
        <v>4</v>
      </c>
      <c r="M185" t="n">
        <v>5</v>
      </c>
      <c r="N185" t="n">
        <v>5</v>
      </c>
      <c r="O185" t="n">
        <v>5</v>
      </c>
      <c r="P185" t="n">
        <v>4</v>
      </c>
      <c r="Q185" t="n">
        <v>4</v>
      </c>
      <c r="R185" t="n">
        <v>4</v>
      </c>
    </row>
    <row r="186">
      <c r="A186" t="n">
        <v>4</v>
      </c>
      <c r="B186" t="n">
        <v>4</v>
      </c>
      <c r="C186" t="n">
        <v>4</v>
      </c>
      <c r="D186" t="n">
        <v>5</v>
      </c>
      <c r="E186" t="n">
        <v>4</v>
      </c>
      <c r="F186" t="n">
        <v>4</v>
      </c>
      <c r="G186" t="n">
        <v>5</v>
      </c>
      <c r="H186" t="n">
        <v>2</v>
      </c>
      <c r="I186" t="n">
        <v>3</v>
      </c>
      <c r="J186" t="n">
        <v>5</v>
      </c>
      <c r="K186" t="n">
        <v>4</v>
      </c>
      <c r="L186" t="n">
        <v>5</v>
      </c>
      <c r="M186" t="n">
        <v>4</v>
      </c>
      <c r="N186" t="n">
        <v>5</v>
      </c>
      <c r="O186" t="n">
        <v>4</v>
      </c>
      <c r="P186" t="n">
        <v>5</v>
      </c>
      <c r="Q186" t="n">
        <v>5</v>
      </c>
      <c r="R186" t="n">
        <v>4</v>
      </c>
    </row>
    <row r="187">
      <c r="A187" t="n">
        <v>4</v>
      </c>
      <c r="B187" t="n">
        <v>5</v>
      </c>
      <c r="C187" t="n">
        <v>5</v>
      </c>
      <c r="D187" t="n">
        <v>3</v>
      </c>
      <c r="E187" t="n">
        <v>5</v>
      </c>
      <c r="F187" t="n">
        <v>5</v>
      </c>
      <c r="G187" t="n">
        <v>5</v>
      </c>
      <c r="H187" t="n">
        <v>4</v>
      </c>
      <c r="I187" t="n">
        <v>4</v>
      </c>
      <c r="J187" t="n">
        <v>5</v>
      </c>
      <c r="K187" t="n">
        <v>5</v>
      </c>
      <c r="L187" t="n">
        <v>3</v>
      </c>
      <c r="M187" t="n">
        <v>4</v>
      </c>
      <c r="N187" t="n">
        <v>5</v>
      </c>
      <c r="O187" t="n">
        <v>4</v>
      </c>
      <c r="P187" t="n">
        <v>4</v>
      </c>
      <c r="Q187" t="n">
        <v>5</v>
      </c>
      <c r="R187" t="n">
        <v>4</v>
      </c>
    </row>
    <row r="188">
      <c r="A188" t="n">
        <v>4</v>
      </c>
      <c r="B188" t="n">
        <v>5</v>
      </c>
      <c r="C188" t="n">
        <v>3</v>
      </c>
      <c r="D188" t="n">
        <v>4</v>
      </c>
      <c r="E188" t="n">
        <v>5</v>
      </c>
      <c r="F188" t="n">
        <v>5</v>
      </c>
      <c r="G188" t="n">
        <v>5</v>
      </c>
      <c r="H188" t="n">
        <v>4</v>
      </c>
      <c r="I188" t="n">
        <v>5</v>
      </c>
      <c r="J188" t="n">
        <v>4</v>
      </c>
      <c r="K188" t="n">
        <v>4</v>
      </c>
      <c r="L188" t="n">
        <v>4</v>
      </c>
      <c r="M188" t="n">
        <v>5</v>
      </c>
      <c r="N188" t="n">
        <v>4</v>
      </c>
      <c r="O188" t="n">
        <v>5</v>
      </c>
      <c r="P188" t="n">
        <v>4</v>
      </c>
      <c r="Q188" t="n">
        <v>5</v>
      </c>
      <c r="R188" t="n">
        <v>4</v>
      </c>
    </row>
    <row r="189">
      <c r="A189" t="n">
        <v>4</v>
      </c>
      <c r="B189" t="n">
        <v>5</v>
      </c>
      <c r="C189" t="n">
        <v>3</v>
      </c>
      <c r="D189" t="n">
        <v>4</v>
      </c>
      <c r="E189" t="n">
        <v>5</v>
      </c>
      <c r="F189" t="n">
        <v>4</v>
      </c>
      <c r="G189" t="n">
        <v>4</v>
      </c>
      <c r="H189" t="n">
        <v>4</v>
      </c>
      <c r="I189" t="n">
        <v>4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4</v>
      </c>
      <c r="Q189" t="n">
        <v>4</v>
      </c>
      <c r="R189" t="n">
        <v>4</v>
      </c>
    </row>
    <row r="190">
      <c r="A190" t="n">
        <v>4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5</v>
      </c>
      <c r="H190" t="n">
        <v>5</v>
      </c>
      <c r="I190" t="n">
        <v>5</v>
      </c>
      <c r="J190" t="n">
        <v>5</v>
      </c>
      <c r="K190" t="n">
        <v>3</v>
      </c>
      <c r="L190" t="n">
        <v>5</v>
      </c>
      <c r="M190" t="n">
        <v>5</v>
      </c>
      <c r="N190" t="n">
        <v>4</v>
      </c>
      <c r="O190" t="n">
        <v>5</v>
      </c>
      <c r="P190" t="n">
        <v>5</v>
      </c>
      <c r="Q190" t="n">
        <v>5</v>
      </c>
      <c r="R190" t="n">
        <v>4</v>
      </c>
    </row>
    <row r="191">
      <c r="A191" t="n">
        <v>4</v>
      </c>
      <c r="B191" t="n">
        <v>4</v>
      </c>
      <c r="C191" t="n">
        <v>5</v>
      </c>
      <c r="D191" t="n">
        <v>4</v>
      </c>
      <c r="E191" t="n">
        <v>5</v>
      </c>
      <c r="F191" t="n">
        <v>5</v>
      </c>
      <c r="G191" t="n">
        <v>4</v>
      </c>
      <c r="H191" t="n">
        <v>5</v>
      </c>
      <c r="I191" t="n">
        <v>4</v>
      </c>
      <c r="J191" t="n">
        <v>4</v>
      </c>
      <c r="K191" t="n">
        <v>4</v>
      </c>
      <c r="L191" t="n">
        <v>5</v>
      </c>
      <c r="M191" t="n">
        <v>5</v>
      </c>
      <c r="N191" t="n">
        <v>5</v>
      </c>
      <c r="O191" t="n">
        <v>4</v>
      </c>
      <c r="P191" t="n">
        <v>5</v>
      </c>
      <c r="Q191" t="n">
        <v>5</v>
      </c>
      <c r="R191" t="n">
        <v>4</v>
      </c>
    </row>
    <row r="192">
      <c r="A192" t="n">
        <v>4</v>
      </c>
      <c r="B192" t="n">
        <v>4</v>
      </c>
      <c r="C192" t="n">
        <v>4</v>
      </c>
      <c r="D192" t="n">
        <v>4</v>
      </c>
      <c r="E192" t="n">
        <v>5</v>
      </c>
      <c r="F192" t="n">
        <v>5</v>
      </c>
      <c r="G192" t="n">
        <v>5</v>
      </c>
      <c r="H192" t="n">
        <v>4</v>
      </c>
      <c r="I192" t="n">
        <v>4</v>
      </c>
      <c r="J192" t="n">
        <v>4</v>
      </c>
      <c r="K192" t="n">
        <v>4</v>
      </c>
      <c r="L192" t="n">
        <v>3</v>
      </c>
      <c r="M192" t="n">
        <v>4</v>
      </c>
      <c r="N192" t="n">
        <v>4</v>
      </c>
      <c r="O192" t="n">
        <v>4</v>
      </c>
      <c r="P192" t="n">
        <v>4</v>
      </c>
      <c r="Q192" t="n">
        <v>4</v>
      </c>
      <c r="R192" t="n">
        <v>4</v>
      </c>
    </row>
    <row r="193">
      <c r="A193" t="n">
        <v>4</v>
      </c>
      <c r="B193" t="n">
        <v>4</v>
      </c>
      <c r="C193" t="n">
        <v>5</v>
      </c>
      <c r="D193" t="n">
        <v>4</v>
      </c>
      <c r="E193" t="n">
        <v>4</v>
      </c>
      <c r="F193" t="n">
        <v>4</v>
      </c>
      <c r="G193" t="n">
        <v>5</v>
      </c>
      <c r="H193" t="n">
        <v>5</v>
      </c>
      <c r="I193" t="n">
        <v>4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5</v>
      </c>
      <c r="P193" t="n">
        <v>5</v>
      </c>
      <c r="Q193" t="n">
        <v>4</v>
      </c>
      <c r="R193" t="n">
        <v>4</v>
      </c>
    </row>
    <row r="194">
      <c r="A194" t="n">
        <v>4</v>
      </c>
      <c r="B194" t="n">
        <v>4</v>
      </c>
      <c r="C194" t="n">
        <v>4</v>
      </c>
      <c r="D194" t="n">
        <v>5</v>
      </c>
      <c r="E194" t="n">
        <v>4</v>
      </c>
      <c r="F194" t="n">
        <v>3</v>
      </c>
      <c r="G194" t="n">
        <v>5</v>
      </c>
      <c r="H194" t="n">
        <v>5</v>
      </c>
      <c r="I194" t="n">
        <v>5</v>
      </c>
      <c r="J194" t="n">
        <v>5</v>
      </c>
      <c r="K194" t="n">
        <v>4</v>
      </c>
      <c r="L194" t="n">
        <v>4</v>
      </c>
      <c r="M194" t="n">
        <v>5</v>
      </c>
      <c r="N194" t="n">
        <v>5</v>
      </c>
      <c r="O194" t="n">
        <v>4</v>
      </c>
      <c r="P194" t="n">
        <v>5</v>
      </c>
      <c r="Q194" t="n">
        <v>5</v>
      </c>
      <c r="R194" t="n">
        <v>4</v>
      </c>
    </row>
    <row r="195">
      <c r="A195" t="n">
        <v>2</v>
      </c>
      <c r="B195" t="n">
        <v>1</v>
      </c>
      <c r="C195" t="n">
        <v>2</v>
      </c>
      <c r="D195" t="n">
        <v>2</v>
      </c>
      <c r="E195" t="n">
        <v>2</v>
      </c>
      <c r="F195" t="n">
        <v>1</v>
      </c>
      <c r="G195" t="n">
        <v>1</v>
      </c>
      <c r="H195" t="n">
        <v>2</v>
      </c>
      <c r="I195" t="n">
        <v>1</v>
      </c>
      <c r="J195" t="n">
        <v>1</v>
      </c>
      <c r="K195" t="n">
        <v>2</v>
      </c>
      <c r="L195" t="n">
        <v>2</v>
      </c>
      <c r="M195" t="n">
        <v>1</v>
      </c>
      <c r="N195" t="n">
        <v>2</v>
      </c>
      <c r="O195" t="n">
        <v>2</v>
      </c>
      <c r="P195" t="n">
        <v>2</v>
      </c>
      <c r="Q195" t="n">
        <v>1</v>
      </c>
      <c r="R195" t="n">
        <v>2</v>
      </c>
    </row>
    <row r="196">
      <c r="A196" t="n">
        <v>1</v>
      </c>
      <c r="B196" t="n">
        <v>2</v>
      </c>
      <c r="C196" t="n">
        <v>2</v>
      </c>
      <c r="D196" t="n">
        <v>2</v>
      </c>
      <c r="E196" t="n">
        <v>1</v>
      </c>
      <c r="F196" t="n">
        <v>2</v>
      </c>
      <c r="G196" t="n">
        <v>1</v>
      </c>
      <c r="H196" t="n">
        <v>1</v>
      </c>
      <c r="I196" t="n">
        <v>1</v>
      </c>
      <c r="J196" t="n">
        <v>1</v>
      </c>
      <c r="K196" t="n">
        <v>2</v>
      </c>
      <c r="L196" t="n">
        <v>2</v>
      </c>
      <c r="M196" t="n">
        <v>1</v>
      </c>
      <c r="N196" t="n">
        <v>2</v>
      </c>
      <c r="O196" t="n">
        <v>2</v>
      </c>
      <c r="P196" t="n">
        <v>1</v>
      </c>
      <c r="Q196" t="n">
        <v>1</v>
      </c>
      <c r="R196" t="n">
        <v>2</v>
      </c>
    </row>
    <row r="197">
      <c r="A197" t="n">
        <v>1</v>
      </c>
      <c r="B197" t="n">
        <v>2</v>
      </c>
      <c r="C197" t="n">
        <v>2</v>
      </c>
      <c r="D197" t="n">
        <v>1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  <c r="J197" t="n">
        <v>1</v>
      </c>
      <c r="K197" t="n">
        <v>1</v>
      </c>
      <c r="L197" t="n">
        <v>2</v>
      </c>
      <c r="M197" t="n">
        <v>2</v>
      </c>
      <c r="N197" t="n">
        <v>1</v>
      </c>
      <c r="O197" t="n">
        <v>1</v>
      </c>
      <c r="P197" t="n">
        <v>2</v>
      </c>
      <c r="Q197" t="n">
        <v>2</v>
      </c>
      <c r="R197" t="n">
        <v>2</v>
      </c>
    </row>
    <row r="198">
      <c r="A198" t="n">
        <v>1</v>
      </c>
      <c r="B198" t="n">
        <v>2</v>
      </c>
      <c r="C198" t="n">
        <v>2</v>
      </c>
      <c r="D198" t="n">
        <v>1</v>
      </c>
      <c r="E198" t="n">
        <v>2</v>
      </c>
      <c r="F198" t="n">
        <v>1</v>
      </c>
      <c r="G198" t="n">
        <v>1</v>
      </c>
      <c r="H198" t="n">
        <v>2</v>
      </c>
      <c r="I198" t="n">
        <v>2</v>
      </c>
      <c r="J198" t="n">
        <v>1</v>
      </c>
      <c r="K198" t="n">
        <v>1</v>
      </c>
      <c r="L198" t="n">
        <v>1</v>
      </c>
      <c r="M198" t="n">
        <v>2</v>
      </c>
      <c r="N198" t="n">
        <v>2</v>
      </c>
      <c r="O198" t="n">
        <v>2</v>
      </c>
      <c r="P198" t="n">
        <v>1</v>
      </c>
      <c r="Q198" t="n">
        <v>1</v>
      </c>
      <c r="R198" t="n">
        <v>2</v>
      </c>
    </row>
    <row r="199">
      <c r="A199" t="n">
        <v>1</v>
      </c>
      <c r="B199" t="n">
        <v>2</v>
      </c>
      <c r="C199" t="n">
        <v>2</v>
      </c>
      <c r="D199" t="n">
        <v>1</v>
      </c>
      <c r="E199" t="n">
        <v>2</v>
      </c>
      <c r="F199" t="n">
        <v>2</v>
      </c>
      <c r="G199" t="n">
        <v>1</v>
      </c>
      <c r="H199" t="n">
        <v>1</v>
      </c>
      <c r="I199" t="n">
        <v>2</v>
      </c>
      <c r="J199" t="n">
        <v>1</v>
      </c>
      <c r="K199" t="n">
        <v>2</v>
      </c>
      <c r="L199" t="n">
        <v>2</v>
      </c>
      <c r="M199" t="n">
        <v>1</v>
      </c>
      <c r="N199" t="n">
        <v>1</v>
      </c>
      <c r="O199" t="n">
        <v>2</v>
      </c>
      <c r="P199" t="n">
        <v>2</v>
      </c>
      <c r="Q199" t="n">
        <v>1</v>
      </c>
      <c r="R199" t="n">
        <v>2</v>
      </c>
    </row>
    <row r="200">
      <c r="A200" t="n">
        <v>1</v>
      </c>
      <c r="B200" t="n">
        <v>2</v>
      </c>
      <c r="C200" t="n">
        <v>2</v>
      </c>
      <c r="D200" t="n">
        <v>1</v>
      </c>
      <c r="E200" t="n">
        <v>2</v>
      </c>
      <c r="F200" t="n">
        <v>2</v>
      </c>
      <c r="G200" t="n">
        <v>1</v>
      </c>
      <c r="H200" t="n">
        <v>1</v>
      </c>
      <c r="I200" t="n">
        <v>2</v>
      </c>
      <c r="J200" t="n">
        <v>1</v>
      </c>
      <c r="K200" t="n">
        <v>2</v>
      </c>
      <c r="L200" t="n">
        <v>2</v>
      </c>
      <c r="M200" t="n">
        <v>1</v>
      </c>
      <c r="N200" t="n">
        <v>1</v>
      </c>
      <c r="O200" t="n">
        <v>2</v>
      </c>
      <c r="P200" t="n">
        <v>2</v>
      </c>
      <c r="Q200" t="n">
        <v>1</v>
      </c>
      <c r="R200" t="n">
        <v>2</v>
      </c>
    </row>
    <row r="201">
      <c r="A201" t="n">
        <v>1</v>
      </c>
      <c r="B201" t="n">
        <v>2</v>
      </c>
      <c r="C201" t="n">
        <v>2</v>
      </c>
      <c r="D201" t="n">
        <v>1</v>
      </c>
      <c r="E201" t="n">
        <v>2</v>
      </c>
      <c r="F201" t="n">
        <v>2</v>
      </c>
      <c r="G201" t="n">
        <v>1</v>
      </c>
      <c r="H201" t="n">
        <v>1</v>
      </c>
      <c r="I201" t="n">
        <v>2</v>
      </c>
      <c r="J201" t="n">
        <v>1</v>
      </c>
      <c r="K201" t="n">
        <v>2</v>
      </c>
      <c r="L201" t="n">
        <v>2</v>
      </c>
      <c r="M201" t="n">
        <v>1</v>
      </c>
      <c r="N201" t="n">
        <v>2</v>
      </c>
      <c r="O201" t="n">
        <v>2</v>
      </c>
      <c r="P201" t="n">
        <v>2</v>
      </c>
      <c r="Q201" t="n">
        <v>1</v>
      </c>
      <c r="R201" t="n">
        <v>2</v>
      </c>
    </row>
    <row r="202">
      <c r="A202" t="n">
        <v>1</v>
      </c>
      <c r="B202" t="n">
        <v>2</v>
      </c>
      <c r="C202" t="n">
        <v>2</v>
      </c>
      <c r="D202" t="n">
        <v>1</v>
      </c>
      <c r="E202" t="n">
        <v>1</v>
      </c>
      <c r="F202" t="n">
        <v>2</v>
      </c>
      <c r="G202" t="n">
        <v>2</v>
      </c>
      <c r="H202" t="n">
        <v>1</v>
      </c>
      <c r="I202" t="n">
        <v>2</v>
      </c>
      <c r="J202" t="n">
        <v>1</v>
      </c>
      <c r="K202" t="n">
        <v>1</v>
      </c>
      <c r="L202" t="n">
        <v>1</v>
      </c>
      <c r="M202" t="n">
        <v>2</v>
      </c>
      <c r="N202" t="n">
        <v>2</v>
      </c>
      <c r="O202" t="n">
        <v>1</v>
      </c>
      <c r="P202" t="n">
        <v>1</v>
      </c>
      <c r="Q202" t="n">
        <v>2</v>
      </c>
      <c r="R202" t="n">
        <v>2</v>
      </c>
    </row>
    <row r="203">
      <c r="A203" t="n">
        <v>1</v>
      </c>
      <c r="B203" t="n">
        <v>1</v>
      </c>
      <c r="C203" t="n">
        <v>2</v>
      </c>
      <c r="D203" t="n">
        <v>2</v>
      </c>
      <c r="E203" t="n">
        <v>1</v>
      </c>
      <c r="F203" t="n">
        <v>1</v>
      </c>
      <c r="G203" t="n">
        <v>2</v>
      </c>
      <c r="H203" t="n">
        <v>2</v>
      </c>
      <c r="I203" t="n">
        <v>2</v>
      </c>
      <c r="J203" t="n">
        <v>2</v>
      </c>
      <c r="K203" t="n">
        <v>1</v>
      </c>
      <c r="L203" t="n">
        <v>1</v>
      </c>
      <c r="M203" t="n">
        <v>2</v>
      </c>
      <c r="N203" t="n">
        <v>2</v>
      </c>
      <c r="O203" t="n">
        <v>1</v>
      </c>
      <c r="P203" t="n">
        <v>1</v>
      </c>
      <c r="Q203" t="n">
        <v>2</v>
      </c>
      <c r="R203" t="n">
        <v>2</v>
      </c>
    </row>
    <row r="204">
      <c r="A204" t="n">
        <v>1</v>
      </c>
      <c r="B204" t="n">
        <v>2</v>
      </c>
      <c r="C204" t="n">
        <v>2</v>
      </c>
      <c r="D204" t="n">
        <v>1</v>
      </c>
      <c r="E204" t="n">
        <v>1</v>
      </c>
      <c r="F204" t="n">
        <v>2</v>
      </c>
      <c r="G204" t="n">
        <v>2</v>
      </c>
      <c r="H204" t="n">
        <v>1</v>
      </c>
      <c r="I204" t="n">
        <v>2</v>
      </c>
      <c r="J204" t="n">
        <v>1</v>
      </c>
      <c r="K204" t="n">
        <v>2</v>
      </c>
      <c r="L204" t="n">
        <v>2</v>
      </c>
      <c r="M204" t="n">
        <v>1</v>
      </c>
      <c r="N204" t="n">
        <v>2</v>
      </c>
      <c r="O204" t="n">
        <v>1</v>
      </c>
      <c r="P204" t="n">
        <v>1</v>
      </c>
      <c r="Q204" t="n">
        <v>2</v>
      </c>
      <c r="R204" t="n">
        <v>2</v>
      </c>
    </row>
    <row r="205">
      <c r="A205" t="n">
        <v>2</v>
      </c>
      <c r="B205" t="n">
        <v>1</v>
      </c>
      <c r="C205" t="n">
        <v>2</v>
      </c>
      <c r="D205" t="n">
        <v>2</v>
      </c>
      <c r="E205" t="n">
        <v>1</v>
      </c>
      <c r="F205" t="n">
        <v>1</v>
      </c>
      <c r="G205" t="n">
        <v>2</v>
      </c>
      <c r="H205" t="n">
        <v>2</v>
      </c>
      <c r="I205" t="n">
        <v>2</v>
      </c>
      <c r="J205" t="n">
        <v>2</v>
      </c>
      <c r="K205" t="n">
        <v>1</v>
      </c>
      <c r="L205" t="n">
        <v>1</v>
      </c>
      <c r="M205" t="n">
        <v>2</v>
      </c>
      <c r="N205" t="n">
        <v>2</v>
      </c>
      <c r="O205" t="n">
        <v>2</v>
      </c>
      <c r="P205" t="n">
        <v>1</v>
      </c>
      <c r="Q205" t="n">
        <v>2</v>
      </c>
      <c r="R205" t="n">
        <v>2</v>
      </c>
    </row>
    <row r="206">
      <c r="A206" t="n">
        <v>2</v>
      </c>
      <c r="B206" t="n">
        <v>1</v>
      </c>
      <c r="C206" t="n">
        <v>2</v>
      </c>
      <c r="D206" t="n">
        <v>2</v>
      </c>
      <c r="E206" t="n">
        <v>2</v>
      </c>
      <c r="F206" t="n">
        <v>2</v>
      </c>
      <c r="G206" t="n">
        <v>2</v>
      </c>
      <c r="H206" t="n">
        <v>1</v>
      </c>
      <c r="I206" t="n">
        <v>2</v>
      </c>
      <c r="J206" t="n">
        <v>2</v>
      </c>
      <c r="K206" t="n">
        <v>1</v>
      </c>
      <c r="L206" t="n">
        <v>1</v>
      </c>
      <c r="M206" t="n">
        <v>2</v>
      </c>
      <c r="N206" t="n">
        <v>2</v>
      </c>
      <c r="O206" t="n">
        <v>2</v>
      </c>
      <c r="P206" t="n">
        <v>1</v>
      </c>
      <c r="Q206" t="n">
        <v>1</v>
      </c>
      <c r="R206" t="n">
        <v>2</v>
      </c>
    </row>
    <row r="207">
      <c r="A207" t="n">
        <v>2</v>
      </c>
      <c r="B207" t="n">
        <v>1</v>
      </c>
      <c r="C207" t="n">
        <v>1</v>
      </c>
      <c r="D207" t="n">
        <v>2</v>
      </c>
      <c r="E207" t="n">
        <v>1</v>
      </c>
      <c r="F207" t="n">
        <v>1</v>
      </c>
      <c r="G207" t="n">
        <v>2</v>
      </c>
      <c r="H207" t="n">
        <v>2</v>
      </c>
      <c r="I207" t="n">
        <v>1</v>
      </c>
      <c r="J207" t="n">
        <v>2</v>
      </c>
      <c r="K207" t="n">
        <v>2</v>
      </c>
      <c r="L207" t="n">
        <v>1</v>
      </c>
      <c r="M207" t="n">
        <v>1</v>
      </c>
      <c r="N207" t="n">
        <v>2</v>
      </c>
      <c r="O207" t="n">
        <v>2</v>
      </c>
      <c r="P207" t="n">
        <v>1</v>
      </c>
      <c r="Q207" t="n">
        <v>1</v>
      </c>
      <c r="R207" t="n">
        <v>2</v>
      </c>
    </row>
    <row r="208">
      <c r="A208" t="n">
        <v>1</v>
      </c>
      <c r="B208" t="n">
        <v>2</v>
      </c>
      <c r="C208" t="n">
        <v>2</v>
      </c>
      <c r="D208" t="n">
        <v>1</v>
      </c>
      <c r="E208" t="n">
        <v>2</v>
      </c>
      <c r="F208" t="n">
        <v>2</v>
      </c>
      <c r="G208" t="n">
        <v>1</v>
      </c>
      <c r="H208" t="n">
        <v>2</v>
      </c>
      <c r="I208" t="n">
        <v>1</v>
      </c>
      <c r="J208" t="n">
        <v>2</v>
      </c>
      <c r="K208" t="n">
        <v>2</v>
      </c>
      <c r="L208" t="n">
        <v>1</v>
      </c>
      <c r="M208" t="n">
        <v>1</v>
      </c>
      <c r="N208" t="n">
        <v>2</v>
      </c>
      <c r="O208" t="n">
        <v>2</v>
      </c>
      <c r="P208" t="n">
        <v>1</v>
      </c>
      <c r="Q208" t="n">
        <v>1</v>
      </c>
      <c r="R208" t="n">
        <v>2</v>
      </c>
    </row>
    <row r="209">
      <c r="A209" t="n">
        <v>1</v>
      </c>
      <c r="B209" t="n">
        <v>2</v>
      </c>
      <c r="C209" t="n">
        <v>2</v>
      </c>
      <c r="D209" t="n">
        <v>1</v>
      </c>
      <c r="E209" t="n">
        <v>2</v>
      </c>
      <c r="F209" t="n">
        <v>2</v>
      </c>
      <c r="G209" t="n">
        <v>2</v>
      </c>
      <c r="H209" t="n">
        <v>1</v>
      </c>
      <c r="I209" t="n">
        <v>2</v>
      </c>
      <c r="J209" t="n">
        <v>2</v>
      </c>
      <c r="K209" t="n">
        <v>1</v>
      </c>
      <c r="L209" t="n">
        <v>1</v>
      </c>
      <c r="M209" t="n">
        <v>2</v>
      </c>
      <c r="N209" t="n">
        <v>2</v>
      </c>
      <c r="O209" t="n">
        <v>1</v>
      </c>
      <c r="P209" t="n">
        <v>1</v>
      </c>
      <c r="Q209" t="n">
        <v>1</v>
      </c>
      <c r="R209" t="n">
        <v>2</v>
      </c>
    </row>
    <row r="210">
      <c r="A210" t="n">
        <v>1</v>
      </c>
      <c r="B210" t="n">
        <v>2</v>
      </c>
      <c r="C210" t="n">
        <v>2</v>
      </c>
      <c r="D210" t="n">
        <v>1</v>
      </c>
      <c r="E210" t="n">
        <v>2</v>
      </c>
      <c r="F210" t="n">
        <v>2</v>
      </c>
      <c r="G210" t="n">
        <v>1</v>
      </c>
      <c r="H210" t="n">
        <v>2</v>
      </c>
      <c r="I210" t="n">
        <v>2</v>
      </c>
      <c r="J210" t="n">
        <v>2</v>
      </c>
      <c r="K210" t="n">
        <v>1</v>
      </c>
      <c r="L210" t="n">
        <v>2</v>
      </c>
      <c r="M210" t="n">
        <v>2</v>
      </c>
      <c r="N210" t="n">
        <v>1</v>
      </c>
      <c r="O210" t="n">
        <v>2</v>
      </c>
      <c r="P210" t="n">
        <v>1</v>
      </c>
      <c r="Q210" t="n">
        <v>2</v>
      </c>
      <c r="R210" t="n">
        <v>2</v>
      </c>
    </row>
    <row r="211">
      <c r="A211" t="n">
        <v>1</v>
      </c>
      <c r="B211" t="n">
        <v>2</v>
      </c>
      <c r="C211" t="n">
        <v>1</v>
      </c>
      <c r="D211" t="n">
        <v>1</v>
      </c>
      <c r="E211" t="n">
        <v>1</v>
      </c>
      <c r="F211" t="n">
        <v>2</v>
      </c>
      <c r="G211" t="n">
        <v>2</v>
      </c>
      <c r="H211" t="n">
        <v>1</v>
      </c>
      <c r="I211" t="n">
        <v>2</v>
      </c>
      <c r="J211" t="n">
        <v>1</v>
      </c>
      <c r="K211" t="n">
        <v>1</v>
      </c>
      <c r="L211" t="n">
        <v>2</v>
      </c>
      <c r="M211" t="n">
        <v>2</v>
      </c>
      <c r="N211" t="n">
        <v>1</v>
      </c>
      <c r="O211" t="n">
        <v>1</v>
      </c>
      <c r="P211" t="n">
        <v>2</v>
      </c>
      <c r="Q211" t="n">
        <v>2</v>
      </c>
      <c r="R211" t="n">
        <v>2</v>
      </c>
    </row>
    <row r="212">
      <c r="A212" t="n">
        <v>1</v>
      </c>
      <c r="B212" t="n">
        <v>2</v>
      </c>
      <c r="C212" t="n">
        <v>2</v>
      </c>
      <c r="D212" t="n">
        <v>2</v>
      </c>
      <c r="E212" t="n">
        <v>1</v>
      </c>
      <c r="F212" t="n">
        <v>1</v>
      </c>
      <c r="G212" t="n">
        <v>2</v>
      </c>
      <c r="H212" t="n">
        <v>1</v>
      </c>
      <c r="I212" t="n">
        <v>2</v>
      </c>
      <c r="J212" t="n">
        <v>2</v>
      </c>
      <c r="K212" t="n">
        <v>1</v>
      </c>
      <c r="L212" t="n">
        <v>1</v>
      </c>
      <c r="M212" t="n">
        <v>2</v>
      </c>
      <c r="N212" t="n">
        <v>2</v>
      </c>
      <c r="O212" t="n">
        <v>1</v>
      </c>
      <c r="P212" t="n">
        <v>1</v>
      </c>
      <c r="Q212" t="n">
        <v>2</v>
      </c>
      <c r="R212" t="n">
        <v>2</v>
      </c>
    </row>
    <row r="213">
      <c r="A213" t="n">
        <v>1</v>
      </c>
      <c r="B213" t="n">
        <v>2</v>
      </c>
      <c r="C213" t="n">
        <v>2</v>
      </c>
      <c r="D213" t="n">
        <v>2</v>
      </c>
      <c r="E213" t="n">
        <v>2</v>
      </c>
      <c r="F213" t="n">
        <v>1</v>
      </c>
      <c r="G213" t="n">
        <v>1</v>
      </c>
      <c r="H213" t="n">
        <v>2</v>
      </c>
      <c r="I213" t="n">
        <v>1</v>
      </c>
      <c r="J213" t="n">
        <v>1</v>
      </c>
      <c r="K213" t="n">
        <v>2</v>
      </c>
      <c r="L213" t="n">
        <v>2</v>
      </c>
      <c r="M213" t="n">
        <v>1</v>
      </c>
      <c r="N213" t="n">
        <v>1</v>
      </c>
      <c r="O213" t="n">
        <v>2</v>
      </c>
      <c r="P213" t="n">
        <v>2</v>
      </c>
      <c r="Q213" t="n">
        <v>1</v>
      </c>
      <c r="R213" t="n">
        <v>2</v>
      </c>
    </row>
    <row r="214">
      <c r="A214" t="n">
        <v>1</v>
      </c>
      <c r="B214" t="n">
        <v>2</v>
      </c>
      <c r="C214" t="n">
        <v>2</v>
      </c>
      <c r="D214" t="n">
        <v>2</v>
      </c>
      <c r="E214" t="n">
        <v>2</v>
      </c>
      <c r="F214" t="n">
        <v>1</v>
      </c>
      <c r="G214" t="n">
        <v>2</v>
      </c>
      <c r="H214" t="n">
        <v>2</v>
      </c>
      <c r="I214" t="n">
        <v>1</v>
      </c>
      <c r="J214" t="n">
        <v>2</v>
      </c>
      <c r="K214" t="n">
        <v>2</v>
      </c>
      <c r="L214" t="n">
        <v>2</v>
      </c>
      <c r="M214" t="n">
        <v>1</v>
      </c>
      <c r="N214" t="n">
        <v>2</v>
      </c>
      <c r="O214" t="n">
        <v>2</v>
      </c>
      <c r="P214" t="n">
        <v>2</v>
      </c>
      <c r="Q214" t="n">
        <v>1</v>
      </c>
      <c r="R214" t="n">
        <v>2</v>
      </c>
    </row>
    <row r="215">
      <c r="A215" t="n">
        <v>1</v>
      </c>
      <c r="B215" t="n">
        <v>2</v>
      </c>
      <c r="C215" t="n">
        <v>2</v>
      </c>
      <c r="D215" t="n">
        <v>3</v>
      </c>
      <c r="E215" t="n">
        <v>2</v>
      </c>
      <c r="F215" t="n">
        <v>1</v>
      </c>
      <c r="G215" t="n">
        <v>2</v>
      </c>
      <c r="H215" t="n">
        <v>2</v>
      </c>
      <c r="I215" t="n">
        <v>1</v>
      </c>
      <c r="J215" t="n">
        <v>1</v>
      </c>
      <c r="K215" t="n">
        <v>2</v>
      </c>
      <c r="L215" t="n">
        <v>2</v>
      </c>
      <c r="M215" t="n">
        <v>1</v>
      </c>
      <c r="N215" t="n">
        <v>1</v>
      </c>
      <c r="O215" t="n">
        <v>2</v>
      </c>
      <c r="P215" t="n">
        <v>1</v>
      </c>
      <c r="Q215" t="n">
        <v>2</v>
      </c>
      <c r="R215" t="n">
        <v>2</v>
      </c>
    </row>
    <row r="216">
      <c r="A216" t="n">
        <v>1</v>
      </c>
      <c r="B216" t="n">
        <v>1</v>
      </c>
      <c r="C216" t="n">
        <v>2</v>
      </c>
      <c r="D216" t="n">
        <v>2</v>
      </c>
      <c r="E216" t="n">
        <v>1</v>
      </c>
      <c r="F216" t="n">
        <v>2</v>
      </c>
      <c r="G216" t="n">
        <v>5</v>
      </c>
      <c r="H216" t="n">
        <v>1</v>
      </c>
      <c r="I216" t="n">
        <v>2</v>
      </c>
      <c r="J216" t="n">
        <v>1</v>
      </c>
      <c r="K216" t="n">
        <v>2</v>
      </c>
      <c r="L216" t="n">
        <v>2</v>
      </c>
      <c r="M216" t="n">
        <v>1</v>
      </c>
      <c r="N216" t="n">
        <v>2</v>
      </c>
      <c r="O216" t="n">
        <v>2</v>
      </c>
      <c r="P216" t="n">
        <v>1</v>
      </c>
      <c r="Q216" t="n">
        <v>1</v>
      </c>
      <c r="R216" t="n">
        <v>2</v>
      </c>
    </row>
    <row r="217">
      <c r="A217" t="n">
        <v>1</v>
      </c>
      <c r="B217" t="n">
        <v>2</v>
      </c>
      <c r="C217" t="n">
        <v>2</v>
      </c>
      <c r="D217" t="n">
        <v>3</v>
      </c>
      <c r="E217" t="n">
        <v>2</v>
      </c>
      <c r="F217" t="n">
        <v>2</v>
      </c>
      <c r="G217" t="n">
        <v>5</v>
      </c>
      <c r="H217" t="n">
        <v>2</v>
      </c>
      <c r="I217" t="n">
        <v>1</v>
      </c>
      <c r="J217" t="n">
        <v>2</v>
      </c>
      <c r="K217" t="n">
        <v>2</v>
      </c>
      <c r="L217" t="n">
        <v>1</v>
      </c>
      <c r="M217" t="n">
        <v>1</v>
      </c>
      <c r="N217" t="n">
        <v>2</v>
      </c>
      <c r="O217" t="n">
        <v>1</v>
      </c>
      <c r="P217" t="n">
        <v>1</v>
      </c>
      <c r="Q217" t="n">
        <v>2</v>
      </c>
      <c r="R217" t="n">
        <v>2</v>
      </c>
    </row>
    <row r="218">
      <c r="A218" t="n">
        <v>1</v>
      </c>
      <c r="B218" t="n">
        <v>2</v>
      </c>
      <c r="C218" t="n">
        <v>2</v>
      </c>
      <c r="D218" t="n">
        <v>3</v>
      </c>
      <c r="E218" t="n">
        <v>2</v>
      </c>
      <c r="F218" t="n">
        <v>2</v>
      </c>
      <c r="G218" t="n">
        <v>5</v>
      </c>
      <c r="H218" t="n">
        <v>2</v>
      </c>
      <c r="I218" t="n">
        <v>1</v>
      </c>
      <c r="J218" t="n">
        <v>1</v>
      </c>
      <c r="K218" t="n">
        <v>2</v>
      </c>
      <c r="L218" t="n">
        <v>2</v>
      </c>
      <c r="M218" t="n">
        <v>2</v>
      </c>
      <c r="N218" t="n">
        <v>1</v>
      </c>
      <c r="O218" t="n">
        <v>1</v>
      </c>
      <c r="P218" t="n">
        <v>2</v>
      </c>
      <c r="Q218" t="n">
        <v>2</v>
      </c>
      <c r="R218" t="n">
        <v>2</v>
      </c>
    </row>
    <row r="219">
      <c r="A219" t="n">
        <v>2</v>
      </c>
      <c r="B219" t="n">
        <v>1</v>
      </c>
      <c r="C219" t="n">
        <v>1</v>
      </c>
      <c r="D219" t="n">
        <v>2</v>
      </c>
      <c r="E219" t="n">
        <v>2</v>
      </c>
      <c r="F219" t="n">
        <v>1</v>
      </c>
      <c r="G219" t="n">
        <v>2</v>
      </c>
      <c r="H219" t="n">
        <v>1</v>
      </c>
      <c r="I219" t="n">
        <v>2</v>
      </c>
      <c r="J219" t="n">
        <v>1</v>
      </c>
      <c r="K219" t="n">
        <v>1</v>
      </c>
      <c r="L219" t="n">
        <v>2</v>
      </c>
      <c r="M219" t="n">
        <v>2</v>
      </c>
      <c r="N219" t="n">
        <v>2</v>
      </c>
      <c r="O219" t="n">
        <v>1</v>
      </c>
      <c r="P219" t="n">
        <v>1</v>
      </c>
      <c r="Q219" t="n">
        <v>2</v>
      </c>
      <c r="R219" t="n">
        <v>1</v>
      </c>
    </row>
    <row r="220">
      <c r="A220" t="n">
        <v>1</v>
      </c>
      <c r="B220" t="n">
        <v>2</v>
      </c>
      <c r="C220" t="n">
        <v>2</v>
      </c>
      <c r="D220" t="n">
        <v>3</v>
      </c>
      <c r="E220" t="n">
        <v>2</v>
      </c>
      <c r="F220" t="n">
        <v>2</v>
      </c>
      <c r="G220" t="n">
        <v>5</v>
      </c>
      <c r="H220" t="n">
        <v>2</v>
      </c>
      <c r="I220" t="n">
        <v>2</v>
      </c>
      <c r="J220" t="n">
        <v>1</v>
      </c>
      <c r="K220" t="n">
        <v>1</v>
      </c>
      <c r="L220" t="n">
        <v>2</v>
      </c>
      <c r="M220" t="n">
        <v>2</v>
      </c>
      <c r="N220" t="n">
        <v>1</v>
      </c>
      <c r="O220" t="n">
        <v>2</v>
      </c>
      <c r="P220" t="n">
        <v>1</v>
      </c>
      <c r="Q220" t="n">
        <v>2</v>
      </c>
      <c r="R220" t="n">
        <v>2</v>
      </c>
    </row>
    <row r="221">
      <c r="A221" t="n">
        <v>1</v>
      </c>
      <c r="B221" t="n">
        <v>2</v>
      </c>
      <c r="C221" t="n">
        <v>2</v>
      </c>
      <c r="D221" t="n">
        <v>3</v>
      </c>
      <c r="E221" t="n">
        <v>5</v>
      </c>
      <c r="F221" t="n">
        <v>2</v>
      </c>
      <c r="G221" t="n">
        <v>2</v>
      </c>
      <c r="H221" t="n">
        <v>1</v>
      </c>
      <c r="I221" t="n">
        <v>2</v>
      </c>
      <c r="J221" t="n">
        <v>2</v>
      </c>
      <c r="K221" t="n">
        <v>2</v>
      </c>
      <c r="L221" t="n">
        <v>1</v>
      </c>
      <c r="M221" t="n">
        <v>2</v>
      </c>
      <c r="N221" t="n">
        <v>2</v>
      </c>
      <c r="O221" t="n">
        <v>1</v>
      </c>
      <c r="P221" t="n">
        <v>1</v>
      </c>
      <c r="Q221" t="n">
        <v>2</v>
      </c>
      <c r="R221" t="n">
        <v>2</v>
      </c>
    </row>
    <row r="222">
      <c r="A222" t="n">
        <v>2</v>
      </c>
      <c r="B222" t="n">
        <v>2</v>
      </c>
      <c r="C222" t="n">
        <v>2</v>
      </c>
      <c r="D222" t="n">
        <v>3</v>
      </c>
      <c r="E222" t="n">
        <v>5</v>
      </c>
      <c r="F222" t="n">
        <v>1</v>
      </c>
      <c r="G222" t="n">
        <v>5</v>
      </c>
      <c r="H222" t="n">
        <v>2</v>
      </c>
      <c r="I222" t="n">
        <v>1</v>
      </c>
      <c r="J222" t="n">
        <v>1</v>
      </c>
      <c r="K222" t="n">
        <v>2</v>
      </c>
      <c r="L222" t="n">
        <v>2</v>
      </c>
      <c r="M222" t="n">
        <v>1</v>
      </c>
      <c r="N222" t="n">
        <v>1</v>
      </c>
      <c r="O222" t="n">
        <v>2</v>
      </c>
      <c r="P222" t="n">
        <v>1</v>
      </c>
      <c r="Q222" t="n">
        <v>1</v>
      </c>
      <c r="R222" t="n">
        <v>2</v>
      </c>
    </row>
    <row r="223">
      <c r="A223" t="n">
        <v>1</v>
      </c>
      <c r="B223" t="n">
        <v>1</v>
      </c>
      <c r="C223" t="n">
        <v>2</v>
      </c>
      <c r="D223" t="n">
        <v>2</v>
      </c>
      <c r="E223" t="n">
        <v>5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2</v>
      </c>
      <c r="L223" t="n">
        <v>2</v>
      </c>
      <c r="M223" t="n">
        <v>1</v>
      </c>
      <c r="N223" t="n">
        <v>1</v>
      </c>
      <c r="O223" t="n">
        <v>1</v>
      </c>
      <c r="P223" t="n">
        <v>2</v>
      </c>
      <c r="Q223" t="n">
        <v>2</v>
      </c>
      <c r="R223" t="n">
        <v>1</v>
      </c>
    </row>
    <row r="224">
      <c r="A224" t="n">
        <v>1</v>
      </c>
      <c r="B224" t="n">
        <v>2</v>
      </c>
      <c r="C224" t="n">
        <v>2</v>
      </c>
      <c r="D224" t="n">
        <v>3</v>
      </c>
      <c r="E224" t="n">
        <v>2</v>
      </c>
      <c r="F224" t="n">
        <v>2</v>
      </c>
      <c r="G224" t="n">
        <v>2</v>
      </c>
      <c r="H224" t="n">
        <v>1</v>
      </c>
      <c r="I224" t="n">
        <v>2</v>
      </c>
      <c r="J224" t="n">
        <v>1</v>
      </c>
      <c r="K224" t="n">
        <v>1</v>
      </c>
      <c r="L224" t="n">
        <v>2</v>
      </c>
      <c r="M224" t="n">
        <v>2</v>
      </c>
      <c r="N224" t="n">
        <v>2</v>
      </c>
      <c r="O224" t="n">
        <v>1</v>
      </c>
      <c r="P224" t="n">
        <v>1</v>
      </c>
      <c r="Q224" t="n">
        <v>2</v>
      </c>
      <c r="R224" t="n">
        <v>2</v>
      </c>
    </row>
    <row r="225">
      <c r="A225" t="n">
        <v>2</v>
      </c>
      <c r="B225" t="n">
        <v>2</v>
      </c>
      <c r="C225" t="n">
        <v>1</v>
      </c>
      <c r="D225" t="n">
        <v>3</v>
      </c>
      <c r="E225" t="n">
        <v>2</v>
      </c>
      <c r="F225" t="n">
        <v>2</v>
      </c>
      <c r="G225" t="n">
        <v>1</v>
      </c>
      <c r="H225" t="n">
        <v>1</v>
      </c>
      <c r="I225" t="n">
        <v>1</v>
      </c>
      <c r="J225" t="n">
        <v>1</v>
      </c>
      <c r="K225" t="n">
        <v>2</v>
      </c>
      <c r="L225" t="n">
        <v>2</v>
      </c>
      <c r="M225" t="n">
        <v>1</v>
      </c>
      <c r="N225" t="n">
        <v>1</v>
      </c>
      <c r="O225" t="n">
        <v>2</v>
      </c>
      <c r="P225" t="n">
        <v>2</v>
      </c>
      <c r="Q225" t="n">
        <v>1</v>
      </c>
      <c r="R225" t="n">
        <v>2</v>
      </c>
    </row>
    <row r="226">
      <c r="A226" t="n">
        <v>1</v>
      </c>
      <c r="B226" t="n">
        <v>2</v>
      </c>
      <c r="C226" t="n">
        <v>2</v>
      </c>
      <c r="D226" t="n">
        <v>3</v>
      </c>
      <c r="E226" t="n">
        <v>2</v>
      </c>
      <c r="F226" t="n">
        <v>2</v>
      </c>
      <c r="G226" t="n">
        <v>1</v>
      </c>
      <c r="H226" t="n">
        <v>1</v>
      </c>
      <c r="I226" t="n">
        <v>2</v>
      </c>
      <c r="J226" t="n">
        <v>2</v>
      </c>
      <c r="K226" t="n">
        <v>2</v>
      </c>
      <c r="L226" t="n">
        <v>1</v>
      </c>
      <c r="M226" t="n">
        <v>2</v>
      </c>
      <c r="N226" t="n">
        <v>1</v>
      </c>
      <c r="O226" t="n">
        <v>1</v>
      </c>
      <c r="P226" t="n">
        <v>1</v>
      </c>
      <c r="Q226" t="n">
        <v>1</v>
      </c>
      <c r="R226" t="n">
        <v>2</v>
      </c>
    </row>
    <row r="227">
      <c r="A227" t="n">
        <v>1</v>
      </c>
      <c r="B227" t="n">
        <v>2</v>
      </c>
      <c r="C227" t="n">
        <v>2</v>
      </c>
      <c r="D227" t="n">
        <v>3</v>
      </c>
      <c r="E227" t="n">
        <v>5</v>
      </c>
      <c r="F227" t="n">
        <v>2</v>
      </c>
      <c r="G227" t="n">
        <v>2</v>
      </c>
      <c r="H227" t="n">
        <v>1</v>
      </c>
      <c r="I227" t="n">
        <v>2</v>
      </c>
      <c r="J227" t="n">
        <v>1</v>
      </c>
      <c r="K227" t="n">
        <v>1</v>
      </c>
      <c r="L227" t="n">
        <v>2</v>
      </c>
      <c r="M227" t="n">
        <v>2</v>
      </c>
      <c r="N227" t="n">
        <v>2</v>
      </c>
      <c r="O227" t="n">
        <v>1</v>
      </c>
      <c r="P227" t="n">
        <v>1</v>
      </c>
      <c r="Q227" t="n">
        <v>2</v>
      </c>
      <c r="R227" t="n">
        <v>2</v>
      </c>
    </row>
    <row r="228">
      <c r="A228" t="n">
        <v>1</v>
      </c>
      <c r="B228" t="n">
        <v>1</v>
      </c>
      <c r="C228" t="n">
        <v>2</v>
      </c>
      <c r="D228" t="n">
        <v>2</v>
      </c>
      <c r="E228" t="n">
        <v>5</v>
      </c>
      <c r="F228" t="n">
        <v>2</v>
      </c>
      <c r="G228" t="n">
        <v>2</v>
      </c>
      <c r="H228" t="n">
        <v>1</v>
      </c>
      <c r="I228" t="n">
        <v>2</v>
      </c>
      <c r="J228" t="n">
        <v>2</v>
      </c>
      <c r="K228" t="n">
        <v>1</v>
      </c>
      <c r="L228" t="n">
        <v>1</v>
      </c>
      <c r="M228" t="n">
        <v>2</v>
      </c>
      <c r="N228" t="n">
        <v>2</v>
      </c>
      <c r="O228" t="n">
        <v>2</v>
      </c>
      <c r="P228" t="n">
        <v>1</v>
      </c>
      <c r="Q228" t="n">
        <v>2</v>
      </c>
      <c r="R228" t="n">
        <v>2</v>
      </c>
    </row>
    <row r="229">
      <c r="A229" t="n">
        <v>1</v>
      </c>
      <c r="B229" t="n">
        <v>2</v>
      </c>
      <c r="C229" t="n">
        <v>2</v>
      </c>
      <c r="D229" t="n">
        <v>2</v>
      </c>
      <c r="E229" t="n">
        <v>5</v>
      </c>
      <c r="F229" t="n">
        <v>1</v>
      </c>
      <c r="G229" t="n">
        <v>2</v>
      </c>
      <c r="H229" t="n">
        <v>2</v>
      </c>
      <c r="I229" t="n">
        <v>1</v>
      </c>
      <c r="J229" t="n">
        <v>2</v>
      </c>
      <c r="K229" t="n">
        <v>1</v>
      </c>
      <c r="L229" t="n">
        <v>1</v>
      </c>
      <c r="M229" t="n">
        <v>2</v>
      </c>
      <c r="N229" t="n">
        <v>2</v>
      </c>
      <c r="O229" t="n">
        <v>1</v>
      </c>
      <c r="P229" t="n">
        <v>1</v>
      </c>
      <c r="Q229" t="n">
        <v>2</v>
      </c>
      <c r="R229" t="n">
        <v>2</v>
      </c>
    </row>
    <row r="230">
      <c r="A230" t="n">
        <v>1</v>
      </c>
      <c r="B230" t="n">
        <v>2</v>
      </c>
      <c r="C230" t="n">
        <v>2</v>
      </c>
      <c r="D230" t="n">
        <v>1</v>
      </c>
      <c r="E230" t="n">
        <v>2</v>
      </c>
      <c r="F230" t="n">
        <v>2</v>
      </c>
      <c r="G230" t="n">
        <v>1</v>
      </c>
      <c r="H230" t="n">
        <v>2</v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1</v>
      </c>
      <c r="O230" t="n">
        <v>2</v>
      </c>
      <c r="P230" t="n">
        <v>1</v>
      </c>
      <c r="Q230" t="n">
        <v>2</v>
      </c>
      <c r="R230" t="n">
        <v>2</v>
      </c>
    </row>
    <row r="231">
      <c r="A231" t="n">
        <v>1</v>
      </c>
      <c r="B231" t="n">
        <v>2</v>
      </c>
      <c r="C231" t="n">
        <v>2</v>
      </c>
      <c r="D231" t="n">
        <v>1</v>
      </c>
      <c r="E231" t="n">
        <v>1</v>
      </c>
      <c r="F231" t="n">
        <v>2</v>
      </c>
      <c r="G231" t="n">
        <v>2</v>
      </c>
      <c r="H231" t="n">
        <v>1</v>
      </c>
      <c r="I231" t="n">
        <v>2</v>
      </c>
      <c r="J231" t="n">
        <v>2</v>
      </c>
      <c r="K231" t="n">
        <v>1</v>
      </c>
      <c r="L231" t="n">
        <v>1</v>
      </c>
      <c r="M231" t="n">
        <v>2</v>
      </c>
      <c r="N231" t="n">
        <v>2</v>
      </c>
      <c r="O231" t="n">
        <v>1</v>
      </c>
      <c r="P231" t="n">
        <v>1</v>
      </c>
      <c r="Q231" t="n">
        <v>2</v>
      </c>
      <c r="R231" t="n">
        <v>2</v>
      </c>
    </row>
    <row r="232">
      <c r="A232" t="n">
        <v>1</v>
      </c>
      <c r="B232" t="n">
        <v>2</v>
      </c>
      <c r="C232" t="n">
        <v>2</v>
      </c>
      <c r="D232" t="n">
        <v>1</v>
      </c>
      <c r="E232" t="n">
        <v>2</v>
      </c>
      <c r="F232" t="n">
        <v>1</v>
      </c>
      <c r="G232" t="n">
        <v>1</v>
      </c>
      <c r="H232" t="n">
        <v>2</v>
      </c>
      <c r="I232" t="n">
        <v>1</v>
      </c>
      <c r="J232" t="n">
        <v>2</v>
      </c>
      <c r="K232" t="n">
        <v>2</v>
      </c>
      <c r="L232" t="n">
        <v>1</v>
      </c>
      <c r="M232" t="n">
        <v>1</v>
      </c>
      <c r="N232" t="n">
        <v>2</v>
      </c>
      <c r="O232" t="n">
        <v>2</v>
      </c>
      <c r="P232" t="n">
        <v>1</v>
      </c>
      <c r="Q232" t="n">
        <v>5</v>
      </c>
      <c r="R232" t="n">
        <v>2</v>
      </c>
    </row>
    <row r="233">
      <c r="A233" t="n">
        <v>1</v>
      </c>
      <c r="B233" t="n">
        <v>1</v>
      </c>
      <c r="C233" t="n">
        <v>2</v>
      </c>
      <c r="D233" t="n">
        <v>2</v>
      </c>
      <c r="E233" t="n">
        <v>1</v>
      </c>
      <c r="F233" t="n">
        <v>2</v>
      </c>
      <c r="G233" t="n">
        <v>2</v>
      </c>
      <c r="H233" t="n">
        <v>1</v>
      </c>
      <c r="I233" t="n">
        <v>2</v>
      </c>
      <c r="J233" t="n">
        <v>2</v>
      </c>
      <c r="K233" t="n">
        <v>1</v>
      </c>
      <c r="L233" t="n">
        <v>1</v>
      </c>
      <c r="M233" t="n">
        <v>2</v>
      </c>
      <c r="N233" t="n">
        <v>2</v>
      </c>
      <c r="O233" t="n">
        <v>1</v>
      </c>
      <c r="P233" t="n">
        <v>1</v>
      </c>
      <c r="Q233" t="n">
        <v>2</v>
      </c>
      <c r="R233" t="n">
        <v>2</v>
      </c>
    </row>
    <row r="234">
      <c r="A234" t="n">
        <v>3</v>
      </c>
      <c r="B234" t="n">
        <v>2</v>
      </c>
      <c r="C234" t="n">
        <v>2</v>
      </c>
      <c r="D234" t="n">
        <v>1</v>
      </c>
      <c r="E234" t="n">
        <v>2</v>
      </c>
      <c r="F234" t="n">
        <v>2</v>
      </c>
      <c r="G234" t="n">
        <v>2</v>
      </c>
      <c r="H234" t="n">
        <v>2</v>
      </c>
      <c r="I234" t="n">
        <v>1</v>
      </c>
      <c r="J234" t="n">
        <v>2</v>
      </c>
      <c r="K234" t="n">
        <v>1</v>
      </c>
      <c r="L234" t="n">
        <v>2</v>
      </c>
      <c r="M234" t="n">
        <v>1</v>
      </c>
      <c r="N234" t="n">
        <v>1</v>
      </c>
      <c r="O234" t="n">
        <v>2</v>
      </c>
      <c r="P234" t="n">
        <v>1</v>
      </c>
      <c r="Q234" t="n">
        <v>2</v>
      </c>
      <c r="R234" t="n">
        <v>2</v>
      </c>
    </row>
    <row r="235">
      <c r="A235" t="n">
        <v>5</v>
      </c>
      <c r="B235" t="n">
        <v>1</v>
      </c>
      <c r="C235" t="n">
        <v>2</v>
      </c>
      <c r="D235" t="n">
        <v>2</v>
      </c>
      <c r="E235" t="n">
        <v>1</v>
      </c>
      <c r="F235" t="n">
        <v>2</v>
      </c>
      <c r="G235" t="n">
        <v>1</v>
      </c>
      <c r="H235" t="n">
        <v>1</v>
      </c>
      <c r="I235" t="n">
        <v>2</v>
      </c>
      <c r="J235" t="n">
        <v>2</v>
      </c>
      <c r="K235" t="n">
        <v>1</v>
      </c>
      <c r="L235" t="n">
        <v>1</v>
      </c>
      <c r="M235" t="n">
        <v>2</v>
      </c>
      <c r="N235" t="n">
        <v>2</v>
      </c>
      <c r="O235" t="n">
        <v>1</v>
      </c>
      <c r="P235" t="n">
        <v>1</v>
      </c>
      <c r="Q235" t="n">
        <v>2</v>
      </c>
      <c r="R235" t="n">
        <v>2</v>
      </c>
    </row>
    <row r="236">
      <c r="A236" t="n">
        <v>5</v>
      </c>
      <c r="B236" t="n">
        <v>1</v>
      </c>
      <c r="C236" t="n">
        <v>2</v>
      </c>
      <c r="D236" t="n">
        <v>2</v>
      </c>
      <c r="E236" t="n">
        <v>1</v>
      </c>
      <c r="F236" t="n">
        <v>5</v>
      </c>
      <c r="G236" t="n">
        <v>2</v>
      </c>
      <c r="H236" t="n">
        <v>2</v>
      </c>
      <c r="I236" t="n">
        <v>1</v>
      </c>
      <c r="J236" t="n">
        <v>2</v>
      </c>
      <c r="K236" t="n">
        <v>2</v>
      </c>
      <c r="L236" t="n">
        <v>1</v>
      </c>
      <c r="M236" t="n">
        <v>2</v>
      </c>
      <c r="N236" t="n">
        <v>1</v>
      </c>
      <c r="O236" t="n">
        <v>5</v>
      </c>
      <c r="P236" t="n">
        <v>1</v>
      </c>
      <c r="Q236" t="n">
        <v>2</v>
      </c>
      <c r="R236" t="n">
        <v>2</v>
      </c>
    </row>
    <row r="237">
      <c r="A237" t="n">
        <v>3</v>
      </c>
      <c r="B237" t="n">
        <v>2</v>
      </c>
      <c r="C237" t="n">
        <v>2</v>
      </c>
      <c r="D237" t="n">
        <v>1</v>
      </c>
      <c r="E237" t="n">
        <v>5</v>
      </c>
      <c r="F237" t="n">
        <v>5</v>
      </c>
      <c r="G237" t="n">
        <v>4</v>
      </c>
      <c r="H237" t="n">
        <v>4</v>
      </c>
      <c r="I237" t="n">
        <v>1</v>
      </c>
      <c r="J237" t="n">
        <v>1</v>
      </c>
      <c r="K237" t="n">
        <v>2</v>
      </c>
      <c r="L237" t="n">
        <v>2</v>
      </c>
      <c r="M237" t="n">
        <v>1</v>
      </c>
      <c r="N237" t="n">
        <v>1</v>
      </c>
      <c r="O237" t="n">
        <v>2</v>
      </c>
      <c r="P237" t="n">
        <v>2</v>
      </c>
      <c r="Q237" t="n">
        <v>5</v>
      </c>
      <c r="R237" t="n">
        <v>1</v>
      </c>
    </row>
    <row r="238">
      <c r="A238" t="n">
        <v>3</v>
      </c>
      <c r="B238" t="n">
        <v>2</v>
      </c>
      <c r="C238" t="n">
        <v>2</v>
      </c>
      <c r="D238" t="n">
        <v>1</v>
      </c>
      <c r="E238" t="n">
        <v>4</v>
      </c>
      <c r="F238" t="n">
        <v>5</v>
      </c>
      <c r="G238" t="n">
        <v>4</v>
      </c>
      <c r="H238" t="n">
        <v>5</v>
      </c>
      <c r="I238" t="n">
        <v>1</v>
      </c>
      <c r="J238" t="n">
        <v>1</v>
      </c>
      <c r="K238" t="n">
        <v>2</v>
      </c>
      <c r="L238" t="n">
        <v>2</v>
      </c>
      <c r="M238" t="n">
        <v>1</v>
      </c>
      <c r="N238" t="n">
        <v>1</v>
      </c>
      <c r="O238" t="n">
        <v>2</v>
      </c>
      <c r="P238" t="n">
        <v>2</v>
      </c>
      <c r="Q238" t="n">
        <v>5</v>
      </c>
      <c r="R238" t="n">
        <v>2</v>
      </c>
    </row>
    <row r="239">
      <c r="A239" t="n">
        <v>5</v>
      </c>
      <c r="B239" t="n">
        <v>2</v>
      </c>
      <c r="C239" t="n">
        <v>1</v>
      </c>
      <c r="D239" t="n">
        <v>1</v>
      </c>
      <c r="E239" t="n">
        <v>5</v>
      </c>
      <c r="F239" t="n">
        <v>5</v>
      </c>
      <c r="G239" t="n">
        <v>4</v>
      </c>
      <c r="H239" t="n">
        <v>4</v>
      </c>
      <c r="I239" t="n">
        <v>1</v>
      </c>
      <c r="J239" t="n">
        <v>1</v>
      </c>
      <c r="K239" t="n">
        <v>2</v>
      </c>
      <c r="L239" t="n">
        <v>2</v>
      </c>
      <c r="M239" t="n">
        <v>1</v>
      </c>
      <c r="N239" t="n">
        <v>1</v>
      </c>
      <c r="O239" t="n">
        <v>2</v>
      </c>
      <c r="P239" t="n">
        <v>2</v>
      </c>
      <c r="Q239" t="n">
        <v>5</v>
      </c>
      <c r="R239" t="n">
        <v>2</v>
      </c>
    </row>
    <row r="240">
      <c r="A240" t="n">
        <v>3</v>
      </c>
      <c r="B240" t="n">
        <v>2</v>
      </c>
      <c r="C240" t="n">
        <v>2</v>
      </c>
      <c r="D240" t="n">
        <v>1</v>
      </c>
      <c r="E240" t="n">
        <v>4</v>
      </c>
      <c r="F240" t="n">
        <v>5</v>
      </c>
      <c r="G240" t="n">
        <v>5</v>
      </c>
      <c r="H240" t="n">
        <v>4</v>
      </c>
      <c r="I240" t="n">
        <v>2</v>
      </c>
      <c r="J240" t="n">
        <v>2</v>
      </c>
      <c r="K240" t="n">
        <v>2</v>
      </c>
      <c r="L240" t="n">
        <v>1</v>
      </c>
      <c r="M240" t="n">
        <v>1</v>
      </c>
      <c r="N240" t="n">
        <v>2</v>
      </c>
      <c r="O240" t="n">
        <v>2</v>
      </c>
      <c r="P240" t="n">
        <v>1</v>
      </c>
      <c r="Q240" t="n">
        <v>5</v>
      </c>
      <c r="R240" t="n">
        <v>2</v>
      </c>
    </row>
    <row r="241">
      <c r="A241" t="n">
        <v>3</v>
      </c>
      <c r="B241" t="n">
        <v>2</v>
      </c>
      <c r="C241" t="n">
        <v>2</v>
      </c>
      <c r="D241" t="n">
        <v>1</v>
      </c>
      <c r="E241" t="n">
        <v>5</v>
      </c>
      <c r="F241" t="n">
        <v>5</v>
      </c>
      <c r="G241" t="n">
        <v>4</v>
      </c>
      <c r="H241" t="n">
        <v>4</v>
      </c>
      <c r="I241" t="n">
        <v>1</v>
      </c>
      <c r="J241" t="n">
        <v>1</v>
      </c>
      <c r="K241" t="n">
        <v>2</v>
      </c>
      <c r="L241" t="n">
        <v>1</v>
      </c>
      <c r="M241" t="n">
        <v>1</v>
      </c>
      <c r="N241" t="n">
        <v>2</v>
      </c>
      <c r="O241" t="n">
        <v>2</v>
      </c>
      <c r="P241" t="n">
        <v>1</v>
      </c>
      <c r="Q241" t="n">
        <v>2</v>
      </c>
      <c r="R241" t="n">
        <v>2</v>
      </c>
    </row>
    <row r="242">
      <c r="A242" t="n">
        <v>3</v>
      </c>
      <c r="B242" t="n">
        <v>2</v>
      </c>
      <c r="C242" t="n">
        <v>2</v>
      </c>
      <c r="D242" t="n">
        <v>1</v>
      </c>
      <c r="E242" t="n">
        <v>4</v>
      </c>
      <c r="F242" t="n">
        <v>5</v>
      </c>
      <c r="G242" t="n">
        <v>5</v>
      </c>
      <c r="H242" t="n">
        <v>4</v>
      </c>
      <c r="I242" t="n">
        <v>1</v>
      </c>
      <c r="J242" t="n">
        <v>2</v>
      </c>
      <c r="K242" t="n">
        <v>2</v>
      </c>
      <c r="L242" t="n">
        <v>1</v>
      </c>
      <c r="M242" t="n">
        <v>1</v>
      </c>
      <c r="N242" t="n">
        <v>2</v>
      </c>
      <c r="O242" t="n">
        <v>2</v>
      </c>
      <c r="P242" t="n">
        <v>1</v>
      </c>
      <c r="Q242" t="n">
        <v>5</v>
      </c>
      <c r="R242" t="n">
        <v>2</v>
      </c>
    </row>
    <row r="243">
      <c r="A243" t="n">
        <v>3</v>
      </c>
      <c r="B243" t="n">
        <v>2</v>
      </c>
      <c r="C243" t="n">
        <v>1</v>
      </c>
      <c r="D243" t="n">
        <v>5</v>
      </c>
      <c r="E243" t="n">
        <v>5</v>
      </c>
      <c r="F243" t="n">
        <v>5</v>
      </c>
      <c r="G243" t="n">
        <v>4</v>
      </c>
      <c r="H243" t="n">
        <v>5</v>
      </c>
      <c r="I243" t="n">
        <v>1</v>
      </c>
      <c r="J243" t="n">
        <v>2</v>
      </c>
      <c r="K243" t="n">
        <v>2</v>
      </c>
      <c r="L243" t="n">
        <v>1</v>
      </c>
      <c r="M243" t="n">
        <v>2</v>
      </c>
      <c r="N243" t="n">
        <v>2</v>
      </c>
      <c r="O243" t="n">
        <v>5</v>
      </c>
      <c r="P243" t="n">
        <v>1</v>
      </c>
      <c r="Q243" t="n">
        <v>2</v>
      </c>
      <c r="R243" t="n">
        <v>2</v>
      </c>
    </row>
    <row r="244">
      <c r="A244" t="n">
        <v>3</v>
      </c>
      <c r="B244" t="n">
        <v>2</v>
      </c>
      <c r="C244" t="n">
        <v>2</v>
      </c>
      <c r="D244" t="n">
        <v>1</v>
      </c>
      <c r="E244" t="n">
        <v>5</v>
      </c>
      <c r="F244" t="n">
        <v>5</v>
      </c>
      <c r="G244" t="n">
        <v>4</v>
      </c>
      <c r="H244" t="n">
        <v>5</v>
      </c>
      <c r="I244" t="n">
        <v>1</v>
      </c>
      <c r="J244" t="n">
        <v>2</v>
      </c>
      <c r="K244" t="n">
        <v>1</v>
      </c>
      <c r="L244" t="n">
        <v>2</v>
      </c>
      <c r="M244" t="n">
        <v>2</v>
      </c>
      <c r="N244" t="n">
        <v>1</v>
      </c>
      <c r="O244" t="n">
        <v>5</v>
      </c>
      <c r="P244" t="n">
        <v>1</v>
      </c>
      <c r="Q244" t="n">
        <v>2</v>
      </c>
      <c r="R244" t="n">
        <v>2</v>
      </c>
    </row>
    <row r="245">
      <c r="A245" t="n">
        <v>3</v>
      </c>
      <c r="B245" t="n">
        <v>2</v>
      </c>
      <c r="C245" t="n">
        <v>2</v>
      </c>
      <c r="D245" t="n">
        <v>1</v>
      </c>
      <c r="E245" t="n">
        <v>1</v>
      </c>
      <c r="F245" t="n">
        <v>2</v>
      </c>
      <c r="G245" t="n">
        <v>1</v>
      </c>
      <c r="H245" t="n">
        <v>1</v>
      </c>
      <c r="I245" t="n">
        <v>1</v>
      </c>
      <c r="J245" t="n">
        <v>2</v>
      </c>
      <c r="K245" t="n">
        <v>2</v>
      </c>
      <c r="L245" t="n">
        <v>1</v>
      </c>
      <c r="M245" t="n">
        <v>1</v>
      </c>
      <c r="N245" t="n">
        <v>2</v>
      </c>
      <c r="O245" t="n">
        <v>5</v>
      </c>
      <c r="P245" t="n">
        <v>2</v>
      </c>
      <c r="Q245" t="n">
        <v>2</v>
      </c>
      <c r="R245" t="n">
        <v>1</v>
      </c>
    </row>
    <row r="246">
      <c r="A246" t="n">
        <v>3</v>
      </c>
      <c r="B246" t="n">
        <v>1</v>
      </c>
      <c r="C246" t="n">
        <v>1</v>
      </c>
      <c r="D246" t="n">
        <v>2</v>
      </c>
      <c r="E246" t="n">
        <v>2</v>
      </c>
      <c r="F246" t="n">
        <v>5</v>
      </c>
      <c r="G246" t="n">
        <v>2</v>
      </c>
      <c r="H246" t="n">
        <v>1</v>
      </c>
      <c r="I246" t="n">
        <v>2</v>
      </c>
      <c r="J246" t="n">
        <v>1</v>
      </c>
      <c r="K246" t="n">
        <v>2</v>
      </c>
      <c r="L246" t="n">
        <v>2</v>
      </c>
      <c r="M246" t="n">
        <v>1</v>
      </c>
      <c r="N246" t="n">
        <v>2</v>
      </c>
      <c r="O246" t="n">
        <v>2</v>
      </c>
      <c r="P246" t="n">
        <v>1</v>
      </c>
      <c r="Q246" t="n">
        <v>2</v>
      </c>
      <c r="R246" t="n">
        <v>2</v>
      </c>
    </row>
    <row r="247">
      <c r="A247" t="n">
        <v>3</v>
      </c>
      <c r="B247" t="n">
        <v>2</v>
      </c>
      <c r="C247" t="n">
        <v>2</v>
      </c>
      <c r="D247" t="n">
        <v>2</v>
      </c>
      <c r="E247" t="n">
        <v>1</v>
      </c>
      <c r="F247" t="n">
        <v>5</v>
      </c>
      <c r="G247" t="n">
        <v>2</v>
      </c>
      <c r="H247" t="n">
        <v>1</v>
      </c>
      <c r="I247" t="n">
        <v>2</v>
      </c>
      <c r="J247" t="n">
        <v>2</v>
      </c>
      <c r="K247" t="n">
        <v>1</v>
      </c>
      <c r="L247" t="n">
        <v>1</v>
      </c>
      <c r="M247" t="n">
        <v>2</v>
      </c>
      <c r="N247" t="n">
        <v>2</v>
      </c>
      <c r="O247" t="n">
        <v>5</v>
      </c>
      <c r="P247" t="n">
        <v>1</v>
      </c>
      <c r="Q247" t="n">
        <v>2</v>
      </c>
      <c r="R247" t="n">
        <v>2</v>
      </c>
    </row>
    <row r="248">
      <c r="A248" t="n">
        <v>1</v>
      </c>
      <c r="B248" t="n">
        <v>2</v>
      </c>
      <c r="C248" t="n">
        <v>2</v>
      </c>
      <c r="D248" t="n">
        <v>2</v>
      </c>
      <c r="E248" t="n">
        <v>1</v>
      </c>
      <c r="F248" t="n">
        <v>2</v>
      </c>
      <c r="G248" t="n">
        <v>2</v>
      </c>
      <c r="H248" t="n">
        <v>2</v>
      </c>
      <c r="I248" t="n">
        <v>1</v>
      </c>
      <c r="J248" t="n">
        <v>2</v>
      </c>
      <c r="K248" t="n">
        <v>2</v>
      </c>
      <c r="L248" t="n">
        <v>1</v>
      </c>
      <c r="M248" t="n">
        <v>2</v>
      </c>
      <c r="N248" t="n">
        <v>2</v>
      </c>
      <c r="O248" t="n">
        <v>5</v>
      </c>
      <c r="P248" t="n">
        <v>1</v>
      </c>
      <c r="Q248" t="n">
        <v>2</v>
      </c>
      <c r="R248" t="n">
        <v>3</v>
      </c>
    </row>
    <row r="249">
      <c r="A249" t="n">
        <v>1</v>
      </c>
      <c r="B249" t="n">
        <v>1</v>
      </c>
      <c r="C249" t="n">
        <v>2</v>
      </c>
      <c r="D249" t="n">
        <v>2</v>
      </c>
      <c r="E249" t="n">
        <v>2</v>
      </c>
      <c r="F249" t="n">
        <v>5</v>
      </c>
      <c r="G249" t="n">
        <v>2</v>
      </c>
      <c r="H249" t="n">
        <v>2</v>
      </c>
      <c r="I249" t="n">
        <v>2</v>
      </c>
      <c r="J249" t="n">
        <v>2</v>
      </c>
      <c r="K249" t="n">
        <v>1</v>
      </c>
      <c r="L249" t="n">
        <v>2</v>
      </c>
      <c r="M249" t="n">
        <v>2</v>
      </c>
      <c r="N249" t="n">
        <v>2</v>
      </c>
      <c r="O249" t="n">
        <v>1</v>
      </c>
      <c r="P249" t="n">
        <v>1</v>
      </c>
      <c r="Q249" t="n">
        <v>2</v>
      </c>
      <c r="R249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Unnamed: 0</t>
        </is>
      </c>
      <c r="B1" s="10" t="inlineStr">
        <is>
          <t>OR1</t>
        </is>
      </c>
      <c r="C1" s="10" t="inlineStr">
        <is>
          <t>OR2</t>
        </is>
      </c>
      <c r="D1" s="10" t="inlineStr">
        <is>
          <t>OR3</t>
        </is>
      </c>
      <c r="E1" s="10" t="inlineStr">
        <is>
          <t>OR4</t>
        </is>
      </c>
      <c r="F1" s="10" t="inlineStr">
        <is>
          <t>OR5</t>
        </is>
      </c>
    </row>
    <row r="2">
      <c r="A2" t="n">
        <v>0</v>
      </c>
      <c r="B2" t="n">
        <v>6</v>
      </c>
      <c r="C2" t="n">
        <v>5</v>
      </c>
      <c r="D2" t="n">
        <v>6</v>
      </c>
      <c r="E2" t="n">
        <v>6</v>
      </c>
      <c r="F2" t="n">
        <v>6</v>
      </c>
    </row>
    <row r="3">
      <c r="A3" t="n">
        <v>1</v>
      </c>
      <c r="B3" t="n">
        <v>6</v>
      </c>
      <c r="C3" t="n">
        <v>7</v>
      </c>
      <c r="D3" t="n">
        <v>6</v>
      </c>
      <c r="E3" t="n">
        <v>7</v>
      </c>
      <c r="F3" t="n">
        <v>7</v>
      </c>
    </row>
    <row r="4">
      <c r="A4" t="n">
        <v>2</v>
      </c>
      <c r="B4" t="n">
        <v>6</v>
      </c>
      <c r="C4" t="n">
        <v>7</v>
      </c>
      <c r="D4" t="n">
        <v>6</v>
      </c>
      <c r="E4" t="n">
        <v>7</v>
      </c>
      <c r="F4" t="n">
        <v>6</v>
      </c>
    </row>
    <row r="5">
      <c r="A5" t="n">
        <v>3</v>
      </c>
      <c r="B5" t="n">
        <v>7</v>
      </c>
      <c r="C5" t="n">
        <v>5</v>
      </c>
      <c r="D5" t="n">
        <v>7</v>
      </c>
      <c r="E5" t="n">
        <v>6</v>
      </c>
      <c r="F5" t="n">
        <v>6</v>
      </c>
    </row>
    <row r="6">
      <c r="A6" t="n">
        <v>4</v>
      </c>
      <c r="B6" t="n">
        <v>6</v>
      </c>
      <c r="C6" t="n">
        <v>7</v>
      </c>
      <c r="D6" t="n">
        <v>6</v>
      </c>
      <c r="E6" t="n">
        <v>6</v>
      </c>
      <c r="F6" t="n">
        <v>7</v>
      </c>
    </row>
    <row r="7">
      <c r="A7" t="n">
        <v>5</v>
      </c>
      <c r="B7" t="n">
        <v>7</v>
      </c>
      <c r="C7" t="n">
        <v>5</v>
      </c>
      <c r="D7" t="n">
        <v>7</v>
      </c>
      <c r="E7" t="n">
        <v>6</v>
      </c>
      <c r="F7" t="n">
        <v>6</v>
      </c>
    </row>
    <row r="8">
      <c r="A8" t="n">
        <v>6</v>
      </c>
      <c r="B8" t="n">
        <v>7</v>
      </c>
      <c r="C8" t="n">
        <v>5</v>
      </c>
      <c r="D8" t="n">
        <v>7</v>
      </c>
      <c r="E8" t="n">
        <v>6</v>
      </c>
      <c r="F8" t="n">
        <v>6</v>
      </c>
    </row>
    <row r="9">
      <c r="A9" t="n">
        <v>7</v>
      </c>
      <c r="B9" t="n">
        <v>7</v>
      </c>
      <c r="C9" t="n">
        <v>6</v>
      </c>
      <c r="D9" t="n">
        <v>6</v>
      </c>
      <c r="E9" t="n">
        <v>7</v>
      </c>
      <c r="F9" t="n">
        <v>6</v>
      </c>
    </row>
    <row r="10">
      <c r="A10" t="n">
        <v>8</v>
      </c>
      <c r="B10" t="n">
        <v>6</v>
      </c>
      <c r="C10" t="n">
        <v>7</v>
      </c>
      <c r="D10" t="n">
        <v>6</v>
      </c>
      <c r="E10" t="n">
        <v>7</v>
      </c>
      <c r="F10" t="n">
        <v>6</v>
      </c>
    </row>
    <row r="11">
      <c r="A11" t="n">
        <v>9</v>
      </c>
      <c r="B11" t="n">
        <v>6</v>
      </c>
      <c r="C11" t="n">
        <v>7</v>
      </c>
      <c r="D11" t="n">
        <v>6</v>
      </c>
      <c r="E11" t="n">
        <v>5</v>
      </c>
      <c r="F11" t="n">
        <v>7</v>
      </c>
    </row>
    <row r="12">
      <c r="A12" t="n">
        <v>10</v>
      </c>
      <c r="B12" t="n">
        <v>7</v>
      </c>
      <c r="C12" t="n">
        <v>6</v>
      </c>
      <c r="D12" t="n">
        <v>7</v>
      </c>
      <c r="E12" t="n">
        <v>6</v>
      </c>
      <c r="F12" t="n">
        <v>6</v>
      </c>
    </row>
    <row r="13">
      <c r="A13" t="n">
        <v>11</v>
      </c>
      <c r="B13" t="n">
        <v>6</v>
      </c>
      <c r="C13" t="n">
        <v>7</v>
      </c>
      <c r="D13" t="n">
        <v>6</v>
      </c>
      <c r="E13" t="n">
        <v>6</v>
      </c>
      <c r="F13" t="n">
        <v>7</v>
      </c>
    </row>
    <row r="14">
      <c r="A14" t="n">
        <v>12</v>
      </c>
      <c r="B14" t="n">
        <v>5</v>
      </c>
      <c r="C14" t="n">
        <v>7</v>
      </c>
      <c r="D14" t="n">
        <v>6</v>
      </c>
      <c r="E14" t="n">
        <v>7</v>
      </c>
      <c r="F14" t="n">
        <v>7</v>
      </c>
    </row>
    <row r="15">
      <c r="A15" t="n">
        <v>13</v>
      </c>
      <c r="B15" t="n">
        <v>6</v>
      </c>
      <c r="C15" t="n">
        <v>7</v>
      </c>
      <c r="D15" t="n">
        <v>7</v>
      </c>
      <c r="E15" t="n">
        <v>6</v>
      </c>
      <c r="F15" t="n">
        <v>7</v>
      </c>
    </row>
    <row r="16">
      <c r="A16" t="n">
        <v>14</v>
      </c>
      <c r="B16" t="n">
        <v>6</v>
      </c>
      <c r="C16" t="n">
        <v>6</v>
      </c>
      <c r="D16" t="n">
        <v>6</v>
      </c>
      <c r="E16" t="n">
        <v>7</v>
      </c>
      <c r="F16" t="n">
        <v>7</v>
      </c>
    </row>
    <row r="17">
      <c r="A17" t="n">
        <v>15</v>
      </c>
      <c r="B17" t="n">
        <v>7</v>
      </c>
      <c r="C17" t="n">
        <v>6</v>
      </c>
      <c r="D17" t="n">
        <v>7</v>
      </c>
      <c r="E17" t="n">
        <v>6</v>
      </c>
      <c r="F17" t="n">
        <v>6</v>
      </c>
    </row>
    <row r="18">
      <c r="A18" t="n">
        <v>16</v>
      </c>
      <c r="B18" t="n">
        <v>7</v>
      </c>
      <c r="C18" t="n">
        <v>7</v>
      </c>
      <c r="D18" t="n">
        <v>6</v>
      </c>
      <c r="E18" t="n">
        <v>7</v>
      </c>
      <c r="F18" t="n">
        <v>7</v>
      </c>
    </row>
    <row r="19">
      <c r="A19" t="n">
        <v>17</v>
      </c>
      <c r="B19" t="n">
        <v>7</v>
      </c>
      <c r="C19" t="n">
        <v>6</v>
      </c>
      <c r="D19" t="n">
        <v>7</v>
      </c>
      <c r="E19" t="n">
        <v>6</v>
      </c>
      <c r="F19" t="n">
        <v>6</v>
      </c>
    </row>
    <row r="20">
      <c r="A20" t="n">
        <v>18</v>
      </c>
      <c r="B20" t="n">
        <v>7</v>
      </c>
      <c r="C20" t="n">
        <v>6</v>
      </c>
      <c r="D20" t="n">
        <v>7</v>
      </c>
      <c r="E20" t="n">
        <v>6</v>
      </c>
      <c r="F20" t="n">
        <v>5</v>
      </c>
    </row>
    <row r="21">
      <c r="A21" t="n">
        <v>19</v>
      </c>
      <c r="B21" t="n">
        <v>6</v>
      </c>
      <c r="C21" t="n">
        <v>7</v>
      </c>
      <c r="D21" t="n">
        <v>6</v>
      </c>
      <c r="E21" t="n">
        <v>6</v>
      </c>
      <c r="F21" t="n">
        <v>7</v>
      </c>
    </row>
    <row r="22">
      <c r="A22" t="n">
        <v>20</v>
      </c>
      <c r="B22" t="n">
        <v>6</v>
      </c>
      <c r="C22" t="n">
        <v>6</v>
      </c>
      <c r="D22" t="n">
        <v>5</v>
      </c>
      <c r="E22" t="n">
        <v>7</v>
      </c>
      <c r="F22" t="n">
        <v>6</v>
      </c>
    </row>
    <row r="23">
      <c r="A23" t="n">
        <v>21</v>
      </c>
      <c r="B23" t="n">
        <v>6</v>
      </c>
      <c r="C23" t="n">
        <v>7</v>
      </c>
      <c r="D23" t="n">
        <v>7</v>
      </c>
      <c r="E23" t="n">
        <v>5</v>
      </c>
      <c r="F23" t="n">
        <v>7</v>
      </c>
    </row>
    <row r="24">
      <c r="A24" t="n">
        <v>22</v>
      </c>
      <c r="B24" t="n">
        <v>7</v>
      </c>
      <c r="C24" t="n">
        <v>7</v>
      </c>
      <c r="D24" t="n">
        <v>6</v>
      </c>
      <c r="E24" t="n">
        <v>7</v>
      </c>
      <c r="F24" t="n">
        <v>6</v>
      </c>
    </row>
    <row r="25">
      <c r="A25" t="n">
        <v>23</v>
      </c>
      <c r="B25" t="n">
        <v>7</v>
      </c>
      <c r="C25" t="n">
        <v>6</v>
      </c>
      <c r="D25" t="n">
        <v>7</v>
      </c>
      <c r="E25" t="n">
        <v>6</v>
      </c>
      <c r="F25" t="n">
        <v>7</v>
      </c>
    </row>
    <row r="26">
      <c r="A26" t="n">
        <v>24</v>
      </c>
      <c r="B26" t="n">
        <v>6</v>
      </c>
      <c r="C26" t="n">
        <v>6</v>
      </c>
      <c r="D26" t="n">
        <v>7</v>
      </c>
      <c r="E26" t="n">
        <v>6</v>
      </c>
      <c r="F26" t="n">
        <v>7</v>
      </c>
    </row>
    <row r="27">
      <c r="A27" t="n">
        <v>25</v>
      </c>
      <c r="B27" t="n">
        <v>7</v>
      </c>
      <c r="C27" t="n">
        <v>6</v>
      </c>
      <c r="D27" t="n">
        <v>7</v>
      </c>
      <c r="E27" t="n">
        <v>7</v>
      </c>
      <c r="F27" t="n">
        <v>6</v>
      </c>
    </row>
    <row r="28">
      <c r="A28" t="n">
        <v>26</v>
      </c>
      <c r="B28" t="n">
        <v>6</v>
      </c>
      <c r="C28" t="n">
        <v>7</v>
      </c>
      <c r="D28" t="n">
        <v>6</v>
      </c>
      <c r="E28" t="n">
        <v>6</v>
      </c>
      <c r="F28" t="n">
        <v>5</v>
      </c>
    </row>
    <row r="29">
      <c r="A29" t="n">
        <v>27</v>
      </c>
      <c r="B29" t="n">
        <v>6</v>
      </c>
      <c r="C29" t="n">
        <v>7</v>
      </c>
      <c r="D29" t="n">
        <v>5</v>
      </c>
      <c r="E29" t="n">
        <v>7</v>
      </c>
      <c r="F29" t="n">
        <v>6</v>
      </c>
    </row>
    <row r="30">
      <c r="A30" t="n">
        <v>28</v>
      </c>
      <c r="B30" t="n">
        <v>7</v>
      </c>
      <c r="C30" t="n">
        <v>5</v>
      </c>
      <c r="D30" t="n">
        <v>7</v>
      </c>
      <c r="E30" t="n">
        <v>7</v>
      </c>
      <c r="F30" t="n">
        <v>6</v>
      </c>
    </row>
    <row r="31">
      <c r="A31" t="n">
        <v>29</v>
      </c>
      <c r="B31" t="n">
        <v>7</v>
      </c>
      <c r="C31" t="n">
        <v>7</v>
      </c>
      <c r="D31" t="n">
        <v>6</v>
      </c>
      <c r="E31" t="n">
        <v>7</v>
      </c>
      <c r="F31" t="n">
        <v>5</v>
      </c>
    </row>
    <row r="32">
      <c r="A32" t="n">
        <v>30</v>
      </c>
      <c r="B32" t="n">
        <v>7</v>
      </c>
      <c r="C32" t="n">
        <v>7</v>
      </c>
      <c r="D32" t="n">
        <v>6</v>
      </c>
      <c r="E32" t="n">
        <v>7</v>
      </c>
      <c r="F32" t="n">
        <v>6</v>
      </c>
    </row>
    <row r="33">
      <c r="A33" t="n">
        <v>31</v>
      </c>
      <c r="B33" t="n">
        <v>6</v>
      </c>
      <c r="C33" t="n">
        <v>6</v>
      </c>
      <c r="D33" t="n">
        <v>5</v>
      </c>
      <c r="E33" t="n">
        <v>7</v>
      </c>
      <c r="F33" t="n">
        <v>6</v>
      </c>
    </row>
    <row r="34">
      <c r="A34" t="n">
        <v>32</v>
      </c>
      <c r="B34" t="n">
        <v>6</v>
      </c>
      <c r="C34" t="n">
        <v>6</v>
      </c>
      <c r="D34" t="n">
        <v>7</v>
      </c>
      <c r="E34" t="n">
        <v>6</v>
      </c>
      <c r="F34" t="n">
        <v>7</v>
      </c>
    </row>
    <row r="35">
      <c r="A35" t="n">
        <v>33</v>
      </c>
      <c r="B35" t="n">
        <v>6</v>
      </c>
      <c r="C35" t="n">
        <v>5</v>
      </c>
      <c r="D35" t="n">
        <v>6</v>
      </c>
      <c r="E35" t="n">
        <v>7</v>
      </c>
      <c r="F35" t="n">
        <v>5</v>
      </c>
    </row>
    <row r="36">
      <c r="A36" t="n">
        <v>34</v>
      </c>
      <c r="B36" t="n">
        <v>7</v>
      </c>
      <c r="C36" t="n">
        <v>6</v>
      </c>
      <c r="D36" t="n">
        <v>7</v>
      </c>
      <c r="E36" t="n">
        <v>5</v>
      </c>
      <c r="F36" t="n">
        <v>7</v>
      </c>
    </row>
    <row r="37">
      <c r="A37" t="n">
        <v>35</v>
      </c>
      <c r="B37" t="n">
        <v>6</v>
      </c>
      <c r="C37" t="n">
        <v>7</v>
      </c>
      <c r="D37" t="n">
        <v>5</v>
      </c>
      <c r="E37" t="n">
        <v>7</v>
      </c>
      <c r="F37" t="n">
        <v>6</v>
      </c>
    </row>
    <row r="38">
      <c r="A38" t="n">
        <v>36</v>
      </c>
      <c r="B38" t="n">
        <v>7</v>
      </c>
      <c r="C38" t="n">
        <v>6</v>
      </c>
      <c r="D38" t="n">
        <v>7</v>
      </c>
      <c r="E38" t="n">
        <v>5</v>
      </c>
      <c r="F38" t="n">
        <v>7</v>
      </c>
    </row>
    <row r="39">
      <c r="A39" t="n">
        <v>37</v>
      </c>
      <c r="B39" t="n">
        <v>6</v>
      </c>
      <c r="C39" t="n">
        <v>7</v>
      </c>
      <c r="D39" t="n">
        <v>5</v>
      </c>
      <c r="E39" t="n">
        <v>7</v>
      </c>
      <c r="F39" t="n">
        <v>7</v>
      </c>
    </row>
    <row r="40">
      <c r="A40" t="n">
        <v>38</v>
      </c>
      <c r="B40" t="n">
        <v>6</v>
      </c>
      <c r="C40" t="n">
        <v>5</v>
      </c>
      <c r="D40" t="n">
        <v>7</v>
      </c>
      <c r="E40" t="n">
        <v>6</v>
      </c>
      <c r="F40" t="n">
        <v>7</v>
      </c>
    </row>
    <row r="41">
      <c r="A41" t="n">
        <v>39</v>
      </c>
      <c r="B41" t="n">
        <v>7</v>
      </c>
      <c r="C41" t="n">
        <v>5</v>
      </c>
      <c r="D41" t="n">
        <v>7</v>
      </c>
      <c r="E41" t="n">
        <v>6</v>
      </c>
      <c r="F41" t="n">
        <v>7</v>
      </c>
    </row>
    <row r="42">
      <c r="A42" t="n">
        <v>40</v>
      </c>
      <c r="B42" t="n">
        <v>7</v>
      </c>
      <c r="C42" t="n">
        <v>6</v>
      </c>
      <c r="D42" t="n">
        <v>6</v>
      </c>
      <c r="E42" t="n">
        <v>7</v>
      </c>
      <c r="F42" t="n">
        <v>5</v>
      </c>
    </row>
    <row r="43">
      <c r="A43" t="n">
        <v>41</v>
      </c>
      <c r="B43" t="n">
        <v>7</v>
      </c>
      <c r="C43" t="n">
        <v>6</v>
      </c>
      <c r="D43" t="n">
        <v>7</v>
      </c>
      <c r="E43" t="n">
        <v>5</v>
      </c>
      <c r="F43" t="n">
        <v>7</v>
      </c>
    </row>
    <row r="44">
      <c r="A44" t="n">
        <v>42</v>
      </c>
      <c r="B44" t="n">
        <v>7</v>
      </c>
      <c r="C44" t="n">
        <v>6</v>
      </c>
      <c r="D44" t="n">
        <v>7</v>
      </c>
      <c r="E44" t="n">
        <v>5</v>
      </c>
      <c r="F44" t="n">
        <v>7</v>
      </c>
    </row>
    <row r="45">
      <c r="A45" t="n">
        <v>43</v>
      </c>
      <c r="B45" t="n">
        <v>7</v>
      </c>
      <c r="C45" t="n">
        <v>6</v>
      </c>
      <c r="D45" t="n">
        <v>7</v>
      </c>
      <c r="E45" t="n">
        <v>5</v>
      </c>
      <c r="F45" t="n">
        <v>5</v>
      </c>
    </row>
    <row r="46">
      <c r="A46" t="n">
        <v>44</v>
      </c>
      <c r="B46" t="n">
        <v>7</v>
      </c>
      <c r="C46" t="n">
        <v>6</v>
      </c>
      <c r="D46" t="n">
        <v>7</v>
      </c>
      <c r="E46" t="n">
        <v>6</v>
      </c>
      <c r="F46" t="n">
        <v>6</v>
      </c>
    </row>
    <row r="47">
      <c r="A47" t="n">
        <v>45</v>
      </c>
      <c r="B47" t="n">
        <v>5</v>
      </c>
      <c r="C47" t="n">
        <v>7</v>
      </c>
      <c r="D47" t="n">
        <v>5</v>
      </c>
      <c r="E47" t="n">
        <v>7</v>
      </c>
      <c r="F47" t="n">
        <v>6</v>
      </c>
    </row>
    <row r="48">
      <c r="A48" t="n">
        <v>46</v>
      </c>
      <c r="B48" t="n">
        <v>7</v>
      </c>
      <c r="C48" t="n">
        <v>7</v>
      </c>
      <c r="D48" t="n">
        <v>5</v>
      </c>
      <c r="E48" t="n">
        <v>7</v>
      </c>
      <c r="F48" t="n">
        <v>6</v>
      </c>
    </row>
    <row r="49">
      <c r="A49" t="n">
        <v>47</v>
      </c>
      <c r="B49" t="n">
        <v>7</v>
      </c>
      <c r="C49" t="n">
        <v>6</v>
      </c>
      <c r="D49" t="n">
        <v>7</v>
      </c>
      <c r="E49" t="n">
        <v>5</v>
      </c>
      <c r="F49" t="n">
        <v>7</v>
      </c>
    </row>
    <row r="50">
      <c r="A50" t="n">
        <v>48</v>
      </c>
      <c r="B50" t="n">
        <v>6</v>
      </c>
      <c r="C50" t="n">
        <v>6</v>
      </c>
      <c r="D50" t="n">
        <v>7</v>
      </c>
      <c r="E50" t="n">
        <v>6</v>
      </c>
      <c r="F50" t="n">
        <v>5</v>
      </c>
    </row>
    <row r="51">
      <c r="A51" t="n">
        <v>49</v>
      </c>
      <c r="B51" t="n">
        <v>7</v>
      </c>
      <c r="C51" t="n">
        <v>6</v>
      </c>
      <c r="D51" t="n">
        <v>7</v>
      </c>
      <c r="E51" t="n">
        <v>6</v>
      </c>
      <c r="F51" t="n">
        <v>6</v>
      </c>
    </row>
    <row r="52">
      <c r="A52" t="n">
        <v>50</v>
      </c>
      <c r="B52" t="n">
        <v>7</v>
      </c>
      <c r="C52" t="n">
        <v>6</v>
      </c>
      <c r="D52" t="n">
        <v>7</v>
      </c>
      <c r="E52" t="n">
        <v>6</v>
      </c>
      <c r="F52" t="n">
        <v>6</v>
      </c>
    </row>
    <row r="53">
      <c r="A53" t="n">
        <v>51</v>
      </c>
      <c r="B53" t="n">
        <v>5</v>
      </c>
      <c r="C53" t="n">
        <v>7</v>
      </c>
      <c r="D53" t="n">
        <v>6</v>
      </c>
      <c r="E53" t="n">
        <v>7</v>
      </c>
      <c r="F53" t="n">
        <v>6</v>
      </c>
    </row>
    <row r="54">
      <c r="A54" t="n">
        <v>52</v>
      </c>
      <c r="B54" t="n">
        <v>6</v>
      </c>
      <c r="C54" t="n">
        <v>6</v>
      </c>
      <c r="D54" t="n">
        <v>7</v>
      </c>
      <c r="E54" t="n">
        <v>6</v>
      </c>
      <c r="F54" t="n">
        <v>5</v>
      </c>
    </row>
    <row r="55">
      <c r="A55" t="n">
        <v>53</v>
      </c>
      <c r="B55" t="n">
        <v>7</v>
      </c>
      <c r="C55" t="n">
        <v>7</v>
      </c>
      <c r="D55" t="n">
        <v>6</v>
      </c>
      <c r="E55" t="n">
        <v>7</v>
      </c>
      <c r="F55" t="n">
        <v>5</v>
      </c>
    </row>
    <row r="56">
      <c r="A56" t="n">
        <v>54</v>
      </c>
      <c r="B56" t="n">
        <v>5</v>
      </c>
      <c r="C56" t="n">
        <v>7</v>
      </c>
      <c r="D56" t="n">
        <v>6</v>
      </c>
      <c r="E56" t="n">
        <v>7</v>
      </c>
      <c r="F56" t="n">
        <v>5</v>
      </c>
    </row>
    <row r="57">
      <c r="A57" t="n">
        <v>55</v>
      </c>
      <c r="B57" t="n">
        <v>6</v>
      </c>
      <c r="C57" t="n">
        <v>7</v>
      </c>
      <c r="D57" t="n">
        <v>6</v>
      </c>
      <c r="E57" t="n">
        <v>5</v>
      </c>
      <c r="F57" t="n">
        <v>7</v>
      </c>
    </row>
    <row r="58">
      <c r="A58" t="n">
        <v>56</v>
      </c>
      <c r="B58" t="n">
        <v>7</v>
      </c>
      <c r="C58" t="n">
        <v>6</v>
      </c>
      <c r="D58" t="n">
        <v>7</v>
      </c>
      <c r="E58" t="n">
        <v>7</v>
      </c>
      <c r="F58" t="n">
        <v>6</v>
      </c>
    </row>
    <row r="59">
      <c r="A59" t="n">
        <v>57</v>
      </c>
      <c r="B59" t="n">
        <v>5</v>
      </c>
      <c r="C59" t="n">
        <v>5</v>
      </c>
      <c r="D59" t="n">
        <v>7</v>
      </c>
      <c r="E59" t="n">
        <v>6</v>
      </c>
      <c r="F59" t="n">
        <v>7</v>
      </c>
    </row>
    <row r="60">
      <c r="A60" t="n">
        <v>58</v>
      </c>
      <c r="B60" t="n">
        <v>6</v>
      </c>
      <c r="C60" t="n">
        <v>6</v>
      </c>
      <c r="D60" t="n">
        <v>7</v>
      </c>
      <c r="E60" t="n">
        <v>6</v>
      </c>
      <c r="F60" t="n">
        <v>7</v>
      </c>
    </row>
    <row r="61">
      <c r="A61" t="n">
        <v>59</v>
      </c>
      <c r="B61" t="n">
        <v>5</v>
      </c>
      <c r="C61" t="n">
        <v>5</v>
      </c>
      <c r="D61" t="n">
        <v>7</v>
      </c>
      <c r="E61" t="n">
        <v>6</v>
      </c>
      <c r="F61" t="n">
        <v>7</v>
      </c>
    </row>
    <row r="62">
      <c r="A62" t="n">
        <v>60</v>
      </c>
      <c r="B62" t="n">
        <v>7</v>
      </c>
      <c r="C62" t="n">
        <v>5</v>
      </c>
      <c r="D62" t="n">
        <v>7</v>
      </c>
      <c r="E62" t="n">
        <v>6</v>
      </c>
      <c r="F62" t="n">
        <v>5</v>
      </c>
    </row>
    <row r="63">
      <c r="A63" t="n">
        <v>61</v>
      </c>
      <c r="B63" t="n">
        <v>7</v>
      </c>
      <c r="C63" t="n">
        <v>5</v>
      </c>
      <c r="D63" t="n">
        <v>7</v>
      </c>
      <c r="E63" t="n">
        <v>5</v>
      </c>
      <c r="F63" t="n">
        <v>6</v>
      </c>
    </row>
    <row r="64">
      <c r="A64" t="n">
        <v>62</v>
      </c>
      <c r="B64" t="n">
        <v>7</v>
      </c>
      <c r="C64" t="n">
        <v>7</v>
      </c>
      <c r="D64" t="n">
        <v>6</v>
      </c>
      <c r="E64" t="n">
        <v>7</v>
      </c>
      <c r="F64" t="n">
        <v>6</v>
      </c>
    </row>
    <row r="65">
      <c r="A65" t="n">
        <v>63</v>
      </c>
      <c r="B65" t="n">
        <v>7</v>
      </c>
      <c r="C65" t="n">
        <v>7</v>
      </c>
      <c r="D65" t="n">
        <v>6</v>
      </c>
      <c r="E65" t="n">
        <v>7</v>
      </c>
      <c r="F65" t="n">
        <v>5</v>
      </c>
    </row>
    <row r="66">
      <c r="A66" t="n">
        <v>64</v>
      </c>
      <c r="B66" t="n">
        <v>5</v>
      </c>
      <c r="C66" t="n">
        <v>7</v>
      </c>
      <c r="D66" t="n">
        <v>6</v>
      </c>
      <c r="E66" t="n">
        <v>7</v>
      </c>
      <c r="F66" t="n">
        <v>5</v>
      </c>
    </row>
    <row r="67">
      <c r="A67" t="n">
        <v>65</v>
      </c>
      <c r="B67" t="n">
        <v>6</v>
      </c>
      <c r="C67" t="n">
        <v>7</v>
      </c>
      <c r="D67" t="n">
        <v>6</v>
      </c>
      <c r="E67" t="n">
        <v>7</v>
      </c>
      <c r="F67" t="n">
        <v>7</v>
      </c>
    </row>
    <row r="68">
      <c r="A68" t="n">
        <v>66</v>
      </c>
      <c r="B68" t="n">
        <v>7</v>
      </c>
      <c r="C68" t="n">
        <v>6</v>
      </c>
      <c r="D68" t="n">
        <v>5</v>
      </c>
      <c r="E68" t="n">
        <v>6</v>
      </c>
      <c r="F68" t="n">
        <v>7</v>
      </c>
    </row>
    <row r="69">
      <c r="A69" t="n">
        <v>67</v>
      </c>
      <c r="B69" t="n">
        <v>7</v>
      </c>
      <c r="C69" t="n">
        <v>5</v>
      </c>
      <c r="D69" t="n">
        <v>7</v>
      </c>
      <c r="E69" t="n">
        <v>6</v>
      </c>
      <c r="F69" t="n">
        <v>7</v>
      </c>
    </row>
    <row r="70">
      <c r="A70" t="n">
        <v>68</v>
      </c>
      <c r="B70" t="n">
        <v>7</v>
      </c>
      <c r="C70" t="n">
        <v>7</v>
      </c>
      <c r="D70" t="n">
        <v>7</v>
      </c>
      <c r="E70" t="n">
        <v>6</v>
      </c>
      <c r="F70" t="n">
        <v>5</v>
      </c>
    </row>
    <row r="71">
      <c r="A71" t="n">
        <v>69</v>
      </c>
      <c r="B71" t="n">
        <v>7</v>
      </c>
      <c r="C71" t="n">
        <v>7</v>
      </c>
      <c r="D71" t="n">
        <v>6</v>
      </c>
      <c r="E71" t="n">
        <v>7</v>
      </c>
      <c r="F71" t="n">
        <v>6</v>
      </c>
    </row>
    <row r="72">
      <c r="A72" t="n">
        <v>70</v>
      </c>
      <c r="B72" t="n">
        <v>7</v>
      </c>
      <c r="C72" t="n">
        <v>6</v>
      </c>
      <c r="D72" t="n">
        <v>6</v>
      </c>
      <c r="E72" t="n">
        <v>5</v>
      </c>
      <c r="F72" t="n">
        <v>7</v>
      </c>
    </row>
    <row r="73">
      <c r="A73" t="n">
        <v>71</v>
      </c>
      <c r="B73" t="n">
        <v>7</v>
      </c>
      <c r="C73" t="n">
        <v>7</v>
      </c>
      <c r="D73" t="n">
        <v>6</v>
      </c>
      <c r="E73" t="n">
        <v>7</v>
      </c>
      <c r="F73" t="n">
        <v>5</v>
      </c>
    </row>
    <row r="74">
      <c r="A74" t="n">
        <v>72</v>
      </c>
      <c r="B74" t="n">
        <v>7</v>
      </c>
      <c r="C74" t="n">
        <v>7</v>
      </c>
      <c r="D74" t="n">
        <v>5</v>
      </c>
      <c r="E74" t="n">
        <v>6</v>
      </c>
      <c r="F74" t="n">
        <v>7</v>
      </c>
    </row>
    <row r="75">
      <c r="A75" t="n">
        <v>73</v>
      </c>
      <c r="B75" t="n">
        <v>7</v>
      </c>
      <c r="C75" t="n">
        <v>6</v>
      </c>
      <c r="D75" t="n">
        <v>5</v>
      </c>
      <c r="E75" t="n">
        <v>7</v>
      </c>
      <c r="F75" t="n">
        <v>6</v>
      </c>
    </row>
    <row r="76">
      <c r="A76" t="n">
        <v>74</v>
      </c>
      <c r="B76" t="n">
        <v>6</v>
      </c>
      <c r="C76" t="n">
        <v>7</v>
      </c>
      <c r="D76" t="n">
        <v>5</v>
      </c>
      <c r="E76" t="n">
        <v>7</v>
      </c>
      <c r="F76" t="n">
        <v>5</v>
      </c>
    </row>
    <row r="77">
      <c r="A77" t="n">
        <v>75</v>
      </c>
      <c r="B77" t="n">
        <v>7</v>
      </c>
      <c r="C77" t="n">
        <v>6</v>
      </c>
      <c r="D77" t="n">
        <v>7</v>
      </c>
      <c r="E77" t="n">
        <v>5</v>
      </c>
      <c r="F77" t="n">
        <v>7</v>
      </c>
    </row>
    <row r="78">
      <c r="A78" t="n">
        <v>76</v>
      </c>
      <c r="B78" t="n">
        <v>7</v>
      </c>
      <c r="C78" t="n">
        <v>7</v>
      </c>
      <c r="D78" t="n">
        <v>5</v>
      </c>
      <c r="E78" t="n">
        <v>6</v>
      </c>
      <c r="F78" t="n">
        <v>6</v>
      </c>
    </row>
    <row r="79">
      <c r="A79" t="n">
        <v>77</v>
      </c>
      <c r="B79" t="n">
        <v>7</v>
      </c>
      <c r="C79" t="n">
        <v>5</v>
      </c>
      <c r="D79" t="n">
        <v>7</v>
      </c>
      <c r="E79" t="n">
        <v>6</v>
      </c>
      <c r="F79" t="n">
        <v>6</v>
      </c>
    </row>
    <row r="80">
      <c r="A80" t="n">
        <v>78</v>
      </c>
      <c r="B80" t="n">
        <v>6</v>
      </c>
      <c r="C80" t="n">
        <v>7</v>
      </c>
      <c r="D80" t="n">
        <v>7</v>
      </c>
      <c r="E80" t="n">
        <v>6</v>
      </c>
      <c r="F80" t="n">
        <v>7</v>
      </c>
    </row>
    <row r="81">
      <c r="A81" t="n">
        <v>79</v>
      </c>
      <c r="B81" t="n">
        <v>7</v>
      </c>
      <c r="C81" t="n">
        <v>7</v>
      </c>
      <c r="D81" t="n">
        <v>6</v>
      </c>
      <c r="E81" t="n">
        <v>6</v>
      </c>
      <c r="F81" t="n">
        <v>7</v>
      </c>
    </row>
    <row r="82">
      <c r="A82" t="n">
        <v>80</v>
      </c>
      <c r="B82" t="n">
        <v>5</v>
      </c>
      <c r="C82" t="n">
        <v>7</v>
      </c>
      <c r="D82" t="n">
        <v>6</v>
      </c>
      <c r="E82" t="n">
        <v>7</v>
      </c>
      <c r="F82" t="n">
        <v>7</v>
      </c>
    </row>
    <row r="83">
      <c r="A83" t="n">
        <v>81</v>
      </c>
      <c r="B83" t="n">
        <v>7</v>
      </c>
      <c r="C83" t="n">
        <v>7</v>
      </c>
      <c r="D83" t="n">
        <v>6</v>
      </c>
      <c r="E83" t="n">
        <v>7</v>
      </c>
      <c r="F83" t="n">
        <v>7</v>
      </c>
    </row>
    <row r="84">
      <c r="A84" t="n">
        <v>82</v>
      </c>
      <c r="B84" t="n">
        <v>6</v>
      </c>
      <c r="C84" t="n">
        <v>7</v>
      </c>
      <c r="D84" t="n">
        <v>5</v>
      </c>
      <c r="E84" t="n">
        <v>6</v>
      </c>
      <c r="F84" t="n">
        <v>7</v>
      </c>
    </row>
    <row r="85">
      <c r="A85" t="n">
        <v>83</v>
      </c>
      <c r="B85" t="n">
        <v>6</v>
      </c>
      <c r="C85" t="n">
        <v>7</v>
      </c>
      <c r="D85" t="n">
        <v>6</v>
      </c>
      <c r="E85" t="n">
        <v>7</v>
      </c>
      <c r="F85" t="n">
        <v>5</v>
      </c>
    </row>
    <row r="86">
      <c r="A86" t="n">
        <v>84</v>
      </c>
      <c r="B86" t="n">
        <v>7</v>
      </c>
      <c r="C86" t="n">
        <v>6</v>
      </c>
      <c r="D86" t="n">
        <v>5</v>
      </c>
      <c r="E86" t="n">
        <v>7</v>
      </c>
      <c r="F86" t="n">
        <v>5</v>
      </c>
    </row>
    <row r="87">
      <c r="A87" t="n">
        <v>85</v>
      </c>
      <c r="B87" t="n">
        <v>6</v>
      </c>
      <c r="C87" t="n">
        <v>7</v>
      </c>
      <c r="D87" t="n">
        <v>6</v>
      </c>
      <c r="E87" t="n">
        <v>7</v>
      </c>
      <c r="F87" t="n">
        <v>5</v>
      </c>
    </row>
    <row r="88">
      <c r="A88" t="n">
        <v>86</v>
      </c>
      <c r="B88" t="n">
        <v>6</v>
      </c>
      <c r="C88" t="n">
        <v>7</v>
      </c>
      <c r="D88" t="n">
        <v>6</v>
      </c>
      <c r="E88" t="n">
        <v>5</v>
      </c>
      <c r="F88" t="n">
        <v>7</v>
      </c>
    </row>
    <row r="89">
      <c r="A89" t="n">
        <v>87</v>
      </c>
      <c r="B89" t="n">
        <v>6</v>
      </c>
      <c r="C89" t="n">
        <v>7</v>
      </c>
      <c r="D89" t="n">
        <v>5</v>
      </c>
      <c r="E89" t="n">
        <v>7</v>
      </c>
      <c r="F89" t="n">
        <v>6</v>
      </c>
    </row>
    <row r="90">
      <c r="A90" t="n">
        <v>88</v>
      </c>
      <c r="B90" t="n">
        <v>6</v>
      </c>
      <c r="C90" t="n">
        <v>7</v>
      </c>
      <c r="D90" t="n">
        <v>6</v>
      </c>
      <c r="E90" t="n">
        <v>7</v>
      </c>
      <c r="F90" t="n">
        <v>5</v>
      </c>
    </row>
    <row r="91">
      <c r="A91" t="n">
        <v>89</v>
      </c>
      <c r="B91" t="n">
        <v>7</v>
      </c>
      <c r="C91" t="n">
        <v>7</v>
      </c>
      <c r="D91" t="n">
        <v>6</v>
      </c>
      <c r="E91" t="n">
        <v>7</v>
      </c>
      <c r="F91" t="n">
        <v>6</v>
      </c>
    </row>
    <row r="92">
      <c r="A92" t="n">
        <v>90</v>
      </c>
      <c r="B92" t="n">
        <v>7</v>
      </c>
      <c r="C92" t="n">
        <v>6</v>
      </c>
      <c r="D92" t="n">
        <v>7</v>
      </c>
      <c r="E92" t="n">
        <v>6</v>
      </c>
      <c r="F92" t="n">
        <v>6</v>
      </c>
    </row>
    <row r="93">
      <c r="A93" t="n">
        <v>91</v>
      </c>
      <c r="B93" t="n">
        <v>7</v>
      </c>
      <c r="C93" t="n">
        <v>7</v>
      </c>
      <c r="D93" t="n">
        <v>5</v>
      </c>
      <c r="E93" t="n">
        <v>7</v>
      </c>
      <c r="F93" t="n">
        <v>5</v>
      </c>
    </row>
    <row r="94">
      <c r="A94" t="n">
        <v>92</v>
      </c>
      <c r="B94" t="n">
        <v>7</v>
      </c>
      <c r="C94" t="n">
        <v>6</v>
      </c>
      <c r="D94" t="n">
        <v>7</v>
      </c>
      <c r="E94" t="n">
        <v>5</v>
      </c>
      <c r="F94" t="n">
        <v>7</v>
      </c>
    </row>
    <row r="95">
      <c r="A95" t="n">
        <v>93</v>
      </c>
      <c r="B95" t="n">
        <v>6</v>
      </c>
      <c r="C95" t="n">
        <v>7</v>
      </c>
      <c r="D95" t="n">
        <v>5</v>
      </c>
      <c r="E95" t="n">
        <v>6</v>
      </c>
      <c r="F95" t="n">
        <v>5</v>
      </c>
    </row>
    <row r="96">
      <c r="A96" t="n">
        <v>94</v>
      </c>
      <c r="B96" t="n">
        <v>6</v>
      </c>
      <c r="C96" t="n">
        <v>7</v>
      </c>
      <c r="D96" t="n">
        <v>6</v>
      </c>
      <c r="E96" t="n">
        <v>7</v>
      </c>
      <c r="F96" t="n">
        <v>5</v>
      </c>
    </row>
    <row r="97">
      <c r="A97" t="n">
        <v>95</v>
      </c>
      <c r="B97" t="n">
        <v>7</v>
      </c>
      <c r="C97" t="n">
        <v>7</v>
      </c>
      <c r="D97" t="n">
        <v>6</v>
      </c>
      <c r="E97" t="n">
        <v>5</v>
      </c>
      <c r="F97" t="n">
        <v>7</v>
      </c>
    </row>
    <row r="98">
      <c r="A98" t="n">
        <v>96</v>
      </c>
      <c r="B98" t="n">
        <v>7</v>
      </c>
      <c r="C98" t="n">
        <v>6</v>
      </c>
      <c r="D98" t="n">
        <v>5</v>
      </c>
      <c r="E98" t="n">
        <v>7</v>
      </c>
      <c r="F98" t="n">
        <v>6</v>
      </c>
    </row>
    <row r="99">
      <c r="A99" t="n">
        <v>97</v>
      </c>
      <c r="B99" t="n">
        <v>7</v>
      </c>
      <c r="C99" t="n">
        <v>6</v>
      </c>
      <c r="D99" t="n">
        <v>7</v>
      </c>
      <c r="E99" t="n">
        <v>6</v>
      </c>
      <c r="F99" t="n">
        <v>6</v>
      </c>
    </row>
    <row r="100">
      <c r="A100" t="n">
        <v>98</v>
      </c>
      <c r="B100" t="n">
        <v>7</v>
      </c>
      <c r="C100" t="n">
        <v>7</v>
      </c>
      <c r="D100" t="n">
        <v>5</v>
      </c>
      <c r="E100" t="n">
        <v>6</v>
      </c>
      <c r="F100" t="n">
        <v>5</v>
      </c>
    </row>
    <row r="101">
      <c r="A101" t="n">
        <v>99</v>
      </c>
      <c r="B101" t="n">
        <v>7</v>
      </c>
      <c r="C101" t="n">
        <v>6</v>
      </c>
      <c r="D101" t="n">
        <v>5</v>
      </c>
      <c r="E101" t="n">
        <v>7</v>
      </c>
      <c r="F101" t="n">
        <v>6</v>
      </c>
    </row>
    <row r="102">
      <c r="A102" t="n">
        <v>100</v>
      </c>
      <c r="B102" t="n">
        <v>6</v>
      </c>
      <c r="C102" t="n">
        <v>7</v>
      </c>
      <c r="D102" t="n">
        <v>6</v>
      </c>
      <c r="E102" t="n">
        <v>7</v>
      </c>
      <c r="F102" t="n">
        <v>5</v>
      </c>
    </row>
    <row r="103">
      <c r="A103" t="n">
        <v>101</v>
      </c>
      <c r="B103" t="n">
        <v>6</v>
      </c>
      <c r="C103" t="n">
        <v>7</v>
      </c>
      <c r="D103" t="n">
        <v>5</v>
      </c>
      <c r="E103" t="n">
        <v>7</v>
      </c>
      <c r="F103" t="n">
        <v>6</v>
      </c>
    </row>
    <row r="104">
      <c r="A104" t="n">
        <v>102</v>
      </c>
      <c r="B104" t="n">
        <v>6</v>
      </c>
      <c r="C104" t="n">
        <v>7</v>
      </c>
      <c r="D104" t="n">
        <v>5</v>
      </c>
      <c r="E104" t="n">
        <v>6</v>
      </c>
      <c r="F104" t="n">
        <v>5</v>
      </c>
    </row>
    <row r="105">
      <c r="A105" t="n">
        <v>103</v>
      </c>
      <c r="B105" t="n">
        <v>7</v>
      </c>
      <c r="C105" t="n">
        <v>7</v>
      </c>
      <c r="D105" t="n">
        <v>6</v>
      </c>
      <c r="E105" t="n">
        <v>5</v>
      </c>
      <c r="F105" t="n">
        <v>7</v>
      </c>
    </row>
    <row r="106">
      <c r="A106" t="n">
        <v>104</v>
      </c>
      <c r="B106" t="n">
        <v>6</v>
      </c>
      <c r="C106" t="n">
        <v>7</v>
      </c>
      <c r="D106" t="n">
        <v>6</v>
      </c>
      <c r="E106" t="n">
        <v>5</v>
      </c>
      <c r="F106" t="n">
        <v>7</v>
      </c>
    </row>
    <row r="107">
      <c r="A107" t="n">
        <v>105</v>
      </c>
      <c r="B107" t="n">
        <v>7</v>
      </c>
      <c r="C107" t="n">
        <v>6</v>
      </c>
      <c r="D107" t="n">
        <v>7</v>
      </c>
      <c r="E107" t="n">
        <v>6</v>
      </c>
      <c r="F107" t="n">
        <v>7</v>
      </c>
    </row>
    <row r="108">
      <c r="A108" t="n">
        <v>106</v>
      </c>
      <c r="B108" t="n">
        <v>6</v>
      </c>
      <c r="C108" t="n">
        <v>7</v>
      </c>
      <c r="D108" t="n">
        <v>6</v>
      </c>
      <c r="E108" t="n">
        <v>5</v>
      </c>
      <c r="F108" t="n">
        <v>6</v>
      </c>
    </row>
    <row r="109">
      <c r="A109" t="n">
        <v>107</v>
      </c>
      <c r="B109" t="n">
        <v>7</v>
      </c>
      <c r="C109" t="n">
        <v>7</v>
      </c>
      <c r="D109" t="n">
        <v>6</v>
      </c>
      <c r="E109" t="n">
        <v>7</v>
      </c>
      <c r="F109" t="n">
        <v>5</v>
      </c>
    </row>
    <row r="110">
      <c r="A110" t="n">
        <v>108</v>
      </c>
      <c r="B110" t="n">
        <v>7</v>
      </c>
      <c r="C110" t="n">
        <v>7</v>
      </c>
      <c r="D110" t="n">
        <v>6</v>
      </c>
      <c r="E110" t="n">
        <v>5</v>
      </c>
      <c r="F110" t="n">
        <v>6</v>
      </c>
    </row>
    <row r="111">
      <c r="A111" t="n">
        <v>109</v>
      </c>
      <c r="B111" t="n">
        <v>6</v>
      </c>
      <c r="C111" t="n">
        <v>5</v>
      </c>
      <c r="D111" t="n">
        <v>6</v>
      </c>
      <c r="E111" t="n">
        <v>5</v>
      </c>
      <c r="F111" t="n">
        <v>7</v>
      </c>
    </row>
    <row r="112">
      <c r="A112" t="n">
        <v>110</v>
      </c>
      <c r="B112" t="n">
        <v>7</v>
      </c>
      <c r="C112" t="n">
        <v>7</v>
      </c>
      <c r="D112" t="n">
        <v>6</v>
      </c>
      <c r="E112" t="n">
        <v>5</v>
      </c>
      <c r="F112" t="n">
        <v>6</v>
      </c>
    </row>
    <row r="113">
      <c r="A113" t="n">
        <v>111</v>
      </c>
      <c r="B113" t="n">
        <v>7</v>
      </c>
      <c r="C113" t="n">
        <v>7</v>
      </c>
      <c r="D113" t="n">
        <v>5</v>
      </c>
      <c r="E113" t="n">
        <v>6</v>
      </c>
      <c r="F113" t="n">
        <v>5</v>
      </c>
    </row>
    <row r="114">
      <c r="A114" t="n">
        <v>112</v>
      </c>
      <c r="B114" t="n">
        <v>6</v>
      </c>
      <c r="C114" t="n">
        <v>7</v>
      </c>
      <c r="D114" t="n">
        <v>5</v>
      </c>
      <c r="E114" t="n">
        <v>6</v>
      </c>
      <c r="F114" t="n">
        <v>5</v>
      </c>
    </row>
    <row r="115">
      <c r="A115" t="n">
        <v>113</v>
      </c>
      <c r="B115" t="n">
        <v>7</v>
      </c>
      <c r="C115" t="n">
        <v>7</v>
      </c>
      <c r="D115" t="n">
        <v>6</v>
      </c>
      <c r="E115" t="n">
        <v>5</v>
      </c>
      <c r="F115" t="n">
        <v>7</v>
      </c>
    </row>
    <row r="116">
      <c r="A116" t="n">
        <v>114</v>
      </c>
      <c r="B116" t="n">
        <v>7</v>
      </c>
      <c r="C116" t="n">
        <v>7</v>
      </c>
      <c r="D116" t="n">
        <v>7</v>
      </c>
      <c r="E116" t="n">
        <v>5</v>
      </c>
      <c r="F116" t="n">
        <v>6</v>
      </c>
    </row>
    <row r="117">
      <c r="A117" t="n">
        <v>115</v>
      </c>
      <c r="B117" t="n">
        <v>7</v>
      </c>
      <c r="C117" t="n">
        <v>7</v>
      </c>
      <c r="D117" t="n">
        <v>5</v>
      </c>
      <c r="E117" t="n">
        <v>7</v>
      </c>
      <c r="F117" t="n">
        <v>1</v>
      </c>
    </row>
    <row r="118">
      <c r="A118" t="n">
        <v>116</v>
      </c>
      <c r="B118" t="n">
        <v>5</v>
      </c>
      <c r="C118" t="n">
        <v>7</v>
      </c>
      <c r="D118" t="n">
        <v>6</v>
      </c>
      <c r="E118" t="n">
        <v>6</v>
      </c>
      <c r="F118" t="n">
        <v>7</v>
      </c>
    </row>
    <row r="119">
      <c r="A119" t="n">
        <v>117</v>
      </c>
      <c r="B119" t="n">
        <v>6</v>
      </c>
      <c r="C119" t="n">
        <v>7</v>
      </c>
      <c r="D119" t="n">
        <v>6</v>
      </c>
      <c r="E119" t="n">
        <v>6</v>
      </c>
      <c r="F119" t="n">
        <v>5</v>
      </c>
    </row>
    <row r="120">
      <c r="A120" t="n">
        <v>118</v>
      </c>
      <c r="B120" t="n">
        <v>6</v>
      </c>
      <c r="C120" t="n">
        <v>7</v>
      </c>
      <c r="D120" t="n">
        <v>5</v>
      </c>
      <c r="E120" t="n">
        <v>7</v>
      </c>
      <c r="F120" t="n">
        <v>5</v>
      </c>
    </row>
    <row r="121">
      <c r="A121" t="n">
        <v>119</v>
      </c>
      <c r="B121" t="n">
        <v>6</v>
      </c>
      <c r="C121" t="n">
        <v>5</v>
      </c>
      <c r="D121" t="n">
        <v>6</v>
      </c>
      <c r="E121" t="n">
        <v>6</v>
      </c>
      <c r="F121" t="n">
        <v>7</v>
      </c>
    </row>
    <row r="122">
      <c r="A122" t="n">
        <v>120</v>
      </c>
      <c r="B122" t="n">
        <v>6</v>
      </c>
      <c r="C122" t="n">
        <v>7</v>
      </c>
      <c r="D122" t="n">
        <v>5</v>
      </c>
      <c r="E122" t="n">
        <v>7</v>
      </c>
      <c r="F122" t="n">
        <v>6</v>
      </c>
    </row>
    <row r="123">
      <c r="A123" t="n">
        <v>121</v>
      </c>
      <c r="B123" t="n">
        <v>7</v>
      </c>
      <c r="C123" t="n">
        <v>7</v>
      </c>
      <c r="D123" t="n">
        <v>5</v>
      </c>
      <c r="E123" t="n">
        <v>6</v>
      </c>
      <c r="F123" t="n">
        <v>5</v>
      </c>
    </row>
    <row r="124">
      <c r="A124" t="n">
        <v>122</v>
      </c>
      <c r="B124" t="n">
        <v>6</v>
      </c>
      <c r="C124" t="n">
        <v>6</v>
      </c>
      <c r="D124" t="n">
        <v>5</v>
      </c>
      <c r="E124" t="n">
        <v>7</v>
      </c>
      <c r="F124" t="n">
        <v>6</v>
      </c>
    </row>
    <row r="125">
      <c r="A125" t="n">
        <v>123</v>
      </c>
      <c r="B125" t="n">
        <v>7</v>
      </c>
      <c r="C125" t="n">
        <v>5</v>
      </c>
      <c r="D125" t="n">
        <v>6</v>
      </c>
      <c r="E125" t="n">
        <v>7</v>
      </c>
      <c r="F125" t="n">
        <v>5</v>
      </c>
    </row>
    <row r="126">
      <c r="A126" t="n">
        <v>124</v>
      </c>
      <c r="B126" t="n">
        <v>6</v>
      </c>
      <c r="C126" t="n">
        <v>6</v>
      </c>
      <c r="D126" t="n">
        <v>5</v>
      </c>
      <c r="E126" t="n">
        <v>7</v>
      </c>
      <c r="F126" t="n">
        <v>6</v>
      </c>
    </row>
    <row r="127">
      <c r="A127" t="n">
        <v>125</v>
      </c>
      <c r="B127" t="n">
        <v>6</v>
      </c>
      <c r="C127" t="n">
        <v>7</v>
      </c>
      <c r="D127" t="n">
        <v>6</v>
      </c>
      <c r="E127" t="n">
        <v>7</v>
      </c>
      <c r="F127" t="n">
        <v>5</v>
      </c>
    </row>
    <row r="128">
      <c r="A128" t="n">
        <v>126</v>
      </c>
      <c r="B128" t="n">
        <v>6</v>
      </c>
      <c r="C128" t="n">
        <v>7</v>
      </c>
      <c r="D128" t="n">
        <v>6</v>
      </c>
      <c r="E128" t="n">
        <v>7</v>
      </c>
      <c r="F128" t="n">
        <v>6</v>
      </c>
    </row>
    <row r="129">
      <c r="A129" t="n">
        <v>127</v>
      </c>
      <c r="B129" t="n">
        <v>6</v>
      </c>
      <c r="C129" t="n">
        <v>5</v>
      </c>
      <c r="D129" t="n">
        <v>7</v>
      </c>
      <c r="E129" t="n">
        <v>6</v>
      </c>
      <c r="F129" t="n">
        <v>7</v>
      </c>
    </row>
    <row r="130">
      <c r="A130" t="n">
        <v>128</v>
      </c>
      <c r="B130" t="n">
        <v>6</v>
      </c>
      <c r="C130" t="n">
        <v>5</v>
      </c>
      <c r="D130" t="n">
        <v>6</v>
      </c>
      <c r="E130" t="n">
        <v>6</v>
      </c>
      <c r="F130" t="n">
        <v>7</v>
      </c>
    </row>
    <row r="131">
      <c r="A131" t="n">
        <v>129</v>
      </c>
      <c r="B131" t="n">
        <v>6</v>
      </c>
      <c r="C131" t="n">
        <v>6</v>
      </c>
      <c r="D131" t="n">
        <v>5</v>
      </c>
      <c r="E131" t="n">
        <v>7</v>
      </c>
      <c r="F131" t="n">
        <v>6</v>
      </c>
    </row>
    <row r="132">
      <c r="A132" t="n">
        <v>130</v>
      </c>
      <c r="B132" t="n">
        <v>7</v>
      </c>
      <c r="C132" t="n">
        <v>7</v>
      </c>
      <c r="D132" t="n">
        <v>5</v>
      </c>
      <c r="E132" t="n">
        <v>6</v>
      </c>
      <c r="F132" t="n">
        <v>5</v>
      </c>
    </row>
    <row r="133">
      <c r="A133" t="n">
        <v>131</v>
      </c>
      <c r="B133" t="n">
        <v>6</v>
      </c>
      <c r="C133" t="n">
        <v>7</v>
      </c>
      <c r="D133" t="n">
        <v>6</v>
      </c>
      <c r="E133" t="n">
        <v>7</v>
      </c>
      <c r="F133" t="n">
        <v>5</v>
      </c>
    </row>
    <row r="134">
      <c r="A134" t="n">
        <v>132</v>
      </c>
      <c r="B134" t="n">
        <v>7</v>
      </c>
      <c r="C134" t="n">
        <v>6</v>
      </c>
      <c r="D134" t="n">
        <v>7</v>
      </c>
      <c r="E134" t="n">
        <v>6</v>
      </c>
      <c r="F134" t="n">
        <v>5</v>
      </c>
    </row>
    <row r="135">
      <c r="A135" t="n">
        <v>133</v>
      </c>
      <c r="B135" t="n">
        <v>6</v>
      </c>
      <c r="C135" t="n">
        <v>7</v>
      </c>
      <c r="D135" t="n">
        <v>5</v>
      </c>
      <c r="E135" t="n">
        <v>7</v>
      </c>
      <c r="F135" t="n">
        <v>6</v>
      </c>
    </row>
    <row r="136">
      <c r="A136" t="n">
        <v>134</v>
      </c>
      <c r="B136" t="n">
        <v>6</v>
      </c>
      <c r="C136" t="n">
        <v>6</v>
      </c>
      <c r="D136" t="n">
        <v>5</v>
      </c>
      <c r="E136" t="n">
        <v>7</v>
      </c>
      <c r="F136" t="n">
        <v>6</v>
      </c>
    </row>
    <row r="137">
      <c r="A137" t="n">
        <v>135</v>
      </c>
      <c r="B137" t="n">
        <v>6</v>
      </c>
      <c r="C137" t="n">
        <v>7</v>
      </c>
      <c r="D137" t="n">
        <v>6</v>
      </c>
      <c r="E137" t="n">
        <v>7</v>
      </c>
      <c r="F137" t="n">
        <v>7</v>
      </c>
    </row>
    <row r="138">
      <c r="A138" t="n">
        <v>136</v>
      </c>
      <c r="B138" t="n">
        <v>7</v>
      </c>
      <c r="C138" t="n">
        <v>7</v>
      </c>
      <c r="D138" t="n">
        <v>6</v>
      </c>
      <c r="E138" t="n">
        <v>7</v>
      </c>
      <c r="F138" t="n">
        <v>6</v>
      </c>
    </row>
    <row r="139">
      <c r="A139" t="n">
        <v>137</v>
      </c>
      <c r="B139" t="n">
        <v>6</v>
      </c>
      <c r="C139" t="n">
        <v>7</v>
      </c>
      <c r="D139" t="n">
        <v>5</v>
      </c>
      <c r="E139" t="n">
        <v>7</v>
      </c>
      <c r="F139" t="n">
        <v>6</v>
      </c>
    </row>
    <row r="140">
      <c r="A140" t="n">
        <v>138</v>
      </c>
      <c r="B140" t="n">
        <v>7</v>
      </c>
      <c r="C140" t="n">
        <v>6</v>
      </c>
      <c r="D140" t="n">
        <v>7</v>
      </c>
      <c r="E140" t="n">
        <v>5</v>
      </c>
      <c r="F140" t="n">
        <v>7</v>
      </c>
    </row>
    <row r="141">
      <c r="A141" t="n">
        <v>139</v>
      </c>
      <c r="B141" t="n">
        <v>7</v>
      </c>
      <c r="C141" t="n">
        <v>6</v>
      </c>
      <c r="D141" t="n">
        <v>7</v>
      </c>
      <c r="E141" t="n">
        <v>5</v>
      </c>
      <c r="F141" t="n">
        <v>6</v>
      </c>
    </row>
    <row r="142">
      <c r="A142" t="n">
        <v>140</v>
      </c>
      <c r="B142" t="n">
        <v>7</v>
      </c>
      <c r="C142" t="n">
        <v>6</v>
      </c>
      <c r="D142" t="n">
        <v>7</v>
      </c>
      <c r="E142" t="n">
        <v>5</v>
      </c>
      <c r="F142" t="n">
        <v>7</v>
      </c>
    </row>
    <row r="143">
      <c r="A143" t="n">
        <v>141</v>
      </c>
      <c r="B143" t="n">
        <v>7</v>
      </c>
      <c r="C143" t="n">
        <v>7</v>
      </c>
      <c r="D143" t="n">
        <v>5</v>
      </c>
      <c r="E143" t="n">
        <v>7</v>
      </c>
      <c r="F143" t="n">
        <v>6</v>
      </c>
    </row>
    <row r="144">
      <c r="A144" t="n">
        <v>142</v>
      </c>
      <c r="B144" t="n">
        <v>7</v>
      </c>
      <c r="C144" t="n">
        <v>6</v>
      </c>
      <c r="D144" t="n">
        <v>7</v>
      </c>
      <c r="E144" t="n">
        <v>5</v>
      </c>
      <c r="F144" t="n">
        <v>6</v>
      </c>
    </row>
    <row r="145">
      <c r="A145" t="n">
        <v>143</v>
      </c>
      <c r="B145" t="n">
        <v>7</v>
      </c>
      <c r="C145" t="n">
        <v>7</v>
      </c>
      <c r="D145" t="n">
        <v>6</v>
      </c>
      <c r="E145" t="n">
        <v>7</v>
      </c>
      <c r="F145" t="n">
        <v>5</v>
      </c>
    </row>
    <row r="146">
      <c r="A146" t="n">
        <v>144</v>
      </c>
      <c r="B146" t="n">
        <v>6</v>
      </c>
      <c r="C146" t="n">
        <v>7</v>
      </c>
      <c r="D146" t="n">
        <v>5</v>
      </c>
      <c r="E146" t="n">
        <v>7</v>
      </c>
      <c r="F146" t="n">
        <v>6</v>
      </c>
    </row>
    <row r="147">
      <c r="A147" t="n">
        <v>145</v>
      </c>
      <c r="B147" t="n">
        <v>5</v>
      </c>
      <c r="C147" t="n">
        <v>6</v>
      </c>
      <c r="D147" t="n">
        <v>6</v>
      </c>
      <c r="E147" t="n">
        <v>5</v>
      </c>
      <c r="F147" t="n">
        <v>7</v>
      </c>
    </row>
    <row r="148">
      <c r="A148" t="n">
        <v>146</v>
      </c>
      <c r="B148" t="n">
        <v>7</v>
      </c>
      <c r="C148" t="n">
        <v>6</v>
      </c>
      <c r="D148" t="n">
        <v>5</v>
      </c>
      <c r="E148" t="n">
        <v>7</v>
      </c>
      <c r="F148" t="n">
        <v>5</v>
      </c>
    </row>
    <row r="149">
      <c r="A149" t="n">
        <v>147</v>
      </c>
      <c r="B149" t="n">
        <v>6</v>
      </c>
      <c r="C149" t="n">
        <v>6</v>
      </c>
      <c r="D149" t="n">
        <v>5</v>
      </c>
      <c r="E149" t="n">
        <v>7</v>
      </c>
      <c r="F149" t="n">
        <v>6</v>
      </c>
    </row>
    <row r="150">
      <c r="A150" t="n">
        <v>148</v>
      </c>
      <c r="B150" t="n">
        <v>6</v>
      </c>
      <c r="C150" t="n">
        <v>7</v>
      </c>
      <c r="D150" t="n">
        <v>5</v>
      </c>
      <c r="E150" t="n">
        <v>7</v>
      </c>
      <c r="F150" t="n">
        <v>5</v>
      </c>
    </row>
    <row r="151">
      <c r="A151" t="n">
        <v>149</v>
      </c>
      <c r="B151" t="n">
        <v>7</v>
      </c>
      <c r="C151" t="n">
        <v>5</v>
      </c>
      <c r="D151" t="n">
        <v>7</v>
      </c>
      <c r="E151" t="n">
        <v>6</v>
      </c>
      <c r="F151" t="n">
        <v>6</v>
      </c>
    </row>
    <row r="152">
      <c r="A152" t="n">
        <v>150</v>
      </c>
      <c r="B152" t="n">
        <v>7</v>
      </c>
      <c r="C152" t="n">
        <v>6</v>
      </c>
      <c r="D152" t="n">
        <v>7</v>
      </c>
      <c r="E152" t="n">
        <v>5</v>
      </c>
      <c r="F152" t="n">
        <v>7</v>
      </c>
    </row>
    <row r="153">
      <c r="A153" t="n">
        <v>151</v>
      </c>
      <c r="B153" t="n">
        <v>5</v>
      </c>
      <c r="C153" t="n">
        <v>6</v>
      </c>
      <c r="D153" t="n">
        <v>6</v>
      </c>
      <c r="E153" t="n">
        <v>7</v>
      </c>
      <c r="F153" t="n">
        <v>6</v>
      </c>
    </row>
    <row r="154">
      <c r="A154" t="n">
        <v>152</v>
      </c>
      <c r="B154" t="n">
        <v>7</v>
      </c>
      <c r="C154" t="n">
        <v>5</v>
      </c>
      <c r="D154" t="n">
        <v>7</v>
      </c>
      <c r="E154" t="n">
        <v>5</v>
      </c>
      <c r="F154" t="n">
        <v>7</v>
      </c>
    </row>
    <row r="155">
      <c r="A155" t="n">
        <v>153</v>
      </c>
      <c r="B155" t="n">
        <v>7</v>
      </c>
      <c r="C155" t="n">
        <v>6</v>
      </c>
      <c r="D155" t="n">
        <v>7</v>
      </c>
      <c r="E155" t="n">
        <v>5</v>
      </c>
      <c r="F155" t="n">
        <v>7</v>
      </c>
    </row>
    <row r="156">
      <c r="A156" t="n">
        <v>154</v>
      </c>
      <c r="B156" t="n">
        <v>5</v>
      </c>
      <c r="C156" t="n">
        <v>7</v>
      </c>
      <c r="D156" t="n">
        <v>6</v>
      </c>
      <c r="E156" t="n">
        <v>7</v>
      </c>
      <c r="F156" t="n">
        <v>6</v>
      </c>
    </row>
    <row r="157">
      <c r="A157" t="n">
        <v>155</v>
      </c>
      <c r="B157" t="n">
        <v>6</v>
      </c>
      <c r="C157" t="n">
        <v>5</v>
      </c>
      <c r="D157" t="n">
        <v>7</v>
      </c>
      <c r="E157" t="n">
        <v>7</v>
      </c>
      <c r="F157" t="n">
        <v>6</v>
      </c>
    </row>
    <row r="158">
      <c r="A158" t="n">
        <v>156</v>
      </c>
      <c r="B158" t="n">
        <v>5</v>
      </c>
      <c r="C158" t="n">
        <v>6</v>
      </c>
      <c r="D158" t="n">
        <v>6</v>
      </c>
      <c r="E158" t="n">
        <v>7</v>
      </c>
      <c r="F158" t="n">
        <v>6</v>
      </c>
    </row>
    <row r="159">
      <c r="A159" t="n">
        <v>157</v>
      </c>
      <c r="B159" t="n">
        <v>7</v>
      </c>
      <c r="C159" t="n">
        <v>6</v>
      </c>
      <c r="D159" t="n">
        <v>5</v>
      </c>
      <c r="E159" t="n">
        <v>7</v>
      </c>
      <c r="F159" t="n">
        <v>6</v>
      </c>
    </row>
    <row r="160">
      <c r="A160" t="n">
        <v>158</v>
      </c>
      <c r="B160" t="n">
        <v>5</v>
      </c>
      <c r="C160" t="n">
        <v>6</v>
      </c>
      <c r="D160" t="n">
        <v>7</v>
      </c>
      <c r="E160" t="n">
        <v>6</v>
      </c>
      <c r="F160" t="n">
        <v>7</v>
      </c>
    </row>
    <row r="161">
      <c r="A161" t="n">
        <v>159</v>
      </c>
      <c r="B161" t="n">
        <v>7</v>
      </c>
      <c r="C161" t="n">
        <v>6</v>
      </c>
      <c r="D161" t="n">
        <v>5</v>
      </c>
      <c r="E161" t="n">
        <v>7</v>
      </c>
      <c r="F161" t="n">
        <v>6</v>
      </c>
    </row>
    <row r="162">
      <c r="A162" t="n">
        <v>160</v>
      </c>
      <c r="B162" t="n">
        <v>7</v>
      </c>
      <c r="C162" t="n">
        <v>6</v>
      </c>
      <c r="D162" t="n">
        <v>7</v>
      </c>
      <c r="E162" t="n">
        <v>5</v>
      </c>
      <c r="F162" t="n">
        <v>5</v>
      </c>
    </row>
    <row r="163">
      <c r="A163" t="n">
        <v>161</v>
      </c>
      <c r="B163" t="n">
        <v>6</v>
      </c>
      <c r="C163" t="n">
        <v>7</v>
      </c>
      <c r="D163" t="n">
        <v>7</v>
      </c>
      <c r="E163" t="n">
        <v>6</v>
      </c>
      <c r="F163" t="n">
        <v>7</v>
      </c>
    </row>
    <row r="164">
      <c r="A164" t="n">
        <v>162</v>
      </c>
      <c r="B164" t="n">
        <v>7</v>
      </c>
      <c r="C164" t="n">
        <v>6</v>
      </c>
      <c r="D164" t="n">
        <v>5</v>
      </c>
      <c r="E164" t="n">
        <v>6</v>
      </c>
      <c r="F164" t="n">
        <v>5</v>
      </c>
    </row>
    <row r="165">
      <c r="A165" t="n">
        <v>163</v>
      </c>
      <c r="B165" t="n">
        <v>7</v>
      </c>
      <c r="C165" t="n">
        <v>7</v>
      </c>
      <c r="D165" t="n">
        <v>6</v>
      </c>
      <c r="E165" t="n">
        <v>7</v>
      </c>
      <c r="F165" t="n">
        <v>5</v>
      </c>
    </row>
    <row r="166">
      <c r="A166" t="n">
        <v>164</v>
      </c>
      <c r="B166" t="n">
        <v>7</v>
      </c>
      <c r="C166" t="n">
        <v>6</v>
      </c>
      <c r="D166" t="n">
        <v>7</v>
      </c>
      <c r="E166" t="n">
        <v>5</v>
      </c>
      <c r="F166" t="n">
        <v>5</v>
      </c>
    </row>
    <row r="167">
      <c r="A167" t="n">
        <v>165</v>
      </c>
      <c r="B167" t="n">
        <v>6</v>
      </c>
      <c r="C167" t="n">
        <v>7</v>
      </c>
      <c r="D167" t="n">
        <v>5</v>
      </c>
      <c r="E167" t="n">
        <v>7</v>
      </c>
      <c r="F167" t="n">
        <v>5</v>
      </c>
    </row>
    <row r="168">
      <c r="A168" t="n">
        <v>166</v>
      </c>
      <c r="B168" t="n">
        <v>7</v>
      </c>
      <c r="C168" t="n">
        <v>7</v>
      </c>
      <c r="D168" t="n">
        <v>5</v>
      </c>
      <c r="E168" t="n">
        <v>7</v>
      </c>
      <c r="F168" t="n">
        <v>6</v>
      </c>
    </row>
    <row r="169">
      <c r="A169" t="n">
        <v>167</v>
      </c>
      <c r="B169" t="n">
        <v>6</v>
      </c>
      <c r="C169" t="n">
        <v>5</v>
      </c>
      <c r="D169" t="n">
        <v>7</v>
      </c>
      <c r="E169" t="n">
        <v>6</v>
      </c>
      <c r="F169" t="n">
        <v>7</v>
      </c>
    </row>
    <row r="170">
      <c r="A170" t="n">
        <v>168</v>
      </c>
      <c r="B170" t="n">
        <v>7</v>
      </c>
      <c r="C170" t="n">
        <v>5</v>
      </c>
      <c r="D170" t="n">
        <v>7</v>
      </c>
      <c r="E170" t="n">
        <v>6</v>
      </c>
      <c r="F170" t="n">
        <v>7</v>
      </c>
    </row>
    <row r="171">
      <c r="A171" t="n">
        <v>169</v>
      </c>
      <c r="B171" t="n">
        <v>7</v>
      </c>
      <c r="C171" t="n">
        <v>6</v>
      </c>
      <c r="D171" t="n">
        <v>7</v>
      </c>
      <c r="E171" t="n">
        <v>5</v>
      </c>
      <c r="F171" t="n">
        <v>6</v>
      </c>
    </row>
    <row r="172">
      <c r="A172" t="n">
        <v>170</v>
      </c>
      <c r="B172" t="n">
        <v>5</v>
      </c>
      <c r="C172" t="n">
        <v>5</v>
      </c>
      <c r="D172" t="n">
        <v>7</v>
      </c>
      <c r="E172" t="n">
        <v>6</v>
      </c>
      <c r="F172" t="n">
        <v>7</v>
      </c>
    </row>
    <row r="173">
      <c r="A173" t="n">
        <v>171</v>
      </c>
      <c r="B173" t="n">
        <v>6</v>
      </c>
      <c r="C173" t="n">
        <v>7</v>
      </c>
      <c r="D173" t="n">
        <v>6</v>
      </c>
      <c r="E173" t="n">
        <v>7</v>
      </c>
      <c r="F173" t="n">
        <v>5</v>
      </c>
    </row>
    <row r="174">
      <c r="A174" t="n">
        <v>172</v>
      </c>
      <c r="B174" t="n">
        <v>7</v>
      </c>
      <c r="C174" t="n">
        <v>6</v>
      </c>
      <c r="D174" t="n">
        <v>5</v>
      </c>
      <c r="E174" t="n">
        <v>7</v>
      </c>
      <c r="F174" t="n">
        <v>6</v>
      </c>
    </row>
    <row r="175">
      <c r="A175" t="n">
        <v>173</v>
      </c>
      <c r="B175" t="n">
        <v>5</v>
      </c>
      <c r="C175" t="n">
        <v>7</v>
      </c>
      <c r="D175" t="n">
        <v>5</v>
      </c>
      <c r="E175" t="n">
        <v>7</v>
      </c>
      <c r="F175" t="n">
        <v>6</v>
      </c>
    </row>
    <row r="176">
      <c r="A176" t="n">
        <v>174</v>
      </c>
      <c r="B176" t="n">
        <v>5</v>
      </c>
      <c r="C176" t="n">
        <v>7</v>
      </c>
      <c r="D176" t="n">
        <v>6</v>
      </c>
      <c r="E176" t="n">
        <v>7</v>
      </c>
      <c r="F176" t="n">
        <v>5</v>
      </c>
    </row>
    <row r="177">
      <c r="A177" t="n">
        <v>175</v>
      </c>
      <c r="B177" t="n">
        <v>7</v>
      </c>
      <c r="C177" t="n">
        <v>6</v>
      </c>
      <c r="D177" t="n">
        <v>7</v>
      </c>
      <c r="E177" t="n">
        <v>5</v>
      </c>
      <c r="F177" t="n">
        <v>7</v>
      </c>
    </row>
    <row r="178">
      <c r="A178" t="n">
        <v>176</v>
      </c>
      <c r="B178" t="n">
        <v>6</v>
      </c>
      <c r="C178" t="n">
        <v>5</v>
      </c>
      <c r="D178" t="n">
        <v>7</v>
      </c>
      <c r="E178" t="n">
        <v>6</v>
      </c>
      <c r="F178" t="n">
        <v>7</v>
      </c>
    </row>
    <row r="179">
      <c r="A179" t="n">
        <v>177</v>
      </c>
      <c r="B179" t="n">
        <v>7</v>
      </c>
      <c r="C179" t="n">
        <v>6</v>
      </c>
      <c r="D179" t="n">
        <v>7</v>
      </c>
      <c r="E179" t="n">
        <v>6</v>
      </c>
      <c r="F179" t="n">
        <v>6</v>
      </c>
    </row>
    <row r="180">
      <c r="A180" t="n">
        <v>178</v>
      </c>
      <c r="B180" t="n">
        <v>6</v>
      </c>
      <c r="C180" t="n">
        <v>5</v>
      </c>
      <c r="D180" t="n">
        <v>6</v>
      </c>
      <c r="E180" t="n">
        <v>5</v>
      </c>
      <c r="F180" t="n">
        <v>7</v>
      </c>
    </row>
    <row r="181">
      <c r="A181" t="n">
        <v>179</v>
      </c>
      <c r="B181" t="n">
        <v>6</v>
      </c>
      <c r="C181" t="n">
        <v>6</v>
      </c>
      <c r="D181" t="n">
        <v>7</v>
      </c>
      <c r="E181" t="n">
        <v>6</v>
      </c>
      <c r="F181" t="n">
        <v>7</v>
      </c>
    </row>
    <row r="182">
      <c r="A182" t="n">
        <v>180</v>
      </c>
      <c r="B182" t="n">
        <v>5</v>
      </c>
      <c r="C182" t="n">
        <v>7</v>
      </c>
      <c r="D182" t="n">
        <v>6</v>
      </c>
      <c r="E182" t="n">
        <v>7</v>
      </c>
      <c r="F182" t="n">
        <v>7</v>
      </c>
    </row>
    <row r="183">
      <c r="A183" t="n">
        <v>181</v>
      </c>
      <c r="B183" t="n">
        <v>6</v>
      </c>
      <c r="C183" t="n">
        <v>7</v>
      </c>
      <c r="D183" t="n">
        <v>6</v>
      </c>
      <c r="E183" t="n">
        <v>7</v>
      </c>
      <c r="F183" t="n">
        <v>7</v>
      </c>
    </row>
    <row r="184">
      <c r="A184" t="n">
        <v>182</v>
      </c>
      <c r="B184" t="n">
        <v>6</v>
      </c>
      <c r="C184" t="n">
        <v>7</v>
      </c>
      <c r="D184" t="n">
        <v>5</v>
      </c>
      <c r="E184" t="n">
        <v>7</v>
      </c>
      <c r="F184" t="n">
        <v>6</v>
      </c>
    </row>
    <row r="185">
      <c r="A185" t="n">
        <v>183</v>
      </c>
      <c r="B185" t="n">
        <v>5</v>
      </c>
      <c r="C185" t="n">
        <v>5</v>
      </c>
      <c r="D185" t="n">
        <v>7</v>
      </c>
      <c r="E185" t="n">
        <v>6</v>
      </c>
      <c r="F185" t="n">
        <v>7</v>
      </c>
    </row>
    <row r="186">
      <c r="A186" t="n">
        <v>184</v>
      </c>
      <c r="B186" t="n">
        <v>5</v>
      </c>
      <c r="C186" t="n">
        <v>7</v>
      </c>
      <c r="D186" t="n">
        <v>6</v>
      </c>
      <c r="E186" t="n">
        <v>7</v>
      </c>
      <c r="F186" t="n">
        <v>7</v>
      </c>
    </row>
    <row r="187">
      <c r="A187" t="n">
        <v>185</v>
      </c>
      <c r="B187" t="n">
        <v>7</v>
      </c>
      <c r="C187" t="n">
        <v>6</v>
      </c>
      <c r="D187" t="n">
        <v>7</v>
      </c>
      <c r="E187" t="n">
        <v>5</v>
      </c>
      <c r="F187" t="n">
        <v>6</v>
      </c>
    </row>
    <row r="188">
      <c r="A188" t="n">
        <v>186</v>
      </c>
      <c r="B188" t="n">
        <v>7</v>
      </c>
      <c r="C188" t="n">
        <v>7</v>
      </c>
      <c r="D188" t="n">
        <v>6</v>
      </c>
      <c r="E188" t="n">
        <v>5</v>
      </c>
      <c r="F188" t="n">
        <v>6</v>
      </c>
    </row>
    <row r="189">
      <c r="A189" t="n">
        <v>187</v>
      </c>
      <c r="B189" t="n">
        <v>7</v>
      </c>
      <c r="C189" t="n">
        <v>6</v>
      </c>
      <c r="D189" t="n">
        <v>7</v>
      </c>
      <c r="E189" t="n">
        <v>5</v>
      </c>
      <c r="F189" t="n">
        <v>6</v>
      </c>
    </row>
    <row r="190">
      <c r="A190" t="n">
        <v>188</v>
      </c>
      <c r="B190" t="n">
        <v>5</v>
      </c>
      <c r="C190" t="n">
        <v>7</v>
      </c>
      <c r="D190" t="n">
        <v>6</v>
      </c>
      <c r="E190" t="n">
        <v>6</v>
      </c>
      <c r="F190" t="n">
        <v>7</v>
      </c>
    </row>
    <row r="191">
      <c r="A191" t="n">
        <v>189</v>
      </c>
      <c r="B191" t="n">
        <v>7</v>
      </c>
      <c r="C191" t="n">
        <v>6</v>
      </c>
      <c r="D191" t="n">
        <v>7</v>
      </c>
      <c r="E191" t="n">
        <v>5</v>
      </c>
      <c r="F191" t="n">
        <v>5</v>
      </c>
    </row>
    <row r="192">
      <c r="A192" t="n">
        <v>190</v>
      </c>
      <c r="B192" t="n">
        <v>5</v>
      </c>
      <c r="C192" t="n">
        <v>7</v>
      </c>
      <c r="D192" t="n">
        <v>6</v>
      </c>
      <c r="E192" t="n">
        <v>5</v>
      </c>
      <c r="F192" t="n">
        <v>5</v>
      </c>
    </row>
    <row r="193">
      <c r="A193" t="n">
        <v>191</v>
      </c>
      <c r="B193" t="n">
        <v>6</v>
      </c>
      <c r="C193" t="n">
        <v>7</v>
      </c>
      <c r="D193" t="n">
        <v>6</v>
      </c>
      <c r="E193" t="n">
        <v>5</v>
      </c>
      <c r="F193" t="n">
        <v>6</v>
      </c>
    </row>
    <row r="194">
      <c r="A194" t="n">
        <v>192</v>
      </c>
      <c r="B194" t="n">
        <v>7</v>
      </c>
      <c r="C194" t="n">
        <v>7</v>
      </c>
      <c r="D194" t="n">
        <v>6</v>
      </c>
      <c r="E194" t="n">
        <v>5</v>
      </c>
      <c r="F194" t="n">
        <v>6</v>
      </c>
    </row>
    <row r="195">
      <c r="A195" t="n">
        <v>193</v>
      </c>
      <c r="B195" t="n">
        <v>7</v>
      </c>
      <c r="C195" t="n">
        <v>6</v>
      </c>
      <c r="D195" t="n">
        <v>7</v>
      </c>
      <c r="E195" t="n">
        <v>5</v>
      </c>
      <c r="F195" t="n">
        <v>6</v>
      </c>
    </row>
    <row r="196">
      <c r="A196" t="n">
        <v>194</v>
      </c>
      <c r="B196" t="n">
        <v>7</v>
      </c>
      <c r="C196" t="n">
        <v>5</v>
      </c>
      <c r="D196" t="n">
        <v>7</v>
      </c>
      <c r="E196" t="n">
        <v>5</v>
      </c>
      <c r="F196" t="n">
        <v>6</v>
      </c>
    </row>
    <row r="197">
      <c r="A197" t="n">
        <v>195</v>
      </c>
      <c r="B197" t="n">
        <v>7</v>
      </c>
      <c r="C197" t="n">
        <v>6</v>
      </c>
      <c r="D197" t="n">
        <v>7</v>
      </c>
      <c r="E197" t="n">
        <v>5</v>
      </c>
      <c r="F197" t="n">
        <v>6</v>
      </c>
    </row>
    <row r="198">
      <c r="A198" t="n">
        <v>196</v>
      </c>
      <c r="B198" t="n">
        <v>5</v>
      </c>
      <c r="C198" t="n">
        <v>7</v>
      </c>
      <c r="D198" t="n">
        <v>6</v>
      </c>
      <c r="E198" t="n">
        <v>6</v>
      </c>
      <c r="F198" t="n">
        <v>6</v>
      </c>
    </row>
    <row r="199">
      <c r="A199" t="n">
        <v>197</v>
      </c>
      <c r="B199" t="n">
        <v>7</v>
      </c>
      <c r="C199" t="n">
        <v>6</v>
      </c>
      <c r="D199" t="n">
        <v>5</v>
      </c>
      <c r="E199" t="n">
        <v>7</v>
      </c>
      <c r="F199" t="n">
        <v>6</v>
      </c>
    </row>
    <row r="200">
      <c r="A200" t="n">
        <v>198</v>
      </c>
      <c r="B200" t="n">
        <v>7</v>
      </c>
      <c r="C200" t="n">
        <v>7</v>
      </c>
      <c r="D200" t="n">
        <v>5</v>
      </c>
      <c r="E200" t="n">
        <v>6</v>
      </c>
      <c r="F200" t="n">
        <v>6</v>
      </c>
    </row>
    <row r="201">
      <c r="A201" t="n">
        <v>199</v>
      </c>
      <c r="B201" t="n">
        <v>7</v>
      </c>
      <c r="C201" t="n">
        <v>6</v>
      </c>
      <c r="D201" t="n">
        <v>7</v>
      </c>
      <c r="E201" t="n">
        <v>5</v>
      </c>
      <c r="F201" t="n">
        <v>5</v>
      </c>
    </row>
    <row r="202">
      <c r="A202" t="n">
        <v>200</v>
      </c>
      <c r="B202" t="n">
        <v>6</v>
      </c>
      <c r="C202" t="n">
        <v>7</v>
      </c>
      <c r="D202" t="n">
        <v>7</v>
      </c>
      <c r="E202" t="n">
        <v>6</v>
      </c>
      <c r="F202" t="n">
        <v>5</v>
      </c>
    </row>
    <row r="203">
      <c r="A203" t="n">
        <v>201</v>
      </c>
      <c r="B203" t="n">
        <v>7</v>
      </c>
      <c r="C203" t="n">
        <v>7</v>
      </c>
      <c r="D203" t="n">
        <v>6</v>
      </c>
      <c r="E203" t="n">
        <v>7</v>
      </c>
      <c r="F203" t="n">
        <v>5</v>
      </c>
    </row>
    <row r="204">
      <c r="A204" t="n">
        <v>202</v>
      </c>
      <c r="B204" t="n">
        <v>6</v>
      </c>
      <c r="C204" t="n">
        <v>7</v>
      </c>
      <c r="D204" t="n">
        <v>7</v>
      </c>
      <c r="E204" t="n">
        <v>7</v>
      </c>
      <c r="F204" t="n">
        <v>6</v>
      </c>
    </row>
    <row r="205">
      <c r="A205" t="n">
        <v>203</v>
      </c>
      <c r="B205" t="n">
        <v>6</v>
      </c>
      <c r="C205" t="n">
        <v>7</v>
      </c>
      <c r="D205" t="n">
        <v>6</v>
      </c>
      <c r="E205" t="n">
        <v>5</v>
      </c>
      <c r="F205" t="n">
        <v>7</v>
      </c>
    </row>
    <row r="206">
      <c r="A206" t="n">
        <v>204</v>
      </c>
      <c r="B206" t="n">
        <v>6</v>
      </c>
      <c r="C206" t="n">
        <v>7</v>
      </c>
      <c r="D206" t="n">
        <v>6</v>
      </c>
      <c r="E206" t="n">
        <v>6</v>
      </c>
      <c r="F206" t="n">
        <v>7</v>
      </c>
    </row>
    <row r="207">
      <c r="A207" t="n">
        <v>205</v>
      </c>
      <c r="B207" t="n">
        <v>5</v>
      </c>
      <c r="C207" t="n">
        <v>7</v>
      </c>
      <c r="D207" t="n">
        <v>6</v>
      </c>
      <c r="E207" t="n">
        <v>7</v>
      </c>
      <c r="F207" t="n">
        <v>6</v>
      </c>
    </row>
    <row r="208">
      <c r="A208" t="n">
        <v>206</v>
      </c>
      <c r="B208" t="n">
        <v>7</v>
      </c>
      <c r="C208" t="n">
        <v>6</v>
      </c>
      <c r="D208" t="n">
        <v>6</v>
      </c>
      <c r="E208" t="n">
        <v>6</v>
      </c>
      <c r="F208" t="n">
        <v>5</v>
      </c>
    </row>
    <row r="209">
      <c r="A209" t="n">
        <v>207</v>
      </c>
      <c r="B209" t="n">
        <v>7</v>
      </c>
      <c r="C209" t="n">
        <v>7</v>
      </c>
      <c r="D209" t="n">
        <v>6</v>
      </c>
      <c r="E209" t="n">
        <v>5</v>
      </c>
      <c r="F209" t="n">
        <v>6</v>
      </c>
    </row>
    <row r="210">
      <c r="A210" t="n">
        <v>208</v>
      </c>
      <c r="B210" t="n">
        <v>7</v>
      </c>
      <c r="C210" t="n">
        <v>7</v>
      </c>
      <c r="D210" t="n">
        <v>6</v>
      </c>
      <c r="E210" t="n">
        <v>5</v>
      </c>
      <c r="F210" t="n">
        <v>6</v>
      </c>
    </row>
    <row r="211">
      <c r="A211" t="n">
        <v>209</v>
      </c>
      <c r="B211" t="n">
        <v>5</v>
      </c>
      <c r="C211" t="n">
        <v>7</v>
      </c>
      <c r="D211" t="n">
        <v>7</v>
      </c>
      <c r="E211" t="n">
        <v>6</v>
      </c>
      <c r="F211" t="n">
        <v>7</v>
      </c>
    </row>
    <row r="212">
      <c r="A212" t="n">
        <v>210</v>
      </c>
      <c r="B212" t="n">
        <v>5</v>
      </c>
      <c r="C212" t="n">
        <v>7</v>
      </c>
      <c r="D212" t="n">
        <v>6</v>
      </c>
      <c r="E212" t="n">
        <v>6</v>
      </c>
      <c r="F212" t="n">
        <v>7</v>
      </c>
    </row>
    <row r="213">
      <c r="A213" t="n">
        <v>211</v>
      </c>
      <c r="B213" t="n">
        <v>6</v>
      </c>
      <c r="C213" t="n">
        <v>7</v>
      </c>
      <c r="D213" t="n">
        <v>5</v>
      </c>
      <c r="E213" t="n">
        <v>5</v>
      </c>
      <c r="F213" t="n">
        <v>6</v>
      </c>
    </row>
    <row r="214">
      <c r="A214" t="n">
        <v>212</v>
      </c>
      <c r="B214" t="n">
        <v>7</v>
      </c>
      <c r="C214" t="n">
        <v>7</v>
      </c>
      <c r="D214" t="n">
        <v>6</v>
      </c>
      <c r="E214" t="n">
        <v>7</v>
      </c>
      <c r="F214" t="n">
        <v>6</v>
      </c>
    </row>
    <row r="215">
      <c r="A215" t="n">
        <v>213</v>
      </c>
      <c r="B215" t="n">
        <v>7</v>
      </c>
      <c r="C215" t="n">
        <v>7</v>
      </c>
      <c r="D215" t="n">
        <v>6</v>
      </c>
      <c r="E215" t="n">
        <v>7</v>
      </c>
      <c r="F215" t="n">
        <v>5</v>
      </c>
    </row>
    <row r="216">
      <c r="A216" t="n">
        <v>214</v>
      </c>
      <c r="B216" t="n">
        <v>7</v>
      </c>
      <c r="C216" t="n">
        <v>7</v>
      </c>
      <c r="D216" t="n">
        <v>7</v>
      </c>
      <c r="E216" t="n">
        <v>7</v>
      </c>
      <c r="F216" t="n">
        <v>5</v>
      </c>
    </row>
    <row r="217">
      <c r="A217" t="n">
        <v>215</v>
      </c>
      <c r="B217" t="n">
        <v>6</v>
      </c>
      <c r="C217" t="n">
        <v>7</v>
      </c>
      <c r="D217" t="n">
        <v>7</v>
      </c>
      <c r="E217" t="n">
        <v>6</v>
      </c>
      <c r="F217" t="n">
        <v>5</v>
      </c>
    </row>
    <row r="218">
      <c r="A218" t="n">
        <v>216</v>
      </c>
      <c r="B218" t="n">
        <v>7</v>
      </c>
      <c r="C218" t="n">
        <v>7</v>
      </c>
      <c r="D218" t="n">
        <v>6</v>
      </c>
      <c r="E218" t="n">
        <v>7</v>
      </c>
      <c r="F218" t="n">
        <v>6</v>
      </c>
    </row>
    <row r="219">
      <c r="A219" t="n">
        <v>217</v>
      </c>
      <c r="B219" t="n">
        <v>5</v>
      </c>
      <c r="C219" t="n">
        <v>7</v>
      </c>
      <c r="D219" t="n">
        <v>6</v>
      </c>
      <c r="E219" t="n">
        <v>5</v>
      </c>
      <c r="F219" t="n">
        <v>7</v>
      </c>
    </row>
    <row r="220">
      <c r="A220" t="n">
        <v>218</v>
      </c>
      <c r="B220" t="n">
        <v>7</v>
      </c>
      <c r="C220" t="n">
        <v>6</v>
      </c>
      <c r="D220" t="n">
        <v>7</v>
      </c>
      <c r="E220" t="n">
        <v>6</v>
      </c>
      <c r="F220" t="n">
        <v>5</v>
      </c>
    </row>
    <row r="221">
      <c r="A221" t="n">
        <v>219</v>
      </c>
      <c r="B221" t="n">
        <v>6</v>
      </c>
      <c r="C221" t="n">
        <v>7</v>
      </c>
      <c r="D221" t="n">
        <v>6</v>
      </c>
      <c r="E221" t="n">
        <v>7</v>
      </c>
      <c r="F221" t="n">
        <v>5</v>
      </c>
    </row>
    <row r="222">
      <c r="A222" t="n">
        <v>220</v>
      </c>
      <c r="B222" t="n">
        <v>7</v>
      </c>
      <c r="C222" t="n">
        <v>7</v>
      </c>
      <c r="D222" t="n">
        <v>5</v>
      </c>
      <c r="E222" t="n">
        <v>7</v>
      </c>
      <c r="F222" t="n">
        <v>6</v>
      </c>
    </row>
    <row r="223">
      <c r="A223" t="n">
        <v>221</v>
      </c>
      <c r="B223" t="n">
        <v>6</v>
      </c>
      <c r="C223" t="n">
        <v>7</v>
      </c>
      <c r="D223" t="n">
        <v>6</v>
      </c>
      <c r="E223" t="n">
        <v>5</v>
      </c>
      <c r="F223" t="n">
        <v>7</v>
      </c>
    </row>
    <row r="224">
      <c r="A224" t="n">
        <v>222</v>
      </c>
      <c r="B224" t="n">
        <v>6</v>
      </c>
      <c r="C224" t="n">
        <v>6</v>
      </c>
      <c r="D224" t="n">
        <v>7</v>
      </c>
      <c r="E224" t="n">
        <v>6</v>
      </c>
      <c r="F224" t="n">
        <v>7</v>
      </c>
    </row>
    <row r="225">
      <c r="A225" t="n">
        <v>223</v>
      </c>
      <c r="B225" t="n">
        <v>7</v>
      </c>
      <c r="C225" t="n">
        <v>7</v>
      </c>
      <c r="D225" t="n">
        <v>6</v>
      </c>
      <c r="E225" t="n">
        <v>7</v>
      </c>
      <c r="F225" t="n">
        <v>5</v>
      </c>
    </row>
    <row r="226">
      <c r="A226" t="n">
        <v>224</v>
      </c>
      <c r="B226" t="n">
        <v>7</v>
      </c>
      <c r="C226" t="n">
        <v>6</v>
      </c>
      <c r="D226" t="n">
        <v>7</v>
      </c>
      <c r="E226" t="n">
        <v>5</v>
      </c>
      <c r="F226" t="n">
        <v>7</v>
      </c>
    </row>
    <row r="227">
      <c r="A227" t="n">
        <v>225</v>
      </c>
      <c r="B227" t="n">
        <v>5</v>
      </c>
      <c r="C227" t="n">
        <v>7</v>
      </c>
      <c r="D227" t="n">
        <v>5</v>
      </c>
      <c r="E227" t="n">
        <v>7</v>
      </c>
      <c r="F227" t="n">
        <v>6</v>
      </c>
    </row>
    <row r="228">
      <c r="A228" t="n">
        <v>226</v>
      </c>
      <c r="B228" t="n">
        <v>6</v>
      </c>
      <c r="C228" t="n">
        <v>7</v>
      </c>
      <c r="D228" t="n">
        <v>5</v>
      </c>
      <c r="E228" t="n">
        <v>7</v>
      </c>
      <c r="F228" t="n">
        <v>5</v>
      </c>
    </row>
    <row r="229">
      <c r="A229" t="n">
        <v>227</v>
      </c>
      <c r="B229" t="n">
        <v>5</v>
      </c>
      <c r="C229" t="n">
        <v>7</v>
      </c>
      <c r="D229" t="n">
        <v>6</v>
      </c>
      <c r="E229" t="n">
        <v>7</v>
      </c>
      <c r="F229" t="n">
        <v>7</v>
      </c>
    </row>
    <row r="230">
      <c r="A230" t="n">
        <v>228</v>
      </c>
      <c r="B230" t="n">
        <v>7</v>
      </c>
      <c r="C230" t="n">
        <v>7</v>
      </c>
      <c r="D230" t="n">
        <v>6</v>
      </c>
      <c r="E230" t="n">
        <v>7</v>
      </c>
      <c r="F230" t="n">
        <v>5</v>
      </c>
    </row>
    <row r="231">
      <c r="A231" t="n">
        <v>229</v>
      </c>
      <c r="B231" t="n">
        <v>5</v>
      </c>
      <c r="C231" t="n">
        <v>7</v>
      </c>
      <c r="D231" t="n">
        <v>6</v>
      </c>
      <c r="E231" t="n">
        <v>7</v>
      </c>
      <c r="F231" t="n">
        <v>7</v>
      </c>
    </row>
    <row r="232">
      <c r="A232" t="n">
        <v>230</v>
      </c>
      <c r="B232" t="n">
        <v>7</v>
      </c>
      <c r="C232" t="n">
        <v>5</v>
      </c>
      <c r="D232" t="n">
        <v>7</v>
      </c>
      <c r="E232" t="n">
        <v>6</v>
      </c>
      <c r="F232" t="n">
        <v>6</v>
      </c>
    </row>
    <row r="233">
      <c r="A233" t="n">
        <v>231</v>
      </c>
      <c r="B233" t="n">
        <v>6</v>
      </c>
      <c r="C233" t="n">
        <v>5</v>
      </c>
      <c r="D233" t="n">
        <v>7</v>
      </c>
      <c r="E233" t="n">
        <v>6</v>
      </c>
      <c r="F233" t="n">
        <v>7</v>
      </c>
    </row>
    <row r="234">
      <c r="A234" t="n">
        <v>232</v>
      </c>
      <c r="B234" t="n">
        <v>5</v>
      </c>
      <c r="C234" t="n">
        <v>7</v>
      </c>
      <c r="D234" t="n">
        <v>6</v>
      </c>
      <c r="E234" t="n">
        <v>7</v>
      </c>
      <c r="F234" t="n">
        <v>5</v>
      </c>
    </row>
    <row r="235">
      <c r="A235" t="n">
        <v>233</v>
      </c>
      <c r="B235" t="n">
        <v>5</v>
      </c>
      <c r="C235" t="n">
        <v>6</v>
      </c>
      <c r="D235" t="n">
        <v>5</v>
      </c>
      <c r="E235" t="n">
        <v>5</v>
      </c>
      <c r="F235" t="n">
        <v>7</v>
      </c>
    </row>
    <row r="236">
      <c r="A236" t="n">
        <v>234</v>
      </c>
      <c r="B236" t="n">
        <v>6</v>
      </c>
      <c r="C236" t="n">
        <v>7</v>
      </c>
      <c r="D236" t="n">
        <v>5</v>
      </c>
      <c r="E236" t="n">
        <v>7</v>
      </c>
      <c r="F236" t="n">
        <v>6</v>
      </c>
    </row>
    <row r="237">
      <c r="A237" t="n">
        <v>235</v>
      </c>
      <c r="B237" t="n">
        <v>7</v>
      </c>
      <c r="C237" t="n">
        <v>6</v>
      </c>
      <c r="D237" t="n">
        <v>7</v>
      </c>
      <c r="E237" t="n">
        <v>6</v>
      </c>
      <c r="F237" t="n">
        <v>6</v>
      </c>
    </row>
    <row r="238">
      <c r="A238" t="n">
        <v>236</v>
      </c>
      <c r="B238" t="n">
        <v>5</v>
      </c>
      <c r="C238" t="n">
        <v>7</v>
      </c>
      <c r="D238" t="n">
        <v>6</v>
      </c>
      <c r="E238" t="n">
        <v>7</v>
      </c>
      <c r="F238" t="n">
        <v>5</v>
      </c>
    </row>
    <row r="239">
      <c r="A239" t="n">
        <v>237</v>
      </c>
      <c r="B239" t="n">
        <v>6</v>
      </c>
      <c r="C239" t="n">
        <v>7</v>
      </c>
      <c r="D239" t="n">
        <v>6</v>
      </c>
      <c r="E239" t="n">
        <v>7</v>
      </c>
      <c r="F239" t="n">
        <v>7</v>
      </c>
    </row>
    <row r="240">
      <c r="A240" t="n">
        <v>238</v>
      </c>
      <c r="B240" t="n">
        <v>7</v>
      </c>
      <c r="C240" t="n">
        <v>7</v>
      </c>
      <c r="D240" t="n">
        <v>6</v>
      </c>
      <c r="E240" t="n">
        <v>7</v>
      </c>
      <c r="F240" t="n">
        <v>5</v>
      </c>
    </row>
    <row r="241">
      <c r="A241" t="n">
        <v>239</v>
      </c>
      <c r="B241" t="n">
        <v>7</v>
      </c>
      <c r="C241" t="n">
        <v>7</v>
      </c>
      <c r="D241" t="n">
        <v>6</v>
      </c>
      <c r="E241" t="n">
        <v>7</v>
      </c>
      <c r="F241" t="n">
        <v>5</v>
      </c>
    </row>
    <row r="242">
      <c r="A242" t="n">
        <v>240</v>
      </c>
      <c r="B242" t="n">
        <v>5</v>
      </c>
      <c r="C242" t="n">
        <v>7</v>
      </c>
      <c r="D242" t="n">
        <v>6</v>
      </c>
      <c r="E242" t="n">
        <v>7</v>
      </c>
      <c r="F242" t="n">
        <v>6</v>
      </c>
    </row>
    <row r="243">
      <c r="A243" t="n">
        <v>241</v>
      </c>
      <c r="B243" t="n">
        <v>5</v>
      </c>
      <c r="C243" t="n">
        <v>7</v>
      </c>
      <c r="D243" t="n">
        <v>6</v>
      </c>
      <c r="E243" t="n">
        <v>5</v>
      </c>
      <c r="F243" t="n">
        <v>7</v>
      </c>
    </row>
    <row r="244">
      <c r="A244" t="n">
        <v>242</v>
      </c>
      <c r="B244" t="n">
        <v>5</v>
      </c>
      <c r="C244" t="n">
        <v>7</v>
      </c>
      <c r="D244" t="n">
        <v>6</v>
      </c>
      <c r="E244" t="n">
        <v>7</v>
      </c>
      <c r="F244" t="n">
        <v>5</v>
      </c>
    </row>
    <row r="245">
      <c r="A245" t="n">
        <v>243</v>
      </c>
      <c r="B245" t="n">
        <v>6</v>
      </c>
      <c r="C245" t="n">
        <v>7</v>
      </c>
      <c r="D245" t="n">
        <v>6</v>
      </c>
      <c r="E245" t="n">
        <v>7</v>
      </c>
      <c r="F245" t="n">
        <v>7</v>
      </c>
    </row>
    <row r="246">
      <c r="A246" t="n">
        <v>244</v>
      </c>
      <c r="B246" t="n">
        <v>7</v>
      </c>
      <c r="C246" t="n">
        <v>6</v>
      </c>
      <c r="D246" t="n">
        <v>7</v>
      </c>
      <c r="E246" t="n">
        <v>6</v>
      </c>
      <c r="F246" t="n">
        <v>7</v>
      </c>
    </row>
    <row r="247">
      <c r="A247" t="n">
        <v>245</v>
      </c>
      <c r="B247" t="n">
        <v>5</v>
      </c>
      <c r="C247" t="n">
        <v>5</v>
      </c>
      <c r="D247" t="n">
        <v>7</v>
      </c>
      <c r="E247" t="n">
        <v>6</v>
      </c>
      <c r="F247" t="n">
        <v>7</v>
      </c>
    </row>
    <row r="248">
      <c r="A248" t="n">
        <v>246</v>
      </c>
      <c r="B248" t="n">
        <v>7</v>
      </c>
      <c r="C248" t="n">
        <v>7</v>
      </c>
      <c r="D248" t="n">
        <v>5</v>
      </c>
      <c r="E248" t="n">
        <v>7</v>
      </c>
      <c r="F248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Six designed items and protocol: see report Section 7. Reliability computed on public Zenodo data (dataset B primary, dataset A comparison). q7_reliability.py reproduces the statistics from any CSV with columns item1..item6.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47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Q1.n</t>
        </is>
      </c>
      <c r="B2" t="n">
        <v>30</v>
      </c>
    </row>
    <row r="3">
      <c r="A3" t="inlineStr">
        <is>
          <t>Q1.years</t>
        </is>
      </c>
      <c r="B3" t="inlineStr">
        <is>
          <t>[1996, 2025]</t>
        </is>
      </c>
    </row>
    <row r="4">
      <c r="A4" t="inlineStr">
        <is>
          <t>Q1.mean</t>
        </is>
      </c>
      <c r="B4" t="n">
        <v>5.53447544826616</v>
      </c>
    </row>
    <row r="5">
      <c r="A5" t="inlineStr">
        <is>
          <t>Q1.sd</t>
        </is>
      </c>
      <c r="B5" t="n">
        <v>5.01573119222564</v>
      </c>
    </row>
    <row r="6">
      <c r="A6" t="inlineStr">
        <is>
          <t>Q1.skew</t>
        </is>
      </c>
      <c r="B6" t="n">
        <v>2.03645669735858</v>
      </c>
    </row>
    <row r="7">
      <c r="A7" t="inlineStr">
        <is>
          <t>Q1.kurt_excess</t>
        </is>
      </c>
      <c r="B7" t="n">
        <v>5.444911613998228</v>
      </c>
    </row>
    <row r="8">
      <c r="A8" t="inlineStr">
        <is>
          <t>Q1.D</t>
        </is>
      </c>
      <c r="B8" t="n">
        <v>0.211252715640853</v>
      </c>
    </row>
    <row r="9">
      <c r="A9" t="inlineStr">
        <is>
          <t>Q1.D_statsmodels</t>
        </is>
      </c>
      <c r="B9" t="n">
        <v>0.211252715640853</v>
      </c>
    </row>
    <row r="10">
      <c r="A10" t="inlineStr">
        <is>
          <t>Q1.p_lilliefors</t>
        </is>
      </c>
      <c r="B10" t="n">
        <v>0.0016886936018536</v>
      </c>
    </row>
    <row r="11">
      <c r="A11" t="inlineStr">
        <is>
          <t>Q1.crit05</t>
        </is>
      </c>
      <c r="B11" t="n">
        <v>0.161</v>
      </c>
    </row>
    <row r="12">
      <c r="A12" t="inlineStr">
        <is>
          <t>Q1.reject</t>
        </is>
      </c>
      <c r="B12" t="b">
        <v>1</v>
      </c>
    </row>
    <row r="13">
      <c r="A13" t="inlineStr">
        <is>
          <t>Q1.shapiro_W</t>
        </is>
      </c>
      <c r="B13" t="n">
        <v>0.7945378088192465</v>
      </c>
    </row>
    <row r="14">
      <c r="A14" t="inlineStr">
        <is>
          <t>Q1.shapiro_p</t>
        </is>
      </c>
      <c r="B14" t="n">
        <v>5.221541918697045e-05</v>
      </c>
    </row>
    <row r="15">
      <c r="A15" t="inlineStr">
        <is>
          <t>Q1.jb</t>
        </is>
      </c>
      <c r="B15" t="n">
        <v>42.72422142196391</v>
      </c>
    </row>
    <row r="16">
      <c r="A16" t="inlineStr">
        <is>
          <t>Q1.jb_p</t>
        </is>
      </c>
      <c r="B16" t="n">
        <v>5.279018651357712e-10</v>
      </c>
    </row>
    <row r="17">
      <c r="A17" t="inlineStr">
        <is>
          <t>Q1.lag1_autocorr</t>
        </is>
      </c>
      <c r="B17" t="n">
        <v>0.4377525670336808</v>
      </c>
    </row>
    <row r="18">
      <c r="A18" t="inlineStr">
        <is>
          <t>Q1.log_D</t>
        </is>
      </c>
      <c r="B18" t="n">
        <v>0.2078042180781822</v>
      </c>
    </row>
    <row r="19">
      <c r="A19" t="inlineStr">
        <is>
          <t>Q1.log_p</t>
        </is>
      </c>
      <c r="B19" t="n">
        <v>0.002176550582297721</v>
      </c>
    </row>
    <row r="20">
      <c r="A20" t="inlineStr">
        <is>
          <t>Q1.min</t>
        </is>
      </c>
      <c r="B20" t="n">
        <v>-1.7103372785111</v>
      </c>
    </row>
    <row r="21">
      <c r="A21" t="inlineStr">
        <is>
          <t>Q1.max</t>
        </is>
      </c>
      <c r="B21" t="n">
        <v>23.1154483474477</v>
      </c>
    </row>
    <row r="22">
      <c r="A22" t="inlineStr">
        <is>
          <t>Q1.argmax_year</t>
        </is>
      </c>
      <c r="B22" t="n">
        <v>2008</v>
      </c>
    </row>
    <row r="23">
      <c r="A23" t="inlineStr">
        <is>
          <t>Q1.median</t>
        </is>
      </c>
      <c r="B23" t="n">
        <v>3.72596056027155</v>
      </c>
    </row>
    <row r="24">
      <c r="A24" t="inlineStr">
        <is>
          <t>Q2.chi2</t>
        </is>
      </c>
      <c r="B24" t="n">
        <v>95384.78614425614</v>
      </c>
    </row>
    <row r="25">
      <c r="A25" t="inlineStr">
        <is>
          <t>Q2.p</t>
        </is>
      </c>
      <c r="B25" t="n">
        <v>0</v>
      </c>
    </row>
    <row r="26">
      <c r="A26" t="inlineStr">
        <is>
          <t>Q2.dof</t>
        </is>
      </c>
      <c r="B26" t="n">
        <v>1</v>
      </c>
    </row>
    <row r="27">
      <c r="A27" t="inlineStr">
        <is>
          <t>Q2.expected</t>
        </is>
      </c>
      <c r="B27" t="inlineStr">
        <is>
          <t>[[1074534.8256580448, 55064090.174341954], [931618.1743419553, 47740385.825658046]]</t>
        </is>
      </c>
    </row>
    <row r="28">
      <c r="A28" t="inlineStr">
        <is>
          <t>Q2.observed</t>
        </is>
      </c>
      <c r="B28" t="inlineStr">
        <is>
          <t>[[858467.0, 55280158.0], [1147686.0, 47524318.0]]</t>
        </is>
      </c>
    </row>
    <row r="29">
      <c r="A29" t="inlineStr">
        <is>
          <t>Q2.cramers_v</t>
        </is>
      </c>
      <c r="B29" t="n">
        <v>0.03016733121193789</v>
      </c>
    </row>
    <row r="30">
      <c r="A30" t="inlineStr">
        <is>
          <t>Q2.min_expected</t>
        </is>
      </c>
      <c r="B30" t="n">
        <v>931618.1743419553</v>
      </c>
    </row>
    <row r="31">
      <c r="A31" t="inlineStr">
        <is>
          <t>Q2.std_resid</t>
        </is>
      </c>
      <c r="B31" t="inlineStr">
        <is>
          <t>[[-208.4394189167086, 29.1176195774973], [223.85722993327747, -31.271386644357104]]</t>
        </is>
      </c>
    </row>
    <row r="32">
      <c r="A32" t="inlineStr">
        <is>
          <t>Q2.chi2_yates</t>
        </is>
      </c>
      <c r="B32" t="n">
        <v>95384.34468715586</v>
      </c>
    </row>
    <row r="33">
      <c r="A33" t="inlineStr">
        <is>
          <t>Q2.p_yates</t>
        </is>
      </c>
      <c r="B33" t="n">
        <v>0</v>
      </c>
    </row>
    <row r="34">
      <c r="A34" t="inlineStr">
        <is>
          <t>Q2.rows</t>
        </is>
      </c>
      <c r="B34" t="inlineStr">
        <is>
          <t>["Viet Nam", "Philippines"]</t>
        </is>
      </c>
    </row>
    <row r="35">
      <c r="A35" t="inlineStr">
        <is>
          <t>Q2.cols</t>
        </is>
      </c>
      <c r="B35" t="inlineStr">
        <is>
          <t>["Unemployed", "Employed"]</t>
        </is>
      </c>
    </row>
    <row r="36">
      <c r="A36" t="inlineStr">
        <is>
          <t>Q2.N</t>
        </is>
      </c>
      <c r="B36" t="n">
        <v>104810629</v>
      </c>
    </row>
    <row r="37">
      <c r="A37" t="inlineStr">
        <is>
          <t>Q2.rates.VNM</t>
        </is>
      </c>
      <c r="B37" t="n">
        <v>0.01529191354437342</v>
      </c>
    </row>
    <row r="38">
      <c r="A38" t="inlineStr">
        <is>
          <t>Q2.rates.PHL</t>
        </is>
      </c>
      <c r="B38" t="n">
        <v>0.0235800029930964</v>
      </c>
    </row>
    <row r="39">
      <c r="A39" t="inlineStr">
        <is>
          <t>Q2.rates.IND</t>
        </is>
      </c>
      <c r="B39" t="n">
        <v>0.04172893870074245</v>
      </c>
    </row>
    <row r="40">
      <c r="A40" t="inlineStr">
        <is>
          <t>Q2.diff</t>
        </is>
      </c>
      <c r="B40" t="n">
        <v>-0.008288089448722984</v>
      </c>
    </row>
    <row r="41">
      <c r="A41" t="inlineStr">
        <is>
          <t>Q2.ci_naive</t>
        </is>
      </c>
      <c r="B41" t="inlineStr">
        <is>
          <t>[-0.00834145308510303, -0.00823472581234294]</t>
        </is>
      </c>
    </row>
    <row r="42">
      <c r="A42" t="inlineStr">
        <is>
          <t>Q2.sensitivity</t>
        </is>
      </c>
      <c r="B42" t="inlineStr">
        <is>
          <t>[{"n_eff_per_country": 2000, "chi2": 3.604349846289074, "p": 0.0576285980891942}, {"n_eff_per_country": 10000, "chi2": 18.021749231445384, "p": 2.183955274989869e-05}, {"n_eff_per_country": 50000, "chi2": 90.1087461572269, "p": 2.254230021297768e-21}, {"n_eff_per_country": 200000, "chi2": 360.4349846289076, "p": 2.2639533067803465e-80}]</t>
        </is>
      </c>
    </row>
    <row r="43">
      <c r="A43" t="inlineStr">
        <is>
          <t>Q2.year</t>
        </is>
      </c>
      <c r="B43" t="inlineStr">
        <is>
          <t>2024</t>
        </is>
      </c>
    </row>
    <row r="44">
      <c r="A44" t="inlineStr">
        <is>
          <t>Q2.employed.VNM</t>
        </is>
      </c>
      <c r="B44" t="n">
        <v>55280158</v>
      </c>
    </row>
    <row r="45">
      <c r="A45" t="inlineStr">
        <is>
          <t>Q2.employed.PHL</t>
        </is>
      </c>
      <c r="B45" t="n">
        <v>47524318</v>
      </c>
    </row>
    <row r="46">
      <c r="A46" t="inlineStr">
        <is>
          <t>Q2.employed.IND</t>
        </is>
      </c>
      <c r="B46" t="n">
        <v>482793235</v>
      </c>
    </row>
    <row r="47">
      <c r="A47" t="inlineStr">
        <is>
          <t>Q2.unemployed.VNM</t>
        </is>
      </c>
      <c r="B47" t="n">
        <v>858467</v>
      </c>
    </row>
    <row r="48">
      <c r="A48" t="inlineStr">
        <is>
          <t>Q2.unemployed.PHL</t>
        </is>
      </c>
      <c r="B48" t="n">
        <v>1147686</v>
      </c>
    </row>
    <row r="49">
      <c r="A49" t="inlineStr">
        <is>
          <t>Q2.unemployed.IND</t>
        </is>
      </c>
      <c r="B49" t="n">
        <v>21023748</v>
      </c>
    </row>
    <row r="50">
      <c r="A50" t="inlineStr">
        <is>
          <t>Q3.chi2</t>
        </is>
      </c>
      <c r="B50" t="n">
        <v>4653826.747606418</v>
      </c>
    </row>
    <row r="51">
      <c r="A51" t="inlineStr">
        <is>
          <t>Q3.p</t>
        </is>
      </c>
      <c r="B51" t="n">
        <v>0</v>
      </c>
    </row>
    <row r="52">
      <c r="A52" t="inlineStr">
        <is>
          <t>Q3.dof</t>
        </is>
      </c>
      <c r="B52" t="n">
        <v>2</v>
      </c>
    </row>
    <row r="53">
      <c r="A53" t="inlineStr">
        <is>
          <t>Q3.expected</t>
        </is>
      </c>
      <c r="B53" t="inlineStr">
        <is>
          <t>[[12212013.479182297, 13399884.969057009, 25822927.551760696], [11283553.520817703, 12381113.030942991, 23859651.448239304]]</t>
        </is>
      </c>
    </row>
    <row r="54">
      <c r="A54" t="inlineStr">
        <is>
          <t>Q3.observed</t>
        </is>
      </c>
      <c r="B54" t="inlineStr">
        <is>
          <t>[[13637057.0, 17131226.0, 20666543.0], [9858510.0, 8649772.0, 29016036.0]]</t>
        </is>
      </c>
    </row>
    <row r="55">
      <c r="A55" t="inlineStr">
        <is>
          <t>Q3.cramers_v</t>
        </is>
      </c>
      <c r="B55" t="n">
        <v>0.2168588451606546</v>
      </c>
    </row>
    <row r="56">
      <c r="A56" t="inlineStr">
        <is>
          <t>Q3.min_expected</t>
        </is>
      </c>
      <c r="B56" t="n">
        <v>11283553.5208177</v>
      </c>
    </row>
    <row r="57">
      <c r="A57" t="inlineStr">
        <is>
          <t>Q3.std_resid</t>
        </is>
      </c>
      <c r="B57" t="inlineStr">
        <is>
          <t>[[407.7880458045135, 1019.3290670901877, -1014.7114482108939], [-424.2337161536562, -1060.437554666355, 1055.6337119909786]]</t>
        </is>
      </c>
    </row>
    <row r="58">
      <c r="A58" t="inlineStr">
        <is>
          <t>Q3.chi2_yates</t>
        </is>
      </c>
      <c r="B58" t="n">
        <v/>
      </c>
    </row>
    <row r="59">
      <c r="A59" t="inlineStr">
        <is>
          <t>Q3.p_yates</t>
        </is>
      </c>
      <c r="B59" t="n">
        <v/>
      </c>
    </row>
    <row r="60">
      <c r="A60" t="inlineStr">
        <is>
          <t>Q3.rows</t>
        </is>
      </c>
      <c r="B60" t="inlineStr">
        <is>
          <t>["Viet Nam", "Philippines"]</t>
        </is>
      </c>
    </row>
    <row r="61">
      <c r="A61" t="inlineStr">
        <is>
          <t>Q3.cols</t>
        </is>
      </c>
      <c r="B61" t="inlineStr">
        <is>
          <t>["Agriculture", "Industry", "Services"]</t>
        </is>
      </c>
    </row>
    <row r="62">
      <c r="A62" t="inlineStr">
        <is>
          <t>Q3.N</t>
        </is>
      </c>
      <c r="B62" t="n">
        <v>98959144</v>
      </c>
    </row>
    <row r="63">
      <c r="A63" t="inlineStr">
        <is>
          <t>Q3.shares</t>
        </is>
      </c>
      <c r="B63" t="inlineStr">
        <is>
          <t>[[0.2651327526606195, 0.3330666657645542, 0.40180058157482634], [0.20744137769636167, 0.18200728309241598, 0.6105513392112224]]</t>
        </is>
      </c>
    </row>
    <row r="64">
      <c r="A64" t="inlineStr">
        <is>
          <t>Q3.year</t>
        </is>
      </c>
      <c r="B64" t="inlineStr">
        <is>
          <t>2024</t>
        </is>
      </c>
    </row>
    <row r="65">
      <c r="A65" t="inlineStr">
        <is>
          <t>Q3.sector_sum_check.VNM</t>
        </is>
      </c>
      <c r="B65" t="n">
        <v>0.930439200264225</v>
      </c>
    </row>
    <row r="66">
      <c r="A66" t="inlineStr">
        <is>
          <t>Q3.sector_sum_check.PHL</t>
        </is>
      </c>
      <c r="B66" t="n">
        <v>1</v>
      </c>
    </row>
    <row r="67">
      <c r="A67" t="inlineStr">
        <is>
          <t>Q3.gof_vs_philippines_shares.chi2</t>
        </is>
      </c>
      <c r="B67" t="n">
        <v>10944881.56291589</v>
      </c>
    </row>
    <row r="68">
      <c r="A68" t="inlineStr">
        <is>
          <t>Q3.gof_vs_philippines_shares.p</t>
        </is>
      </c>
      <c r="B68" t="n">
        <v>0</v>
      </c>
    </row>
    <row r="69">
      <c r="A69" t="inlineStr">
        <is>
          <t>Q3.unclassified.VNM</t>
        </is>
      </c>
      <c r="B69" t="n">
        <v>3845332</v>
      </c>
    </row>
    <row r="70">
      <c r="A70" t="inlineStr">
        <is>
          <t>Q3.unclassified.PHL</t>
        </is>
      </c>
      <c r="B70" t="n">
        <v>0</v>
      </c>
    </row>
    <row r="71">
      <c r="A71" t="inlineStr">
        <is>
          <t>Q3.robust_2x4.chi2</t>
        </is>
      </c>
      <c r="B71" t="n">
        <v>8107444.0281682</v>
      </c>
    </row>
    <row r="72">
      <c r="A72" t="inlineStr">
        <is>
          <t>Q3.robust_2x4.p</t>
        </is>
      </c>
      <c r="B72" t="n">
        <v>0</v>
      </c>
    </row>
    <row r="73">
      <c r="A73" t="inlineStr">
        <is>
          <t>Q3.robust_2x4.dof</t>
        </is>
      </c>
      <c r="B73" t="n">
        <v>3</v>
      </c>
    </row>
    <row r="74">
      <c r="A74" t="inlineStr">
        <is>
          <t>Q3.robust_2x4.cramers_v</t>
        </is>
      </c>
      <c r="B74" t="n">
        <v>0.2808251293824155</v>
      </c>
    </row>
    <row r="75">
      <c r="A75" t="inlineStr">
        <is>
          <t>Q3.robust_2x4.min_expected</t>
        </is>
      </c>
      <c r="B75" t="n">
        <v>1777615.02119398</v>
      </c>
    </row>
    <row r="76">
      <c r="A76" t="inlineStr">
        <is>
          <t>Q4.indicator</t>
        </is>
      </c>
      <c r="B76" t="inlineStr">
        <is>
          <t>NY.GDP.MKTP.KD.ZG</t>
        </is>
      </c>
    </row>
    <row r="77">
      <c r="A77" t="inlineStr">
        <is>
          <t>Q4.years</t>
        </is>
      </c>
      <c r="B77" t="inlineStr">
        <is>
          <t>[2000, 2024]</t>
        </is>
      </c>
    </row>
    <row r="78">
      <c r="A78" t="inlineStr">
        <is>
          <t>Q4.n_per_group</t>
        </is>
      </c>
      <c r="B78" t="n">
        <v>25</v>
      </c>
    </row>
    <row r="79">
      <c r="A79" t="inlineStr">
        <is>
          <t>Q4.means.VNM</t>
        </is>
      </c>
      <c r="B79" t="n">
        <v>6.327362792570037</v>
      </c>
    </row>
    <row r="80">
      <c r="A80" t="inlineStr">
        <is>
          <t>Q4.means.PHL</t>
        </is>
      </c>
      <c r="B80" t="n">
        <v>4.978529584817627</v>
      </c>
    </row>
    <row r="81">
      <c r="A81" t="inlineStr">
        <is>
          <t>Q4.means.IND</t>
        </is>
      </c>
      <c r="B81" t="n">
        <v>6.201656230327216</v>
      </c>
    </row>
    <row r="82">
      <c r="A82" t="inlineStr">
        <is>
          <t>Q4.sds.VNM</t>
        </is>
      </c>
      <c r="B82" t="n">
        <v>1.352763719024575</v>
      </c>
    </row>
    <row r="83">
      <c r="A83" t="inlineStr">
        <is>
          <t>Q4.sds.PHL</t>
        </is>
      </c>
      <c r="B83" t="n">
        <v>3.359894154761847</v>
      </c>
    </row>
    <row r="84">
      <c r="A84" t="inlineStr">
        <is>
          <t>Q4.sds.IND</t>
        </is>
      </c>
      <c r="B84" t="n">
        <v>3.034184762734212</v>
      </c>
    </row>
    <row r="85">
      <c r="A85" t="inlineStr">
        <is>
          <t>Q4.medians.VNM</t>
        </is>
      </c>
      <c r="B85" t="n">
        <v>6.69000892660424</v>
      </c>
    </row>
    <row r="86">
      <c r="A86" t="inlineStr">
        <is>
          <t>Q4.medians.PHL</t>
        </is>
      </c>
      <c r="B86" t="n">
        <v>5.71474526128652</v>
      </c>
    </row>
    <row r="87">
      <c r="A87" t="inlineStr">
        <is>
          <t>Q4.medians.IND</t>
        </is>
      </c>
      <c r="B87" t="n">
        <v>7.210224629335</v>
      </c>
    </row>
    <row r="88">
      <c r="A88" t="inlineStr">
        <is>
          <t>Q4.shapiro.VNM</t>
        </is>
      </c>
      <c r="B88" t="inlineStr">
        <is>
          <t>[0.8609835258451763, 0.0028672552212145644]</t>
        </is>
      </c>
    </row>
    <row r="89">
      <c r="A89" t="inlineStr">
        <is>
          <t>Q4.shapiro.PHL</t>
        </is>
      </c>
      <c r="B89" t="inlineStr">
        <is>
          <t>[0.5952534229203403, 3.7643123478894525e-07]</t>
        </is>
      </c>
    </row>
    <row r="90">
      <c r="A90" t="inlineStr">
        <is>
          <t>Q4.shapiro.IND</t>
        </is>
      </c>
      <c r="B90" t="inlineStr">
        <is>
          <t>[0.7205979303383419, 1.3972896693915786e-05]</t>
        </is>
      </c>
    </row>
    <row r="91">
      <c r="A91" t="inlineStr">
        <is>
          <t>Q4.levene</t>
        </is>
      </c>
      <c r="B91" t="inlineStr">
        <is>
          <t>[1.115857713413251, 0.3332329871096063]</t>
        </is>
      </c>
    </row>
    <row r="92">
      <c r="A92" t="inlineStr">
        <is>
          <t>Q4.bartlett</t>
        </is>
      </c>
      <c r="B92" t="inlineStr">
        <is>
          <t>[18.22173264290231, 0.00011045898068425008]</t>
        </is>
      </c>
    </row>
    <row r="93">
      <c r="A93" t="inlineStr">
        <is>
          <t>Q4.anova.F</t>
        </is>
      </c>
      <c r="B93" t="n">
        <v>1.865157739121589</v>
      </c>
    </row>
    <row r="94">
      <c r="A94" t="inlineStr">
        <is>
          <t>Q4.anova.p</t>
        </is>
      </c>
      <c r="B94" t="n">
        <v>0.162277494928574</v>
      </c>
    </row>
    <row r="95">
      <c r="A95" t="inlineStr">
        <is>
          <t>Q4.anova.ssb</t>
        </is>
      </c>
      <c r="B95" t="n">
        <v>27.75993294235085</v>
      </c>
    </row>
    <row r="96">
      <c r="A96" t="inlineStr">
        <is>
          <t>Q4.anova.ssw</t>
        </is>
      </c>
      <c r="B96" t="n">
        <v>535.8032540428919</v>
      </c>
    </row>
    <row r="97">
      <c r="A97" t="inlineStr">
        <is>
          <t>Q4.anova.df</t>
        </is>
      </c>
      <c r="B97" t="inlineStr">
        <is>
          <t>[2, 72]</t>
        </is>
      </c>
    </row>
    <row r="98">
      <c r="A98" t="inlineStr">
        <is>
          <t>Q4.anova.msb</t>
        </is>
      </c>
      <c r="B98" t="n">
        <v>13.87996647117543</v>
      </c>
    </row>
    <row r="99">
      <c r="A99" t="inlineStr">
        <is>
          <t>Q4.anova.msw</t>
        </is>
      </c>
      <c r="B99" t="n">
        <v>7.441711861706832</v>
      </c>
    </row>
    <row r="100">
      <c r="A100" t="inlineStr">
        <is>
          <t>Q4.anova.eta2</t>
        </is>
      </c>
      <c r="B100" t="n">
        <v>0.04925788905916909</v>
      </c>
    </row>
    <row r="101">
      <c r="A101" t="inlineStr">
        <is>
          <t>Q4.welch.F</t>
        </is>
      </c>
      <c r="B101" t="n">
        <v>1.709984406872304</v>
      </c>
    </row>
    <row r="102">
      <c r="A102" t="inlineStr">
        <is>
          <t>Q4.welch.df1</t>
        </is>
      </c>
      <c r="B102" t="n">
        <v>2</v>
      </c>
    </row>
    <row r="103">
      <c r="A103" t="inlineStr">
        <is>
          <t>Q4.welch.df2</t>
        </is>
      </c>
      <c r="B103" t="n">
        <v>40.62244920371306</v>
      </c>
    </row>
    <row r="104">
      <c r="A104" t="inlineStr">
        <is>
          <t>Q4.welch.p</t>
        </is>
      </c>
      <c r="B104" t="n">
        <v>0.1936303535900414</v>
      </c>
    </row>
    <row r="105">
      <c r="A105" t="inlineStr">
        <is>
          <t>Q4.kruskal.H</t>
        </is>
      </c>
      <c r="B105" t="n">
        <v>8.173305263157914</v>
      </c>
    </row>
    <row r="106">
      <c r="A106" t="inlineStr">
        <is>
          <t>Q4.kruskal.p</t>
        </is>
      </c>
      <c r="B106" t="n">
        <v>0.01679535982562673</v>
      </c>
    </row>
    <row r="107">
      <c r="A107" t="inlineStr">
        <is>
          <t>Q4.tukey</t>
        </is>
      </c>
      <c r="B107" t="inlineStr">
        <is>
          <t>[{"pair": "IND-PHL", "diff": -1.2231, "p_adj": 0.2585, "lo": -3.0696, "hi": 0.6234, "reject": false}, {"pair": "IND-VNM", "diff": 0.1257, "p_adj": 0.9855, "lo": -1.7208, "hi": 1.9722, "reject": false}, {"pair": "PHL-VNM", "diff": 1.3488, "p_adj": 0.1946, "lo": -0.4977, "hi": 3.1953, "reject": false}]</t>
        </is>
      </c>
    </row>
    <row r="108">
      <c r="A108" t="inlineStr">
        <is>
          <t>Q4.pairs</t>
        </is>
      </c>
      <c r="B108" t="inlineStr">
        <is>
          <t>[{"pair": "VNM-PHL", "mean_diff": 1.34883320775241, "welch_t": 1.8620023788658622, "p_raw": 0.0719304706975025, "mw_p": 0.03126242312068113, "p_holm": 0.2157914120925075}, {"pair": "VNM-IND", "mean_diff": 0.12570656224282128, "welch_t": 0.1891983092327926, "p_raw": 0.8510900504519364, "mw_p": 0.2143168580185959, "p_holm": 0.8510900504519364}, {"pair": "PHL-IND", "mean_diff": -1.2231266455095886, "welch_t": -1.3508767046232848, "p_raw": 0.18313391760010675, "mw_p": 0.013007466607958674, "p_holm": 0.3662678352002135}]</t>
        </is>
      </c>
    </row>
    <row r="109">
      <c r="A109" t="inlineStr">
        <is>
          <t>Q4.dunn</t>
        </is>
      </c>
      <c r="B109" t="inlineStr">
        <is>
          <t>[{"pair": "VNM-PHL", "mean_rank_diff": 11.480000000000004, "z": 1.8623019145811548, "p_raw": 0.06256054577019432, "p_holm": 0.12512109154038864}, {"pair": "VNM-IND", "mean_rank_diff": -5.839999999999996, "z": -0.9473730994036527, "p_raw": 0.34344869374272813, "p_holm": 0.34344869374272813}, {"pair": "PHL-IND", "mean_rank_diff": -17.32, "z": -2.8096750139848075, "p_raw": 0.0049591547974172645, "p_holm": 0.014877464392251794}]</t>
        </is>
      </c>
    </row>
    <row r="110">
      <c r="A110" t="inlineStr">
        <is>
          <t>Q4.mean_ranks.IND</t>
        </is>
      </c>
      <c r="B110" t="n">
        <v>45.72</v>
      </c>
    </row>
    <row r="111">
      <c r="A111" t="inlineStr">
        <is>
          <t>Q4.mean_ranks.PHL</t>
        </is>
      </c>
      <c r="B111" t="n">
        <v>28.4</v>
      </c>
    </row>
    <row r="112">
      <c r="A112" t="inlineStr">
        <is>
          <t>Q4.mean_ranks.VNM</t>
        </is>
      </c>
      <c r="B112" t="n">
        <v>39.88</v>
      </c>
    </row>
    <row r="113">
      <c r="A113" t="inlineStr">
        <is>
          <t>Q4.lag1_autocorr.VNM</t>
        </is>
      </c>
      <c r="B113" t="n">
        <v>0.08049681442475599</v>
      </c>
    </row>
    <row r="114">
      <c r="A114" t="inlineStr">
        <is>
          <t>Q4.lag1_autocorr.PHL</t>
        </is>
      </c>
      <c r="B114" t="n">
        <v>-0.04475073984731155</v>
      </c>
    </row>
    <row r="115">
      <c r="A115" t="inlineStr">
        <is>
          <t>Q4.lag1_autocorr.IND</t>
        </is>
      </c>
      <c r="B115" t="n">
        <v>0.03260303766708534</v>
      </c>
    </row>
    <row r="116">
      <c r="A116" t="inlineStr">
        <is>
          <t>Q4.ex_covid.F</t>
        </is>
      </c>
      <c r="B116" t="n">
        <v>4.15475166110441</v>
      </c>
    </row>
    <row r="117">
      <c r="A117" t="inlineStr">
        <is>
          <t>Q4.ex_covid.p</t>
        </is>
      </c>
      <c r="B117" t="n">
        <v>0.01997496565897242</v>
      </c>
    </row>
    <row r="118">
      <c r="A118" t="inlineStr">
        <is>
          <t>Q4.ex_covid.H</t>
        </is>
      </c>
      <c r="B118" t="n">
        <v>8.621550094518</v>
      </c>
    </row>
    <row r="119">
      <c r="A119" t="inlineStr">
        <is>
          <t>Q4.ex_covid.p_kw</t>
        </is>
      </c>
      <c r="B119" t="n">
        <v>0.01342314199216637</v>
      </c>
    </row>
    <row r="120">
      <c r="A120" t="inlineStr">
        <is>
          <t>Q4.ex_covid.means.VNM</t>
        </is>
      </c>
      <c r="B120" t="n">
        <v>6.641953394723778</v>
      </c>
    </row>
    <row r="121">
      <c r="A121" t="inlineStr">
        <is>
          <t>Q4.ex_covid.means.PHL</t>
        </is>
      </c>
      <c r="B121" t="n">
        <v>5.576817444740978</v>
      </c>
    </row>
    <row r="122">
      <c r="A122" t="inlineStr">
        <is>
          <t>Q4.ex_covid.means.IND</t>
        </is>
      </c>
      <c r="B122" t="n">
        <v>6.570849477092868</v>
      </c>
    </row>
    <row r="123">
      <c r="A123" t="inlineStr">
        <is>
          <t>Q4.friedman.chi2</t>
        </is>
      </c>
      <c r="B123" t="n">
        <v>10.31999999999999</v>
      </c>
    </row>
    <row r="124">
      <c r="A124" t="inlineStr">
        <is>
          <t>Q4.friedman.p</t>
        </is>
      </c>
      <c r="B124" t="n">
        <v>0.005741699685654225</v>
      </c>
    </row>
    <row r="125">
      <c r="A125" t="inlineStr">
        <is>
          <t>Q4.friedman.df</t>
        </is>
      </c>
      <c r="B125" t="n">
        <v>2</v>
      </c>
    </row>
    <row r="126">
      <c r="A126" t="inlineStr">
        <is>
          <t>Q4.friedman.blocks</t>
        </is>
      </c>
      <c r="B126" t="n">
        <v>25</v>
      </c>
    </row>
    <row r="127">
      <c r="A127" t="inlineStr">
        <is>
          <t>Q4.friedman.mean_ranks.VNM</t>
        </is>
      </c>
      <c r="B127" t="n">
        <v>2.2</v>
      </c>
    </row>
    <row r="128">
      <c r="A128" t="inlineStr">
        <is>
          <t>Q4.friedman.mean_ranks.PHL</t>
        </is>
      </c>
      <c r="B128" t="n">
        <v>1.48</v>
      </c>
    </row>
    <row r="129">
      <c r="A129" t="inlineStr">
        <is>
          <t>Q4.friedman.mean_ranks.IND</t>
        </is>
      </c>
      <c r="B129" t="n">
        <v>2.32</v>
      </c>
    </row>
    <row r="130">
      <c r="A130" t="inlineStr">
        <is>
          <t>Q5.n</t>
        </is>
      </c>
      <c r="B130" t="n">
        <v>30</v>
      </c>
    </row>
    <row r="131">
      <c r="A131" t="inlineStr">
        <is>
          <t>Q5.years</t>
        </is>
      </c>
      <c r="B131" t="inlineStr">
        <is>
          <t>[1996, 2025]</t>
        </is>
      </c>
    </row>
    <row r="132">
      <c r="A132" t="inlineStr">
        <is>
          <t>Q5.m1.coefs.const.b</t>
        </is>
      </c>
      <c r="B132" t="n">
        <v>7.212019722821104</v>
      </c>
    </row>
    <row r="133">
      <c r="A133" t="inlineStr">
        <is>
          <t>Q5.m1.coefs.const.se</t>
        </is>
      </c>
      <c r="B133" t="n">
        <v>3.334437385148578</v>
      </c>
    </row>
    <row r="134">
      <c r="A134" t="inlineStr">
        <is>
          <t>Q5.m1.coefs.const.t</t>
        </is>
      </c>
      <c r="B134" t="n">
        <v>2.162889534211405</v>
      </c>
    </row>
    <row r="135">
      <c r="A135" t="inlineStr">
        <is>
          <t>Q5.m1.coefs.const.p</t>
        </is>
      </c>
      <c r="B135" t="n">
        <v>0.03957042000089311</v>
      </c>
    </row>
    <row r="136">
      <c r="A136" t="inlineStr">
        <is>
          <t>Q5.m1.coefs.Investment_pctGDP.b</t>
        </is>
      </c>
      <c r="B136" t="n">
        <v>-0.0217621222408393</v>
      </c>
    </row>
    <row r="137">
      <c r="A137" t="inlineStr">
        <is>
          <t>Q5.m1.coefs.Investment_pctGDP.se</t>
        </is>
      </c>
      <c r="B137" t="n">
        <v>0.1064370334643586</v>
      </c>
    </row>
    <row r="138">
      <c r="A138" t="inlineStr">
        <is>
          <t>Q5.m1.coefs.Investment_pctGDP.t</t>
        </is>
      </c>
      <c r="B138" t="n">
        <v>-0.2044600599294845</v>
      </c>
    </row>
    <row r="139">
      <c r="A139" t="inlineStr">
        <is>
          <t>Q5.m1.coefs.Investment_pctGDP.p</t>
        </is>
      </c>
      <c r="B139" t="n">
        <v>0.8395274398209296</v>
      </c>
    </row>
    <row r="140">
      <c r="A140" t="inlineStr">
        <is>
          <t>Q5.m1.coefs.Inflation.b</t>
        </is>
      </c>
      <c r="B140" t="n">
        <v>-0.006083044678512579</v>
      </c>
    </row>
    <row r="141">
      <c r="A141" t="inlineStr">
        <is>
          <t>Q5.m1.coefs.Inflation.se</t>
        </is>
      </c>
      <c r="B141" t="n">
        <v>0.06072460087050683</v>
      </c>
    </row>
    <row r="142">
      <c r="A142" t="inlineStr">
        <is>
          <t>Q5.m1.coefs.Inflation.t</t>
        </is>
      </c>
      <c r="B142" t="n">
        <v>-0.1001743048337933</v>
      </c>
    </row>
    <row r="143">
      <c r="A143" t="inlineStr">
        <is>
          <t>Q5.m1.coefs.Inflation.p</t>
        </is>
      </c>
      <c r="B143" t="n">
        <v>0.9209460770435896</v>
      </c>
    </row>
    <row r="144">
      <c r="A144" t="inlineStr">
        <is>
          <t>Q5.m1.hac_p.const</t>
        </is>
      </c>
      <c r="B144" t="n">
        <v>0.03197263197359169</v>
      </c>
    </row>
    <row r="145">
      <c r="A145" t="inlineStr">
        <is>
          <t>Q5.m1.hac_p.Investment_pctGDP</t>
        </is>
      </c>
      <c r="B145" t="n">
        <v>0.8302903123084108</v>
      </c>
    </row>
    <row r="146">
      <c r="A146" t="inlineStr">
        <is>
          <t>Q5.m1.hac_p.Inflation</t>
        </is>
      </c>
      <c r="B146" t="n">
        <v>0.8787856426708862</v>
      </c>
    </row>
    <row r="147">
      <c r="A147" t="inlineStr">
        <is>
          <t>Q5.m1.F</t>
        </is>
      </c>
      <c r="B147" t="n">
        <v>0.04053424212949186</v>
      </c>
    </row>
    <row r="148">
      <c r="A148" t="inlineStr">
        <is>
          <t>Q5.m1.F_p</t>
        </is>
      </c>
      <c r="B148" t="n">
        <v>0.9603346025791247</v>
      </c>
    </row>
    <row r="149">
      <c r="A149" t="inlineStr">
        <is>
          <t>Q5.m1.r2</t>
        </is>
      </c>
      <c r="B149" t="n">
        <v>0.002993548216389863</v>
      </c>
    </row>
    <row r="150">
      <c r="A150" t="inlineStr">
        <is>
          <t>Q5.m1.adj_r2</t>
        </is>
      </c>
      <c r="B150" t="n">
        <v>-0.07085878154535918</v>
      </c>
    </row>
    <row r="151">
      <c r="A151" t="inlineStr">
        <is>
          <t>Q5.m1.aic</t>
        </is>
      </c>
      <c r="B151" t="n">
        <v>112.4682822688367</v>
      </c>
    </row>
    <row r="152">
      <c r="A152" t="inlineStr">
        <is>
          <t>Q5.m1.bic</t>
        </is>
      </c>
      <c r="B152" t="n">
        <v>116.6718744138232</v>
      </c>
    </row>
    <row r="153">
      <c r="A153" t="inlineStr">
        <is>
          <t>Q5.m1.rmse</t>
        </is>
      </c>
      <c r="B153" t="n">
        <v>1.504127650263561</v>
      </c>
    </row>
    <row r="154">
      <c r="A154" t="inlineStr">
        <is>
          <t>Q5.m1.dfres</t>
        </is>
      </c>
      <c r="B154" t="n">
        <v>27</v>
      </c>
    </row>
    <row r="155">
      <c r="A155" t="inlineStr">
        <is>
          <t>Q5.vif.Investment_pctGDP</t>
        </is>
      </c>
      <c r="B155" t="n">
        <v>1.189122105493237</v>
      </c>
    </row>
    <row r="156">
      <c r="A156" t="inlineStr">
        <is>
          <t>Q5.vif.Inflation</t>
        </is>
      </c>
      <c r="B156" t="n">
        <v>1.189122105493237</v>
      </c>
    </row>
    <row r="157">
      <c r="A157" t="inlineStr">
        <is>
          <t>Q5.bp</t>
        </is>
      </c>
      <c r="B157" t="inlineStr">
        <is>
          <t>[1.3321861286018244, 0.5137117007850063]</t>
        </is>
      </c>
    </row>
    <row r="158">
      <c r="A158" t="inlineStr">
        <is>
          <t>Q5.bg</t>
        </is>
      </c>
      <c r="B158" t="inlineStr">
        <is>
          <t>[0.783029896240427, 0.37621608870706524]</t>
        </is>
      </c>
    </row>
    <row r="159">
      <c r="A159" t="inlineStr">
        <is>
          <t>Q5.dw</t>
        </is>
      </c>
      <c r="B159" t="n">
        <v>1.529141297174234</v>
      </c>
    </row>
    <row r="160">
      <c r="A160" t="inlineStr">
        <is>
          <t>Q5.shapiro_resid</t>
        </is>
      </c>
      <c r="B160" t="inlineStr">
        <is>
          <t>[0.9352267848096714, 0.06769856294255723]</t>
        </is>
      </c>
    </row>
    <row r="161">
      <c r="A161" t="inlineStr">
        <is>
          <t>Q5.jb_resid</t>
        </is>
      </c>
      <c r="B161" t="inlineStr">
        <is>
          <t>[5.969238901691357, 0.050558739974440686]</t>
        </is>
      </c>
    </row>
    <row r="162">
      <c r="A162" t="inlineStr">
        <is>
          <t>Q5.corr.GDP_growth.GDP_growth</t>
        </is>
      </c>
      <c r="B162" t="n">
        <v>1</v>
      </c>
    </row>
    <row r="163">
      <c r="A163" t="inlineStr">
        <is>
          <t>Q5.corr.GDP_growth.Investment_pctGDP</t>
        </is>
      </c>
      <c r="B163" t="n">
        <v>-0.051</v>
      </c>
    </row>
    <row r="164">
      <c r="A164" t="inlineStr">
        <is>
          <t>Q5.corr.GDP_growth.Inflation</t>
        </is>
      </c>
      <c r="B164" t="n">
        <v>-0.038</v>
      </c>
    </row>
    <row r="165">
      <c r="A165" t="inlineStr">
        <is>
          <t>Q5.corr.Investment_pctGDP.GDP_growth</t>
        </is>
      </c>
      <c r="B165" t="n">
        <v>-0.051</v>
      </c>
    </row>
    <row r="166">
      <c r="A166" t="inlineStr">
        <is>
          <t>Q5.corr.Investment_pctGDP.Investment_pctGDP</t>
        </is>
      </c>
      <c r="B166" t="n">
        <v>1</v>
      </c>
    </row>
    <row r="167">
      <c r="A167" t="inlineStr">
        <is>
          <t>Q5.corr.Investment_pctGDP.Inflation</t>
        </is>
      </c>
      <c r="B167" t="n">
        <v>0.399</v>
      </c>
    </row>
    <row r="168">
      <c r="A168" t="inlineStr">
        <is>
          <t>Q5.corr.Inflation.GDP_growth</t>
        </is>
      </c>
      <c r="B168" t="n">
        <v>-0.038</v>
      </c>
    </row>
    <row r="169">
      <c r="A169" t="inlineStr">
        <is>
          <t>Q5.corr.Inflation.Investment_pctGDP</t>
        </is>
      </c>
      <c r="B169" t="n">
        <v>0.399</v>
      </c>
    </row>
    <row r="170">
      <c r="A170" t="inlineStr">
        <is>
          <t>Q5.corr.Inflation.Inflation</t>
        </is>
      </c>
      <c r="B170" t="n">
        <v>1</v>
      </c>
    </row>
    <row r="171">
      <c r="A171" t="inlineStr">
        <is>
          <t>Q5.max_cooks</t>
        </is>
      </c>
      <c r="B171" t="n">
        <v>0.1848877744169465</v>
      </c>
    </row>
    <row r="172">
      <c r="A172" t="inlineStr">
        <is>
          <t>Q5.max_cooks_year</t>
        </is>
      </c>
      <c r="B172" t="n">
        <v>1996</v>
      </c>
    </row>
    <row r="173">
      <c r="A173" t="inlineStr">
        <is>
          <t>Q5.m2.coefs.const.b</t>
        </is>
      </c>
      <c r="B173" t="n">
        <v>7.583118003064126</v>
      </c>
    </row>
    <row r="174">
      <c r="A174" t="inlineStr">
        <is>
          <t>Q5.m2.coefs.const.se</t>
        </is>
      </c>
      <c r="B174" t="n">
        <v>3.548225050174953</v>
      </c>
    </row>
    <row r="175">
      <c r="A175" t="inlineStr">
        <is>
          <t>Q5.m2.coefs.const.t</t>
        </is>
      </c>
      <c r="B175" t="n">
        <v>2.137158127185372</v>
      </c>
    </row>
    <row r="176">
      <c r="A176" t="inlineStr">
        <is>
          <t>Q5.m2.coefs.const.p</t>
        </is>
      </c>
      <c r="B176" t="n">
        <v>0.04215979966784206</v>
      </c>
    </row>
    <row r="177">
      <c r="A177" t="inlineStr">
        <is>
          <t>Q5.m2.coefs.Investment_pctGDP.b</t>
        </is>
      </c>
      <c r="B177" t="n">
        <v>-0.03085580981016513</v>
      </c>
    </row>
    <row r="178">
      <c r="A178" t="inlineStr">
        <is>
          <t>Q5.m2.coefs.Investment_pctGDP.se</t>
        </is>
      </c>
      <c r="B178" t="n">
        <v>0.1085387359682805</v>
      </c>
    </row>
    <row r="179">
      <c r="A179" t="inlineStr">
        <is>
          <t>Q5.m2.coefs.Investment_pctGDP.t</t>
        </is>
      </c>
      <c r="B179" t="n">
        <v>-0.2842838506907106</v>
      </c>
    </row>
    <row r="180">
      <c r="A180" t="inlineStr">
        <is>
          <t>Q5.m2.coefs.Investment_pctGDP.p</t>
        </is>
      </c>
      <c r="B180" t="n">
        <v>0.7784447263265224</v>
      </c>
    </row>
    <row r="181">
      <c r="A181" t="inlineStr">
        <is>
          <t>Q5.m2.coefs.Inflation_c.b</t>
        </is>
      </c>
      <c r="B181" t="n">
        <v>0.03935051254266422</v>
      </c>
    </row>
    <row r="182">
      <c r="A182" t="inlineStr">
        <is>
          <t>Q5.m2.coefs.Inflation_c.se</t>
        </is>
      </c>
      <c r="B182" t="n">
        <v>0.09362178414593562</v>
      </c>
    </row>
    <row r="183">
      <c r="A183" t="inlineStr">
        <is>
          <t>Q5.m2.coefs.Inflation_c.t</t>
        </is>
      </c>
      <c r="B183" t="n">
        <v>0.4203136364216846</v>
      </c>
    </row>
    <row r="184">
      <c r="A184" t="inlineStr">
        <is>
          <t>Q5.m2.coefs.Inflation_c.p</t>
        </is>
      </c>
      <c r="B184" t="n">
        <v>0.6777098629562963</v>
      </c>
    </row>
    <row r="185">
      <c r="A185" t="inlineStr">
        <is>
          <t>Q5.m2.coefs.Inflation_c_sq.b</t>
        </is>
      </c>
      <c r="B185" t="n">
        <v>-0.004548710106056114</v>
      </c>
    </row>
    <row r="186">
      <c r="A186" t="inlineStr">
        <is>
          <t>Q5.m2.coefs.Inflation_c_sq.se</t>
        </is>
      </c>
      <c r="B186" t="n">
        <v>0.007076313829091677</v>
      </c>
    </row>
    <row r="187">
      <c r="A187" t="inlineStr">
        <is>
          <t>Q5.m2.coefs.Inflation_c_sq.t</t>
        </is>
      </c>
      <c r="B187" t="n">
        <v>-0.6428078539077444</v>
      </c>
    </row>
    <row r="188">
      <c r="A188" t="inlineStr">
        <is>
          <t>Q5.m2.coefs.Inflation_c_sq.p</t>
        </is>
      </c>
      <c r="B188" t="n">
        <v>0.5259774929608272</v>
      </c>
    </row>
    <row r="189">
      <c r="A189" t="inlineStr">
        <is>
          <t>Q5.m2.r2</t>
        </is>
      </c>
      <c r="B189" t="n">
        <v>0.01859048334397173</v>
      </c>
    </row>
    <row r="190">
      <c r="A190" t="inlineStr">
        <is>
          <t>Q5.m2.adj_r2</t>
        </is>
      </c>
      <c r="B190" t="n">
        <v>-0.09464907627018548</v>
      </c>
    </row>
    <row r="191">
      <c r="A191" t="inlineStr">
        <is>
          <t>Q5.m2.aic</t>
        </is>
      </c>
      <c r="B191" t="n">
        <v>113.9952596535757</v>
      </c>
    </row>
    <row r="192">
      <c r="A192" t="inlineStr">
        <is>
          <t>Q5.m2.bic</t>
        </is>
      </c>
      <c r="B192" t="n">
        <v>119.6000491802243</v>
      </c>
    </row>
    <row r="193">
      <c r="A193" t="inlineStr">
        <is>
          <t>Q5.m2.F</t>
        </is>
      </c>
      <c r="B193" t="n">
        <v>0.1641695129097582</v>
      </c>
    </row>
    <row r="194">
      <c r="A194" t="inlineStr">
        <is>
          <t>Q5.m2.F_p</t>
        </is>
      </c>
      <c r="B194" t="n">
        <v>0.9195231336368359</v>
      </c>
    </row>
    <row r="195">
      <c r="A195" t="inlineStr">
        <is>
          <t>Q5.m2.nested_F</t>
        </is>
      </c>
      <c r="B195" t="n">
        <v>0.4132019370454698</v>
      </c>
    </row>
    <row r="196">
      <c r="A196" t="inlineStr">
        <is>
          <t>Q5.m2.nested_p</t>
        </is>
      </c>
      <c r="B196" t="n">
        <v>0.5259774929608324</v>
      </c>
    </row>
    <row r="197">
      <c r="A197" t="inlineStr">
        <is>
          <t>Q5.m3.coefs.const.b</t>
        </is>
      </c>
      <c r="B197" t="n">
        <v>6.390382006556685</v>
      </c>
    </row>
    <row r="198">
      <c r="A198" t="inlineStr">
        <is>
          <t>Q5.m3.coefs.const.se</t>
        </is>
      </c>
      <c r="B198" t="n">
        <v>0.472527866803403</v>
      </c>
    </row>
    <row r="199">
      <c r="A199" t="inlineStr">
        <is>
          <t>Q5.m3.coefs.const.t</t>
        </is>
      </c>
      <c r="B199" t="n">
        <v>13.52382040404704</v>
      </c>
    </row>
    <row r="200">
      <c r="A200" t="inlineStr">
        <is>
          <t>Q5.m3.coefs.const.p</t>
        </is>
      </c>
      <c r="B200" t="n">
        <v>2.835212582341137e-13</v>
      </c>
    </row>
    <row r="201">
      <c r="A201" t="inlineStr">
        <is>
          <t>Q5.m3.coefs.Inv_c.b</t>
        </is>
      </c>
      <c r="B201" t="n">
        <v>-0.04946985634768958</v>
      </c>
    </row>
    <row r="202">
      <c r="A202" t="inlineStr">
        <is>
          <t>Q5.m3.coefs.Inv_c.se</t>
        </is>
      </c>
      <c r="B202" t="n">
        <v>0.115247951793911</v>
      </c>
    </row>
    <row r="203">
      <c r="A203" t="inlineStr">
        <is>
          <t>Q5.m3.coefs.Inv_c.t</t>
        </is>
      </c>
      <c r="B203" t="n">
        <v>-0.4292471629877873</v>
      </c>
    </row>
    <row r="204">
      <c r="A204" t="inlineStr">
        <is>
          <t>Q5.m3.coefs.Inv_c.p</t>
        </is>
      </c>
      <c r="B204" t="n">
        <v>0.6712794513246905</v>
      </c>
    </row>
    <row r="205">
      <c r="A205" t="inlineStr">
        <is>
          <t>Q5.m3.coefs.Inv_c_sq.b</t>
        </is>
      </c>
      <c r="B205" t="n">
        <v>0.01857037045679888</v>
      </c>
    </row>
    <row r="206">
      <c r="A206" t="inlineStr">
        <is>
          <t>Q5.m3.coefs.Inv_c_sq.se</t>
        </is>
      </c>
      <c r="B206" t="n">
        <v>0.02776763932173444</v>
      </c>
    </row>
    <row r="207">
      <c r="A207" t="inlineStr">
        <is>
          <t>Q5.m3.coefs.Inv_c_sq.t</t>
        </is>
      </c>
      <c r="B207" t="n">
        <v>0.6687774297854473</v>
      </c>
    </row>
    <row r="208">
      <c r="A208" t="inlineStr">
        <is>
          <t>Q5.m3.coefs.Inv_c_sq.p</t>
        </is>
      </c>
      <c r="B208" t="n">
        <v>0.5095323461769874</v>
      </c>
    </row>
    <row r="209">
      <c r="A209" t="inlineStr">
        <is>
          <t>Q5.m3.coefs.Inflation.b</t>
        </is>
      </c>
      <c r="B209" t="n">
        <v>-0.01137318376933774</v>
      </c>
    </row>
    <row r="210">
      <c r="A210" t="inlineStr">
        <is>
          <t>Q5.m3.coefs.Inflation.se</t>
        </is>
      </c>
      <c r="B210" t="n">
        <v>0.06186367735139325</v>
      </c>
    </row>
    <row r="211">
      <c r="A211" t="inlineStr">
        <is>
          <t>Q5.m3.coefs.Inflation.t</t>
        </is>
      </c>
      <c r="B211" t="n">
        <v>-0.1838426724091533</v>
      </c>
    </row>
    <row r="212">
      <c r="A212" t="inlineStr">
        <is>
          <t>Q5.m3.coefs.Inflation.p</t>
        </is>
      </c>
      <c r="B212" t="n">
        <v>0.8555631712602534</v>
      </c>
    </row>
    <row r="213">
      <c r="A213" t="inlineStr">
        <is>
          <t>Q5.m3.r2</t>
        </is>
      </c>
      <c r="B213" t="n">
        <v>0.01985443632640682</v>
      </c>
    </row>
    <row r="214">
      <c r="A214" t="inlineStr">
        <is>
          <t>Q5.m3.adj_r2</t>
        </is>
      </c>
      <c r="B214" t="n">
        <v>-0.09323928255900782</v>
      </c>
    </row>
    <row r="215">
      <c r="A215" t="inlineStr">
        <is>
          <t>Q5.m3.aic</t>
        </is>
      </c>
      <c r="B215" t="n">
        <v>113.9565978845524</v>
      </c>
    </row>
    <row r="216">
      <c r="A216" t="inlineStr">
        <is>
          <t>Q5.m3.nested_F</t>
        </is>
      </c>
      <c r="B216" t="n">
        <v>0.4472632505904322</v>
      </c>
    </row>
    <row r="217">
      <c r="A217" t="inlineStr">
        <is>
          <t>Q5.m3.nested_p</t>
        </is>
      </c>
      <c r="B217" t="n">
        <v>0.5095323461769858</v>
      </c>
    </row>
    <row r="218">
      <c r="A218" t="inlineStr">
        <is>
          <t>Q5.ex_covid.coefs.const.b</t>
        </is>
      </c>
      <c r="B218" t="n">
        <v>6.675120462737279</v>
      </c>
    </row>
    <row r="219">
      <c r="A219" t="inlineStr">
        <is>
          <t>Q5.ex_covid.coefs.const.se</t>
        </is>
      </c>
      <c r="B219" t="n">
        <v>2.407737961754307</v>
      </c>
    </row>
    <row r="220">
      <c r="A220" t="inlineStr">
        <is>
          <t>Q5.ex_covid.coefs.const.t</t>
        </is>
      </c>
      <c r="B220" t="n">
        <v>2.772361680867342</v>
      </c>
    </row>
    <row r="221">
      <c r="A221" t="inlineStr">
        <is>
          <t>Q5.ex_covid.coefs.const.p</t>
        </is>
      </c>
      <c r="B221" t="n">
        <v>0.01035904104505086</v>
      </c>
    </row>
    <row r="222">
      <c r="A222" t="inlineStr">
        <is>
          <t>Q5.ex_covid.coefs.Investment_pctGDP.b</t>
        </is>
      </c>
      <c r="B222" t="n">
        <v>0.01070979010684259</v>
      </c>
    </row>
    <row r="223">
      <c r="A223" t="inlineStr">
        <is>
          <t>Q5.ex_covid.coefs.Investment_pctGDP.se</t>
        </is>
      </c>
      <c r="B223" t="n">
        <v>0.07705015177899695</v>
      </c>
    </row>
    <row r="224">
      <c r="A224" t="inlineStr">
        <is>
          <t>Q5.ex_covid.coefs.Investment_pctGDP.t</t>
        </is>
      </c>
      <c r="B224" t="n">
        <v>0.1389976510047831</v>
      </c>
    </row>
    <row r="225">
      <c r="A225" t="inlineStr">
        <is>
          <t>Q5.ex_covid.coefs.Investment_pctGDP.p</t>
        </is>
      </c>
      <c r="B225" t="n">
        <v>0.8905656595548881</v>
      </c>
    </row>
    <row r="226">
      <c r="A226" t="inlineStr">
        <is>
          <t>Q5.ex_covid.coefs.Inflation.b</t>
        </is>
      </c>
      <c r="B226" t="n">
        <v>-0.04837868999572362</v>
      </c>
    </row>
    <row r="227">
      <c r="A227" t="inlineStr">
        <is>
          <t>Q5.ex_covid.coefs.Inflation.se</t>
        </is>
      </c>
      <c r="B227" t="n">
        <v>0.04453859243095652</v>
      </c>
    </row>
    <row r="228">
      <c r="A228" t="inlineStr">
        <is>
          <t>Q5.ex_covid.coefs.Inflation.t</t>
        </is>
      </c>
      <c r="B228" t="n">
        <v>-1.086219553766096</v>
      </c>
    </row>
    <row r="229">
      <c r="A229" t="inlineStr">
        <is>
          <t>Q5.ex_covid.coefs.Inflation.p</t>
        </is>
      </c>
      <c r="B229" t="n">
        <v>0.2877448195357076</v>
      </c>
    </row>
    <row r="230">
      <c r="A230" t="inlineStr">
        <is>
          <t>Q5.ex_covid.r2</t>
        </is>
      </c>
      <c r="B230" t="n">
        <v>0.04908311344630489</v>
      </c>
    </row>
    <row r="231">
      <c r="A231" t="inlineStr">
        <is>
          <t>Q5.ex_covid.n</t>
        </is>
      </c>
      <c r="B231" t="n">
        <v>28</v>
      </c>
    </row>
    <row r="232">
      <c r="A232" t="inlineStr">
        <is>
          <t>Q5.infl_mean</t>
        </is>
      </c>
      <c r="B232" t="n">
        <v>5.53447544826616</v>
      </c>
    </row>
    <row r="233">
      <c r="A233" t="inlineStr">
        <is>
          <t>Q6.n</t>
        </is>
      </c>
      <c r="B233" t="n">
        <v>40</v>
      </c>
    </row>
    <row r="234">
      <c r="A234" t="inlineStr">
        <is>
          <t>Q6.years</t>
        </is>
      </c>
      <c r="B234" t="inlineStr">
        <is>
          <t>[1986, 2025]</t>
        </is>
      </c>
    </row>
    <row r="235">
      <c r="A235" t="inlineStr">
        <is>
          <t>Q6.holdout_years</t>
        </is>
      </c>
      <c r="B235" t="inlineStr">
        <is>
          <t>[2021, 2025]</t>
        </is>
      </c>
    </row>
    <row r="236">
      <c r="A236" t="inlineStr">
        <is>
          <t>Q6.eval.linear_trend.MAE</t>
        </is>
      </c>
      <c r="B236" t="n">
        <v>182.8697529316128</v>
      </c>
    </row>
    <row r="237">
      <c r="A237" t="inlineStr">
        <is>
          <t>Q6.eval.linear_trend.MAPE</t>
        </is>
      </c>
      <c r="B237" t="n">
        <v>44.14353094387712</v>
      </c>
    </row>
    <row r="238">
      <c r="A238" t="inlineStr">
        <is>
          <t>Q6.eval.linear_trend.RMSE</t>
        </is>
      </c>
      <c r="B238" t="n">
        <v>188.5410550823175</v>
      </c>
    </row>
    <row r="239">
      <c r="A239" t="inlineStr">
        <is>
          <t>Q6.eval.MA3_flat.MAE</t>
        </is>
      </c>
      <c r="B239" t="n">
        <v>128.6450446811563</v>
      </c>
    </row>
    <row r="240">
      <c r="A240" t="inlineStr">
        <is>
          <t>Q6.eval.MA3_flat.MAPE</t>
        </is>
      </c>
      <c r="B240" t="n">
        <v>30.30414500347994</v>
      </c>
    </row>
    <row r="241">
      <c r="A241" t="inlineStr">
        <is>
          <t>Q6.eval.MA3_flat.RMSE</t>
        </is>
      </c>
      <c r="B241" t="n">
        <v>140.2361657460708</v>
      </c>
    </row>
    <row r="242">
      <c r="A242" t="inlineStr">
        <is>
          <t>Q6.eval.MA3_rolling_1step.MAE</t>
        </is>
      </c>
      <c r="B242" t="n">
        <v>69.56685380817427</v>
      </c>
    </row>
    <row r="243">
      <c r="A243" t="inlineStr">
        <is>
          <t>Q6.eval.MA3_rolling_1step.MAPE</t>
        </is>
      </c>
      <c r="B243" t="n">
        <v>16.82804096731707</v>
      </c>
    </row>
    <row r="244">
      <c r="A244" t="inlineStr">
        <is>
          <t>Q6.eval.MA3_rolling_1step.RMSE</t>
        </is>
      </c>
      <c r="B244" t="n">
        <v>73.57830428486483</v>
      </c>
    </row>
    <row r="245">
      <c r="A245" t="inlineStr">
        <is>
          <t>Q6.eval.loglinear_trend.MAE</t>
        </is>
      </c>
      <c r="B245" t="n">
        <v>295.6743868119644</v>
      </c>
    </row>
    <row r="246">
      <c r="A246" t="inlineStr">
        <is>
          <t>Q6.eval.loglinear_trend.MAPE</t>
        </is>
      </c>
      <c r="B246" t="n">
        <v>70.40765591903062</v>
      </c>
    </row>
    <row r="247">
      <c r="A247" t="inlineStr">
        <is>
          <t>Q6.eval.loglinear_trend.RMSE</t>
        </is>
      </c>
      <c r="B247" t="n">
        <v>316.6975282795975</v>
      </c>
    </row>
    <row r="248">
      <c r="A248" t="inlineStr">
        <is>
          <t>Q6.eval.naive_last.MAE</t>
        </is>
      </c>
      <c r="B248" t="n">
        <v>115.8384466226916</v>
      </c>
    </row>
    <row r="249">
      <c r="A249" t="inlineStr">
        <is>
          <t>Q6.eval.naive_last.MAPE</t>
        </is>
      </c>
      <c r="B249" t="n">
        <v>27.11268268703527</v>
      </c>
    </row>
    <row r="250">
      <c r="A250" t="inlineStr">
        <is>
          <t>Q6.eval.naive_last.RMSE</t>
        </is>
      </c>
      <c r="B250" t="n">
        <v>128.5891923067444</v>
      </c>
    </row>
    <row r="251">
      <c r="A251" t="inlineStr">
        <is>
          <t>Q6.eval.linear_trend_last10y.MAE</t>
        </is>
      </c>
      <c r="B251" t="n">
        <v>46.86612237492302</v>
      </c>
    </row>
    <row r="252">
      <c r="A252" t="inlineStr">
        <is>
          <t>Q6.eval.linear_trend_last10y.MAPE</t>
        </is>
      </c>
      <c r="B252" t="n">
        <v>10.85492058756171</v>
      </c>
    </row>
    <row r="253">
      <c r="A253" t="inlineStr">
        <is>
          <t>Q6.eval.linear_trend_last10y.RMSE</t>
        </is>
      </c>
      <c r="B253" t="n">
        <v>55.29676763705434</v>
      </c>
    </row>
    <row r="254">
      <c r="A254" t="inlineStr">
        <is>
          <t>Q6.eval.damped_Holt.MAE</t>
        </is>
      </c>
      <c r="B254" t="n">
        <v>60.40874447440491</v>
      </c>
    </row>
    <row r="255">
      <c r="A255" t="inlineStr">
        <is>
          <t>Q6.eval.damped_Holt.MAPE</t>
        </is>
      </c>
      <c r="B255" t="n">
        <v>14.07793342233306</v>
      </c>
    </row>
    <row r="256">
      <c r="A256" t="inlineStr">
        <is>
          <t>Q6.eval.damped_Holt.RMSE</t>
        </is>
      </c>
      <c r="B256" t="n">
        <v>68.91174568621419</v>
      </c>
    </row>
    <row r="257">
      <c r="A257" t="inlineStr">
        <is>
          <t>Q6.trend_full.b0</t>
        </is>
      </c>
      <c r="B257" t="n">
        <v>-96.00939732045738</v>
      </c>
    </row>
    <row r="258">
      <c r="A258" t="inlineStr">
        <is>
          <t>Q6.trend_full.b1</t>
        </is>
      </c>
      <c r="B258" t="n">
        <v>10.7514721849647</v>
      </c>
    </row>
    <row r="259">
      <c r="A259" t="inlineStr">
        <is>
          <t>Q6.trend_full.s</t>
        </is>
      </c>
      <c r="B259" t="n">
        <v>66.7979948720686</v>
      </c>
    </row>
    <row r="260">
      <c r="A260" t="inlineStr">
        <is>
          <t>Q6.trend_full.r2</t>
        </is>
      </c>
      <c r="B260" t="n">
        <v>0.7841911286866533</v>
      </c>
    </row>
    <row r="261">
      <c r="A261" t="inlineStr">
        <is>
          <t>Q6.train_trend.b0</t>
        </is>
      </c>
      <c r="B261" t="n">
        <v>-59.26746781143344</v>
      </c>
    </row>
    <row r="262">
      <c r="A262" t="inlineStr">
        <is>
          <t>Q6.train_trend.b1</t>
        </is>
      </c>
      <c r="B262" t="n">
        <v>7.695028665709549</v>
      </c>
    </row>
    <row r="263">
      <c r="A263" t="inlineStr">
        <is>
          <t>Q6.fc_years</t>
        </is>
      </c>
      <c r="B263" t="inlineStr">
        <is>
          <t>[2026, 2027]</t>
        </is>
      </c>
    </row>
    <row r="264">
      <c r="A264" t="inlineStr">
        <is>
          <t>Q6.fc_linear</t>
        </is>
      </c>
      <c r="B264" t="inlineStr">
        <is>
          <t>[334.04949007813065, 344.80096226309536]</t>
        </is>
      </c>
    </row>
    <row r="265">
      <c r="A265" t="inlineStr">
        <is>
          <t>Q6.fc_linear_pi</t>
        </is>
      </c>
      <c r="B265" t="inlineStr">
        <is>
          <t>[[191.9760889987424, 476.1228911575189], [202.22135981373935, 487.38056471245136]]</t>
        </is>
      </c>
    </row>
    <row r="266">
      <c r="A266" t="inlineStr">
        <is>
          <t>Q6.fc_ma3</t>
        </is>
      </c>
      <c r="B266" t="n">
        <v>437.1377820655132</v>
      </c>
    </row>
    <row r="267">
      <c r="A267" t="inlineStr">
        <is>
          <t>Q6.fc_recent10</t>
        </is>
      </c>
      <c r="B267" t="inlineStr">
        <is>
          <t>[502.13805697564817, 533.4144254249861]</t>
        </is>
      </c>
    </row>
    <row r="268">
      <c r="A268" t="inlineStr">
        <is>
          <t>Q6.fc_recent10_pi</t>
        </is>
      </c>
      <c r="B268" t="inlineStr">
        <is>
          <t>[[447.1531804396349, 557.1229335116614], [475.7674681148208, 591.0613827351514]]</t>
        </is>
      </c>
    </row>
    <row r="269">
      <c r="A269" t="inlineStr">
        <is>
          <t>Q6.fc_holt</t>
        </is>
      </c>
      <c r="B269" t="inlineStr">
        <is>
          <t>[518.0998323464985, 558.2974960866882]</t>
        </is>
      </c>
    </row>
    <row r="270">
      <c r="A270" t="inlineStr">
        <is>
          <t>Q6.slope_recent10</t>
        </is>
      </c>
      <c r="B270" t="n">
        <v>31.27636844933786</v>
      </c>
    </row>
    <row r="271">
      <c r="A271" t="inlineStr">
        <is>
          <t>Q6.fc_loglin</t>
        </is>
      </c>
      <c r="B271" t="inlineStr">
        <is>
          <t>[884.6153873564622, 1036.5879712168562]</t>
        </is>
      </c>
    </row>
    <row r="272">
      <c r="A272" t="inlineStr">
        <is>
          <t>Q6.loglin_growth_pct</t>
        </is>
      </c>
      <c r="B272" t="n">
        <v>17.17950942663811</v>
      </c>
    </row>
    <row r="273">
      <c r="A273" t="inlineStr">
        <is>
          <t>Q6.mean_growth_pct</t>
        </is>
      </c>
      <c r="B273" t="n">
        <v>17.34938743559915</v>
      </c>
    </row>
    <row r="274">
      <c r="A274" t="inlineStr">
        <is>
          <t>Q6.sd_growth_pct</t>
        </is>
      </c>
      <c r="B274" t="n">
        <v>17.91280627265606</v>
      </c>
    </row>
    <row r="275">
      <c r="A275" t="inlineStr">
        <is>
          <t>Q6.dw_trend</t>
        </is>
      </c>
      <c r="B275" t="n">
        <v>0.07601494834149604</v>
      </c>
    </row>
    <row r="276">
      <c r="A276" t="inlineStr">
        <is>
          <t>Q6.last_value</t>
        </is>
      </c>
      <c r="B276" t="n">
        <v>505.661231330217</v>
      </c>
    </row>
    <row r="277">
      <c r="A277" t="inlineStr">
        <is>
          <t>Q6.last3</t>
        </is>
      </c>
      <c r="B277" t="inlineStr">
        <is>
          <t>[376.26801764938, 429.484097216943, 505.661231330217]</t>
        </is>
      </c>
    </row>
    <row r="278">
      <c r="A278" t="inlineStr">
        <is>
          <t>Q8.infl_sd_1996_2025</t>
        </is>
      </c>
      <c r="B278" t="n">
        <v>5.01573119222564</v>
      </c>
    </row>
    <row r="279">
      <c r="A279" t="inlineStr">
        <is>
          <t>Q8.infl_sd_2015_2025</t>
        </is>
      </c>
      <c r="B279" t="n">
        <v>0.9006124483001456</v>
      </c>
    </row>
    <row r="280">
      <c r="A280" t="inlineStr">
        <is>
          <t>Q8.infl_last</t>
        </is>
      </c>
      <c r="B280" t="n">
        <v>3.30999314219739</v>
      </c>
    </row>
    <row r="281">
      <c r="A281" t="inlineStr">
        <is>
          <t>Q8.infl_last_year</t>
        </is>
      </c>
      <c r="B281" t="n">
        <v>2025</v>
      </c>
    </row>
    <row r="282">
      <c r="A282" t="inlineStr">
        <is>
          <t>Q8.infl_2022</t>
        </is>
      </c>
      <c r="B282" t="n">
        <v>3.15650749963111</v>
      </c>
    </row>
    <row r="283">
      <c r="A283" t="inlineStr">
        <is>
          <t>Q8.infl_2023</t>
        </is>
      </c>
      <c r="B283" t="n">
        <v>3.25289282667662</v>
      </c>
    </row>
    <row r="284">
      <c r="A284" t="inlineStr">
        <is>
          <t>Q8.infl_2024</t>
        </is>
      </c>
      <c r="B284" t="n">
        <v>3.62109273885843</v>
      </c>
    </row>
    <row r="285">
      <c r="A285" t="inlineStr">
        <is>
          <t>Q8.g_last</t>
        </is>
      </c>
      <c r="B285" t="n">
        <v>8.01882998978245</v>
      </c>
    </row>
    <row r="286">
      <c r="A286" t="inlineStr">
        <is>
          <t>Q8.g_last_year</t>
        </is>
      </c>
      <c r="B286" t="n">
        <v>2025</v>
      </c>
    </row>
    <row r="287">
      <c r="A287" t="inlineStr">
        <is>
          <t>Q8.g_sd_2000_2024</t>
        </is>
      </c>
      <c r="B287" t="n">
        <v>1.352763719024575</v>
      </c>
    </row>
    <row r="288">
      <c r="A288" t="inlineStr">
        <is>
          <t>Q8.g_min_2000_2024</t>
        </is>
      </c>
      <c r="B288" t="n">
        <v>2.55372852648131</v>
      </c>
    </row>
    <row r="289">
      <c r="A289" t="inlineStr">
        <is>
          <t>Q8.g_min_year</t>
        </is>
      </c>
      <c r="B289" t="n">
        <v>2021</v>
      </c>
    </row>
    <row r="290">
      <c r="A290" t="inlineStr">
        <is>
          <t>Q8.g_mean_2015_2025</t>
        </is>
      </c>
      <c r="B290" t="n">
        <v>6.312300624235482</v>
      </c>
    </row>
    <row r="291">
      <c r="A291" t="inlineStr">
        <is>
          <t>Q8.g_2020</t>
        </is>
      </c>
      <c r="B291" t="n">
        <v>2.86541320912272</v>
      </c>
    </row>
    <row r="292">
      <c r="A292" t="inlineStr">
        <is>
          <t>Q8.g_2021</t>
        </is>
      </c>
      <c r="B292" t="n">
        <v>2.55372852648131</v>
      </c>
    </row>
    <row r="293">
      <c r="A293" t="inlineStr">
        <is>
          <t>Q8.elec_last</t>
        </is>
      </c>
      <c r="B293" t="n">
        <v>2755.87065139803</v>
      </c>
    </row>
    <row r="294">
      <c r="A294" t="inlineStr">
        <is>
          <t>Q8.elec_last_year</t>
        </is>
      </c>
      <c r="B294" t="n">
        <v>2024</v>
      </c>
    </row>
    <row r="295">
      <c r="A295" t="inlineStr">
        <is>
          <t>Q8.elec_cagr_2014_2024</t>
        </is>
      </c>
      <c r="B295" t="n">
        <v>7.126366147679053</v>
      </c>
    </row>
    <row r="296">
      <c r="A296" t="inlineStr">
        <is>
          <t>Q8.elec_growth_2024</t>
        </is>
      </c>
      <c r="B296" t="n">
        <v>8.068751289036324</v>
      </c>
    </row>
    <row r="297">
      <c r="A297" t="inlineStr">
        <is>
          <t>Q8.years_infl_gt4</t>
        </is>
      </c>
      <c r="B297" t="n">
        <v>14</v>
      </c>
    </row>
    <row r="298">
      <c r="A298" t="inlineStr">
        <is>
          <t>Q8.years_gt</t>
        </is>
      </c>
      <c r="B298" t="n">
        <v>30</v>
      </c>
    </row>
    <row r="299">
      <c r="A299" t="inlineStr">
        <is>
          <t>Q8.exports_pct_gdp_last</t>
        </is>
      </c>
      <c r="B299" t="n">
        <v>98.24440786376719</v>
      </c>
    </row>
    <row r="300">
      <c r="A300" t="inlineStr">
        <is>
          <t>Q8.exports_pct_gdp_last_year</t>
        </is>
      </c>
      <c r="B300" t="n">
        <v>2025</v>
      </c>
    </row>
    <row r="301">
      <c r="A301" t="inlineStr">
        <is>
          <t>Q7.B.n</t>
        </is>
      </c>
      <c r="B301" t="n">
        <v>248</v>
      </c>
    </row>
    <row r="302">
      <c r="A302" t="inlineStr">
        <is>
          <t>Q7.B.k</t>
        </is>
      </c>
      <c r="B302" t="n">
        <v>6</v>
      </c>
    </row>
    <row r="303">
      <c r="A303" t="inlineStr">
        <is>
          <t>Q7.B.alpha</t>
        </is>
      </c>
      <c r="B303" t="n">
        <v>0.9375310767075065</v>
      </c>
    </row>
    <row r="304">
      <c r="A304" t="inlineStr">
        <is>
          <t>Q7.B.alpha_ci</t>
        </is>
      </c>
      <c r="B304" t="inlineStr">
        <is>
          <t>[0.9233793624413895, 0.9495993312126588]</t>
        </is>
      </c>
    </row>
    <row r="305">
      <c r="A305" t="inlineStr">
        <is>
          <t>Q7.B.cit.SCR1</t>
        </is>
      </c>
      <c r="B305" t="n">
        <v>0.7874877292436394</v>
      </c>
    </row>
    <row r="306">
      <c r="A306" t="inlineStr">
        <is>
          <t>Q7.B.cit.SCR2</t>
        </is>
      </c>
      <c r="B306" t="n">
        <v>0.8116236203485071</v>
      </c>
    </row>
    <row r="307">
      <c r="A307" t="inlineStr">
        <is>
          <t>Q7.B.cit.SCR3</t>
        </is>
      </c>
      <c r="B307" t="n">
        <v>0.8118459626629446</v>
      </c>
    </row>
    <row r="308">
      <c r="A308" t="inlineStr">
        <is>
          <t>Q7.B.cit.SCR4</t>
        </is>
      </c>
      <c r="B308" t="n">
        <v>0.8056304720030963</v>
      </c>
    </row>
    <row r="309">
      <c r="A309" t="inlineStr">
        <is>
          <t>Q7.B.cit.SCR5</t>
        </is>
      </c>
      <c r="B309" t="n">
        <v>0.829108711743346</v>
      </c>
    </row>
    <row r="310">
      <c r="A310" t="inlineStr">
        <is>
          <t>Q7.B.cit.SCR6</t>
        </is>
      </c>
      <c r="B310" t="n">
        <v>0.840203534538105</v>
      </c>
    </row>
    <row r="311">
      <c r="A311" t="inlineStr">
        <is>
          <t>Q7.B.alpha_if_deleted.SCR1</t>
        </is>
      </c>
      <c r="B311" t="n">
        <v>0.9293492824783773</v>
      </c>
    </row>
    <row r="312">
      <c r="A312" t="inlineStr">
        <is>
          <t>Q7.B.alpha_if_deleted.SCR2</t>
        </is>
      </c>
      <c r="B312" t="n">
        <v>0.9262020987092197</v>
      </c>
    </row>
    <row r="313">
      <c r="A313" t="inlineStr">
        <is>
          <t>Q7.B.alpha_if_deleted.SCR3</t>
        </is>
      </c>
      <c r="B313" t="n">
        <v>0.9261561313402861</v>
      </c>
    </row>
    <row r="314">
      <c r="A314" t="inlineStr">
        <is>
          <t>Q7.B.alpha_if_deleted.SCR4</t>
        </is>
      </c>
      <c r="B314" t="n">
        <v>0.9269162322273394</v>
      </c>
    </row>
    <row r="315">
      <c r="A315" t="inlineStr">
        <is>
          <t>Q7.B.alpha_if_deleted.SCR5</t>
        </is>
      </c>
      <c r="B315" t="n">
        <v>0.9240035974323906</v>
      </c>
    </row>
    <row r="316">
      <c r="A316" t="inlineStr">
        <is>
          <t>Q7.B.alpha_if_deleted.SCR6</t>
        </is>
      </c>
      <c r="B316" t="n">
        <v>0.9231638950783008</v>
      </c>
    </row>
    <row r="317">
      <c r="A317" t="inlineStr">
        <is>
          <t>Q7.B.r_half</t>
        </is>
      </c>
      <c r="B317" t="n">
        <v>0.907868003055151</v>
      </c>
    </row>
    <row r="318">
      <c r="A318" t="inlineStr">
        <is>
          <t>Q7.B.spearman_brown</t>
        </is>
      </c>
      <c r="B318" t="n">
        <v>0.9517094490827909</v>
      </c>
    </row>
    <row r="319">
      <c r="A319" t="inlineStr">
        <is>
          <t>Q7.B.rho_half</t>
        </is>
      </c>
      <c r="B319" t="n">
        <v>0.7411431933876316</v>
      </c>
    </row>
    <row r="320">
      <c r="A320" t="inlineStr">
        <is>
          <t>Q7.B.spearman_brown_rank</t>
        </is>
      </c>
      <c r="B320" t="n">
        <v>0.851329398067067</v>
      </c>
    </row>
    <row r="321">
      <c r="A321" t="inlineStr">
        <is>
          <t>Q7.B.guttman</t>
        </is>
      </c>
      <c r="B321" t="n">
        <v>0.9515000696757312</v>
      </c>
    </row>
    <row r="322">
      <c r="A322" t="inlineStr">
        <is>
          <t>Q7.B.mean.SCR1</t>
        </is>
      </c>
      <c r="B322" t="n">
        <v>3.201612903225806</v>
      </c>
    </row>
    <row r="323">
      <c r="A323" t="inlineStr">
        <is>
          <t>Q7.B.mean.SCR2</t>
        </is>
      </c>
      <c r="B323" t="n">
        <v>3.330645161290323</v>
      </c>
    </row>
    <row r="324">
      <c r="A324" t="inlineStr">
        <is>
          <t>Q7.B.mean.SCR3</t>
        </is>
      </c>
      <c r="B324" t="n">
        <v>3.217741935483871</v>
      </c>
    </row>
    <row r="325">
      <c r="A325" t="inlineStr">
        <is>
          <t>Q7.B.mean.SCR4</t>
        </is>
      </c>
      <c r="B325" t="n">
        <v>3.451612903225806</v>
      </c>
    </row>
    <row r="326">
      <c r="A326" t="inlineStr">
        <is>
          <t>Q7.B.mean.SCR5</t>
        </is>
      </c>
      <c r="B326" t="n">
        <v>3.564516129032258</v>
      </c>
    </row>
    <row r="327">
      <c r="A327" t="inlineStr">
        <is>
          <t>Q7.B.mean.SCR6</t>
        </is>
      </c>
      <c r="B327" t="n">
        <v>3.455645161290323</v>
      </c>
    </row>
    <row r="328">
      <c r="A328" t="inlineStr">
        <is>
          <t>Q7.B.sd.SCR1</t>
        </is>
      </c>
      <c r="B328" t="n">
        <v>1.464726079929468</v>
      </c>
    </row>
    <row r="329">
      <c r="A329" t="inlineStr">
        <is>
          <t>Q7.B.sd.SCR2</t>
        </is>
      </c>
      <c r="B329" t="n">
        <v>1.443801629322669</v>
      </c>
    </row>
    <row r="330">
      <c r="A330" t="inlineStr">
        <is>
          <t>Q7.B.sd.SCR3</t>
        </is>
      </c>
      <c r="B330" t="n">
        <v>1.400176298159129</v>
      </c>
    </row>
    <row r="331">
      <c r="A331" t="inlineStr">
        <is>
          <t>Q7.B.sd.SCR4</t>
        </is>
      </c>
      <c r="B331" t="n">
        <v>1.410514815193877</v>
      </c>
    </row>
    <row r="332">
      <c r="A332" t="inlineStr">
        <is>
          <t>Q7.B.sd.SCR5</t>
        </is>
      </c>
      <c r="B332" t="n">
        <v>1.463410333914182</v>
      </c>
    </row>
    <row r="333">
      <c r="A333" t="inlineStr">
        <is>
          <t>Q7.B.sd.SCR6</t>
        </is>
      </c>
      <c r="B333" t="n">
        <v>1.321746018547944</v>
      </c>
    </row>
    <row r="334">
      <c r="A334" t="inlineStr">
        <is>
          <t>Q7.B.pct_top.SCR1</t>
        </is>
      </c>
      <c r="B334" t="n">
        <v>22.58064516129032</v>
      </c>
    </row>
    <row r="335">
      <c r="A335" t="inlineStr">
        <is>
          <t>Q7.B.pct_top.SCR2</t>
        </is>
      </c>
      <c r="B335" t="n">
        <v>26.61290322580645</v>
      </c>
    </row>
    <row r="336">
      <c r="A336" t="inlineStr">
        <is>
          <t>Q7.B.pct_top.SCR3</t>
        </is>
      </c>
      <c r="B336" t="n">
        <v>17.74193548387097</v>
      </c>
    </row>
    <row r="337">
      <c r="A337" t="inlineStr">
        <is>
          <t>Q7.B.pct_top.SCR4</t>
        </is>
      </c>
      <c r="B337" t="n">
        <v>27.01612903225806</v>
      </c>
    </row>
    <row r="338">
      <c r="A338" t="inlineStr">
        <is>
          <t>Q7.B.pct_top.SCR5</t>
        </is>
      </c>
      <c r="B338" t="n">
        <v>35.88709677419355</v>
      </c>
    </row>
    <row r="339">
      <c r="A339" t="inlineStr">
        <is>
          <t>Q7.B.pct_top.SCR6</t>
        </is>
      </c>
      <c r="B339" t="n">
        <v>22.98387096774194</v>
      </c>
    </row>
    <row r="340">
      <c r="A340" t="inlineStr">
        <is>
          <t>Q7.B.corr.SCR1.SCR1</t>
        </is>
      </c>
      <c r="B340" t="n">
        <v>1</v>
      </c>
    </row>
    <row r="341">
      <c r="A341" t="inlineStr">
        <is>
          <t>Q7.B.corr.SCR1.SCR2</t>
        </is>
      </c>
      <c r="B341" t="n">
        <v>0.757</v>
      </c>
    </row>
    <row r="342">
      <c r="A342" t="inlineStr">
        <is>
          <t>Q7.B.corr.SCR1.SCR3</t>
        </is>
      </c>
      <c r="B342" t="n">
        <v>0.731</v>
      </c>
    </row>
    <row r="343">
      <c r="A343" t="inlineStr">
        <is>
          <t>Q7.B.corr.SCR1.SCR4</t>
        </is>
      </c>
      <c r="B343" t="n">
        <v>0.64</v>
      </c>
    </row>
    <row r="344">
      <c r="A344" t="inlineStr">
        <is>
          <t>Q7.B.corr.SCR1.SCR5</t>
        </is>
      </c>
      <c r="B344" t="n">
        <v>0.67</v>
      </c>
    </row>
    <row r="345">
      <c r="A345" t="inlineStr">
        <is>
          <t>Q7.B.corr.SCR1.SCR6</t>
        </is>
      </c>
      <c r="B345" t="n">
        <v>0.68</v>
      </c>
    </row>
    <row r="346">
      <c r="A346" t="inlineStr">
        <is>
          <t>Q7.B.corr.SCR2.SCR1</t>
        </is>
      </c>
      <c r="B346" t="n">
        <v>0.757</v>
      </c>
    </row>
    <row r="347">
      <c r="A347" t="inlineStr">
        <is>
          <t>Q7.B.corr.SCR2.SCR2</t>
        </is>
      </c>
      <c r="B347" t="n">
        <v>1</v>
      </c>
    </row>
    <row r="348">
      <c r="A348" t="inlineStr">
        <is>
          <t>Q7.B.corr.SCR2.SCR3</t>
        </is>
      </c>
      <c r="B348" t="n">
        <v>0.769</v>
      </c>
    </row>
    <row r="349">
      <c r="A349" t="inlineStr">
        <is>
          <t>Q7.B.corr.SCR2.SCR4</t>
        </is>
      </c>
      <c r="B349" t="n">
        <v>0.646</v>
      </c>
    </row>
    <row r="350">
      <c r="A350" t="inlineStr">
        <is>
          <t>Q7.B.corr.SCR2.SCR5</t>
        </is>
      </c>
      <c r="B350" t="n">
        <v>0.6909999999999999</v>
      </c>
    </row>
    <row r="351">
      <c r="A351" t="inlineStr">
        <is>
          <t>Q7.B.corr.SCR2.SCR6</t>
        </is>
      </c>
      <c r="B351" t="n">
        <v>0.704</v>
      </c>
    </row>
    <row r="352">
      <c r="A352" t="inlineStr">
        <is>
          <t>Q7.B.corr.SCR3.SCR1</t>
        </is>
      </c>
      <c r="B352" t="n">
        <v>0.731</v>
      </c>
    </row>
    <row r="353">
      <c r="A353" t="inlineStr">
        <is>
          <t>Q7.B.corr.SCR3.SCR2</t>
        </is>
      </c>
      <c r="B353" t="n">
        <v>0.769</v>
      </c>
    </row>
    <row r="354">
      <c r="A354" t="inlineStr">
        <is>
          <t>Q7.B.corr.SCR3.SCR3</t>
        </is>
      </c>
      <c r="B354" t="n">
        <v>1</v>
      </c>
    </row>
    <row r="355">
      <c r="A355" t="inlineStr">
        <is>
          <t>Q7.B.corr.SCR3.SCR4</t>
        </is>
      </c>
      <c r="B355" t="n">
        <v>0.6919999999999999</v>
      </c>
    </row>
    <row r="356">
      <c r="A356" t="inlineStr">
        <is>
          <t>Q7.B.corr.SCR3.SCR5</t>
        </is>
      </c>
      <c r="B356" t="n">
        <v>0.675</v>
      </c>
    </row>
    <row r="357">
      <c r="A357" t="inlineStr">
        <is>
          <t>Q7.B.corr.SCR3.SCR6</t>
        </is>
      </c>
      <c r="B357" t="n">
        <v>0.701</v>
      </c>
    </row>
    <row r="358">
      <c r="A358" t="inlineStr">
        <is>
          <t>Q7.B.corr.SCR4.SCR1</t>
        </is>
      </c>
      <c r="B358" t="n">
        <v>0.64</v>
      </c>
    </row>
    <row r="359">
      <c r="A359" t="inlineStr">
        <is>
          <t>Q7.B.corr.SCR4.SCR2</t>
        </is>
      </c>
      <c r="B359" t="n">
        <v>0.646</v>
      </c>
    </row>
    <row r="360">
      <c r="A360" t="inlineStr">
        <is>
          <t>Q7.B.corr.SCR4.SCR3</t>
        </is>
      </c>
      <c r="B360" t="n">
        <v>0.6919999999999999</v>
      </c>
    </row>
    <row r="361">
      <c r="A361" t="inlineStr">
        <is>
          <t>Q7.B.corr.SCR4.SCR4</t>
        </is>
      </c>
      <c r="B361" t="n">
        <v>1</v>
      </c>
    </row>
    <row r="362">
      <c r="A362" t="inlineStr">
        <is>
          <t>Q7.B.corr.SCR4.SCR5</t>
        </is>
      </c>
      <c r="B362" t="n">
        <v>0.794</v>
      </c>
    </row>
    <row r="363">
      <c r="A363" t="inlineStr">
        <is>
          <t>Q7.B.corr.SCR4.SCR6</t>
        </is>
      </c>
      <c r="B363" t="n">
        <v>0.78</v>
      </c>
    </row>
    <row r="364">
      <c r="A364" t="inlineStr">
        <is>
          <t>Q7.B.corr.SCR5.SCR1</t>
        </is>
      </c>
      <c r="B364" t="n">
        <v>0.67</v>
      </c>
    </row>
    <row r="365">
      <c r="A365" t="inlineStr">
        <is>
          <t>Q7.B.corr.SCR5.SCR2</t>
        </is>
      </c>
      <c r="B365" t="n">
        <v>0.6909999999999999</v>
      </c>
    </row>
    <row r="366">
      <c r="A366" t="inlineStr">
        <is>
          <t>Q7.B.corr.SCR5.SCR3</t>
        </is>
      </c>
      <c r="B366" t="n">
        <v>0.675</v>
      </c>
    </row>
    <row r="367">
      <c r="A367" t="inlineStr">
        <is>
          <t>Q7.B.corr.SCR5.SCR4</t>
        </is>
      </c>
      <c r="B367" t="n">
        <v>0.794</v>
      </c>
    </row>
    <row r="368">
      <c r="A368" t="inlineStr">
        <is>
          <t>Q7.B.corr.SCR5.SCR5</t>
        </is>
      </c>
      <c r="B368" t="n">
        <v>1</v>
      </c>
    </row>
    <row r="369">
      <c r="A369" t="inlineStr">
        <is>
          <t>Q7.B.corr.SCR5.SCR6</t>
        </is>
      </c>
      <c r="B369" t="n">
        <v>0.8100000000000001</v>
      </c>
    </row>
    <row r="370">
      <c r="A370" t="inlineStr">
        <is>
          <t>Q7.B.corr.SCR6.SCR1</t>
        </is>
      </c>
      <c r="B370" t="n">
        <v>0.68</v>
      </c>
    </row>
    <row r="371">
      <c r="A371" t="inlineStr">
        <is>
          <t>Q7.B.corr.SCR6.SCR2</t>
        </is>
      </c>
      <c r="B371" t="n">
        <v>0.704</v>
      </c>
    </row>
    <row r="372">
      <c r="A372" t="inlineStr">
        <is>
          <t>Q7.B.corr.SCR6.SCR3</t>
        </is>
      </c>
      <c r="B372" t="n">
        <v>0.701</v>
      </c>
    </row>
    <row r="373">
      <c r="A373" t="inlineStr">
        <is>
          <t>Q7.B.corr.SCR6.SCR4</t>
        </is>
      </c>
      <c r="B373" t="n">
        <v>0.78</v>
      </c>
    </row>
    <row r="374">
      <c r="A374" t="inlineStr">
        <is>
          <t>Q7.B.corr.SCR6.SCR5</t>
        </is>
      </c>
      <c r="B374" t="n">
        <v>0.8100000000000001</v>
      </c>
    </row>
    <row r="375">
      <c r="A375" t="inlineStr">
        <is>
          <t>Q7.B.corr.SCR6.SCR6</t>
        </is>
      </c>
      <c r="B375" t="n">
        <v>1</v>
      </c>
    </row>
    <row r="376">
      <c r="A376" t="inlineStr">
        <is>
          <t>Q7.B.mean_interitem_r</t>
        </is>
      </c>
      <c r="B376" t="n">
        <v>0.7159575284367196</v>
      </c>
    </row>
    <row r="377">
      <c r="A377" t="inlineStr">
        <is>
          <t>Q7.B.halves.odd</t>
        </is>
      </c>
      <c r="B377" t="inlineStr">
        <is>
          <t>["SCR1", "SCR3", "SCR5"]</t>
        </is>
      </c>
    </row>
    <row r="378">
      <c r="A378" t="inlineStr">
        <is>
          <t>Q7.B.halves.even</t>
        </is>
      </c>
      <c r="B378" t="inlineStr">
        <is>
          <t>["SCR2", "SCR4", "SCR6"]</t>
        </is>
      </c>
    </row>
    <row r="379">
      <c r="A379" t="inlineStr">
        <is>
          <t>Q7.B.straightliners</t>
        </is>
      </c>
      <c r="B379" t="n">
        <v>3</v>
      </c>
    </row>
    <row r="380">
      <c r="A380" t="inlineStr">
        <is>
          <t>Q7.B.alpha_excl_straightliners</t>
        </is>
      </c>
      <c r="B380" t="n">
        <v>0.9369793152811564</v>
      </c>
    </row>
    <row r="381">
      <c r="A381" t="inlineStr">
        <is>
          <t>Q7.B.duplicate_rows</t>
        </is>
      </c>
      <c r="B381" t="n">
        <v>2</v>
      </c>
    </row>
    <row r="382">
      <c r="A382" t="inlineStr">
        <is>
          <t>Q7.B.alpha_excl_duplicates</t>
        </is>
      </c>
      <c r="B382" t="n">
        <v>0.937078537747807</v>
      </c>
    </row>
    <row r="383">
      <c r="A383" t="inlineStr">
        <is>
          <t>Q7.B.alpha_other_blocks.SCRMC</t>
        </is>
      </c>
      <c r="B383" t="n">
        <v>0.8925745429531444</v>
      </c>
    </row>
    <row r="384">
      <c r="A384" t="inlineStr">
        <is>
          <t>Q7.B.alpha_other_blocks.SCA</t>
        </is>
      </c>
      <c r="B384" t="n">
        <v>0.8918569248924559</v>
      </c>
    </row>
    <row r="385">
      <c r="A385" t="inlineStr">
        <is>
          <t>Q7.B.alpha_other_blocks.BP</t>
        </is>
      </c>
      <c r="B385" t="n">
        <v>0.8911658948542819</v>
      </c>
    </row>
    <row r="386">
      <c r="A386" t="inlineStr">
        <is>
          <t>Q7.A.n</t>
        </is>
      </c>
      <c r="B386" t="n">
        <v>247</v>
      </c>
    </row>
    <row r="387">
      <c r="A387" t="inlineStr">
        <is>
          <t>Q7.A.k</t>
        </is>
      </c>
      <c r="B387" t="n">
        <v>5</v>
      </c>
    </row>
    <row r="388">
      <c r="A388" t="inlineStr">
        <is>
          <t>Q7.A.alpha</t>
        </is>
      </c>
      <c r="B388" t="n">
        <v>-1.651879319717324</v>
      </c>
    </row>
    <row r="389">
      <c r="A389" t="inlineStr">
        <is>
          <t>Q7.A.alpha_ci</t>
        </is>
      </c>
      <c r="B389" t="inlineStr">
        <is>
          <t>[-2.20788742595776, -1.2576883287261522]</t>
        </is>
      </c>
    </row>
    <row r="390">
      <c r="A390" t="inlineStr">
        <is>
          <t>Q7.A.cit.OR1</t>
        </is>
      </c>
      <c r="B390" t="n">
        <v>-0.3012620737684666</v>
      </c>
    </row>
    <row r="391">
      <c r="A391" t="inlineStr">
        <is>
          <t>Q7.A.cit.OR2</t>
        </is>
      </c>
      <c r="B391" t="n">
        <v>-0.3934823819885768</v>
      </c>
    </row>
    <row r="392">
      <c r="A392" t="inlineStr">
        <is>
          <t>Q7.A.cit.OR3</t>
        </is>
      </c>
      <c r="B392" t="n">
        <v>-0.3482841080400443</v>
      </c>
    </row>
    <row r="393">
      <c r="A393" t="inlineStr">
        <is>
          <t>Q7.A.cit.OR4</t>
        </is>
      </c>
      <c r="B393" t="n">
        <v>-0.4759310720188891</v>
      </c>
    </row>
    <row r="394">
      <c r="A394" t="inlineStr">
        <is>
          <t>Q7.A.cit.OR5</t>
        </is>
      </c>
      <c r="B394" t="n">
        <v>-0.349420671418841</v>
      </c>
    </row>
    <row r="395">
      <c r="A395" t="inlineStr">
        <is>
          <t>Q7.A.alpha_if_deleted.OR1</t>
        </is>
      </c>
      <c r="B395" t="n">
        <v>-1.296821271312844</v>
      </c>
    </row>
    <row r="396">
      <c r="A396" t="inlineStr">
        <is>
          <t>Q7.A.alpha_if_deleted.OR2</t>
        </is>
      </c>
      <c r="B396" t="n">
        <v>-0.9370417888563051</v>
      </c>
    </row>
    <row r="397">
      <c r="A397" t="inlineStr">
        <is>
          <t>Q7.A.alpha_if_deleted.OR3</t>
        </is>
      </c>
      <c r="B397" t="n">
        <v>-1.106878146264957</v>
      </c>
    </row>
    <row r="398">
      <c r="A398" t="inlineStr">
        <is>
          <t>Q7.A.alpha_if_deleted.OR4</t>
        </is>
      </c>
      <c r="B398" t="n">
        <v>-0.6058655664431829</v>
      </c>
    </row>
    <row r="399">
      <c r="A399" t="inlineStr">
        <is>
          <t>Q7.A.alpha_if_deleted.OR5</t>
        </is>
      </c>
      <c r="B399" t="n">
        <v>-1.141530054644808</v>
      </c>
    </row>
    <row r="400">
      <c r="A400" t="inlineStr">
        <is>
          <t>Q7.A.r_half</t>
        </is>
      </c>
      <c r="B400" t="n">
        <v>-0.6504941339375691</v>
      </c>
    </row>
    <row r="401">
      <c r="A401" t="inlineStr">
        <is>
          <t>Q7.A.spearman_brown</t>
        </is>
      </c>
      <c r="B401" t="n">
        <v>-3.722364613024113</v>
      </c>
    </row>
    <row r="402">
      <c r="A402" t="inlineStr">
        <is>
          <t>Q7.A.rho_half</t>
        </is>
      </c>
      <c r="B402" t="n">
        <v>-0.6572214861249035</v>
      </c>
    </row>
    <row r="403">
      <c r="A403" t="inlineStr">
        <is>
          <t>Q7.A.spearman_brown_rank</t>
        </is>
      </c>
      <c r="B403" t="n">
        <v>-3.834671424967934</v>
      </c>
    </row>
    <row r="404">
      <c r="A404" t="inlineStr">
        <is>
          <t>Q7.A.guttman</t>
        </is>
      </c>
      <c r="B404" t="n">
        <v>-3.559938909166212</v>
      </c>
    </row>
    <row r="405">
      <c r="A405" t="inlineStr">
        <is>
          <t>Q7.A.mean.OR1</t>
        </is>
      </c>
      <c r="B405" t="n">
        <v>6.348178137651822</v>
      </c>
    </row>
    <row r="406">
      <c r="A406" t="inlineStr">
        <is>
          <t>Q7.A.mean.OR2</t>
        </is>
      </c>
      <c r="B406" t="n">
        <v>6.425101214574899</v>
      </c>
    </row>
    <row r="407">
      <c r="A407" t="inlineStr">
        <is>
          <t>Q7.A.mean.OR3</t>
        </is>
      </c>
      <c r="B407" t="n">
        <v>6.121457489878543</v>
      </c>
    </row>
    <row r="408">
      <c r="A408" t="inlineStr">
        <is>
          <t>Q7.A.mean.OR4</t>
        </is>
      </c>
      <c r="B408" t="n">
        <v>6.22672064777328</v>
      </c>
    </row>
    <row r="409">
      <c r="A409" t="inlineStr">
        <is>
          <t>Q7.A.mean.OR5</t>
        </is>
      </c>
      <c r="B409" t="n">
        <v>6.060728744939271</v>
      </c>
    </row>
    <row r="410">
      <c r="A410" t="inlineStr">
        <is>
          <t>Q7.A.sd.OR1</t>
        </is>
      </c>
      <c r="B410" t="n">
        <v>0.7271077579803538</v>
      </c>
    </row>
    <row r="411">
      <c r="A411" t="inlineStr">
        <is>
          <t>Q7.A.sd.OR2</t>
        </is>
      </c>
      <c r="B411" t="n">
        <v>0.7110177420791721</v>
      </c>
    </row>
    <row r="412">
      <c r="A412" t="inlineStr">
        <is>
          <t>Q7.A.sd.OR3</t>
        </is>
      </c>
      <c r="B412" t="n">
        <v>0.7553502264836875</v>
      </c>
    </row>
    <row r="413">
      <c r="A413" t="inlineStr">
        <is>
          <t>Q7.A.sd.OR4</t>
        </is>
      </c>
      <c r="B413" t="n">
        <v>0.7945537268788938</v>
      </c>
    </row>
    <row r="414">
      <c r="A414" t="inlineStr">
        <is>
          <t>Q7.A.sd.OR5</t>
        </is>
      </c>
      <c r="B414" t="n">
        <v>0.8460550944646316</v>
      </c>
    </row>
    <row r="415">
      <c r="A415" t="inlineStr">
        <is>
          <t>Q7.A.pct_top.OR1</t>
        </is>
      </c>
      <c r="B415" t="n">
        <v>49.79757085020243</v>
      </c>
    </row>
    <row r="416">
      <c r="A416" t="inlineStr">
        <is>
          <t>Q7.A.pct_top.OR2</t>
        </is>
      </c>
      <c r="B416" t="n">
        <v>55.46558704453442</v>
      </c>
    </row>
    <row r="417">
      <c r="A417" t="inlineStr">
        <is>
          <t>Q7.A.pct_top.OR3</t>
        </is>
      </c>
      <c r="B417" t="n">
        <v>35.22267206477733</v>
      </c>
    </row>
    <row r="418">
      <c r="A418" t="inlineStr">
        <is>
          <t>Q7.A.pct_top.OR4</t>
        </is>
      </c>
      <c r="B418" t="n">
        <v>45.34412955465587</v>
      </c>
    </row>
    <row r="419">
      <c r="A419" t="inlineStr">
        <is>
          <t>Q7.A.pct_top.OR5</t>
        </is>
      </c>
      <c r="B419" t="n">
        <v>34.81781376518219</v>
      </c>
    </row>
    <row r="420">
      <c r="A420" t="inlineStr">
        <is>
          <t>Q7.A.corr.OR1.OR1</t>
        </is>
      </c>
      <c r="B420" t="n">
        <v>1</v>
      </c>
    </row>
    <row r="421">
      <c r="A421" t="inlineStr">
        <is>
          <t>Q7.A.corr.OR1.OR2</t>
        </is>
      </c>
      <c r="B421" t="n">
        <v>-0.185</v>
      </c>
    </row>
    <row r="422">
      <c r="A422" t="inlineStr">
        <is>
          <t>Q7.A.corr.OR1.OR3</t>
        </is>
      </c>
      <c r="B422" t="n">
        <v>0.16</v>
      </c>
    </row>
    <row r="423">
      <c r="A423" t="inlineStr">
        <is>
          <t>Q7.A.corr.OR1.OR4</t>
        </is>
      </c>
      <c r="B423" t="n">
        <v>-0.201</v>
      </c>
    </row>
    <row r="424">
      <c r="A424" t="inlineStr">
        <is>
          <t>Q7.A.corr.OR1.OR5</t>
        </is>
      </c>
      <c r="B424" t="n">
        <v>-0.193</v>
      </c>
    </row>
    <row r="425">
      <c r="A425" t="inlineStr">
        <is>
          <t>Q7.A.corr.OR2.OR1</t>
        </is>
      </c>
      <c r="B425" t="n">
        <v>-0.185</v>
      </c>
    </row>
    <row r="426">
      <c r="A426" t="inlineStr">
        <is>
          <t>Q7.A.corr.OR2.OR2</t>
        </is>
      </c>
      <c r="B426" t="n">
        <v>1</v>
      </c>
    </row>
    <row r="427">
      <c r="A427" t="inlineStr">
        <is>
          <t>Q7.A.corr.OR2.OR3</t>
        </is>
      </c>
      <c r="B427" t="n">
        <v>-0.49</v>
      </c>
    </row>
    <row r="428">
      <c r="A428" t="inlineStr">
        <is>
          <t>Q7.A.corr.OR2.OR4</t>
        </is>
      </c>
      <c r="B428" t="n">
        <v>0.282</v>
      </c>
    </row>
    <row r="429">
      <c r="A429" t="inlineStr">
        <is>
          <t>Q7.A.corr.OR2.OR5</t>
        </is>
      </c>
      <c r="B429" t="n">
        <v>-0.226</v>
      </c>
    </row>
    <row r="430">
      <c r="A430" t="inlineStr">
        <is>
          <t>Q7.A.corr.OR3.OR1</t>
        </is>
      </c>
      <c r="B430" t="n">
        <v>0.16</v>
      </c>
    </row>
    <row r="431">
      <c r="A431" t="inlineStr">
        <is>
          <t>Q7.A.corr.OR3.OR2</t>
        </is>
      </c>
      <c r="B431" t="n">
        <v>-0.49</v>
      </c>
    </row>
    <row r="432">
      <c r="A432" t="inlineStr">
        <is>
          <t>Q7.A.corr.OR3.OR3</t>
        </is>
      </c>
      <c r="B432" t="n">
        <v>1</v>
      </c>
    </row>
    <row r="433">
      <c r="A433" t="inlineStr">
        <is>
          <t>Q7.A.corr.OR3.OR4</t>
        </is>
      </c>
      <c r="B433" t="n">
        <v>-0.48</v>
      </c>
    </row>
    <row r="434">
      <c r="A434" t="inlineStr">
        <is>
          <t>Q7.A.corr.OR3.OR5</t>
        </is>
      </c>
      <c r="B434" t="n">
        <v>0.256</v>
      </c>
    </row>
    <row r="435">
      <c r="A435" t="inlineStr">
        <is>
          <t>Q7.A.corr.OR4.OR1</t>
        </is>
      </c>
      <c r="B435" t="n">
        <v>-0.201</v>
      </c>
    </row>
    <row r="436">
      <c r="A436" t="inlineStr">
        <is>
          <t>Q7.A.corr.OR4.OR2</t>
        </is>
      </c>
      <c r="B436" t="n">
        <v>0.282</v>
      </c>
    </row>
    <row r="437">
      <c r="A437" t="inlineStr">
        <is>
          <t>Q7.A.corr.OR4.OR3</t>
        </is>
      </c>
      <c r="B437" t="n">
        <v>-0.48</v>
      </c>
    </row>
    <row r="438">
      <c r="A438" t="inlineStr">
        <is>
          <t>Q7.A.corr.OR4.OR4</t>
        </is>
      </c>
      <c r="B438" t="n">
        <v>1</v>
      </c>
    </row>
    <row r="439">
      <c r="A439" t="inlineStr">
        <is>
          <t>Q7.A.corr.OR4.OR5</t>
        </is>
      </c>
      <c r="B439" t="n">
        <v>-0.347</v>
      </c>
    </row>
    <row r="440">
      <c r="A440" t="inlineStr">
        <is>
          <t>Q7.A.corr.OR5.OR1</t>
        </is>
      </c>
      <c r="B440" t="n">
        <v>-0.193</v>
      </c>
    </row>
    <row r="441">
      <c r="A441" t="inlineStr">
        <is>
          <t>Q7.A.corr.OR5.OR2</t>
        </is>
      </c>
      <c r="B441" t="n">
        <v>-0.226</v>
      </c>
    </row>
    <row r="442">
      <c r="A442" t="inlineStr">
        <is>
          <t>Q7.A.corr.OR5.OR3</t>
        </is>
      </c>
      <c r="B442" t="n">
        <v>0.256</v>
      </c>
    </row>
    <row r="443">
      <c r="A443" t="inlineStr">
        <is>
          <t>Q7.A.corr.OR5.OR4</t>
        </is>
      </c>
      <c r="B443" t="n">
        <v>-0.347</v>
      </c>
    </row>
    <row r="444">
      <c r="A444" t="inlineStr">
        <is>
          <t>Q7.A.corr.OR5.OR5</t>
        </is>
      </c>
      <c r="B444" t="n">
        <v>1</v>
      </c>
    </row>
    <row r="445">
      <c r="A445" t="inlineStr">
        <is>
          <t>Q7.A.mean_interitem_r</t>
        </is>
      </c>
      <c r="B445" t="n">
        <v>-0.1424047784426399</v>
      </c>
    </row>
    <row r="446">
      <c r="A446" t="inlineStr">
        <is>
          <t>Q7.A.halves.odd</t>
        </is>
      </c>
      <c r="B446" t="inlineStr">
        <is>
          <t>["OR1", "OR3", "OR5"]</t>
        </is>
      </c>
    </row>
    <row r="447">
      <c r="A447" t="inlineStr">
        <is>
          <t>Q7.A.halves.even</t>
        </is>
      </c>
      <c r="B447" t="inlineStr">
        <is>
          <t>["OR2", "OR4"]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2026-10-12T18:26:43Z</dcterms:created>
  <dcterms:modified xmlns:dcterms="http://purl.org/dc/terms/" xmlns:xsi="http://www.w3.org/2001/XMLSchema-instance" xsi:type="dcterms:W3CDTF">2026-10-12T18:26:43Z</dcterms:modified>
</cp:coreProperties>
</file>